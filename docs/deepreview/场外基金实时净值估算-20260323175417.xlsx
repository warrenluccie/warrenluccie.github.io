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场外基金实时净值估算" sheetId="1" r:id="rId1"/>
    <sheet name="Wind模板" sheetId="2" state="veryHidden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1" l="1"/>
  <c r="G9" i="1"/>
  <c r="G15" i="1"/>
  <c r="G16" i="1"/>
  <c r="G14" i="1"/>
  <c r="G18" i="1"/>
  <c r="G10" i="1"/>
  <c r="G11" i="1"/>
  <c r="G8" i="1"/>
  <c r="G17" i="1"/>
  <c r="G12" i="1"/>
  <c r="G13" i="1"/>
  <c r="I11" i="1"/>
  <c r="I16" i="1"/>
  <c r="H13" i="1"/>
  <c r="J12" i="1"/>
  <c r="K14" i="1"/>
  <c r="I9" i="1"/>
  <c r="H11" i="1"/>
  <c r="J9" i="1"/>
  <c r="K9" i="1"/>
  <c r="J14" i="1"/>
  <c r="D16" i="1"/>
  <c r="D10" i="1"/>
  <c r="I8" i="1"/>
  <c r="D18" i="1"/>
  <c r="K12" i="1"/>
  <c r="H14" i="1"/>
  <c r="I17" i="1"/>
  <c r="I18" i="1"/>
  <c r="H16" i="1"/>
  <c r="H15" i="1"/>
  <c r="K8" i="1"/>
  <c r="H12" i="1"/>
  <c r="K15" i="1"/>
  <c r="J10" i="1"/>
  <c r="K17" i="1"/>
  <c r="K11" i="1"/>
  <c r="J13" i="1"/>
  <c r="K10" i="1"/>
  <c r="J18" i="1"/>
  <c r="J17" i="1"/>
  <c r="K18" i="1"/>
  <c r="D12" i="1"/>
  <c r="J8" i="1"/>
  <c r="D15" i="1"/>
  <c r="K16" i="1"/>
  <c r="H18" i="1"/>
  <c r="D13" i="1"/>
  <c r="D11" i="1"/>
  <c r="J16" i="1"/>
  <c r="K13" i="1"/>
  <c r="H17" i="1"/>
  <c r="I14" i="1"/>
  <c r="I15" i="1"/>
  <c r="I12" i="1"/>
  <c r="J15" i="1"/>
  <c r="D14" i="1"/>
  <c r="I10" i="1"/>
  <c r="H9" i="1"/>
  <c r="H10" i="1"/>
  <c r="J11" i="1"/>
  <c r="D9" i="1"/>
  <c r="H8" i="1"/>
  <c r="D8" i="1"/>
  <c r="I13" i="1"/>
  <c r="D17" i="1"/>
  <c r="E9" i="1" l="1"/>
  <c r="F9" i="1" s="1"/>
  <c r="E13" i="1"/>
  <c r="F13" i="1" s="1"/>
  <c r="E18" i="1"/>
  <c r="F18" i="1" s="1"/>
  <c r="E12" i="1"/>
  <c r="F12" i="1" s="1"/>
  <c r="E15" i="1"/>
  <c r="F15" i="1" s="1"/>
  <c r="E11" i="1"/>
  <c r="F11" i="1" s="1"/>
  <c r="E17" i="1"/>
  <c r="F17" i="1" s="1"/>
  <c r="E16" i="1"/>
  <c r="F16" i="1" s="1"/>
  <c r="E10" i="1"/>
  <c r="F10" i="1" s="1"/>
  <c r="E14" i="1"/>
  <c r="F14" i="1" s="1"/>
  <c r="E8" i="1"/>
  <c r="F8" i="1" s="1"/>
  <c r="L17" i="1"/>
  <c r="L9" i="1"/>
  <c r="L10" i="1"/>
  <c r="L8" i="1"/>
  <c r="L14" i="1"/>
  <c r="L16" i="1"/>
  <c r="L12" i="1"/>
  <c r="L11" i="1"/>
  <c r="L15" i="1"/>
  <c r="L18" i="1"/>
  <c r="L13" i="1"/>
</calcChain>
</file>

<file path=xl/sharedStrings.xml><?xml version="1.0" encoding="utf-8"?>
<sst xmlns="http://schemas.openxmlformats.org/spreadsheetml/2006/main" count="26" uniqueCount="26">
  <si>
    <t>股东持股比例(第1名)(%)</t>
    <phoneticPr fontId="6" type="noConversion"/>
  </si>
  <si>
    <t>最近更新：</t>
    <phoneticPr fontId="6" type="noConversion"/>
  </si>
  <si>
    <t>Wind代码</t>
    <phoneticPr fontId="6" type="noConversion"/>
  </si>
  <si>
    <t>163406.OF</t>
    <phoneticPr fontId="6" type="noConversion"/>
  </si>
  <si>
    <t>实时净值估算</t>
    <phoneticPr fontId="3" type="noConversion"/>
  </si>
  <si>
    <t>最新发布净值</t>
    <phoneticPr fontId="6" type="noConversion"/>
  </si>
  <si>
    <t>实时涨跌估算</t>
    <phoneticPr fontId="3" type="noConversion"/>
  </si>
  <si>
    <t>实时涨跌幅估算</t>
    <phoneticPr fontId="6" type="noConversion"/>
  </si>
  <si>
    <t>年初以来净值增长率</t>
    <phoneticPr fontId="6" type="noConversion"/>
  </si>
  <si>
    <t>成立以来净值增长率</t>
    <phoneticPr fontId="6" type="noConversion"/>
  </si>
  <si>
    <t>最大回撤（成立至今）</t>
    <phoneticPr fontId="6" type="noConversion"/>
  </si>
  <si>
    <t>006229.OF</t>
    <phoneticPr fontId="6" type="noConversion"/>
  </si>
  <si>
    <t>006887.OF</t>
    <phoneticPr fontId="6" type="noConversion"/>
  </si>
  <si>
    <t>005827.OF</t>
    <phoneticPr fontId="6" type="noConversion"/>
  </si>
  <si>
    <t>006195.OF</t>
    <phoneticPr fontId="6" type="noConversion"/>
  </si>
  <si>
    <t>012733.OF</t>
    <phoneticPr fontId="6" type="noConversion"/>
  </si>
  <si>
    <t>成立日期</t>
    <phoneticPr fontId="6" type="noConversion"/>
  </si>
  <si>
    <t>002910.OF</t>
    <phoneticPr fontId="6" type="noConversion"/>
  </si>
  <si>
    <t>000828.OF</t>
    <phoneticPr fontId="6" type="noConversion"/>
  </si>
  <si>
    <t>000828.OF</t>
    <phoneticPr fontId="6" type="noConversion"/>
  </si>
  <si>
    <t>000727.OF</t>
    <phoneticPr fontId="6" type="noConversion"/>
  </si>
  <si>
    <t>基金简称</t>
    <phoneticPr fontId="6" type="noConversion"/>
  </si>
  <si>
    <t>基金行情指标</t>
    <phoneticPr fontId="6" type="noConversion"/>
  </si>
  <si>
    <t>320007.OF</t>
    <phoneticPr fontId="6" type="noConversion"/>
  </si>
  <si>
    <t>场外基金实时净值估算</t>
    <phoneticPr fontId="3" type="noConversion"/>
  </si>
  <si>
    <t>场外基金实时净值估算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</si>
</sst>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76" formatCode="###,###,##0.0000"/>
    <numFmt numFmtId="177" formatCode="0.0000"/>
    <numFmt numFmtId="178" formatCode="0.00&quot;%&quot;"/>
  </numFmts>
  <fonts count="1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20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Arial"/>
      <family val="2"/>
    </font>
    <font>
      <sz val="12"/>
      <name val="微软雅黑"/>
      <family val="2"/>
      <charset val="134"/>
    </font>
    <font>
      <b/>
      <sz val="10"/>
      <color rgb="FF21212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20"/>
      <color rgb="FF107F3A"/>
      <name val="Arial"/>
      <family val="2"/>
    </font>
    <font>
      <sz val="12"/>
      <color theme="1"/>
      <name val="微软雅黑"/>
      <family val="2"/>
      <charset val="134"/>
    </font>
    <font>
      <b/>
      <sz val="12"/>
      <color rgb="FF107F3A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/>
      <bottom style="dotted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56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/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/>
    </xf>
    <xf numFmtId="0" fontId="8" fillId="4" borderId="1" xfId="0" applyFont="1" applyFill="1" applyBorder="1" applyAlignment="1">
      <alignment vertical="top"/>
    </xf>
    <xf numFmtId="0" fontId="8" fillId="4" borderId="1" xfId="0" applyFont="1" applyFill="1" applyBorder="1" applyAlignment="1">
      <alignment horizontal="left" vertical="top"/>
    </xf>
    <xf numFmtId="0" fontId="10" fillId="0" borderId="3" xfId="0" applyFont="1" applyFill="1" applyBorder="1" applyAlignment="1">
      <alignment vertical="center"/>
    </xf>
    <xf numFmtId="176" fontId="10" fillId="0" borderId="3" xfId="0" applyNumberFormat="1" applyFont="1" applyFill="1" applyBorder="1" applyAlignment="1">
      <alignment vertical="center"/>
    </xf>
    <xf numFmtId="0" fontId="10" fillId="6" borderId="3" xfId="0" applyFont="1" applyFill="1" applyBorder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Alignment="1"/>
    <xf numFmtId="14" fontId="7" fillId="2" borderId="0" xfId="0" applyNumberFormat="1" applyFont="1" applyFill="1" applyAlignment="1">
      <alignment horizontal="right" vertical="center"/>
    </xf>
    <xf numFmtId="177" fontId="11" fillId="0" borderId="0" xfId="2" applyNumberFormat="1" applyFont="1" applyAlignment="1">
      <alignment horizontal="right"/>
    </xf>
    <xf numFmtId="10" fontId="11" fillId="0" borderId="0" xfId="1" applyNumberFormat="1" applyFont="1" applyAlignment="1">
      <alignment horizontal="right"/>
    </xf>
    <xf numFmtId="43" fontId="10" fillId="0" borderId="3" xfId="2" applyNumberFormat="1" applyFont="1" applyFill="1" applyBorder="1" applyAlignment="1">
      <alignment vertical="center"/>
    </xf>
    <xf numFmtId="43" fontId="0" fillId="0" borderId="0" xfId="2" applyNumberFormat="1" applyFont="1" applyAlignment="1"/>
    <xf numFmtId="0" fontId="10" fillId="7" borderId="3" xfId="0" applyFont="1" applyFill="1" applyBorder="1" applyAlignment="1">
      <alignment horizontal="left" vertical="center"/>
    </xf>
    <xf numFmtId="10" fontId="11" fillId="7" borderId="0" xfId="1" applyNumberFormat="1" applyFont="1" applyFill="1" applyAlignment="1">
      <alignment horizontal="right"/>
    </xf>
    <xf numFmtId="176" fontId="10" fillId="7" borderId="3" xfId="0" applyNumberFormat="1" applyFont="1" applyFill="1" applyBorder="1" applyAlignment="1">
      <alignment vertical="center"/>
    </xf>
    <xf numFmtId="43" fontId="10" fillId="7" borderId="3" xfId="2" applyNumberFormat="1" applyFont="1" applyFill="1" applyBorder="1" applyAlignment="1">
      <alignment vertical="center"/>
    </xf>
    <xf numFmtId="177" fontId="11" fillId="7" borderId="3" xfId="2" applyNumberFormat="1" applyFont="1" applyFill="1" applyBorder="1" applyAlignment="1">
      <alignment horizontal="right"/>
    </xf>
    <xf numFmtId="177" fontId="11" fillId="0" borderId="3" xfId="2" applyNumberFormat="1" applyFont="1" applyBorder="1" applyAlignment="1">
      <alignment horizontal="right"/>
    </xf>
    <xf numFmtId="178" fontId="10" fillId="0" borderId="2" xfId="2" applyNumberFormat="1" applyFont="1" applyFill="1" applyBorder="1" applyAlignment="1">
      <alignment vertical="center"/>
    </xf>
    <xf numFmtId="178" fontId="10" fillId="7" borderId="2" xfId="2" applyNumberFormat="1" applyFont="1" applyFill="1" applyBorder="1" applyAlignment="1">
      <alignment vertical="center"/>
    </xf>
    <xf numFmtId="178" fontId="11" fillId="7" borderId="0" xfId="1" applyNumberFormat="1" applyFont="1" applyFill="1" applyAlignment="1">
      <alignment horizontal="right"/>
    </xf>
    <xf numFmtId="178" fontId="11" fillId="0" borderId="0" xfId="1" applyNumberFormat="1" applyFont="1" applyAlignment="1">
      <alignment horizontal="right"/>
    </xf>
    <xf numFmtId="0" fontId="12" fillId="0" borderId="3" xfId="0" applyFont="1" applyFill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10" fontId="13" fillId="0" borderId="0" xfId="1" applyNumberFormat="1" applyFont="1" applyAlignment="1">
      <alignment vertical="center"/>
    </xf>
    <xf numFmtId="178" fontId="13" fillId="0" borderId="0" xfId="1" applyNumberFormat="1" applyFont="1" applyAlignment="1">
      <alignment vertical="center"/>
    </xf>
    <xf numFmtId="43" fontId="14" fillId="0" borderId="3" xfId="2" applyNumberFormat="1" applyFont="1" applyFill="1" applyBorder="1" applyAlignment="1">
      <alignment vertical="center"/>
    </xf>
    <xf numFmtId="178" fontId="14" fillId="0" borderId="2" xfId="2" applyNumberFormat="1" applyFont="1" applyFill="1" applyBorder="1" applyAlignment="1">
      <alignment vertical="center"/>
    </xf>
    <xf numFmtId="0" fontId="12" fillId="7" borderId="3" xfId="0" applyFont="1" applyFill="1" applyBorder="1" applyAlignment="1">
      <alignment horizontal="left" vertical="center"/>
    </xf>
    <xf numFmtId="177" fontId="13" fillId="7" borderId="3" xfId="2" applyNumberFormat="1" applyFont="1" applyFill="1" applyBorder="1" applyAlignment="1">
      <alignment vertical="center"/>
    </xf>
    <xf numFmtId="10" fontId="13" fillId="7" borderId="0" xfId="1" applyNumberFormat="1" applyFont="1" applyFill="1" applyAlignment="1">
      <alignment vertical="center"/>
    </xf>
    <xf numFmtId="178" fontId="13" fillId="7" borderId="0" xfId="1" applyNumberFormat="1" applyFont="1" applyFill="1" applyAlignment="1">
      <alignment vertical="center"/>
    </xf>
    <xf numFmtId="43" fontId="14" fillId="7" borderId="3" xfId="2" applyNumberFormat="1" applyFont="1" applyFill="1" applyBorder="1" applyAlignment="1">
      <alignment vertical="center"/>
    </xf>
    <xf numFmtId="178" fontId="14" fillId="7" borderId="2" xfId="2" applyNumberFormat="1" applyFont="1" applyFill="1" applyBorder="1" applyAlignment="1">
      <alignment vertical="center"/>
    </xf>
    <xf numFmtId="177" fontId="13" fillId="0" borderId="3" xfId="2" applyNumberFormat="1" applyFont="1" applyBorder="1" applyAlignment="1">
      <alignment vertical="center"/>
    </xf>
    <xf numFmtId="178" fontId="13" fillId="7" borderId="3" xfId="1" applyNumberFormat="1" applyFont="1" applyFill="1" applyBorder="1" applyAlignment="1">
      <alignment vertical="center"/>
    </xf>
    <xf numFmtId="178" fontId="13" fillId="0" borderId="3" xfId="1" applyNumberFormat="1" applyFont="1" applyBorder="1" applyAlignment="1">
      <alignment vertical="center"/>
    </xf>
    <xf numFmtId="178" fontId="11" fillId="7" borderId="3" xfId="1" applyNumberFormat="1" applyFont="1" applyFill="1" applyBorder="1" applyAlignment="1">
      <alignment horizontal="right"/>
    </xf>
    <xf numFmtId="178" fontId="11" fillId="0" borderId="3" xfId="1" applyNumberFormat="1" applyFont="1" applyBorder="1" applyAlignment="1">
      <alignment horizontal="right"/>
    </xf>
    <xf numFmtId="177" fontId="13" fillId="0" borderId="2" xfId="2" applyNumberFormat="1" applyFont="1" applyBorder="1" applyAlignment="1">
      <alignment vertical="center"/>
    </xf>
    <xf numFmtId="176" fontId="15" fillId="0" borderId="3" xfId="0" applyNumberFormat="1" applyFont="1" applyFill="1" applyBorder="1" applyAlignment="1">
      <alignment vertical="center"/>
    </xf>
    <xf numFmtId="176" fontId="15" fillId="7" borderId="3" xfId="0" applyNumberFormat="1" applyFont="1" applyFill="1" applyBorder="1" applyAlignment="1">
      <alignment vertical="center"/>
    </xf>
    <xf numFmtId="0" fontId="14" fillId="0" borderId="3" xfId="0" applyFont="1" applyFill="1" applyBorder="1" applyAlignment="1">
      <alignment vertical="center"/>
    </xf>
    <xf numFmtId="0" fontId="14" fillId="6" borderId="3" xfId="0" applyFont="1" applyFill="1" applyBorder="1" applyAlignment="1">
      <alignment horizontal="left" vertical="center"/>
    </xf>
    <xf numFmtId="0" fontId="9" fillId="5" borderId="3" xfId="0" applyFont="1" applyFill="1" applyBorder="1" applyAlignment="1">
      <alignment horizontal="left" vertical="center"/>
    </xf>
    <xf numFmtId="0" fontId="9" fillId="5" borderId="5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</cellXfs>
  <cellStyles count="3">
    <cellStyle name="百分比" xfId="1" builtinId="5"/>
    <cellStyle name="常规" xfId="0" builtinId="0"/>
    <cellStyle name="千位分隔" xfId="2" builtinId="3"/>
  </cellStyles>
  <dxfs count="190"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  <dxf>
      <font>
        <color rgb="FFC91818"/>
      </font>
    </dxf>
    <dxf>
      <font>
        <color rgb="FF107F3A"/>
      </font>
    </dxf>
  </dxfs>
  <tableStyles count="0" defaultTableStyle="TableStyleMedium2" defaultPivotStyle="PivotStyleLight16"/>
  <colors>
    <mruColors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-5.0000000000000001E-4</v>
        <stp/>
        <stp>163406.OF</stp>
        <stp>rt_estimated_chg</stp>
        <stp>RT_Price</stp>
        <tr r="G8" s="1"/>
      </tp>
      <tp>
        <v>-7.2000000000000007E-3</v>
        <stp/>
        <stp>002910.OF</stp>
        <stp>rt_estimated_chg</stp>
        <stp>RT_Price</stp>
        <tr r="G16" s="1"/>
      </tp>
      <tp>
        <v>1.0700000000000001E-2</v>
        <stp/>
        <stp>005827.OF</stp>
        <stp>rt_estimated_chg</stp>
        <stp>RT_Price</stp>
        <tr r="G12" s="1"/>
      </tp>
      <tp>
        <v>-1.1300000000000001E-2</v>
        <stp/>
        <stp>000727.OF</stp>
        <stp>rt_estimated_chg</stp>
        <stp>RT_Price</stp>
        <tr r="G15" s="1"/>
      </tp>
      <tp>
        <v>-6.4000000000000003E-3</v>
        <stp/>
        <stp>000828.OF</stp>
        <stp>rt_estimated_chg</stp>
        <stp>RT_Price</stp>
        <tr r="G17" s="1"/>
        <tr r="G10" s="1"/>
      </tp>
      <tp>
        <v>-3.3E-3</v>
        <stp/>
        <stp>006229.OF</stp>
        <stp>rt_estimated_chg</stp>
        <stp>RT_Price</stp>
        <tr r="G9" s="1"/>
      </tp>
      <tp>
        <v>1E-4</v>
        <stp/>
        <stp>012733.OF</stp>
        <stp>rt_estimated_chg</stp>
        <stp>RT_Price</stp>
        <tr r="G14" s="1"/>
      </tp>
      <tp>
        <v>8.3000000000000001E-3</v>
        <stp/>
        <stp>320007.OF</stp>
        <stp>rt_estimated_chg</stp>
        <stp>RT_Price</stp>
        <tr r="G18" s="1"/>
      </tp>
      <tp>
        <v>2.8E-3</v>
        <stp/>
        <stp>006887.OF</stp>
        <stp>rt_estimated_chg</stp>
        <stp>RT_Price</stp>
        <tr r="G11" s="1"/>
      </tp>
      <tp>
        <v>-2E-3</v>
        <stp/>
        <stp>006195.OF</stp>
        <stp>rt_estimated_chg</stp>
        <stp>RT_Price</stp>
        <tr r="G1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85725</xdr:rowOff>
    </xdr:from>
    <xdr:to>
      <xdr:col>2</xdr:col>
      <xdr:colOff>626746</xdr:colOff>
      <xdr:row>0</xdr:row>
      <xdr:rowOff>305325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85725"/>
          <a:ext cx="636271" cy="219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_info_setupdate"/>
      <definedName name="f_nav_unit"/>
      <definedName name="f_return_std"/>
      <definedName name="f_return_ytd"/>
      <definedName name="f_risk_maxdownside"/>
      <definedName name="hks_info_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N47"/>
  <sheetViews>
    <sheetView showGridLines="0" tabSelected="1" zoomScaleNormal="100" workbookViewId="0">
      <selection activeCell="D29" sqref="D29"/>
    </sheetView>
  </sheetViews>
  <sheetFormatPr defaultRowHeight="14.25" x14ac:dyDescent="0.2"/>
  <cols>
    <col min="1" max="1" width="1.5" style="14" customWidth="1"/>
    <col min="2" max="2" width="1.5" customWidth="1"/>
    <col min="3" max="3" width="14.125" bestFit="1" customWidth="1"/>
    <col min="4" max="4" width="32.875" customWidth="1"/>
    <col min="5" max="6" width="11.375" bestFit="1" customWidth="1"/>
    <col min="7" max="7" width="13.25" bestFit="1" customWidth="1"/>
    <col min="8" max="8" width="11.375" bestFit="1" customWidth="1"/>
    <col min="9" max="10" width="16.875" bestFit="1" customWidth="1"/>
    <col min="11" max="11" width="13.25" bestFit="1" customWidth="1"/>
    <col min="12" max="12" width="16.625" customWidth="1"/>
    <col min="13" max="14" width="1.5" customWidth="1"/>
  </cols>
  <sheetData>
    <row r="1" spans="1:14" ht="27.75" x14ac:dyDescent="0.3">
      <c r="A1" s="1"/>
      <c r="B1" s="1"/>
      <c r="C1" s="2"/>
      <c r="D1" s="55" t="s">
        <v>24</v>
      </c>
      <c r="E1" s="55"/>
      <c r="F1" s="55"/>
      <c r="G1" s="55"/>
      <c r="H1" s="55"/>
      <c r="I1" s="55"/>
      <c r="J1" s="55"/>
      <c r="K1" s="3" t="s">
        <v>1</v>
      </c>
      <c r="L1" s="16">
        <f ca="1">TODAY()</f>
        <v>45209</v>
      </c>
      <c r="M1" s="4"/>
      <c r="N1" s="4"/>
    </row>
    <row r="2" spans="1:14" x14ac:dyDescent="0.2">
      <c r="A2" s="5"/>
      <c r="B2" s="5"/>
      <c r="C2" s="5"/>
      <c r="D2" s="5"/>
      <c r="E2" s="5"/>
      <c r="F2" s="5"/>
      <c r="G2" s="6"/>
      <c r="H2" s="5"/>
      <c r="I2" s="5"/>
      <c r="J2" s="5"/>
      <c r="K2" s="5"/>
      <c r="L2" s="5"/>
      <c r="M2" s="5"/>
      <c r="N2" s="5"/>
    </row>
    <row r="3" spans="1:14" x14ac:dyDescent="0.2">
      <c r="A3" s="5"/>
      <c r="B3" s="7"/>
      <c r="C3" s="7"/>
      <c r="D3" s="7"/>
      <c r="E3" s="7"/>
      <c r="F3" s="7"/>
      <c r="G3" s="8"/>
      <c r="H3" s="7"/>
      <c r="I3" s="7"/>
      <c r="J3" s="7"/>
      <c r="K3" s="7"/>
      <c r="L3" s="7"/>
      <c r="M3" s="7"/>
      <c r="N3" s="5"/>
    </row>
    <row r="4" spans="1:14" ht="17.25" x14ac:dyDescent="0.2">
      <c r="A4" s="5"/>
      <c r="B4" s="7"/>
      <c r="C4" s="9" t="s">
        <v>22</v>
      </c>
      <c r="D4" s="9"/>
      <c r="E4" s="9"/>
      <c r="F4" s="9"/>
      <c r="G4" s="10"/>
      <c r="H4" s="9"/>
      <c r="I4" s="9"/>
      <c r="J4" s="9"/>
      <c r="K4" s="9"/>
      <c r="L4" s="9"/>
      <c r="M4" s="7"/>
      <c r="N4" s="5"/>
    </row>
    <row r="5" spans="1:14" x14ac:dyDescent="0.2">
      <c r="A5" s="5"/>
      <c r="B5" s="7"/>
      <c r="C5" s="7"/>
      <c r="D5" s="7"/>
      <c r="E5" s="7"/>
      <c r="F5" s="7"/>
      <c r="G5" s="8"/>
      <c r="H5" s="7"/>
      <c r="I5" s="7"/>
      <c r="J5" s="7"/>
      <c r="K5" s="7"/>
      <c r="L5" s="7"/>
      <c r="M5" s="7"/>
      <c r="N5" s="5"/>
    </row>
    <row r="6" spans="1:14" s="15" customFormat="1" x14ac:dyDescent="0.2">
      <c r="A6" s="5"/>
      <c r="B6" s="7"/>
      <c r="C6" s="53" t="s">
        <v>2</v>
      </c>
      <c r="D6" s="53" t="s">
        <v>21</v>
      </c>
      <c r="E6" s="53" t="s">
        <v>4</v>
      </c>
      <c r="F6" s="53" t="s">
        <v>6</v>
      </c>
      <c r="G6" s="53" t="s">
        <v>7</v>
      </c>
      <c r="H6" s="53" t="s">
        <v>5</v>
      </c>
      <c r="I6" s="53" t="s">
        <v>8</v>
      </c>
      <c r="J6" s="53" t="s">
        <v>9</v>
      </c>
      <c r="K6" s="53" t="s">
        <v>16</v>
      </c>
      <c r="L6" s="53" t="s">
        <v>10</v>
      </c>
      <c r="M6" s="7"/>
      <c r="N6" s="5"/>
    </row>
    <row r="7" spans="1:14" s="15" customFormat="1" x14ac:dyDescent="0.2">
      <c r="A7" s="5"/>
      <c r="B7" s="7"/>
      <c r="C7" s="54"/>
      <c r="D7" s="54"/>
      <c r="E7" s="54"/>
      <c r="F7" s="54"/>
      <c r="G7" s="54"/>
      <c r="H7" s="54"/>
      <c r="I7" s="54"/>
      <c r="J7" s="54"/>
      <c r="K7" s="54"/>
      <c r="L7" s="54" t="s">
        <v>0</v>
      </c>
      <c r="M7" s="7"/>
      <c r="N7" s="5"/>
    </row>
    <row r="8" spans="1:14" ht="25.5" customHeight="1" x14ac:dyDescent="0.2">
      <c r="A8" s="5"/>
      <c r="B8" s="7"/>
      <c r="C8" s="51" t="s">
        <v>3</v>
      </c>
      <c r="D8" s="32" t="str">
        <f>[1]!hks_info_name(C8)</f>
        <v>兴全合润</v>
      </c>
      <c r="E8" s="43">
        <f ca="1">H8*(1+G8)</f>
        <v>1.4665663500000001</v>
      </c>
      <c r="F8" s="48">
        <f ca="1">E8-H8</f>
        <v>-7.3364999999991909E-4</v>
      </c>
      <c r="G8" s="33">
        <f>RTD("wdf.rtq", ,C8, "rt_estimated_chg","RT_Price")</f>
        <v>-5.0000000000000001E-4</v>
      </c>
      <c r="H8" s="49">
        <f ca="1">[1]!f_nav_unit(C8,$L$1)</f>
        <v>1.4673</v>
      </c>
      <c r="I8" s="45">
        <f ca="1">[1]!f_return_ytd(C8,"0",$L$1)</f>
        <v>-5.4270061231066693</v>
      </c>
      <c r="J8" s="34">
        <f ca="1">[1]!f_return_std(C8,"0",$L$1)</f>
        <v>458.01614150900002</v>
      </c>
      <c r="K8" s="35" t="str">
        <f>[1]!f_info_setupdate(C8)</f>
        <v>2010-04-22</v>
      </c>
      <c r="L8" s="36">
        <f ca="1">[1]!f_risk_maxdownside(C8,K8,$L$1)</f>
        <v>-37.447248299026789</v>
      </c>
      <c r="M8" s="7"/>
      <c r="N8" s="5"/>
    </row>
    <row r="9" spans="1:14" ht="25.5" customHeight="1" x14ac:dyDescent="0.2">
      <c r="A9" s="5"/>
      <c r="B9" s="7"/>
      <c r="C9" s="52" t="s">
        <v>11</v>
      </c>
      <c r="D9" s="37" t="str">
        <f>[1]!hks_info_name(C9)</f>
        <v>中欧医疗创新C</v>
      </c>
      <c r="E9" s="38">
        <f ca="1">H9*(1+G9)</f>
        <v>1.3496314700000001</v>
      </c>
      <c r="F9" s="38">
        <f ca="1">E9-H9</f>
        <v>-4.4685300000000261E-3</v>
      </c>
      <c r="G9" s="39">
        <f>RTD("wdf.rtq", ,C9, "rt_estimated_chg","RT_Price")</f>
        <v>-3.3E-3</v>
      </c>
      <c r="H9" s="50">
        <f ca="1">[1]!f_nav_unit(C9,$L$1)</f>
        <v>1.3541000000000001</v>
      </c>
      <c r="I9" s="44">
        <f ca="1">[1]!f_return_ytd(C9,"0",$L$1)</f>
        <v>-18.097139055222883</v>
      </c>
      <c r="J9" s="40">
        <f ca="1">[1]!f_return_std(C9,"0",$L$1)</f>
        <v>35.410000000000011</v>
      </c>
      <c r="K9" s="41" t="str">
        <f>[1]!f_info_setupdate(C9)</f>
        <v>2019-02-28</v>
      </c>
      <c r="L9" s="42">
        <f ca="1">[1]!f_risk_maxdownside(C9,K9,$L$1)</f>
        <v>-59.473313256871918</v>
      </c>
      <c r="M9" s="7"/>
      <c r="N9" s="5"/>
    </row>
    <row r="10" spans="1:14" ht="25.5" customHeight="1" x14ac:dyDescent="0.2">
      <c r="A10" s="5"/>
      <c r="B10" s="7"/>
      <c r="C10" s="51" t="s">
        <v>19</v>
      </c>
      <c r="D10" s="31" t="str">
        <f>[1]!hks_info_name(C10)</f>
        <v>宏利转型机遇A</v>
      </c>
      <c r="E10" s="43">
        <f t="shared" ref="E10:E18" ca="1" si="0">H10*(1+G10)</f>
        <v>1.9613664</v>
      </c>
      <c r="F10" s="43">
        <f t="shared" ref="F10:F18" ca="1" si="1">E10-H10</f>
        <v>-1.2633600000000023E-2</v>
      </c>
      <c r="G10" s="33">
        <f>RTD("wdf.rtq", ,C10, "rt_estimated_chg","RT_Price")</f>
        <v>-6.4000000000000003E-3</v>
      </c>
      <c r="H10" s="49">
        <f ca="1">[1]!f_nav_unit(C10,$L$1)</f>
        <v>1.974</v>
      </c>
      <c r="I10" s="45">
        <f ca="1">[1]!f_return_ytd(C10,"0",$L$1)</f>
        <v>-25.928705440900568</v>
      </c>
      <c r="J10" s="34">
        <f ca="1">[1]!f_return_std(C10,"0",$L$1)</f>
        <v>137.94892099999996</v>
      </c>
      <c r="K10" s="35" t="str">
        <f>[1]!f_info_setupdate(C10)</f>
        <v>2014-11-18</v>
      </c>
      <c r="L10" s="36">
        <f ca="1">[1]!f_risk_maxdownside(C10,K10,$L$1)</f>
        <v>-61.889862327909881</v>
      </c>
      <c r="M10" s="7"/>
      <c r="N10" s="5"/>
    </row>
    <row r="11" spans="1:14" ht="25.5" customHeight="1" x14ac:dyDescent="0.2">
      <c r="A11" s="5"/>
      <c r="B11" s="7"/>
      <c r="C11" s="52" t="s">
        <v>12</v>
      </c>
      <c r="D11" s="37" t="str">
        <f>[1]!hks_info_name(C11)</f>
        <v>诺德新生活A</v>
      </c>
      <c r="E11" s="38">
        <f t="shared" ca="1" si="0"/>
        <v>1.083024</v>
      </c>
      <c r="F11" s="38">
        <f t="shared" ca="1" si="1"/>
        <v>3.0239999999999156E-3</v>
      </c>
      <c r="G11" s="39">
        <f>RTD("wdf.rtq", ,C11, "rt_estimated_chg","RT_Price")</f>
        <v>2.8E-3</v>
      </c>
      <c r="H11" s="50">
        <f ca="1">[1]!f_nav_unit(C11,$L$1)</f>
        <v>1.08</v>
      </c>
      <c r="I11" s="44">
        <f ca="1">[1]!f_return_ytd(C11,"0",$L$1)</f>
        <v>19.720651812437652</v>
      </c>
      <c r="J11" s="40">
        <f ca="1">[1]!f_return_std(C11,"0",$L$1)</f>
        <v>8.0000000000000071</v>
      </c>
      <c r="K11" s="41" t="str">
        <f>[1]!f_info_setupdate(C11)</f>
        <v>2019-03-28</v>
      </c>
      <c r="L11" s="42">
        <f ca="1">[1]!f_risk_maxdownside(C11,K11,$L$1)</f>
        <v>-48.919827172347581</v>
      </c>
      <c r="M11" s="7"/>
      <c r="N11" s="5"/>
    </row>
    <row r="12" spans="1:14" ht="25.5" customHeight="1" x14ac:dyDescent="0.2">
      <c r="A12" s="5"/>
      <c r="B12" s="7"/>
      <c r="C12" s="51" t="s">
        <v>13</v>
      </c>
      <c r="D12" s="31" t="str">
        <f>[1]!hks_info_name(C12)</f>
        <v>易方达蓝筹精选</v>
      </c>
      <c r="E12" s="43">
        <f t="shared" ca="1" si="0"/>
        <v>1.9771313399999999</v>
      </c>
      <c r="F12" s="43">
        <f t="shared" ca="1" si="1"/>
        <v>2.0931339999999965E-2</v>
      </c>
      <c r="G12" s="33">
        <f>RTD("wdf.rtq", ,C12, "rt_estimated_chg","RT_Price")</f>
        <v>1.0700000000000001E-2</v>
      </c>
      <c r="H12" s="49">
        <f ca="1">[1]!f_nav_unit(C12,$L$1)</f>
        <v>1.9561999999999999</v>
      </c>
      <c r="I12" s="45">
        <f ca="1">[1]!f_return_ytd(C12,"0",$L$1)</f>
        <v>-9.7943373605090915</v>
      </c>
      <c r="J12" s="34">
        <f ca="1">[1]!f_return_std(C12,"0",$L$1)</f>
        <v>95.61999999999999</v>
      </c>
      <c r="K12" s="35" t="str">
        <f>[1]!f_info_setupdate(C12)</f>
        <v>2018-09-05</v>
      </c>
      <c r="L12" s="36">
        <f ca="1">[1]!f_risk_maxdownside(C12,K12,$L$1)</f>
        <v>-54.54416640689206</v>
      </c>
      <c r="M12" s="7"/>
      <c r="N12" s="5"/>
    </row>
    <row r="13" spans="1:14" ht="25.5" customHeight="1" x14ac:dyDescent="0.2">
      <c r="A13" s="5"/>
      <c r="B13" s="7"/>
      <c r="C13" s="52" t="s">
        <v>14</v>
      </c>
      <c r="D13" s="37" t="str">
        <f>[1]!hks_info_name(C13)</f>
        <v>国金量化多因子A</v>
      </c>
      <c r="E13" s="38">
        <f t="shared" ca="1" si="0"/>
        <v>2.0389140000000001</v>
      </c>
      <c r="F13" s="38">
        <f t="shared" ca="1" si="1"/>
        <v>-4.086000000000034E-3</v>
      </c>
      <c r="G13" s="39">
        <f>RTD("wdf.rtq", ,C13, "rt_estimated_chg","RT_Price")</f>
        <v>-2E-3</v>
      </c>
      <c r="H13" s="50">
        <f ca="1">[1]!f_nav_unit(C13,$L$1)</f>
        <v>2.0430000000000001</v>
      </c>
      <c r="I13" s="44">
        <f ca="1">[1]!f_return_ytd(C13,"0",$L$1)</f>
        <v>10.839843750000011</v>
      </c>
      <c r="J13" s="40">
        <f ca="1">[1]!f_return_std(C13,"0",$L$1)</f>
        <v>104.30000000000001</v>
      </c>
      <c r="K13" s="41" t="str">
        <f>[1]!f_info_setupdate(C13)</f>
        <v>2018-10-31</v>
      </c>
      <c r="L13" s="42">
        <f ca="1">[1]!f_risk_maxdownside(C13,K13,$L$1)</f>
        <v>-21.069836552748885</v>
      </c>
      <c r="M13" s="7"/>
      <c r="N13" s="5"/>
    </row>
    <row r="14" spans="1:14" ht="25.5" customHeight="1" x14ac:dyDescent="0.2">
      <c r="A14" s="5"/>
      <c r="B14" s="7"/>
      <c r="C14" s="51" t="s">
        <v>15</v>
      </c>
      <c r="D14" s="31" t="str">
        <f>[1]!hks_info_name(C14)</f>
        <v>易方达中证人工智能主题ETF联接A</v>
      </c>
      <c r="E14" s="43">
        <f t="shared" ca="1" si="0"/>
        <v>0.92949294000000005</v>
      </c>
      <c r="F14" s="43">
        <f t="shared" ca="1" si="1"/>
        <v>9.2940000000041323E-5</v>
      </c>
      <c r="G14" s="33">
        <f>RTD("wdf.rtq", ,C14, "rt_estimated_chg","RT_Price")</f>
        <v>1E-4</v>
      </c>
      <c r="H14" s="49">
        <f ca="1">[1]!f_nav_unit(C14,$L$1)</f>
        <v>0.9294</v>
      </c>
      <c r="I14" s="45">
        <f ca="1">[1]!f_return_ytd(C14,"0",$L$1)</f>
        <v>15.582638975251831</v>
      </c>
      <c r="J14" s="34">
        <f ca="1">[1]!f_return_std(C14,"0",$L$1)</f>
        <v>-7.06</v>
      </c>
      <c r="K14" s="35" t="str">
        <f>[1]!f_info_setupdate(C14)</f>
        <v>2022-03-01</v>
      </c>
      <c r="L14" s="36">
        <f ca="1">[1]!f_risk_maxdownside(C14,K14,$L$1)</f>
        <v>-28.428628548580569</v>
      </c>
      <c r="M14" s="7"/>
      <c r="N14" s="5"/>
    </row>
    <row r="15" spans="1:14" ht="25.5" customHeight="1" x14ac:dyDescent="0.2">
      <c r="A15" s="5"/>
      <c r="B15" s="7"/>
      <c r="C15" s="52" t="s">
        <v>20</v>
      </c>
      <c r="D15" s="37" t="str">
        <f>[1]!hks_info_name(C15)</f>
        <v>融通健康产业A</v>
      </c>
      <c r="E15" s="38">
        <f t="shared" ca="1" si="0"/>
        <v>2.9819192000000001</v>
      </c>
      <c r="F15" s="38">
        <f t="shared" ca="1" si="1"/>
        <v>-3.4080799999999911E-2</v>
      </c>
      <c r="G15" s="39">
        <f>RTD("wdf.rtq", ,C15, "rt_estimated_chg","RT_Price")</f>
        <v>-1.1300000000000001E-2</v>
      </c>
      <c r="H15" s="50">
        <f ca="1">[1]!f_nav_unit(C15,$L$1)</f>
        <v>3.016</v>
      </c>
      <c r="I15" s="44">
        <f ca="1">[1]!f_return_ytd(C15,"0",$L$1)</f>
        <v>-6.596469495199754</v>
      </c>
      <c r="J15" s="40">
        <f ca="1">[1]!f_return_std(C15,"0",$L$1)</f>
        <v>201.6</v>
      </c>
      <c r="K15" s="41" t="str">
        <f>[1]!f_info_setupdate(C15)</f>
        <v>2014-12-25</v>
      </c>
      <c r="L15" s="42">
        <f ca="1">[1]!f_risk_maxdownside(C15,K15,$L$1)</f>
        <v>-59.762728620860109</v>
      </c>
      <c r="M15" s="7"/>
      <c r="N15" s="5"/>
    </row>
    <row r="16" spans="1:14" ht="25.5" customHeight="1" x14ac:dyDescent="0.2">
      <c r="A16" s="5"/>
      <c r="B16" s="7"/>
      <c r="C16" s="51" t="s">
        <v>17</v>
      </c>
      <c r="D16" s="31" t="str">
        <f>[1]!hks_info_name(C16)</f>
        <v>易方达供给改革</v>
      </c>
      <c r="E16" s="43">
        <f t="shared" ca="1" si="0"/>
        <v>2.7581969600000003</v>
      </c>
      <c r="F16" s="43">
        <f t="shared" ca="1" si="1"/>
        <v>-2.000303999999975E-2</v>
      </c>
      <c r="G16" s="33">
        <f>RTD("wdf.rtq", ,C16, "rt_estimated_chg","RT_Price")</f>
        <v>-7.2000000000000007E-3</v>
      </c>
      <c r="H16" s="49">
        <f ca="1">[1]!f_nav_unit(C16,$L$1)</f>
        <v>2.7782</v>
      </c>
      <c r="I16" s="45">
        <f ca="1">[1]!f_return_ytd(C16,"0",$L$1)</f>
        <v>7.5446134788836012</v>
      </c>
      <c r="J16" s="34">
        <f ca="1">[1]!f_return_std(C16,"0",$L$1)</f>
        <v>177.82</v>
      </c>
      <c r="K16" s="35" t="str">
        <f>[1]!f_info_setupdate(C16)</f>
        <v>2017-01-25</v>
      </c>
      <c r="L16" s="36">
        <f ca="1">[1]!f_risk_maxdownside(C16,K16,$L$1)</f>
        <v>-32.437836897930787</v>
      </c>
      <c r="M16" s="7"/>
      <c r="N16" s="5"/>
    </row>
    <row r="17" spans="1:14" ht="25.5" customHeight="1" x14ac:dyDescent="0.2">
      <c r="A17" s="5"/>
      <c r="B17" s="7"/>
      <c r="C17" s="52" t="s">
        <v>18</v>
      </c>
      <c r="D17" s="37" t="str">
        <f>[1]!hks_info_name(C17)</f>
        <v>宏利转型机遇A</v>
      </c>
      <c r="E17" s="38">
        <f t="shared" ca="1" si="0"/>
        <v>1.9613664</v>
      </c>
      <c r="F17" s="38">
        <f t="shared" ca="1" si="1"/>
        <v>-1.2633600000000023E-2</v>
      </c>
      <c r="G17" s="39">
        <f>RTD("wdf.rtq", ,C17, "rt_estimated_chg","RT_Price")</f>
        <v>-6.4000000000000003E-3</v>
      </c>
      <c r="H17" s="50">
        <f ca="1">[1]!f_nav_unit(C17,$L$1)</f>
        <v>1.974</v>
      </c>
      <c r="I17" s="44">
        <f ca="1">[1]!f_return_ytd(C17,"0",$L$1)</f>
        <v>-25.928705440900568</v>
      </c>
      <c r="J17" s="40">
        <f ca="1">[1]!f_return_std(C17,"0",$L$1)</f>
        <v>137.94892099999996</v>
      </c>
      <c r="K17" s="41" t="str">
        <f>[1]!f_info_setupdate(C17)</f>
        <v>2014-11-18</v>
      </c>
      <c r="L17" s="42">
        <f ca="1">[1]!f_risk_maxdownside(C17,K17,$L$1)</f>
        <v>-61.889862327909881</v>
      </c>
      <c r="M17" s="7"/>
      <c r="N17" s="5"/>
    </row>
    <row r="18" spans="1:14" ht="25.5" customHeight="1" x14ac:dyDescent="0.2">
      <c r="A18" s="5"/>
      <c r="B18" s="7"/>
      <c r="C18" s="51" t="s">
        <v>23</v>
      </c>
      <c r="D18" s="31" t="str">
        <f>[1]!hks_info_name(C18)</f>
        <v>诺安成长</v>
      </c>
      <c r="E18" s="43">
        <f t="shared" ca="1" si="0"/>
        <v>1.2684413999999999</v>
      </c>
      <c r="F18" s="43">
        <f t="shared" ca="1" si="1"/>
        <v>1.0441399999999934E-2</v>
      </c>
      <c r="G18" s="33">
        <f>RTD("wdf.rtq", ,C18, "rt_estimated_chg","RT_Price")</f>
        <v>8.3000000000000001E-3</v>
      </c>
      <c r="H18" s="49">
        <f ca="1">[1]!f_nav_unit(C18,$L$1)</f>
        <v>1.258</v>
      </c>
      <c r="I18" s="45">
        <f ca="1">[1]!f_return_ytd(C18,"0",$L$1)</f>
        <v>-0.94488188976377763</v>
      </c>
      <c r="J18" s="34">
        <f ca="1">[1]!f_return_std(C18,"0",$L$1)</f>
        <v>88.424623800000006</v>
      </c>
      <c r="K18" s="35" t="str">
        <f>[1]!f_info_setupdate(C18)</f>
        <v>2009-03-10</v>
      </c>
      <c r="L18" s="36">
        <f ca="1">[1]!f_risk_maxdownside(C18,K18,$L$1)</f>
        <v>-71.262766945218189</v>
      </c>
      <c r="M18" s="7"/>
      <c r="N18" s="5"/>
    </row>
    <row r="19" spans="1:14" ht="25.5" customHeight="1" x14ac:dyDescent="0.4">
      <c r="A19" s="5"/>
      <c r="B19" s="7"/>
      <c r="C19" s="13"/>
      <c r="D19" s="21"/>
      <c r="E19" s="25"/>
      <c r="F19" s="25"/>
      <c r="G19" s="22"/>
      <c r="H19" s="23"/>
      <c r="I19" s="46"/>
      <c r="J19" s="29"/>
      <c r="K19" s="24"/>
      <c r="L19" s="28"/>
      <c r="M19" s="7"/>
      <c r="N19" s="5"/>
    </row>
    <row r="20" spans="1:14" ht="25.5" customHeight="1" x14ac:dyDescent="0.4">
      <c r="A20" s="5"/>
      <c r="B20" s="7"/>
      <c r="C20" s="11"/>
      <c r="D20" s="11"/>
      <c r="E20" s="26"/>
      <c r="F20" s="26"/>
      <c r="G20" s="18"/>
      <c r="H20" s="12"/>
      <c r="I20" s="47"/>
      <c r="J20" s="30"/>
      <c r="K20" s="19"/>
      <c r="L20" s="27"/>
      <c r="M20" s="7"/>
      <c r="N20" s="5"/>
    </row>
    <row r="21" spans="1:14" ht="25.5" customHeight="1" x14ac:dyDescent="0.4">
      <c r="A21" s="5"/>
      <c r="B21" s="7"/>
      <c r="C21" s="13"/>
      <c r="D21" s="21"/>
      <c r="E21" s="25"/>
      <c r="F21" s="25"/>
      <c r="G21" s="22"/>
      <c r="H21" s="23"/>
      <c r="I21" s="46"/>
      <c r="J21" s="29"/>
      <c r="K21" s="24"/>
      <c r="L21" s="28"/>
      <c r="M21" s="7"/>
      <c r="N21" s="5"/>
    </row>
    <row r="22" spans="1:14" ht="25.5" customHeight="1" x14ac:dyDescent="0.4">
      <c r="A22" s="5"/>
      <c r="C22" s="11"/>
      <c r="D22" s="11"/>
      <c r="E22" s="26"/>
      <c r="F22" s="26"/>
      <c r="G22" s="18"/>
      <c r="H22" s="12"/>
      <c r="I22" s="47"/>
      <c r="J22" s="30"/>
      <c r="K22" s="19"/>
      <c r="L22" s="27"/>
      <c r="N22" s="5"/>
    </row>
    <row r="23" spans="1:14" ht="25.5" customHeight="1" x14ac:dyDescent="0.4">
      <c r="A23" s="5"/>
      <c r="C23" s="13"/>
      <c r="D23" s="21"/>
      <c r="E23" s="25"/>
      <c r="F23" s="25"/>
      <c r="G23" s="22"/>
      <c r="H23" s="23"/>
      <c r="I23" s="46"/>
      <c r="J23" s="29"/>
      <c r="K23" s="24"/>
      <c r="L23" s="28"/>
      <c r="N23" s="5"/>
    </row>
    <row r="24" spans="1:14" ht="25.5" customHeight="1" x14ac:dyDescent="0.4">
      <c r="A24" s="5"/>
      <c r="C24" s="11"/>
      <c r="D24" s="11"/>
      <c r="E24" s="26"/>
      <c r="F24" s="26"/>
      <c r="G24" s="18"/>
      <c r="H24" s="12"/>
      <c r="I24" s="47"/>
      <c r="J24" s="30"/>
      <c r="K24" s="19"/>
      <c r="L24" s="27"/>
      <c r="N24" s="5"/>
    </row>
    <row r="25" spans="1:14" ht="25.5" customHeight="1" x14ac:dyDescent="0.4">
      <c r="A25" s="5"/>
      <c r="C25" s="13"/>
      <c r="D25" s="21"/>
      <c r="E25" s="25"/>
      <c r="F25" s="25"/>
      <c r="G25" s="22"/>
      <c r="H25" s="23"/>
      <c r="I25" s="46"/>
      <c r="J25" s="29"/>
      <c r="K25" s="24"/>
      <c r="L25" s="28"/>
      <c r="N25" s="5"/>
    </row>
    <row r="26" spans="1:14" ht="25.5" customHeight="1" x14ac:dyDescent="0.4">
      <c r="A26" s="5"/>
      <c r="C26" s="11"/>
      <c r="D26" s="11"/>
      <c r="E26" s="26"/>
      <c r="F26" s="26"/>
      <c r="G26" s="18"/>
      <c r="H26" s="12"/>
      <c r="I26" s="47"/>
      <c r="J26" s="30"/>
      <c r="K26" s="19"/>
      <c r="L26" s="27"/>
      <c r="N26" s="5"/>
    </row>
    <row r="27" spans="1:14" ht="25.5" customHeight="1" x14ac:dyDescent="0.4">
      <c r="A27" s="5"/>
      <c r="C27" s="13"/>
      <c r="D27" s="21"/>
      <c r="E27" s="25"/>
      <c r="F27" s="25"/>
      <c r="G27" s="22"/>
      <c r="H27" s="23"/>
      <c r="I27" s="46"/>
      <c r="J27" s="29"/>
      <c r="K27" s="24"/>
      <c r="L27" s="28"/>
      <c r="N27" s="5"/>
    </row>
    <row r="28" spans="1:14" ht="25.5" customHeight="1" x14ac:dyDescent="0.4">
      <c r="A28" s="5"/>
      <c r="C28" s="11"/>
      <c r="D28" s="11"/>
      <c r="E28" s="26"/>
      <c r="F28" s="26"/>
      <c r="G28" s="18"/>
      <c r="H28" s="12"/>
      <c r="I28" s="47"/>
      <c r="J28" s="30"/>
      <c r="K28" s="19"/>
      <c r="L28" s="27"/>
      <c r="N28" s="5"/>
    </row>
    <row r="29" spans="1:14" ht="25.5" customHeight="1" x14ac:dyDescent="0.4">
      <c r="A29" s="5"/>
      <c r="C29" s="13"/>
      <c r="D29" s="21"/>
      <c r="E29" s="25"/>
      <c r="F29" s="25"/>
      <c r="G29" s="22"/>
      <c r="H29" s="23"/>
      <c r="I29" s="46"/>
      <c r="J29" s="29"/>
      <c r="K29" s="24"/>
      <c r="L29" s="28"/>
      <c r="N29" s="5"/>
    </row>
    <row r="30" spans="1:14" ht="25.5" customHeight="1" x14ac:dyDescent="0.4">
      <c r="A30" s="5"/>
      <c r="C30" s="11"/>
      <c r="D30" s="11"/>
      <c r="E30" s="26"/>
      <c r="F30" s="26"/>
      <c r="G30" s="18"/>
      <c r="H30" s="12"/>
      <c r="I30" s="47"/>
      <c r="J30" s="30"/>
      <c r="K30" s="19"/>
      <c r="L30" s="27"/>
      <c r="N30" s="5"/>
    </row>
    <row r="31" spans="1:14" ht="25.5" customHeight="1" x14ac:dyDescent="0.4">
      <c r="A31" s="5"/>
      <c r="C31" s="13"/>
      <c r="D31" s="21"/>
      <c r="E31" s="25"/>
      <c r="F31" s="25"/>
      <c r="G31" s="22"/>
      <c r="H31" s="23"/>
      <c r="I31" s="46"/>
      <c r="J31" s="29"/>
      <c r="K31" s="24"/>
      <c r="L31" s="28"/>
      <c r="N31" s="5"/>
    </row>
    <row r="32" spans="1:14" ht="25.5" customHeight="1" x14ac:dyDescent="0.4">
      <c r="A32" s="5"/>
      <c r="C32" s="11"/>
      <c r="D32" s="11"/>
      <c r="E32" s="26"/>
      <c r="F32" s="26"/>
      <c r="G32" s="18"/>
      <c r="H32" s="12"/>
      <c r="I32" s="47"/>
      <c r="J32" s="30"/>
      <c r="K32" s="19"/>
      <c r="L32" s="27"/>
      <c r="N32" s="5"/>
    </row>
    <row r="33" spans="1:14" ht="25.5" customHeight="1" x14ac:dyDescent="0.4">
      <c r="A33" s="5"/>
      <c r="C33" s="13"/>
      <c r="D33" s="21"/>
      <c r="E33" s="25"/>
      <c r="F33" s="25"/>
      <c r="G33" s="22"/>
      <c r="H33" s="23"/>
      <c r="I33" s="46"/>
      <c r="J33" s="29"/>
      <c r="K33" s="24"/>
      <c r="L33" s="28"/>
      <c r="N33" s="5"/>
    </row>
    <row r="34" spans="1:14" ht="25.5" customHeight="1" x14ac:dyDescent="0.4">
      <c r="A34" s="5"/>
      <c r="C34" s="11"/>
      <c r="D34" s="11"/>
      <c r="E34" s="26"/>
      <c r="F34" s="26"/>
      <c r="G34" s="18"/>
      <c r="H34" s="12"/>
      <c r="I34" s="47"/>
      <c r="J34" s="30"/>
      <c r="K34" s="19"/>
      <c r="L34" s="27"/>
      <c r="N34" s="5"/>
    </row>
    <row r="35" spans="1:14" ht="25.5" customHeight="1" x14ac:dyDescent="0.4">
      <c r="A35" s="5"/>
      <c r="C35" s="13"/>
      <c r="D35" s="21"/>
      <c r="E35" s="25"/>
      <c r="F35" s="25"/>
      <c r="G35" s="22"/>
      <c r="H35" s="23"/>
      <c r="I35" s="46"/>
      <c r="J35" s="29"/>
      <c r="K35" s="24"/>
      <c r="L35" s="28"/>
      <c r="N35" s="5"/>
    </row>
    <row r="36" spans="1:14" ht="25.5" customHeight="1" x14ac:dyDescent="0.4">
      <c r="A36" s="5"/>
      <c r="C36" s="11"/>
      <c r="D36" s="11"/>
      <c r="E36" s="26"/>
      <c r="F36" s="26"/>
      <c r="G36" s="18"/>
      <c r="H36" s="12"/>
      <c r="I36" s="47"/>
      <c r="J36" s="30"/>
      <c r="K36" s="19"/>
      <c r="L36" s="27"/>
      <c r="N36" s="5"/>
    </row>
    <row r="37" spans="1:14" ht="25.5" customHeight="1" x14ac:dyDescent="0.4">
      <c r="A37" s="5"/>
      <c r="C37" s="13"/>
      <c r="D37" s="21"/>
      <c r="E37" s="25"/>
      <c r="F37" s="25"/>
      <c r="G37" s="22"/>
      <c r="H37" s="23"/>
      <c r="I37" s="46"/>
      <c r="J37" s="29"/>
      <c r="K37" s="24"/>
      <c r="L37" s="28"/>
      <c r="N37" s="5"/>
    </row>
    <row r="38" spans="1:14" ht="25.5" customHeight="1" x14ac:dyDescent="0.4">
      <c r="A38" s="5"/>
      <c r="C38" s="11"/>
      <c r="D38" s="11"/>
      <c r="E38" s="26"/>
      <c r="F38" s="26"/>
      <c r="G38" s="18"/>
      <c r="H38" s="12"/>
      <c r="I38" s="47"/>
      <c r="J38" s="30"/>
      <c r="K38" s="19"/>
      <c r="L38" s="27"/>
      <c r="N38" s="5"/>
    </row>
    <row r="39" spans="1:14" ht="25.5" customHeight="1" x14ac:dyDescent="0.4">
      <c r="A39" s="5"/>
      <c r="C39" s="13"/>
      <c r="D39" s="21"/>
      <c r="E39" s="25"/>
      <c r="F39" s="25"/>
      <c r="G39" s="22"/>
      <c r="H39" s="23"/>
      <c r="I39" s="46"/>
      <c r="J39" s="29"/>
      <c r="K39" s="24"/>
      <c r="L39" s="28"/>
      <c r="N39" s="5"/>
    </row>
    <row r="40" spans="1:14" ht="25.5" customHeight="1" x14ac:dyDescent="0.4">
      <c r="A40" s="5"/>
      <c r="C40" s="11"/>
      <c r="D40" s="11"/>
      <c r="E40" s="26"/>
      <c r="F40" s="26"/>
      <c r="G40" s="18"/>
      <c r="H40" s="12"/>
      <c r="I40" s="47"/>
      <c r="J40" s="30"/>
      <c r="K40" s="19"/>
      <c r="L40" s="27"/>
      <c r="N40" s="5"/>
    </row>
    <row r="41" spans="1:14" ht="25.5" customHeight="1" x14ac:dyDescent="0.4">
      <c r="A41" s="5"/>
      <c r="C41" s="13"/>
      <c r="D41" s="21"/>
      <c r="E41" s="25"/>
      <c r="F41" s="25"/>
      <c r="G41" s="22"/>
      <c r="H41" s="23"/>
      <c r="I41" s="46"/>
      <c r="J41" s="29"/>
      <c r="K41" s="24"/>
      <c r="L41" s="28"/>
      <c r="N41" s="5"/>
    </row>
    <row r="42" spans="1:14" ht="25.5" customHeight="1" x14ac:dyDescent="0.4">
      <c r="A42" s="5"/>
      <c r="C42" s="11"/>
      <c r="D42" s="11"/>
      <c r="E42" s="26"/>
      <c r="F42" s="26"/>
      <c r="G42" s="18"/>
      <c r="H42" s="12"/>
      <c r="I42" s="47"/>
      <c r="J42" s="30"/>
      <c r="K42" s="19"/>
      <c r="L42" s="27"/>
      <c r="N42" s="5"/>
    </row>
    <row r="43" spans="1:14" ht="25.5" customHeight="1" x14ac:dyDescent="0.4">
      <c r="A43" s="5"/>
      <c r="C43" s="13"/>
      <c r="D43" s="21"/>
      <c r="E43" s="25"/>
      <c r="F43" s="25"/>
      <c r="G43" s="22"/>
      <c r="H43" s="23"/>
      <c r="I43" s="46"/>
      <c r="J43" s="29"/>
      <c r="K43" s="24"/>
      <c r="L43" s="28"/>
      <c r="N43" s="5"/>
    </row>
    <row r="44" spans="1:14" ht="25.5" customHeight="1" x14ac:dyDescent="0.4">
      <c r="A44" s="5"/>
      <c r="C44" s="11"/>
      <c r="D44" s="11"/>
      <c r="E44" s="26"/>
      <c r="F44" s="26"/>
      <c r="G44" s="18"/>
      <c r="H44" s="12"/>
      <c r="I44" s="47"/>
      <c r="J44" s="30"/>
      <c r="K44" s="19"/>
      <c r="L44" s="27"/>
      <c r="N44" s="5"/>
    </row>
    <row r="45" spans="1:14" ht="25.5" customHeight="1" x14ac:dyDescent="0.4">
      <c r="A45" s="5"/>
      <c r="C45" s="13"/>
      <c r="D45" s="21"/>
      <c r="E45" s="25"/>
      <c r="F45" s="25"/>
      <c r="G45" s="22"/>
      <c r="H45" s="23"/>
      <c r="I45" s="46"/>
      <c r="J45" s="29"/>
      <c r="K45" s="24"/>
      <c r="L45" s="28"/>
      <c r="N45" s="5"/>
    </row>
    <row r="46" spans="1:14" ht="14.25" customHeight="1" x14ac:dyDescent="0.4">
      <c r="A46" s="5"/>
      <c r="E46" s="17"/>
      <c r="F46" s="17"/>
      <c r="G46" s="18"/>
      <c r="I46" s="20"/>
      <c r="J46" s="20"/>
      <c r="K46" s="20"/>
      <c r="N46" s="5"/>
    </row>
    <row r="47" spans="1:14" x14ac:dyDescent="0.2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</sheetData>
  <mergeCells count="11">
    <mergeCell ref="L6:L7"/>
    <mergeCell ref="K6:K7"/>
    <mergeCell ref="F6:F7"/>
    <mergeCell ref="D1:J1"/>
    <mergeCell ref="C6:C7"/>
    <mergeCell ref="D6:D7"/>
    <mergeCell ref="G6:G7"/>
    <mergeCell ref="H6:H7"/>
    <mergeCell ref="I6:I7"/>
    <mergeCell ref="J6:J7"/>
    <mergeCell ref="E6:E7"/>
  </mergeCells>
  <phoneticPr fontId="6" type="noConversion"/>
  <conditionalFormatting sqref="E8:E9 E46">
    <cfRule type="cellIs" dxfId="189" priority="191" operator="lessThan">
      <formula>H8</formula>
    </cfRule>
    <cfRule type="cellIs" dxfId="188" priority="192" operator="greaterThan">
      <formula>H8</formula>
    </cfRule>
  </conditionalFormatting>
  <conditionalFormatting sqref="F8:F9 F46">
    <cfRule type="cellIs" dxfId="187" priority="187" operator="lessThan">
      <formula>0</formula>
    </cfRule>
    <cfRule type="cellIs" dxfId="186" priority="188" operator="greaterThan">
      <formula>0</formula>
    </cfRule>
  </conditionalFormatting>
  <conditionalFormatting sqref="G8:G9 G46">
    <cfRule type="cellIs" dxfId="185" priority="185" operator="lessThan">
      <formula>0</formula>
    </cfRule>
    <cfRule type="cellIs" dxfId="184" priority="186" operator="greaterThan">
      <formula>0</formula>
    </cfRule>
  </conditionalFormatting>
  <conditionalFormatting sqref="E10:E11">
    <cfRule type="cellIs" dxfId="183" priority="183" operator="lessThan">
      <formula>H10</formula>
    </cfRule>
    <cfRule type="cellIs" dxfId="182" priority="184" operator="greaterThan">
      <formula>H10</formula>
    </cfRule>
  </conditionalFormatting>
  <conditionalFormatting sqref="F10:F11">
    <cfRule type="cellIs" dxfId="181" priority="181" operator="lessThan">
      <formula>0</formula>
    </cfRule>
    <cfRule type="cellIs" dxfId="180" priority="182" operator="greaterThan">
      <formula>0</formula>
    </cfRule>
  </conditionalFormatting>
  <conditionalFormatting sqref="G10:G11">
    <cfRule type="cellIs" dxfId="179" priority="179" operator="lessThan">
      <formula>0</formula>
    </cfRule>
    <cfRule type="cellIs" dxfId="178" priority="180" operator="greaterThan">
      <formula>0</formula>
    </cfRule>
  </conditionalFormatting>
  <conditionalFormatting sqref="E12:E13">
    <cfRule type="cellIs" dxfId="177" priority="177" operator="lessThan">
      <formula>H12</formula>
    </cfRule>
    <cfRule type="cellIs" dxfId="176" priority="178" operator="greaterThan">
      <formula>H12</formula>
    </cfRule>
  </conditionalFormatting>
  <conditionalFormatting sqref="F12:F13">
    <cfRule type="cellIs" dxfId="175" priority="175" operator="lessThan">
      <formula>0</formula>
    </cfRule>
    <cfRule type="cellIs" dxfId="174" priority="176" operator="greaterThan">
      <formula>0</formula>
    </cfRule>
  </conditionalFormatting>
  <conditionalFormatting sqref="G12:G13">
    <cfRule type="cellIs" dxfId="173" priority="173" operator="lessThan">
      <formula>0</formula>
    </cfRule>
    <cfRule type="cellIs" dxfId="172" priority="174" operator="greaterThan">
      <formula>0</formula>
    </cfRule>
  </conditionalFormatting>
  <conditionalFormatting sqref="E14:E15">
    <cfRule type="cellIs" dxfId="171" priority="171" operator="lessThan">
      <formula>H14</formula>
    </cfRule>
    <cfRule type="cellIs" dxfId="170" priority="172" operator="greaterThan">
      <formula>H14</formula>
    </cfRule>
  </conditionalFormatting>
  <conditionalFormatting sqref="F14:F15">
    <cfRule type="cellIs" dxfId="169" priority="169" operator="lessThan">
      <formula>0</formula>
    </cfRule>
    <cfRule type="cellIs" dxfId="168" priority="170" operator="greaterThan">
      <formula>0</formula>
    </cfRule>
  </conditionalFormatting>
  <conditionalFormatting sqref="G14:G15">
    <cfRule type="cellIs" dxfId="167" priority="167" operator="lessThan">
      <formula>0</formula>
    </cfRule>
    <cfRule type="cellIs" dxfId="166" priority="168" operator="greaterThan">
      <formula>0</formula>
    </cfRule>
  </conditionalFormatting>
  <conditionalFormatting sqref="E16:E17">
    <cfRule type="cellIs" dxfId="165" priority="165" operator="lessThan">
      <formula>H16</formula>
    </cfRule>
    <cfRule type="cellIs" dxfId="164" priority="166" operator="greaterThan">
      <formula>H16</formula>
    </cfRule>
  </conditionalFormatting>
  <conditionalFormatting sqref="F16:F17">
    <cfRule type="cellIs" dxfId="163" priority="163" operator="lessThan">
      <formula>0</formula>
    </cfRule>
    <cfRule type="cellIs" dxfId="162" priority="164" operator="greaterThan">
      <formula>0</formula>
    </cfRule>
  </conditionalFormatting>
  <conditionalFormatting sqref="G16:G17">
    <cfRule type="cellIs" dxfId="161" priority="161" operator="lessThan">
      <formula>0</formula>
    </cfRule>
    <cfRule type="cellIs" dxfId="160" priority="162" operator="greaterThan">
      <formula>0</formula>
    </cfRule>
  </conditionalFormatting>
  <conditionalFormatting sqref="E18:E19">
    <cfRule type="cellIs" dxfId="159" priority="159" operator="lessThan">
      <formula>H18</formula>
    </cfRule>
    <cfRule type="cellIs" dxfId="158" priority="160" operator="greaterThan">
      <formula>H18</formula>
    </cfRule>
  </conditionalFormatting>
  <conditionalFormatting sqref="F18:F19">
    <cfRule type="cellIs" dxfId="157" priority="157" operator="lessThan">
      <formula>0</formula>
    </cfRule>
    <cfRule type="cellIs" dxfId="156" priority="158" operator="greaterThan">
      <formula>0</formula>
    </cfRule>
  </conditionalFormatting>
  <conditionalFormatting sqref="G18:G19">
    <cfRule type="cellIs" dxfId="155" priority="155" operator="lessThan">
      <formula>0</formula>
    </cfRule>
    <cfRule type="cellIs" dxfId="154" priority="156" operator="greaterThan">
      <formula>0</formula>
    </cfRule>
  </conditionalFormatting>
  <conditionalFormatting sqref="E20:E21">
    <cfRule type="cellIs" dxfId="153" priority="153" operator="lessThan">
      <formula>H20</formula>
    </cfRule>
    <cfRule type="cellIs" dxfId="152" priority="154" operator="greaterThan">
      <formula>H20</formula>
    </cfRule>
  </conditionalFormatting>
  <conditionalFormatting sqref="F20:F21">
    <cfRule type="cellIs" dxfId="151" priority="151" operator="lessThan">
      <formula>0</formula>
    </cfRule>
    <cfRule type="cellIs" dxfId="150" priority="152" operator="greaterThan">
      <formula>0</formula>
    </cfRule>
  </conditionalFormatting>
  <conditionalFormatting sqref="G20:G21">
    <cfRule type="cellIs" dxfId="149" priority="149" operator="lessThan">
      <formula>0</formula>
    </cfRule>
    <cfRule type="cellIs" dxfId="148" priority="150" operator="greaterThan">
      <formula>0</formula>
    </cfRule>
  </conditionalFormatting>
  <conditionalFormatting sqref="E22:E23">
    <cfRule type="cellIs" dxfId="147" priority="147" operator="lessThan">
      <formula>H22</formula>
    </cfRule>
    <cfRule type="cellIs" dxfId="146" priority="148" operator="greaterThan">
      <formula>H22</formula>
    </cfRule>
  </conditionalFormatting>
  <conditionalFormatting sqref="F22:F23">
    <cfRule type="cellIs" dxfId="145" priority="145" operator="lessThan">
      <formula>0</formula>
    </cfRule>
    <cfRule type="cellIs" dxfId="144" priority="146" operator="greaterThan">
      <formula>0</formula>
    </cfRule>
  </conditionalFormatting>
  <conditionalFormatting sqref="G22:G23">
    <cfRule type="cellIs" dxfId="143" priority="143" operator="lessThan">
      <formula>0</formula>
    </cfRule>
    <cfRule type="cellIs" dxfId="142" priority="144" operator="greaterThan">
      <formula>0</formula>
    </cfRule>
  </conditionalFormatting>
  <conditionalFormatting sqref="E24:E25">
    <cfRule type="cellIs" dxfId="141" priority="141" operator="lessThan">
      <formula>H24</formula>
    </cfRule>
    <cfRule type="cellIs" dxfId="140" priority="142" operator="greaterThan">
      <formula>H24</formula>
    </cfRule>
  </conditionalFormatting>
  <conditionalFormatting sqref="F24:F25">
    <cfRule type="cellIs" dxfId="139" priority="139" operator="lessThan">
      <formula>0</formula>
    </cfRule>
    <cfRule type="cellIs" dxfId="138" priority="140" operator="greaterThan">
      <formula>0</formula>
    </cfRule>
  </conditionalFormatting>
  <conditionalFormatting sqref="G24:G25">
    <cfRule type="cellIs" dxfId="137" priority="137" operator="lessThan">
      <formula>0</formula>
    </cfRule>
    <cfRule type="cellIs" dxfId="136" priority="138" operator="greaterThan">
      <formula>0</formula>
    </cfRule>
  </conditionalFormatting>
  <conditionalFormatting sqref="E26:E27">
    <cfRule type="cellIs" dxfId="135" priority="135" operator="lessThan">
      <formula>H26</formula>
    </cfRule>
    <cfRule type="cellIs" dxfId="134" priority="136" operator="greaterThan">
      <formula>H26</formula>
    </cfRule>
  </conditionalFormatting>
  <conditionalFormatting sqref="F26:F27">
    <cfRule type="cellIs" dxfId="133" priority="133" operator="lessThan">
      <formula>0</formula>
    </cfRule>
    <cfRule type="cellIs" dxfId="132" priority="134" operator="greaterThan">
      <formula>0</formula>
    </cfRule>
  </conditionalFormatting>
  <conditionalFormatting sqref="G26:G27">
    <cfRule type="cellIs" dxfId="131" priority="131" operator="lessThan">
      <formula>0</formula>
    </cfRule>
    <cfRule type="cellIs" dxfId="130" priority="132" operator="greaterThan">
      <formula>0</formula>
    </cfRule>
  </conditionalFormatting>
  <conditionalFormatting sqref="E28:E29">
    <cfRule type="cellIs" dxfId="129" priority="129" operator="lessThan">
      <formula>H28</formula>
    </cfRule>
    <cfRule type="cellIs" dxfId="128" priority="130" operator="greaterThan">
      <formula>H28</formula>
    </cfRule>
  </conditionalFormatting>
  <conditionalFormatting sqref="F28:F29">
    <cfRule type="cellIs" dxfId="127" priority="127" operator="lessThan">
      <formula>0</formula>
    </cfRule>
    <cfRule type="cellIs" dxfId="126" priority="128" operator="greaterThan">
      <formula>0</formula>
    </cfRule>
  </conditionalFormatting>
  <conditionalFormatting sqref="G28:G29">
    <cfRule type="cellIs" dxfId="125" priority="125" operator="lessThan">
      <formula>0</formula>
    </cfRule>
    <cfRule type="cellIs" dxfId="124" priority="126" operator="greaterThan">
      <formula>0</formula>
    </cfRule>
  </conditionalFormatting>
  <conditionalFormatting sqref="E30:E31">
    <cfRule type="cellIs" dxfId="123" priority="123" operator="lessThan">
      <formula>H30</formula>
    </cfRule>
    <cfRule type="cellIs" dxfId="122" priority="124" operator="greaterThan">
      <formula>H30</formula>
    </cfRule>
  </conditionalFormatting>
  <conditionalFormatting sqref="F30:F31">
    <cfRule type="cellIs" dxfId="121" priority="121" operator="lessThan">
      <formula>0</formula>
    </cfRule>
    <cfRule type="cellIs" dxfId="120" priority="122" operator="greaterThan">
      <formula>0</formula>
    </cfRule>
  </conditionalFormatting>
  <conditionalFormatting sqref="G30:G31">
    <cfRule type="cellIs" dxfId="119" priority="119" operator="lessThan">
      <formula>0</formula>
    </cfRule>
    <cfRule type="cellIs" dxfId="118" priority="120" operator="greaterThan">
      <formula>0</formula>
    </cfRule>
  </conditionalFormatting>
  <conditionalFormatting sqref="E32:E33">
    <cfRule type="cellIs" dxfId="117" priority="117" operator="lessThan">
      <formula>H32</formula>
    </cfRule>
    <cfRule type="cellIs" dxfId="116" priority="118" operator="greaterThan">
      <formula>H32</formula>
    </cfRule>
  </conditionalFormatting>
  <conditionalFormatting sqref="F32:F33">
    <cfRule type="cellIs" dxfId="115" priority="115" operator="lessThan">
      <formula>0</formula>
    </cfRule>
    <cfRule type="cellIs" dxfId="114" priority="116" operator="greaterThan">
      <formula>0</formula>
    </cfRule>
  </conditionalFormatting>
  <conditionalFormatting sqref="G32:G33">
    <cfRule type="cellIs" dxfId="113" priority="113" operator="lessThan">
      <formula>0</formula>
    </cfRule>
    <cfRule type="cellIs" dxfId="112" priority="114" operator="greaterThan">
      <formula>0</formula>
    </cfRule>
  </conditionalFormatting>
  <conditionalFormatting sqref="E34:E35">
    <cfRule type="cellIs" dxfId="111" priority="111" operator="lessThan">
      <formula>H34</formula>
    </cfRule>
    <cfRule type="cellIs" dxfId="110" priority="112" operator="greaterThan">
      <formula>H34</formula>
    </cfRule>
  </conditionalFormatting>
  <conditionalFormatting sqref="F34:F35">
    <cfRule type="cellIs" dxfId="109" priority="109" operator="lessThan">
      <formula>0</formula>
    </cfRule>
    <cfRule type="cellIs" dxfId="108" priority="110" operator="greaterThan">
      <formula>0</formula>
    </cfRule>
  </conditionalFormatting>
  <conditionalFormatting sqref="G34:G35">
    <cfRule type="cellIs" dxfId="107" priority="107" operator="lessThan">
      <formula>0</formula>
    </cfRule>
    <cfRule type="cellIs" dxfId="106" priority="108" operator="greaterThan">
      <formula>0</formula>
    </cfRule>
  </conditionalFormatting>
  <conditionalFormatting sqref="E36:E37">
    <cfRule type="cellIs" dxfId="105" priority="105" operator="lessThan">
      <formula>H36</formula>
    </cfRule>
    <cfRule type="cellIs" dxfId="104" priority="106" operator="greaterThan">
      <formula>H36</formula>
    </cfRule>
  </conditionalFormatting>
  <conditionalFormatting sqref="F36:F37">
    <cfRule type="cellIs" dxfId="103" priority="103" operator="lessThan">
      <formula>0</formula>
    </cfRule>
    <cfRule type="cellIs" dxfId="102" priority="104" operator="greaterThan">
      <formula>0</formula>
    </cfRule>
  </conditionalFormatting>
  <conditionalFormatting sqref="G36:G37">
    <cfRule type="cellIs" dxfId="101" priority="101" operator="lessThan">
      <formula>0</formula>
    </cfRule>
    <cfRule type="cellIs" dxfId="100" priority="102" operator="greaterThan">
      <formula>0</formula>
    </cfRule>
  </conditionalFormatting>
  <conditionalFormatting sqref="E38:E39">
    <cfRule type="cellIs" dxfId="99" priority="99" operator="lessThan">
      <formula>H38</formula>
    </cfRule>
    <cfRule type="cellIs" dxfId="98" priority="100" operator="greaterThan">
      <formula>H38</formula>
    </cfRule>
  </conditionalFormatting>
  <conditionalFormatting sqref="F38:F39">
    <cfRule type="cellIs" dxfId="97" priority="97" operator="lessThan">
      <formula>0</formula>
    </cfRule>
    <cfRule type="cellIs" dxfId="96" priority="98" operator="greaterThan">
      <formula>0</formula>
    </cfRule>
  </conditionalFormatting>
  <conditionalFormatting sqref="G38:G39">
    <cfRule type="cellIs" dxfId="95" priority="95" operator="lessThan">
      <formula>0</formula>
    </cfRule>
    <cfRule type="cellIs" dxfId="94" priority="96" operator="greaterThan">
      <formula>0</formula>
    </cfRule>
  </conditionalFormatting>
  <conditionalFormatting sqref="E40:E41">
    <cfRule type="cellIs" dxfId="93" priority="93" operator="lessThan">
      <formula>H40</formula>
    </cfRule>
    <cfRule type="cellIs" dxfId="92" priority="94" operator="greaterThan">
      <formula>H40</formula>
    </cfRule>
  </conditionalFormatting>
  <conditionalFormatting sqref="F40:F41">
    <cfRule type="cellIs" dxfId="91" priority="91" operator="lessThan">
      <formula>0</formula>
    </cfRule>
    <cfRule type="cellIs" dxfId="90" priority="92" operator="greaterThan">
      <formula>0</formula>
    </cfRule>
  </conditionalFormatting>
  <conditionalFormatting sqref="G40:G41">
    <cfRule type="cellIs" dxfId="89" priority="89" operator="lessThan">
      <formula>0</formula>
    </cfRule>
    <cfRule type="cellIs" dxfId="88" priority="90" operator="greaterThan">
      <formula>0</formula>
    </cfRule>
  </conditionalFormatting>
  <conditionalFormatting sqref="E42:E43">
    <cfRule type="cellIs" dxfId="87" priority="87" operator="lessThan">
      <formula>H42</formula>
    </cfRule>
    <cfRule type="cellIs" dxfId="86" priority="88" operator="greaterThan">
      <formula>H42</formula>
    </cfRule>
  </conditionalFormatting>
  <conditionalFormatting sqref="F42:F43">
    <cfRule type="cellIs" dxfId="85" priority="85" operator="lessThan">
      <formula>0</formula>
    </cfRule>
    <cfRule type="cellIs" dxfId="84" priority="86" operator="greaterThan">
      <formula>0</formula>
    </cfRule>
  </conditionalFormatting>
  <conditionalFormatting sqref="G42:G43">
    <cfRule type="cellIs" dxfId="83" priority="83" operator="lessThan">
      <formula>0</formula>
    </cfRule>
    <cfRule type="cellIs" dxfId="82" priority="84" operator="greaterThan">
      <formula>0</formula>
    </cfRule>
  </conditionalFormatting>
  <conditionalFormatting sqref="E44:E45">
    <cfRule type="cellIs" dxfId="81" priority="81" operator="lessThan">
      <formula>H44</formula>
    </cfRule>
    <cfRule type="cellIs" dxfId="80" priority="82" operator="greaterThan">
      <formula>H44</formula>
    </cfRule>
  </conditionalFormatting>
  <conditionalFormatting sqref="F44:F45">
    <cfRule type="cellIs" dxfId="79" priority="79" operator="lessThan">
      <formula>0</formula>
    </cfRule>
    <cfRule type="cellIs" dxfId="78" priority="80" operator="greaterThan">
      <formula>0</formula>
    </cfRule>
  </conditionalFormatting>
  <conditionalFormatting sqref="G44:G45">
    <cfRule type="cellIs" dxfId="77" priority="77" operator="lessThan">
      <formula>0</formula>
    </cfRule>
    <cfRule type="cellIs" dxfId="76" priority="78" operator="greaterThan">
      <formula>0</formula>
    </cfRule>
  </conditionalFormatting>
  <conditionalFormatting sqref="I8:I9">
    <cfRule type="cellIs" dxfId="75" priority="75" operator="lessThan">
      <formula>0</formula>
    </cfRule>
    <cfRule type="cellIs" dxfId="74" priority="76" operator="greaterThan">
      <formula>0</formula>
    </cfRule>
  </conditionalFormatting>
  <conditionalFormatting sqref="I10:I11">
    <cfRule type="cellIs" dxfId="73" priority="73" operator="lessThan">
      <formula>0</formula>
    </cfRule>
    <cfRule type="cellIs" dxfId="72" priority="74" operator="greaterThan">
      <formula>0</formula>
    </cfRule>
  </conditionalFormatting>
  <conditionalFormatting sqref="I12:I13">
    <cfRule type="cellIs" dxfId="71" priority="71" operator="lessThan">
      <formula>0</formula>
    </cfRule>
    <cfRule type="cellIs" dxfId="70" priority="72" operator="greaterThan">
      <formula>0</formula>
    </cfRule>
  </conditionalFormatting>
  <conditionalFormatting sqref="I14:I15">
    <cfRule type="cellIs" dxfId="69" priority="69" operator="lessThan">
      <formula>0</formula>
    </cfRule>
    <cfRule type="cellIs" dxfId="68" priority="70" operator="greaterThan">
      <formula>0</formula>
    </cfRule>
  </conditionalFormatting>
  <conditionalFormatting sqref="I16:I17">
    <cfRule type="cellIs" dxfId="67" priority="67" operator="lessThan">
      <formula>0</formula>
    </cfRule>
    <cfRule type="cellIs" dxfId="66" priority="68" operator="greaterThan">
      <formula>0</formula>
    </cfRule>
  </conditionalFormatting>
  <conditionalFormatting sqref="I18:I19">
    <cfRule type="cellIs" dxfId="65" priority="65" operator="lessThan">
      <formula>0</formula>
    </cfRule>
    <cfRule type="cellIs" dxfId="64" priority="66" operator="greaterThan">
      <formula>0</formula>
    </cfRule>
  </conditionalFormatting>
  <conditionalFormatting sqref="I20:I21">
    <cfRule type="cellIs" dxfId="63" priority="63" operator="lessThan">
      <formula>0</formula>
    </cfRule>
    <cfRule type="cellIs" dxfId="62" priority="64" operator="greaterThan">
      <formula>0</formula>
    </cfRule>
  </conditionalFormatting>
  <conditionalFormatting sqref="I22:I23">
    <cfRule type="cellIs" dxfId="61" priority="61" operator="lessThan">
      <formula>0</formula>
    </cfRule>
    <cfRule type="cellIs" dxfId="60" priority="62" operator="greaterThan">
      <formula>0</formula>
    </cfRule>
  </conditionalFormatting>
  <conditionalFormatting sqref="I24:I25">
    <cfRule type="cellIs" dxfId="59" priority="59" operator="lessThan">
      <formula>0</formula>
    </cfRule>
    <cfRule type="cellIs" dxfId="58" priority="60" operator="greaterThan">
      <formula>0</formula>
    </cfRule>
  </conditionalFormatting>
  <conditionalFormatting sqref="I26:I27">
    <cfRule type="cellIs" dxfId="57" priority="57" operator="lessThan">
      <formula>0</formula>
    </cfRule>
    <cfRule type="cellIs" dxfId="56" priority="58" operator="greaterThan">
      <formula>0</formula>
    </cfRule>
  </conditionalFormatting>
  <conditionalFormatting sqref="I28:I29">
    <cfRule type="cellIs" dxfId="55" priority="55" operator="lessThan">
      <formula>0</formula>
    </cfRule>
    <cfRule type="cellIs" dxfId="54" priority="56" operator="greaterThan">
      <formula>0</formula>
    </cfRule>
  </conditionalFormatting>
  <conditionalFormatting sqref="I30:I31">
    <cfRule type="cellIs" dxfId="53" priority="53" operator="lessThan">
      <formula>0</formula>
    </cfRule>
    <cfRule type="cellIs" dxfId="52" priority="54" operator="greaterThan">
      <formula>0</formula>
    </cfRule>
  </conditionalFormatting>
  <conditionalFormatting sqref="I32:I33">
    <cfRule type="cellIs" dxfId="51" priority="51" operator="lessThan">
      <formula>0</formula>
    </cfRule>
    <cfRule type="cellIs" dxfId="50" priority="52" operator="greaterThan">
      <formula>0</formula>
    </cfRule>
  </conditionalFormatting>
  <conditionalFormatting sqref="I34:I35">
    <cfRule type="cellIs" dxfId="49" priority="49" operator="lessThan">
      <formula>0</formula>
    </cfRule>
    <cfRule type="cellIs" dxfId="48" priority="50" operator="greaterThan">
      <formula>0</formula>
    </cfRule>
  </conditionalFormatting>
  <conditionalFormatting sqref="I36:I37">
    <cfRule type="cellIs" dxfId="47" priority="47" operator="lessThan">
      <formula>0</formula>
    </cfRule>
    <cfRule type="cellIs" dxfId="46" priority="48" operator="greaterThan">
      <formula>0</formula>
    </cfRule>
  </conditionalFormatting>
  <conditionalFormatting sqref="I38:I39">
    <cfRule type="cellIs" dxfId="45" priority="45" operator="lessThan">
      <formula>0</formula>
    </cfRule>
    <cfRule type="cellIs" dxfId="44" priority="46" operator="greaterThan">
      <formula>0</formula>
    </cfRule>
  </conditionalFormatting>
  <conditionalFormatting sqref="I40:I41">
    <cfRule type="cellIs" dxfId="43" priority="43" operator="lessThan">
      <formula>0</formula>
    </cfRule>
    <cfRule type="cellIs" dxfId="42" priority="44" operator="greaterThan">
      <formula>0</formula>
    </cfRule>
  </conditionalFormatting>
  <conditionalFormatting sqref="I42:I43">
    <cfRule type="cellIs" dxfId="41" priority="41" operator="lessThan">
      <formula>0</formula>
    </cfRule>
    <cfRule type="cellIs" dxfId="40" priority="42" operator="greaterThan">
      <formula>0</formula>
    </cfRule>
  </conditionalFormatting>
  <conditionalFormatting sqref="I44:I45">
    <cfRule type="cellIs" dxfId="39" priority="39" operator="lessThan">
      <formula>0</formula>
    </cfRule>
    <cfRule type="cellIs" dxfId="38" priority="40" operator="greaterThan">
      <formula>0</formula>
    </cfRule>
  </conditionalFormatting>
  <conditionalFormatting sqref="J8:J9">
    <cfRule type="cellIs" dxfId="37" priority="37" operator="lessThan">
      <formula>0</formula>
    </cfRule>
    <cfRule type="cellIs" dxfId="36" priority="38" operator="greaterThan">
      <formula>0</formula>
    </cfRule>
  </conditionalFormatting>
  <conditionalFormatting sqref="J10:J11">
    <cfRule type="cellIs" dxfId="35" priority="35" operator="lessThan">
      <formula>0</formula>
    </cfRule>
    <cfRule type="cellIs" dxfId="34" priority="36" operator="greaterThan">
      <formula>0</formula>
    </cfRule>
  </conditionalFormatting>
  <conditionalFormatting sqref="J12:J13">
    <cfRule type="cellIs" dxfId="33" priority="33" operator="lessThan">
      <formula>0</formula>
    </cfRule>
    <cfRule type="cellIs" dxfId="32" priority="34" operator="greaterThan">
      <formula>0</formula>
    </cfRule>
  </conditionalFormatting>
  <conditionalFormatting sqref="J14:J15">
    <cfRule type="cellIs" dxfId="31" priority="31" operator="lessThan">
      <formula>0</formula>
    </cfRule>
    <cfRule type="cellIs" dxfId="30" priority="32" operator="greaterThan">
      <formula>0</formula>
    </cfRule>
  </conditionalFormatting>
  <conditionalFormatting sqref="J16:J17">
    <cfRule type="cellIs" dxfId="29" priority="29" operator="lessThan">
      <formula>0</formula>
    </cfRule>
    <cfRule type="cellIs" dxfId="28" priority="30" operator="greaterThan">
      <formula>0</formula>
    </cfRule>
  </conditionalFormatting>
  <conditionalFormatting sqref="J18:J19">
    <cfRule type="cellIs" dxfId="27" priority="27" operator="lessThan">
      <formula>0</formula>
    </cfRule>
    <cfRule type="cellIs" dxfId="26" priority="28" operator="greaterThan">
      <formula>0</formula>
    </cfRule>
  </conditionalFormatting>
  <conditionalFormatting sqref="J20:J21">
    <cfRule type="cellIs" dxfId="25" priority="25" operator="lessThan">
      <formula>0</formula>
    </cfRule>
    <cfRule type="cellIs" dxfId="24" priority="26" operator="greaterThan">
      <formula>0</formula>
    </cfRule>
  </conditionalFormatting>
  <conditionalFormatting sqref="J22:J23">
    <cfRule type="cellIs" dxfId="23" priority="23" operator="lessThan">
      <formula>0</formula>
    </cfRule>
    <cfRule type="cellIs" dxfId="22" priority="24" operator="greaterThan">
      <formula>0</formula>
    </cfRule>
  </conditionalFormatting>
  <conditionalFormatting sqref="J24:J25">
    <cfRule type="cellIs" dxfId="21" priority="21" operator="lessThan">
      <formula>0</formula>
    </cfRule>
    <cfRule type="cellIs" dxfId="20" priority="22" operator="greaterThan">
      <formula>0</formula>
    </cfRule>
  </conditionalFormatting>
  <conditionalFormatting sqref="J26:J27">
    <cfRule type="cellIs" dxfId="19" priority="19" operator="lessThan">
      <formula>0</formula>
    </cfRule>
    <cfRule type="cellIs" dxfId="18" priority="20" operator="greaterThan">
      <formula>0</formula>
    </cfRule>
  </conditionalFormatting>
  <conditionalFormatting sqref="J28:J29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J30:J31">
    <cfRule type="cellIs" dxfId="15" priority="15" operator="lessThan">
      <formula>0</formula>
    </cfRule>
    <cfRule type="cellIs" dxfId="14" priority="16" operator="greaterThan">
      <formula>0</formula>
    </cfRule>
  </conditionalFormatting>
  <conditionalFormatting sqref="J32:J33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J34:J35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J36:J37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J38:J39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J40:J41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J42:J43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44:J4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2"/>
  <sheetData>
    <row r="1" spans="1:1" x14ac:dyDescent="0.2">
      <c r="A1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场外基金实时净值估算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2023-10-10T02:12:41Z</dcterms:modified>
</cp:coreProperties>
</file>