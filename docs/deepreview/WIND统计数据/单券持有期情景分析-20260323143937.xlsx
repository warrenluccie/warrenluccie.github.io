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yqcui\SVN\WindRes\Management\API\QntProduct\PT\yqcui\Excel插件模板库项目\20230727 模板库-更新计划1期\债券\"/>
    </mc:Choice>
  </mc:AlternateContent>
  <bookViews>
    <workbookView xWindow="240" yWindow="45" windowWidth="15015" windowHeight="7380"/>
  </bookViews>
  <sheets>
    <sheet name="模拟分析" sheetId="1" r:id="rId1"/>
    <sheet name="现金流" sheetId="2" r:id="rId2"/>
    <sheet name="使用说明" sheetId="4" r:id="rId3"/>
    <sheet name="Wind模板" sheetId="5" state="veryHidden" r:id="rId4"/>
  </sheets>
  <externalReferences>
    <externalReference r:id="rId5"/>
  </externalReferences>
  <definedNames>
    <definedName name="CASH">现金流!$C$5:$C$62</definedName>
    <definedName name="DAT">现金流!$B$5:$B$62</definedName>
    <definedName name="DUR">现金流!$D$5:$D$62</definedName>
    <definedName name="RATE_1d">现金流!$E$5:$E$62</definedName>
    <definedName name="RATE_1M">现金流!$I$5:$I$62</definedName>
    <definedName name="RATE_1Y">现金流!$M$5:$M$62</definedName>
    <definedName name="RATE_2M">现金流!$J$5:$J$62</definedName>
    <definedName name="RATE_2W">现金流!$G$5:$G$62</definedName>
    <definedName name="RATE_3M">现金流!$K$5:$K$62</definedName>
    <definedName name="RATE_3W">现金流!$H$5:$H$62</definedName>
    <definedName name="RATE_5M">现金流!$L$5:$L$62</definedName>
    <definedName name="RATE_7d">现金流!$F$5:$F$62</definedName>
    <definedName name="RATE_XD">现金流!$N$5:$N$62</definedName>
    <definedName name="solver_adj" localSheetId="0" hidden="1">模拟分析!$G$12</definedName>
    <definedName name="solver_adj" localSheetId="2" hidden="1">使用说明!$G$12</definedName>
    <definedName name="solver_cvg" localSheetId="0" hidden="1">0.0001</definedName>
    <definedName name="solver_cvg" localSheetId="2" hidden="1">0.0001</definedName>
    <definedName name="solver_drv" localSheetId="0" hidden="1">1</definedName>
    <definedName name="solver_drv" localSheetId="2" hidden="1">1</definedName>
    <definedName name="solver_est" localSheetId="0" hidden="1">1</definedName>
    <definedName name="solver_est" localSheetId="2" hidden="1">1</definedName>
    <definedName name="solver_itr" localSheetId="0" hidden="1">100</definedName>
    <definedName name="solver_itr" localSheetId="2" hidden="1">100</definedName>
    <definedName name="solver_lin" localSheetId="0" hidden="1">2</definedName>
    <definedName name="solver_lin" localSheetId="2" hidden="1">2</definedName>
    <definedName name="solver_neg" localSheetId="0" hidden="1">2</definedName>
    <definedName name="solver_neg" localSheetId="2" hidden="1">2</definedName>
    <definedName name="solver_num" localSheetId="0" hidden="1">0</definedName>
    <definedName name="solver_num" localSheetId="2" hidden="1">0</definedName>
    <definedName name="solver_nwt" localSheetId="0" hidden="1">1</definedName>
    <definedName name="solver_nwt" localSheetId="2" hidden="1">1</definedName>
    <definedName name="solver_opt" localSheetId="0" hidden="1">模拟分析!$C$23</definedName>
    <definedName name="solver_opt" localSheetId="2" hidden="1">使用说明!$C$23</definedName>
    <definedName name="solver_pre" localSheetId="0" hidden="1">0.000001</definedName>
    <definedName name="solver_pre" localSheetId="2" hidden="1">0.000001</definedName>
    <definedName name="solver_scl" localSheetId="0" hidden="1">2</definedName>
    <definedName name="solver_scl" localSheetId="2" hidden="1">2</definedName>
    <definedName name="solver_sho" localSheetId="0" hidden="1">2</definedName>
    <definedName name="solver_sho" localSheetId="2" hidden="1">2</definedName>
    <definedName name="solver_tim" localSheetId="0" hidden="1">100</definedName>
    <definedName name="solver_tim" localSheetId="2" hidden="1">100</definedName>
    <definedName name="solver_tol" localSheetId="0" hidden="1">0.05</definedName>
    <definedName name="solver_tol" localSheetId="2" hidden="1">0.05</definedName>
    <definedName name="solver_typ" localSheetId="0" hidden="1">3</definedName>
    <definedName name="solver_typ" localSheetId="2" hidden="1">3</definedName>
    <definedName name="solver_val" localSheetId="0" hidden="1">97.67416</definedName>
    <definedName name="solver_val" localSheetId="2" hidden="1">97.67416</definedName>
  </definedNames>
  <calcPr calcId="162913"/>
</workbook>
</file>

<file path=xl/calcChain.xml><?xml version="1.0" encoding="utf-8"?>
<calcChain xmlns="http://schemas.openxmlformats.org/spreadsheetml/2006/main">
  <c r="B48" i="4" l="1"/>
  <c r="B65" i="4" s="1"/>
  <c r="L34" i="4"/>
  <c r="L51" i="4" s="1"/>
  <c r="A30" i="4"/>
  <c r="L16" i="4"/>
  <c r="G11" i="4"/>
  <c r="C8" i="4"/>
  <c r="I8" i="4" s="1"/>
  <c r="E5" i="4"/>
  <c r="I5" i="4"/>
  <c r="K9" i="4"/>
  <c r="E6" i="4"/>
  <c r="G8" i="4"/>
  <c r="C6" i="4"/>
  <c r="I6" i="4"/>
  <c r="G6" i="4"/>
  <c r="G5" i="4"/>
  <c r="K8" i="4"/>
  <c r="G9" i="4" l="1"/>
  <c r="I9" i="4" s="1"/>
  <c r="K11" i="4"/>
  <c r="K12" i="4"/>
  <c r="G11" i="1" l="1"/>
  <c r="C8" i="1"/>
  <c r="I8" i="1" s="1"/>
  <c r="I6" i="1"/>
  <c r="I5" i="1"/>
  <c r="E6" i="1"/>
  <c r="E5" i="1"/>
  <c r="K9" i="1"/>
  <c r="C6" i="1"/>
  <c r="G5" i="1"/>
  <c r="G6" i="1"/>
  <c r="K12" i="1" l="1"/>
  <c r="I1" i="2"/>
  <c r="K11" i="1"/>
  <c r="B48" i="1" l="1"/>
  <c r="B65" i="1" s="1"/>
  <c r="L34" i="1"/>
  <c r="L51" i="1" s="1"/>
  <c r="A30" i="1"/>
  <c r="L16" i="1"/>
  <c r="N2" i="2" s="1"/>
  <c r="M2" i="2"/>
  <c r="L2" i="2"/>
  <c r="K2" i="2"/>
  <c r="J2" i="2"/>
  <c r="I2" i="2"/>
  <c r="H2" i="2"/>
  <c r="G2" i="2"/>
  <c r="F2" i="2"/>
  <c r="E2" i="2"/>
  <c r="C1" i="2"/>
  <c r="K8" i="1"/>
  <c r="E1" i="2"/>
  <c r="G8" i="1"/>
  <c r="B5" i="2"/>
  <c r="N4" i="2" l="1"/>
  <c r="D5" i="2"/>
  <c r="L5" i="2" s="1"/>
  <c r="G9" i="1"/>
  <c r="I9" i="1" s="1"/>
  <c r="G1" i="2"/>
  <c r="B6" i="2"/>
  <c r="H3" i="2"/>
  <c r="M3" i="2"/>
  <c r="J3" i="2"/>
  <c r="N3" i="2"/>
  <c r="F3" i="2"/>
  <c r="C5" i="2"/>
  <c r="E3" i="2"/>
  <c r="G3" i="2"/>
  <c r="K3" i="2"/>
  <c r="I3" i="2"/>
  <c r="L3" i="2"/>
  <c r="N5" i="2" l="1"/>
  <c r="M5" i="2"/>
  <c r="D6" i="2"/>
  <c r="J5" i="2"/>
  <c r="I5" i="2"/>
  <c r="K5" i="2"/>
  <c r="E6" i="2"/>
  <c r="B7" i="2"/>
  <c r="C6" i="2"/>
  <c r="H5" i="2"/>
  <c r="F5" i="2"/>
  <c r="E5" i="2"/>
  <c r="G5" i="2"/>
  <c r="A7" i="2"/>
  <c r="N6" i="2" l="1"/>
  <c r="M6" i="2"/>
  <c r="O5" i="2"/>
  <c r="D7" i="2"/>
  <c r="B8" i="2"/>
  <c r="G7" i="2"/>
  <c r="J6" i="2"/>
  <c r="K6" i="2"/>
  <c r="H6" i="2"/>
  <c r="I6" i="2"/>
  <c r="F6" i="2"/>
  <c r="C7" i="2"/>
  <c r="G6" i="2"/>
  <c r="L6" i="2"/>
  <c r="A8" i="2"/>
  <c r="D8" i="2" l="1"/>
  <c r="O6" i="2"/>
  <c r="I8" i="2"/>
  <c r="B9" i="2"/>
  <c r="I7" i="2"/>
  <c r="C8" i="2"/>
  <c r="J7" i="2"/>
  <c r="L7" i="2"/>
  <c r="E7" i="2"/>
  <c r="H7" i="2"/>
  <c r="F7" i="2"/>
  <c r="M7" i="2"/>
  <c r="K7" i="2"/>
  <c r="N7" i="2"/>
  <c r="D9" i="2" l="1"/>
  <c r="O7" i="2"/>
  <c r="E9" i="2"/>
  <c r="B10" i="2"/>
  <c r="H8" i="2"/>
  <c r="N8" i="2"/>
  <c r="K8" i="2"/>
  <c r="C9" i="2"/>
  <c r="L8" i="2"/>
  <c r="M8" i="2"/>
  <c r="J8" i="2"/>
  <c r="E8" i="2"/>
  <c r="F8" i="2"/>
  <c r="G8" i="2"/>
  <c r="D10" i="2" l="1"/>
  <c r="O8" i="2"/>
  <c r="G10" i="2"/>
  <c r="B11" i="2"/>
  <c r="L9" i="2"/>
  <c r="I9" i="2"/>
  <c r="K9" i="2"/>
  <c r="F9" i="2"/>
  <c r="C10" i="2"/>
  <c r="N9" i="2"/>
  <c r="J9" i="2"/>
  <c r="M9" i="2"/>
  <c r="H9" i="2"/>
  <c r="G9" i="2"/>
  <c r="D11" i="2" l="1"/>
  <c r="O9" i="2"/>
  <c r="I11" i="2"/>
  <c r="B12" i="2"/>
  <c r="C11" i="2"/>
  <c r="M10" i="2"/>
  <c r="F10" i="2"/>
  <c r="N10" i="2"/>
  <c r="E10" i="2"/>
  <c r="H10" i="2"/>
  <c r="I10" i="2"/>
  <c r="K10" i="2"/>
  <c r="L10" i="2"/>
  <c r="J10" i="2"/>
  <c r="O10" i="2" l="1"/>
  <c r="D12" i="2"/>
  <c r="B13" i="2"/>
  <c r="E12" i="2"/>
  <c r="J11" i="2"/>
  <c r="G11" i="2"/>
  <c r="M11" i="2"/>
  <c r="C12" i="2"/>
  <c r="N11" i="2"/>
  <c r="K11" i="2"/>
  <c r="F11" i="2"/>
  <c r="E11" i="2"/>
  <c r="H11" i="2"/>
  <c r="L11" i="2"/>
  <c r="O11" i="2" l="1"/>
  <c r="D13" i="2"/>
  <c r="G13" i="2"/>
  <c r="B14" i="2"/>
  <c r="L12" i="2"/>
  <c r="N12" i="2"/>
  <c r="K12" i="2"/>
  <c r="G12" i="2"/>
  <c r="H12" i="2"/>
  <c r="C13" i="2"/>
  <c r="F12" i="2"/>
  <c r="I12" i="2"/>
  <c r="M12" i="2"/>
  <c r="J12" i="2"/>
  <c r="O12" i="2" l="1"/>
  <c r="D14" i="2"/>
  <c r="B15" i="2"/>
  <c r="I14" i="2"/>
  <c r="M13" i="2"/>
  <c r="C14" i="2"/>
  <c r="F13" i="2"/>
  <c r="E13" i="2"/>
  <c r="L13" i="2"/>
  <c r="J13" i="2"/>
  <c r="H13" i="2"/>
  <c r="I13" i="2"/>
  <c r="N13" i="2"/>
  <c r="K13" i="2"/>
  <c r="D15" i="2" l="1"/>
  <c r="O13" i="2"/>
  <c r="E15" i="2"/>
  <c r="B16" i="2"/>
  <c r="M14" i="2"/>
  <c r="C15" i="2"/>
  <c r="G14" i="2"/>
  <c r="F14" i="2"/>
  <c r="L14" i="2"/>
  <c r="J14" i="2"/>
  <c r="H14" i="2"/>
  <c r="E14" i="2"/>
  <c r="N14" i="2"/>
  <c r="K14" i="2"/>
  <c r="D16" i="2" l="1"/>
  <c r="O14" i="2"/>
  <c r="G16" i="2"/>
  <c r="B17" i="2"/>
  <c r="K15" i="2"/>
  <c r="N15" i="2"/>
  <c r="G15" i="2"/>
  <c r="C16" i="2"/>
  <c r="L15" i="2"/>
  <c r="H15" i="2"/>
  <c r="I15" i="2"/>
  <c r="J15" i="2"/>
  <c r="F15" i="2"/>
  <c r="M15" i="2"/>
  <c r="O15" i="2" l="1"/>
  <c r="D17" i="2"/>
  <c r="I17" i="2"/>
  <c r="B18" i="2"/>
  <c r="K16" i="2"/>
  <c r="C17" i="2"/>
  <c r="N16" i="2"/>
  <c r="J16" i="2"/>
  <c r="I16" i="2"/>
  <c r="E16" i="2"/>
  <c r="M16" i="2"/>
  <c r="L16" i="2"/>
  <c r="H16" i="2"/>
  <c r="F16" i="2"/>
  <c r="O16" i="2" l="1"/>
  <c r="D18" i="2"/>
  <c r="E18" i="2"/>
  <c r="B19" i="2"/>
  <c r="G17" i="2"/>
  <c r="C18" i="2"/>
  <c r="K17" i="2"/>
  <c r="F17" i="2"/>
  <c r="H17" i="2"/>
  <c r="E17" i="2"/>
  <c r="J17" i="2"/>
  <c r="M17" i="2"/>
  <c r="L17" i="2"/>
  <c r="N17" i="2"/>
  <c r="O17" i="2" l="1"/>
  <c r="D19" i="2"/>
  <c r="G19" i="2"/>
  <c r="B20" i="2"/>
  <c r="G18" i="2"/>
  <c r="I18" i="2"/>
  <c r="H18" i="2"/>
  <c r="K18" i="2"/>
  <c r="F18" i="2"/>
  <c r="N18" i="2"/>
  <c r="C19" i="2"/>
  <c r="J18" i="2"/>
  <c r="L18" i="2"/>
  <c r="M18" i="2"/>
  <c r="O18" i="2" l="1"/>
  <c r="D20" i="2"/>
  <c r="I20" i="2"/>
  <c r="B21" i="2"/>
  <c r="M19" i="2"/>
  <c r="C20" i="2"/>
  <c r="F19" i="2"/>
  <c r="K19" i="2"/>
  <c r="N19" i="2"/>
  <c r="H19" i="2"/>
  <c r="E19" i="2"/>
  <c r="J19" i="2"/>
  <c r="I19" i="2"/>
  <c r="L19" i="2"/>
  <c r="O19" i="2" l="1"/>
  <c r="B22" i="2"/>
  <c r="D21" i="2"/>
  <c r="E21" i="2"/>
  <c r="H20" i="2"/>
  <c r="G20" i="2"/>
  <c r="J20" i="2"/>
  <c r="C21" i="2"/>
  <c r="E20" i="2"/>
  <c r="F20" i="2"/>
  <c r="K20" i="2"/>
  <c r="M20" i="2"/>
  <c r="L20" i="2"/>
  <c r="N20" i="2"/>
  <c r="O20" i="2" l="1"/>
  <c r="E22" i="2"/>
  <c r="K22" i="2"/>
  <c r="G22" i="2"/>
  <c r="M22" i="2"/>
  <c r="J22" i="2"/>
  <c r="C22" i="2"/>
  <c r="D22" i="2"/>
  <c r="F22" i="2"/>
  <c r="H22" i="2"/>
  <c r="B23" i="2"/>
  <c r="I22" i="2"/>
  <c r="L22" i="2"/>
  <c r="N22" i="2"/>
  <c r="L21" i="2"/>
  <c r="F21" i="2"/>
  <c r="M21" i="2"/>
  <c r="N21" i="2"/>
  <c r="K21" i="2"/>
  <c r="G21" i="2"/>
  <c r="I21" i="2"/>
  <c r="J21" i="2"/>
  <c r="H21" i="2"/>
  <c r="O21" i="2" l="1"/>
  <c r="O22" i="2"/>
  <c r="C23" i="2"/>
  <c r="I23" i="2"/>
  <c r="E23" i="2"/>
  <c r="K23" i="2"/>
  <c r="F23" i="2"/>
  <c r="N23" i="2"/>
  <c r="G23" i="2"/>
  <c r="H23" i="2"/>
  <c r="J23" i="2"/>
  <c r="L23" i="2"/>
  <c r="D23" i="2"/>
  <c r="M23" i="2"/>
  <c r="B24" i="2"/>
  <c r="O23" i="2" l="1"/>
  <c r="G24" i="2"/>
  <c r="M24" i="2"/>
  <c r="C24" i="2"/>
  <c r="I24" i="2"/>
  <c r="J24" i="2"/>
  <c r="K24" i="2"/>
  <c r="D24" i="2"/>
  <c r="L24" i="2"/>
  <c r="E24" i="2"/>
  <c r="N24" i="2"/>
  <c r="F24" i="2"/>
  <c r="B25" i="2"/>
  <c r="H24" i="2"/>
  <c r="O24" i="2" l="1"/>
  <c r="E25" i="2"/>
  <c r="K25" i="2"/>
  <c r="G25" i="2"/>
  <c r="M25" i="2"/>
  <c r="D25" i="2"/>
  <c r="N25" i="2"/>
  <c r="H25" i="2"/>
  <c r="I25" i="2"/>
  <c r="J25" i="2"/>
  <c r="C25" i="2"/>
  <c r="L25" i="2"/>
  <c r="F25" i="2"/>
  <c r="B26" i="2"/>
  <c r="O25" i="2" l="1"/>
  <c r="C26" i="2"/>
  <c r="I26" i="2"/>
  <c r="E26" i="2"/>
  <c r="K26" i="2"/>
  <c r="H26" i="2"/>
  <c r="J26" i="2"/>
  <c r="L26" i="2"/>
  <c r="D26" i="2"/>
  <c r="M26" i="2"/>
  <c r="F26" i="2"/>
  <c r="N26" i="2"/>
  <c r="G26" i="2"/>
  <c r="B27" i="2"/>
  <c r="G27" i="2" l="1"/>
  <c r="M27" i="2"/>
  <c r="C27" i="2"/>
  <c r="I27" i="2"/>
  <c r="D27" i="2"/>
  <c r="L27" i="2"/>
  <c r="N27" i="2"/>
  <c r="F27" i="2"/>
  <c r="H27" i="2"/>
  <c r="J27" i="2"/>
  <c r="K27" i="2"/>
  <c r="E27" i="2"/>
  <c r="B28" i="2"/>
  <c r="O26" i="2"/>
  <c r="O27" i="2" l="1"/>
  <c r="E28" i="2"/>
  <c r="K28" i="2"/>
  <c r="G28" i="2"/>
  <c r="M28" i="2"/>
  <c r="H28" i="2"/>
  <c r="B29" i="2"/>
  <c r="J28" i="2"/>
  <c r="C28" i="2"/>
  <c r="L28" i="2"/>
  <c r="D28" i="2"/>
  <c r="N28" i="2"/>
  <c r="F28" i="2"/>
  <c r="I28" i="2"/>
  <c r="O28" i="2" l="1"/>
  <c r="C29" i="2"/>
  <c r="I29" i="2"/>
  <c r="E29" i="2"/>
  <c r="K29" i="2"/>
  <c r="L29" i="2"/>
  <c r="D29" i="2"/>
  <c r="M29" i="2"/>
  <c r="F29" i="2"/>
  <c r="G29" i="2"/>
  <c r="B30" i="2"/>
  <c r="H29" i="2"/>
  <c r="J29" i="2"/>
  <c r="N29" i="2"/>
  <c r="G30" i="2" l="1"/>
  <c r="M30" i="2"/>
  <c r="C30" i="2"/>
  <c r="I30" i="2"/>
  <c r="F30" i="2"/>
  <c r="B31" i="2"/>
  <c r="J30" i="2"/>
  <c r="K30" i="2"/>
  <c r="D30" i="2"/>
  <c r="L30" i="2"/>
  <c r="E30" i="2"/>
  <c r="N30" i="2"/>
  <c r="H30" i="2"/>
  <c r="O29" i="2"/>
  <c r="O30" i="2" l="1"/>
  <c r="E31" i="2"/>
  <c r="K31" i="2"/>
  <c r="G31" i="2"/>
  <c r="M31" i="2"/>
  <c r="J31" i="2"/>
  <c r="C31" i="2"/>
  <c r="D31" i="2"/>
  <c r="F31" i="2"/>
  <c r="H31" i="2"/>
  <c r="B32" i="2"/>
  <c r="I31" i="2"/>
  <c r="L31" i="2"/>
  <c r="N31" i="2"/>
  <c r="C32" i="2" l="1"/>
  <c r="I32" i="2"/>
  <c r="E32" i="2"/>
  <c r="K32" i="2"/>
  <c r="F32" i="2"/>
  <c r="N32" i="2"/>
  <c r="G32" i="2"/>
  <c r="H32" i="2"/>
  <c r="J32" i="2"/>
  <c r="L32" i="2"/>
  <c r="D32" i="2"/>
  <c r="M32" i="2"/>
  <c r="B33" i="2"/>
  <c r="O31" i="2"/>
  <c r="G33" i="2" l="1"/>
  <c r="M33" i="2"/>
  <c r="C33" i="2"/>
  <c r="I33" i="2"/>
  <c r="J33" i="2"/>
  <c r="D33" i="2"/>
  <c r="L33" i="2"/>
  <c r="E33" i="2"/>
  <c r="N33" i="2"/>
  <c r="F33" i="2"/>
  <c r="B34" i="2"/>
  <c r="H33" i="2"/>
  <c r="K33" i="2"/>
  <c r="O32" i="2"/>
  <c r="E34" i="2" l="1"/>
  <c r="K34" i="2"/>
  <c r="G34" i="2"/>
  <c r="M34" i="2"/>
  <c r="D34" i="2"/>
  <c r="N34" i="2"/>
  <c r="F34" i="2"/>
  <c r="B35" i="2"/>
  <c r="I34" i="2"/>
  <c r="J34" i="2"/>
  <c r="C34" i="2"/>
  <c r="L34" i="2"/>
  <c r="H34" i="2"/>
  <c r="O33" i="2"/>
  <c r="O34" i="2" l="1"/>
  <c r="C35" i="2"/>
  <c r="I35" i="2"/>
  <c r="E35" i="2"/>
  <c r="K35" i="2"/>
  <c r="H35" i="2"/>
  <c r="J35" i="2"/>
  <c r="L35" i="2"/>
  <c r="D35" i="2"/>
  <c r="M35" i="2"/>
  <c r="F35" i="2"/>
  <c r="N35" i="2"/>
  <c r="G35" i="2"/>
  <c r="B36" i="2"/>
  <c r="O35" i="2" l="1"/>
  <c r="G36" i="2"/>
  <c r="M36" i="2"/>
  <c r="C36" i="2"/>
  <c r="I36" i="2"/>
  <c r="D36" i="2"/>
  <c r="L36" i="2"/>
  <c r="N36" i="2"/>
  <c r="F36" i="2"/>
  <c r="H36" i="2"/>
  <c r="J36" i="2"/>
  <c r="K36" i="2"/>
  <c r="E36" i="2"/>
  <c r="B37" i="2"/>
  <c r="O36" i="2" l="1"/>
  <c r="E37" i="2"/>
  <c r="K37" i="2"/>
  <c r="G37" i="2"/>
  <c r="M37" i="2"/>
  <c r="H37" i="2"/>
  <c r="B38" i="2"/>
  <c r="C37" i="2"/>
  <c r="L37" i="2"/>
  <c r="D37" i="2"/>
  <c r="N37" i="2"/>
  <c r="J37" i="2"/>
  <c r="F37" i="2"/>
  <c r="I37" i="2"/>
  <c r="O37" i="2" l="1"/>
  <c r="C38" i="2"/>
  <c r="I38" i="2"/>
  <c r="E38" i="2"/>
  <c r="K38" i="2"/>
  <c r="L38" i="2"/>
  <c r="M38" i="2"/>
  <c r="D38" i="2"/>
  <c r="G38" i="2"/>
  <c r="B39" i="2"/>
  <c r="H38" i="2"/>
  <c r="J38" i="2"/>
  <c r="F38" i="2"/>
  <c r="N38" i="2"/>
  <c r="G39" i="2" l="1"/>
  <c r="M39" i="2"/>
  <c r="C39" i="2"/>
  <c r="I39" i="2"/>
  <c r="F39" i="2"/>
  <c r="B40" i="2"/>
  <c r="K39" i="2"/>
  <c r="D39" i="2"/>
  <c r="L39" i="2"/>
  <c r="E39" i="2"/>
  <c r="N39" i="2"/>
  <c r="H39" i="2"/>
  <c r="J39" i="2"/>
  <c r="O38" i="2"/>
  <c r="E40" i="2" l="1"/>
  <c r="K40" i="2"/>
  <c r="G40" i="2"/>
  <c r="M40" i="2"/>
  <c r="J40" i="2"/>
  <c r="L40" i="2"/>
  <c r="F40" i="2"/>
  <c r="H40" i="2"/>
  <c r="B41" i="2"/>
  <c r="I40" i="2"/>
  <c r="C40" i="2"/>
  <c r="D40" i="2"/>
  <c r="N40" i="2"/>
  <c r="O39" i="2"/>
  <c r="C41" i="2" l="1"/>
  <c r="I41" i="2"/>
  <c r="E41" i="2"/>
  <c r="K41" i="2"/>
  <c r="F41" i="2"/>
  <c r="N41" i="2"/>
  <c r="B42" i="2"/>
  <c r="B43" i="2" s="1"/>
  <c r="J41" i="2"/>
  <c r="L41" i="2"/>
  <c r="D41" i="2"/>
  <c r="M41" i="2"/>
  <c r="G41" i="2"/>
  <c r="H41" i="2"/>
  <c r="O40" i="2"/>
  <c r="E43" i="2" l="1"/>
  <c r="K43" i="2"/>
  <c r="H43" i="2"/>
  <c r="C43" i="2"/>
  <c r="D43" i="2"/>
  <c r="F43" i="2"/>
  <c r="L43" i="2"/>
  <c r="N43" i="2"/>
  <c r="J43" i="2"/>
  <c r="G43" i="2"/>
  <c r="M43" i="2"/>
  <c r="I43" i="2"/>
  <c r="B44" i="2"/>
  <c r="G42" i="2"/>
  <c r="M42" i="2"/>
  <c r="C42" i="2"/>
  <c r="I42" i="2"/>
  <c r="J42" i="2"/>
  <c r="K42" i="2"/>
  <c r="E42" i="2"/>
  <c r="N42" i="2"/>
  <c r="F42" i="2"/>
  <c r="H42" i="2"/>
  <c r="D42" i="2"/>
  <c r="L42" i="2"/>
  <c r="O41" i="2"/>
  <c r="O43" i="2" l="1"/>
  <c r="C44" i="2"/>
  <c r="I44" i="2"/>
  <c r="L44" i="2"/>
  <c r="G44" i="2"/>
  <c r="H44" i="2"/>
  <c r="D44" i="2"/>
  <c r="J44" i="2"/>
  <c r="B45" i="2"/>
  <c r="N44" i="2"/>
  <c r="E44" i="2"/>
  <c r="K44" i="2"/>
  <c r="F44" i="2"/>
  <c r="M44" i="2"/>
  <c r="O42" i="2"/>
  <c r="G45" i="2" l="1"/>
  <c r="M45" i="2"/>
  <c r="B46" i="2"/>
  <c r="E45" i="2"/>
  <c r="L45" i="2"/>
  <c r="H45" i="2"/>
  <c r="N45" i="2"/>
  <c r="D45" i="2"/>
  <c r="K45" i="2"/>
  <c r="C45" i="2"/>
  <c r="I45" i="2"/>
  <c r="J45" i="2"/>
  <c r="F45" i="2"/>
  <c r="O44" i="2"/>
  <c r="O45" i="2" l="1"/>
  <c r="E46" i="2"/>
  <c r="K46" i="2"/>
  <c r="I46" i="2"/>
  <c r="J46" i="2"/>
  <c r="F46" i="2"/>
  <c r="L46" i="2"/>
  <c r="H46" i="2"/>
  <c r="D46" i="2"/>
  <c r="G46" i="2"/>
  <c r="M46" i="2"/>
  <c r="N46" i="2"/>
  <c r="C46" i="2"/>
  <c r="B47" i="2"/>
  <c r="O46" i="2" l="1"/>
  <c r="C47" i="2"/>
  <c r="I47" i="2"/>
  <c r="F47" i="2"/>
  <c r="M47" i="2"/>
  <c r="D47" i="2"/>
  <c r="J47" i="2"/>
  <c r="B48" i="2"/>
  <c r="L47" i="2"/>
  <c r="H47" i="2"/>
  <c r="E47" i="2"/>
  <c r="K47" i="2"/>
  <c r="G47" i="2"/>
  <c r="N47" i="2"/>
  <c r="G48" i="2" l="1"/>
  <c r="M48" i="2"/>
  <c r="J48" i="2"/>
  <c r="F48" i="2"/>
  <c r="H48" i="2"/>
  <c r="N48" i="2"/>
  <c r="B49" i="2"/>
  <c r="E48" i="2"/>
  <c r="L48" i="2"/>
  <c r="C48" i="2"/>
  <c r="I48" i="2"/>
  <c r="D48" i="2"/>
  <c r="K48" i="2"/>
  <c r="O47" i="2"/>
  <c r="O48" i="2" l="1"/>
  <c r="E49" i="2"/>
  <c r="K49" i="2"/>
  <c r="H49" i="2"/>
  <c r="C49" i="2"/>
  <c r="D49" i="2"/>
  <c r="F49" i="2"/>
  <c r="L49" i="2"/>
  <c r="I49" i="2"/>
  <c r="B50" i="2"/>
  <c r="G49" i="2"/>
  <c r="M49" i="2"/>
  <c r="N49" i="2"/>
  <c r="J49" i="2"/>
  <c r="O49" i="2" l="1"/>
  <c r="C50" i="2"/>
  <c r="I50" i="2"/>
  <c r="H50" i="2"/>
  <c r="D50" i="2"/>
  <c r="J50" i="2"/>
  <c r="B51" i="2"/>
  <c r="F50" i="2"/>
  <c r="L50" i="2"/>
  <c r="M50" i="2"/>
  <c r="E50" i="2"/>
  <c r="K50" i="2"/>
  <c r="G50" i="2"/>
  <c r="N50" i="2"/>
  <c r="O50" i="2" l="1"/>
  <c r="G51" i="2"/>
  <c r="M51" i="2"/>
  <c r="D51" i="2"/>
  <c r="E51" i="2"/>
  <c r="L51" i="2"/>
  <c r="H51" i="2"/>
  <c r="N51" i="2"/>
  <c r="B52" i="2"/>
  <c r="F51" i="2"/>
  <c r="C51" i="2"/>
  <c r="I51" i="2"/>
  <c r="J51" i="2"/>
  <c r="K51" i="2"/>
  <c r="E52" i="2" l="1"/>
  <c r="K52" i="2"/>
  <c r="H52" i="2"/>
  <c r="I52" i="2"/>
  <c r="B53" i="2"/>
  <c r="F52" i="2"/>
  <c r="L52" i="2"/>
  <c r="C52" i="2"/>
  <c r="J52" i="2"/>
  <c r="G52" i="2"/>
  <c r="M52" i="2"/>
  <c r="N52" i="2"/>
  <c r="D52" i="2"/>
  <c r="O51" i="2"/>
  <c r="C53" i="2" l="1"/>
  <c r="I53" i="2"/>
  <c r="L53" i="2"/>
  <c r="M53" i="2"/>
  <c r="D53" i="2"/>
  <c r="J53" i="2"/>
  <c r="B54" i="2"/>
  <c r="F53" i="2"/>
  <c r="G53" i="2"/>
  <c r="N53" i="2"/>
  <c r="E53" i="2"/>
  <c r="K53" i="2"/>
  <c r="H53" i="2"/>
  <c r="O52" i="2"/>
  <c r="G54" i="2" l="1"/>
  <c r="M54" i="2"/>
  <c r="J54" i="2"/>
  <c r="F54" i="2"/>
  <c r="H54" i="2"/>
  <c r="N54" i="2"/>
  <c r="B55" i="2"/>
  <c r="K54" i="2"/>
  <c r="C54" i="2"/>
  <c r="I54" i="2"/>
  <c r="D54" i="2"/>
  <c r="E54" i="2"/>
  <c r="L54" i="2"/>
  <c r="O53" i="2"/>
  <c r="O54" i="2" l="1"/>
  <c r="E55" i="2"/>
  <c r="K55" i="2"/>
  <c r="N55" i="2"/>
  <c r="C55" i="2"/>
  <c r="J55" i="2"/>
  <c r="F55" i="2"/>
  <c r="L55" i="2"/>
  <c r="D55" i="2"/>
  <c r="G55" i="2"/>
  <c r="M55" i="2"/>
  <c r="H55" i="2"/>
  <c r="I55" i="2"/>
  <c r="B56" i="2"/>
  <c r="G56" i="2" l="1"/>
  <c r="M56" i="2"/>
  <c r="H56" i="2"/>
  <c r="N56" i="2"/>
  <c r="C56" i="2"/>
  <c r="I56" i="2"/>
  <c r="D56" i="2"/>
  <c r="J56" i="2"/>
  <c r="E56" i="2"/>
  <c r="K56" i="2"/>
  <c r="F56" i="2"/>
  <c r="L56" i="2"/>
  <c r="B57" i="2"/>
  <c r="O55" i="2"/>
  <c r="O56" i="2" l="1"/>
  <c r="F57" i="2"/>
  <c r="L57" i="2"/>
  <c r="G57" i="2"/>
  <c r="M57" i="2"/>
  <c r="H57" i="2"/>
  <c r="N57" i="2"/>
  <c r="C57" i="2"/>
  <c r="I57" i="2"/>
  <c r="D57" i="2"/>
  <c r="J57" i="2"/>
  <c r="E57" i="2"/>
  <c r="K57" i="2"/>
  <c r="B58" i="2"/>
  <c r="E58" i="2" l="1"/>
  <c r="K58" i="2"/>
  <c r="F58" i="2"/>
  <c r="L58" i="2"/>
  <c r="G58" i="2"/>
  <c r="M58" i="2"/>
  <c r="H58" i="2"/>
  <c r="N58" i="2"/>
  <c r="C58" i="2"/>
  <c r="I58" i="2"/>
  <c r="D58" i="2"/>
  <c r="J58" i="2"/>
  <c r="O57" i="2"/>
  <c r="B59" i="2"/>
  <c r="D59" i="2" l="1"/>
  <c r="J59" i="2"/>
  <c r="E59" i="2"/>
  <c r="K59" i="2"/>
  <c r="F59" i="2"/>
  <c r="L59" i="2"/>
  <c r="G59" i="2"/>
  <c r="M59" i="2"/>
  <c r="H59" i="2"/>
  <c r="N59" i="2"/>
  <c r="C59" i="2"/>
  <c r="O59" i="2" s="1"/>
  <c r="I59" i="2"/>
  <c r="O58" i="2"/>
  <c r="B60" i="2"/>
  <c r="C60" i="2" l="1"/>
  <c r="I60" i="2"/>
  <c r="D60" i="2"/>
  <c r="J60" i="2"/>
  <c r="E60" i="2"/>
  <c r="K60" i="2"/>
  <c r="F60" i="2"/>
  <c r="L60" i="2"/>
  <c r="G60" i="2"/>
  <c r="M60" i="2"/>
  <c r="H60" i="2"/>
  <c r="N60" i="2"/>
  <c r="B61" i="2"/>
  <c r="H61" i="2" l="1"/>
  <c r="N61" i="2"/>
  <c r="C61" i="2"/>
  <c r="I61" i="2"/>
  <c r="D61" i="2"/>
  <c r="J61" i="2"/>
  <c r="E61" i="2"/>
  <c r="K61" i="2"/>
  <c r="F61" i="2"/>
  <c r="L61" i="2"/>
  <c r="G61" i="2"/>
  <c r="M61" i="2"/>
  <c r="O60" i="2"/>
  <c r="B62" i="2"/>
  <c r="G62" i="2" l="1"/>
  <c r="M62" i="2"/>
  <c r="H62" i="2"/>
  <c r="F30" i="1" s="1"/>
  <c r="N62" i="2"/>
  <c r="C62" i="2"/>
  <c r="H17" i="4" s="1"/>
  <c r="I62" i="2"/>
  <c r="D62" i="2"/>
  <c r="J62" i="2"/>
  <c r="E62" i="2"/>
  <c r="K62" i="2"/>
  <c r="F62" i="2"/>
  <c r="L62" i="2"/>
  <c r="O61" i="2"/>
  <c r="E24" i="1" l="1"/>
  <c r="E42" i="1" s="1"/>
  <c r="K22" i="1"/>
  <c r="K25" i="4"/>
  <c r="D25" i="4"/>
  <c r="H27" i="4"/>
  <c r="H45" i="4" s="1"/>
  <c r="F20" i="1"/>
  <c r="F55" i="1" s="1"/>
  <c r="H21" i="1"/>
  <c r="I19" i="1"/>
  <c r="E25" i="4"/>
  <c r="E60" i="4" s="1"/>
  <c r="K30" i="4"/>
  <c r="L28" i="4"/>
  <c r="L63" i="4" s="1"/>
  <c r="G24" i="4"/>
  <c r="G42" i="4" s="1"/>
  <c r="D22" i="1"/>
  <c r="D57" i="1" s="1"/>
  <c r="J23" i="1"/>
  <c r="G25" i="1"/>
  <c r="F21" i="1"/>
  <c r="H26" i="4"/>
  <c r="H61" i="4" s="1"/>
  <c r="F30" i="4"/>
  <c r="F48" i="4" s="1"/>
  <c r="L30" i="4"/>
  <c r="H22" i="4"/>
  <c r="H25" i="4"/>
  <c r="H43" i="4" s="1"/>
  <c r="F26" i="1"/>
  <c r="F44" i="1" s="1"/>
  <c r="I27" i="1"/>
  <c r="I45" i="1" s="1"/>
  <c r="D25" i="1"/>
  <c r="D60" i="1" s="1"/>
  <c r="K21" i="1"/>
  <c r="K39" i="1" s="1"/>
  <c r="D19" i="1"/>
  <c r="H28" i="4"/>
  <c r="L17" i="1"/>
  <c r="H30" i="1"/>
  <c r="H65" i="1" s="1"/>
  <c r="L20" i="4"/>
  <c r="L55" i="4" s="1"/>
  <c r="C17" i="1"/>
  <c r="L26" i="1"/>
  <c r="F25" i="1"/>
  <c r="F43" i="1" s="1"/>
  <c r="E30" i="1"/>
  <c r="E65" i="1" s="1"/>
  <c r="H21" i="4"/>
  <c r="H56" i="4" s="1"/>
  <c r="H19" i="4"/>
  <c r="H37" i="4" s="1"/>
  <c r="E23" i="1"/>
  <c r="E58" i="1" s="1"/>
  <c r="E30" i="4"/>
  <c r="G27" i="1"/>
  <c r="J22" i="1"/>
  <c r="E29" i="1"/>
  <c r="E47" i="1" s="1"/>
  <c r="E19" i="1"/>
  <c r="E37" i="1" s="1"/>
  <c r="J19" i="4"/>
  <c r="G24" i="1"/>
  <c r="J20" i="4"/>
  <c r="J38" i="4" s="1"/>
  <c r="J17" i="1"/>
  <c r="J52" i="1" s="1"/>
  <c r="J18" i="4"/>
  <c r="J36" i="4" s="1"/>
  <c r="G29" i="4"/>
  <c r="G64" i="4" s="1"/>
  <c r="O62" i="2"/>
  <c r="I25" i="4"/>
  <c r="D26" i="1"/>
  <c r="J29" i="4"/>
  <c r="J47" i="4" s="1"/>
  <c r="F27" i="1"/>
  <c r="F62" i="1" s="1"/>
  <c r="E18" i="1"/>
  <c r="E36" i="1" s="1"/>
  <c r="E24" i="4"/>
  <c r="J17" i="4"/>
  <c r="E21" i="1"/>
  <c r="E56" i="1" s="1"/>
  <c r="L23" i="4"/>
  <c r="L58" i="4" s="1"/>
  <c r="F26" i="4"/>
  <c r="F61" i="4" s="1"/>
  <c r="H28" i="1"/>
  <c r="H63" i="1" s="1"/>
  <c r="I23" i="4"/>
  <c r="I58" i="4" s="1"/>
  <c r="D28" i="1"/>
  <c r="J21" i="1"/>
  <c r="D30" i="4"/>
  <c r="D48" i="4" s="1"/>
  <c r="F28" i="1"/>
  <c r="F63" i="1" s="1"/>
  <c r="D30" i="1"/>
  <c r="D48" i="1" s="1"/>
  <c r="C29" i="4"/>
  <c r="H20" i="1"/>
  <c r="D29" i="4"/>
  <c r="D47" i="4" s="1"/>
  <c r="F18" i="4"/>
  <c r="F36" i="4" s="1"/>
  <c r="F24" i="4"/>
  <c r="F42" i="4" s="1"/>
  <c r="F23" i="1"/>
  <c r="F58" i="1" s="1"/>
  <c r="H18" i="4"/>
  <c r="H53" i="4" s="1"/>
  <c r="J26" i="4"/>
  <c r="I30" i="4"/>
  <c r="J30" i="1"/>
  <c r="J65" i="1" s="1"/>
  <c r="K27" i="4"/>
  <c r="K62" i="4" s="1"/>
  <c r="I29" i="1"/>
  <c r="I47" i="1" s="1"/>
  <c r="C28" i="4"/>
  <c r="H25" i="1"/>
  <c r="C19" i="1"/>
  <c r="C37" i="1" s="1"/>
  <c r="D27" i="4"/>
  <c r="D45" i="4" s="1"/>
  <c r="F19" i="4"/>
  <c r="F54" i="4" s="1"/>
  <c r="L22" i="1"/>
  <c r="L57" i="1" s="1"/>
  <c r="L17" i="4"/>
  <c r="L35" i="4" s="1"/>
  <c r="F22" i="1"/>
  <c r="E17" i="1"/>
  <c r="G27" i="4"/>
  <c r="G62" i="4" s="1"/>
  <c r="C18" i="4"/>
  <c r="C53" i="4" s="1"/>
  <c r="C18" i="1"/>
  <c r="C36" i="1" s="1"/>
  <c r="I23" i="1"/>
  <c r="F19" i="1"/>
  <c r="F25" i="4"/>
  <c r="F60" i="4" s="1"/>
  <c r="H27" i="1"/>
  <c r="H45" i="1" s="1"/>
  <c r="D19" i="4"/>
  <c r="D54" i="4" s="1"/>
  <c r="J22" i="4"/>
  <c r="J40" i="4" s="1"/>
  <c r="G18" i="4"/>
  <c r="G53" i="4" s="1"/>
  <c r="F18" i="1"/>
  <c r="E19" i="4"/>
  <c r="G21" i="1"/>
  <c r="G39" i="1" s="1"/>
  <c r="K20" i="1"/>
  <c r="K55" i="1" s="1"/>
  <c r="H24" i="4"/>
  <c r="H59" i="4" s="1"/>
  <c r="H26" i="1"/>
  <c r="H44" i="1" s="1"/>
  <c r="K20" i="4"/>
  <c r="H20" i="4"/>
  <c r="H55" i="4" s="1"/>
  <c r="K25" i="1"/>
  <c r="K60" i="1" s="1"/>
  <c r="L25" i="1"/>
  <c r="L60" i="1" s="1"/>
  <c r="K30" i="1"/>
  <c r="K48" i="1" s="1"/>
  <c r="C29" i="1"/>
  <c r="C64" i="1" s="1"/>
  <c r="E17" i="4"/>
  <c r="G23" i="4"/>
  <c r="C22" i="4"/>
  <c r="C57" i="4" s="1"/>
  <c r="L27" i="1"/>
  <c r="L62" i="1" s="1"/>
  <c r="H19" i="1"/>
  <c r="H37" i="1" s="1"/>
  <c r="L20" i="1"/>
  <c r="L38" i="1" s="1"/>
  <c r="J24" i="1"/>
  <c r="E28" i="4"/>
  <c r="E46" i="4" s="1"/>
  <c r="K19" i="4"/>
  <c r="K37" i="4" s="1"/>
  <c r="F29" i="1"/>
  <c r="F47" i="1" s="1"/>
  <c r="F24" i="1"/>
  <c r="F59" i="1" s="1"/>
  <c r="L27" i="4"/>
  <c r="L45" i="4" s="1"/>
  <c r="D22" i="4"/>
  <c r="G17" i="4"/>
  <c r="G28" i="4"/>
  <c r="G63" i="4" s="1"/>
  <c r="K24" i="4"/>
  <c r="K42" i="4" s="1"/>
  <c r="G18" i="1"/>
  <c r="G36" i="1" s="1"/>
  <c r="G17" i="1"/>
  <c r="G35" i="1" s="1"/>
  <c r="E25" i="1"/>
  <c r="E43" i="1" s="1"/>
  <c r="D18" i="4"/>
  <c r="D36" i="4" s="1"/>
  <c r="F20" i="4"/>
  <c r="F55" i="4" s="1"/>
  <c r="K18" i="4"/>
  <c r="K53" i="4" s="1"/>
  <c r="K19" i="1"/>
  <c r="K54" i="1" s="1"/>
  <c r="L29" i="1"/>
  <c r="L64" i="1" s="1"/>
  <c r="D17" i="4"/>
  <c r="L19" i="4"/>
  <c r="E20" i="4"/>
  <c r="E55" i="4" s="1"/>
  <c r="L29" i="4"/>
  <c r="L47" i="4" s="1"/>
  <c r="D17" i="1"/>
  <c r="D52" i="1" s="1"/>
  <c r="I22" i="1"/>
  <c r="I57" i="1" s="1"/>
  <c r="D21" i="1"/>
  <c r="D39" i="1" s="1"/>
  <c r="C21" i="1"/>
  <c r="C39" i="1" s="1"/>
  <c r="D24" i="1"/>
  <c r="D59" i="1" s="1"/>
  <c r="F29" i="4"/>
  <c r="F64" i="4" s="1"/>
  <c r="F17" i="4"/>
  <c r="F52" i="4" s="1"/>
  <c r="C20" i="4"/>
  <c r="C55" i="4" s="1"/>
  <c r="D27" i="1"/>
  <c r="D62" i="1" s="1"/>
  <c r="I26" i="1"/>
  <c r="E21" i="4"/>
  <c r="E56" i="4" s="1"/>
  <c r="C23" i="1"/>
  <c r="C41" i="1" s="1"/>
  <c r="C27" i="4"/>
  <c r="C62" i="4" s="1"/>
  <c r="J26" i="1"/>
  <c r="J44" i="1" s="1"/>
  <c r="H24" i="1"/>
  <c r="H42" i="1" s="1"/>
  <c r="E28" i="1"/>
  <c r="E63" i="1" s="1"/>
  <c r="H30" i="4"/>
  <c r="H65" i="4" s="1"/>
  <c r="I28" i="4"/>
  <c r="I63" i="4" s="1"/>
  <c r="D20" i="4"/>
  <c r="D38" i="4" s="1"/>
  <c r="L25" i="4"/>
  <c r="L43" i="4" s="1"/>
  <c r="H23" i="4"/>
  <c r="H41" i="4" s="1"/>
  <c r="K29" i="4"/>
  <c r="I20" i="4"/>
  <c r="I38" i="4" s="1"/>
  <c r="L24" i="1"/>
  <c r="L59" i="1" s="1"/>
  <c r="E18" i="4"/>
  <c r="E53" i="4" s="1"/>
  <c r="C30" i="1"/>
  <c r="C48" i="1" s="1"/>
  <c r="L24" i="4"/>
  <c r="L42" i="4" s="1"/>
  <c r="I18" i="4"/>
  <c r="I36" i="4" s="1"/>
  <c r="G20" i="1"/>
  <c r="G38" i="1" s="1"/>
  <c r="I17" i="4"/>
  <c r="I52" i="4" s="1"/>
  <c r="J19" i="1"/>
  <c r="J54" i="1" s="1"/>
  <c r="G30" i="4"/>
  <c r="G65" i="4" s="1"/>
  <c r="D18" i="1"/>
  <c r="D53" i="1" s="1"/>
  <c r="E26" i="4"/>
  <c r="D21" i="4"/>
  <c r="D56" i="4" s="1"/>
  <c r="G20" i="4"/>
  <c r="G55" i="4" s="1"/>
  <c r="I26" i="4"/>
  <c r="I61" i="4" s="1"/>
  <c r="D29" i="1"/>
  <c r="D47" i="1" s="1"/>
  <c r="C28" i="1"/>
  <c r="C63" i="1" s="1"/>
  <c r="L22" i="4"/>
  <c r="L57" i="4" s="1"/>
  <c r="C19" i="4"/>
  <c r="C54" i="4" s="1"/>
  <c r="G25" i="4"/>
  <c r="G60" i="4" s="1"/>
  <c r="L21" i="4"/>
  <c r="L39" i="4" s="1"/>
  <c r="H29" i="4"/>
  <c r="H47" i="4" s="1"/>
  <c r="G30" i="1"/>
  <c r="G65" i="1" s="1"/>
  <c r="F21" i="4"/>
  <c r="G28" i="1"/>
  <c r="G46" i="1" s="1"/>
  <c r="C27" i="1"/>
  <c r="C45" i="1" s="1"/>
  <c r="I24" i="4"/>
  <c r="I59" i="4" s="1"/>
  <c r="I30" i="1"/>
  <c r="I65" i="1" s="1"/>
  <c r="G26" i="4"/>
  <c r="G61" i="4" s="1"/>
  <c r="J29" i="1"/>
  <c r="J64" i="1" s="1"/>
  <c r="E23" i="4"/>
  <c r="E58" i="4" s="1"/>
  <c r="I18" i="1"/>
  <c r="I36" i="1" s="1"/>
  <c r="G21" i="4"/>
  <c r="G39" i="4" s="1"/>
  <c r="K23" i="4"/>
  <c r="K58" i="4" s="1"/>
  <c r="F28" i="4"/>
  <c r="F46" i="4" s="1"/>
  <c r="C25" i="4"/>
  <c r="E29" i="4"/>
  <c r="E47" i="4" s="1"/>
  <c r="D28" i="4"/>
  <c r="D46" i="4" s="1"/>
  <c r="G26" i="1"/>
  <c r="G44" i="1" s="1"/>
  <c r="C23" i="4"/>
  <c r="C41" i="4" s="1"/>
  <c r="H23" i="1"/>
  <c r="H41" i="1" s="1"/>
  <c r="F22" i="4"/>
  <c r="F40" i="4" s="1"/>
  <c r="C24" i="1"/>
  <c r="C59" i="1" s="1"/>
  <c r="C26" i="1"/>
  <c r="C44" i="1" s="1"/>
  <c r="G22" i="1"/>
  <c r="G57" i="1" s="1"/>
  <c r="K24" i="1"/>
  <c r="K42" i="1" s="1"/>
  <c r="D23" i="1"/>
  <c r="D41" i="1" s="1"/>
  <c r="J18" i="1"/>
  <c r="E20" i="1"/>
  <c r="E38" i="1" s="1"/>
  <c r="K23" i="1"/>
  <c r="K41" i="1" s="1"/>
  <c r="K27" i="1"/>
  <c r="K45" i="1" s="1"/>
  <c r="K21" i="4"/>
  <c r="K39" i="4" s="1"/>
  <c r="J25" i="1"/>
  <c r="J60" i="1" s="1"/>
  <c r="L30" i="1"/>
  <c r="L65" i="1" s="1"/>
  <c r="J28" i="4"/>
  <c r="J46" i="4" s="1"/>
  <c r="I22" i="4"/>
  <c r="I57" i="4" s="1"/>
  <c r="L23" i="1"/>
  <c r="L58" i="1" s="1"/>
  <c r="I20" i="1"/>
  <c r="I55" i="1" s="1"/>
  <c r="D23" i="4"/>
  <c r="D58" i="4" s="1"/>
  <c r="L18" i="1"/>
  <c r="L53" i="1" s="1"/>
  <c r="K28" i="4"/>
  <c r="K63" i="4" s="1"/>
  <c r="K22" i="4"/>
  <c r="K40" i="4" s="1"/>
  <c r="C25" i="1"/>
  <c r="C60" i="1" s="1"/>
  <c r="F27" i="4"/>
  <c r="F62" i="4" s="1"/>
  <c r="H17" i="1"/>
  <c r="H35" i="1" s="1"/>
  <c r="J23" i="4"/>
  <c r="J58" i="4" s="1"/>
  <c r="I21" i="1"/>
  <c r="I56" i="1" s="1"/>
  <c r="E27" i="4"/>
  <c r="E62" i="4" s="1"/>
  <c r="G29" i="1"/>
  <c r="G64" i="1" s="1"/>
  <c r="G23" i="1"/>
  <c r="G41" i="1" s="1"/>
  <c r="C17" i="4"/>
  <c r="C52" i="4" s="1"/>
  <c r="E27" i="1"/>
  <c r="E45" i="1" s="1"/>
  <c r="C21" i="4"/>
  <c r="C39" i="4" s="1"/>
  <c r="I28" i="1"/>
  <c r="I46" i="1" s="1"/>
  <c r="H22" i="1"/>
  <c r="H40" i="1" s="1"/>
  <c r="K17" i="1"/>
  <c r="K52" i="1" s="1"/>
  <c r="J27" i="1"/>
  <c r="J62" i="1" s="1"/>
  <c r="E22" i="1"/>
  <c r="E40" i="1" s="1"/>
  <c r="J30" i="4"/>
  <c r="J48" i="4" s="1"/>
  <c r="K29" i="1"/>
  <c r="K47" i="1" s="1"/>
  <c r="D26" i="4"/>
  <c r="D44" i="4" s="1"/>
  <c r="I29" i="4"/>
  <c r="I47" i="4" s="1"/>
  <c r="J20" i="1"/>
  <c r="J38" i="1" s="1"/>
  <c r="C30" i="4"/>
  <c r="C65" i="4" s="1"/>
  <c r="C20" i="1"/>
  <c r="C38" i="1" s="1"/>
  <c r="C22" i="1"/>
  <c r="C40" i="1" s="1"/>
  <c r="I21" i="4"/>
  <c r="I39" i="4" s="1"/>
  <c r="E26" i="1"/>
  <c r="E61" i="1" s="1"/>
  <c r="L21" i="1"/>
  <c r="L56" i="1" s="1"/>
  <c r="D24" i="4"/>
  <c r="D42" i="4" s="1"/>
  <c r="C24" i="4"/>
  <c r="C42" i="4" s="1"/>
  <c r="I19" i="4"/>
  <c r="I54" i="4" s="1"/>
  <c r="K26" i="4"/>
  <c r="K44" i="4" s="1"/>
  <c r="C26" i="4"/>
  <c r="C61" i="4" s="1"/>
  <c r="F23" i="4"/>
  <c r="F58" i="4" s="1"/>
  <c r="I25" i="1"/>
  <c r="I43" i="1" s="1"/>
  <c r="E22" i="4"/>
  <c r="E57" i="4" s="1"/>
  <c r="J28" i="1"/>
  <c r="J46" i="1" s="1"/>
  <c r="F17" i="1"/>
  <c r="F35" i="1" s="1"/>
  <c r="H18" i="1"/>
  <c r="H36" i="1" s="1"/>
  <c r="L18" i="4"/>
  <c r="L36" i="4" s="1"/>
  <c r="D20" i="1"/>
  <c r="D55" i="1" s="1"/>
  <c r="K28" i="1"/>
  <c r="K46" i="1" s="1"/>
  <c r="H29" i="1"/>
  <c r="H64" i="1" s="1"/>
  <c r="J24" i="4"/>
  <c r="J59" i="4" s="1"/>
  <c r="G19" i="4"/>
  <c r="G37" i="4" s="1"/>
  <c r="L28" i="1"/>
  <c r="L63" i="1" s="1"/>
  <c r="K18" i="1"/>
  <c r="K53" i="1" s="1"/>
  <c r="L26" i="4"/>
  <c r="L61" i="4" s="1"/>
  <c r="J27" i="4"/>
  <c r="J45" i="4" s="1"/>
  <c r="G19" i="1"/>
  <c r="G54" i="1" s="1"/>
  <c r="K17" i="4"/>
  <c r="K52" i="4" s="1"/>
  <c r="I24" i="1"/>
  <c r="I59" i="1" s="1"/>
  <c r="J21" i="4"/>
  <c r="J56" i="4" s="1"/>
  <c r="L19" i="1"/>
  <c r="L37" i="1" s="1"/>
  <c r="J25" i="4"/>
  <c r="J60" i="4" s="1"/>
  <c r="K26" i="1"/>
  <c r="K61" i="1" s="1"/>
  <c r="I27" i="4"/>
  <c r="I62" i="4" s="1"/>
  <c r="I17" i="1"/>
  <c r="I35" i="1" s="1"/>
  <c r="G22" i="4"/>
  <c r="G57" i="4" s="1"/>
  <c r="I60" i="4"/>
  <c r="I43" i="4"/>
  <c r="D61" i="1"/>
  <c r="D44" i="1"/>
  <c r="J64" i="4"/>
  <c r="E59" i="4"/>
  <c r="E42" i="4"/>
  <c r="J35" i="4"/>
  <c r="J52" i="4"/>
  <c r="I41" i="4"/>
  <c r="D46" i="1"/>
  <c r="D63" i="1"/>
  <c r="J39" i="1"/>
  <c r="J56" i="1"/>
  <c r="D65" i="4"/>
  <c r="C64" i="4"/>
  <c r="C47" i="4"/>
  <c r="H55" i="1"/>
  <c r="H38" i="1"/>
  <c r="D64" i="4"/>
  <c r="J61" i="4"/>
  <c r="J44" i="4"/>
  <c r="I65" i="4"/>
  <c r="I48" i="4"/>
  <c r="C63" i="4"/>
  <c r="C46" i="4"/>
  <c r="H60" i="1"/>
  <c r="H43" i="1"/>
  <c r="C54" i="1"/>
  <c r="F57" i="1"/>
  <c r="F40" i="1"/>
  <c r="E35" i="1"/>
  <c r="E52" i="1"/>
  <c r="I41" i="1"/>
  <c r="I58" i="1"/>
  <c r="F37" i="1"/>
  <c r="F54" i="1"/>
  <c r="L38" i="4"/>
  <c r="I54" i="1"/>
  <c r="I37" i="1"/>
  <c r="J55" i="4"/>
  <c r="J58" i="1"/>
  <c r="J41" i="1"/>
  <c r="C35" i="1"/>
  <c r="C52" i="1"/>
  <c r="G62" i="1"/>
  <c r="G45" i="1"/>
  <c r="K40" i="1"/>
  <c r="K57" i="1"/>
  <c r="F65" i="4"/>
  <c r="L44" i="1"/>
  <c r="L61" i="1"/>
  <c r="J40" i="1"/>
  <c r="J57" i="1"/>
  <c r="J54" i="4"/>
  <c r="J37" i="4"/>
  <c r="K65" i="4"/>
  <c r="K48" i="4"/>
  <c r="K43" i="4"/>
  <c r="K60" i="4"/>
  <c r="L65" i="4"/>
  <c r="L48" i="4"/>
  <c r="D37" i="1"/>
  <c r="D54" i="1"/>
  <c r="G60" i="1"/>
  <c r="G43" i="1"/>
  <c r="H40" i="4"/>
  <c r="H57" i="4"/>
  <c r="G59" i="1"/>
  <c r="G42" i="1"/>
  <c r="J35" i="1"/>
  <c r="H63" i="4"/>
  <c r="H46" i="4"/>
  <c r="E48" i="1"/>
  <c r="L35" i="1"/>
  <c r="L52" i="1"/>
  <c r="H35" i="4"/>
  <c r="H52" i="4"/>
  <c r="H39" i="1"/>
  <c r="H56" i="1"/>
  <c r="F61" i="1"/>
  <c r="F56" i="1"/>
  <c r="F39" i="1"/>
  <c r="F53" i="1"/>
  <c r="F36" i="1"/>
  <c r="E37" i="4"/>
  <c r="E54" i="4"/>
  <c r="K38" i="4"/>
  <c r="K55" i="4"/>
  <c r="E52" i="4"/>
  <c r="E35" i="4"/>
  <c r="G58" i="4"/>
  <c r="G41" i="4"/>
  <c r="J59" i="1"/>
  <c r="J42" i="1"/>
  <c r="D57" i="4"/>
  <c r="D40" i="4"/>
  <c r="G52" i="4"/>
  <c r="G35" i="4"/>
  <c r="D35" i="4"/>
  <c r="D52" i="4"/>
  <c r="L54" i="4"/>
  <c r="L37" i="4"/>
  <c r="D43" i="4"/>
  <c r="D60" i="4"/>
  <c r="E65" i="4"/>
  <c r="E48" i="4"/>
  <c r="E41" i="1"/>
  <c r="F65" i="1"/>
  <c r="F48" i="1"/>
  <c r="I44" i="1"/>
  <c r="I61" i="1"/>
  <c r="E39" i="4"/>
  <c r="K64" i="4"/>
  <c r="K47" i="4"/>
  <c r="E61" i="4"/>
  <c r="E44" i="4"/>
  <c r="G48" i="1"/>
  <c r="F56" i="4"/>
  <c r="F39" i="4"/>
  <c r="C43" i="4"/>
  <c r="C60" i="4"/>
  <c r="J36" i="1"/>
  <c r="J53" i="1"/>
  <c r="D41" i="4"/>
  <c r="L36" i="1"/>
  <c r="L59" i="4" l="1"/>
  <c r="K43" i="1"/>
  <c r="K56" i="4"/>
  <c r="G52" i="1"/>
  <c r="D53" i="4"/>
  <c r="E63" i="4"/>
  <c r="H58" i="4"/>
  <c r="G44" i="4"/>
  <c r="D56" i="1"/>
  <c r="D45" i="1"/>
  <c r="D36" i="1"/>
  <c r="F63" i="4"/>
  <c r="C35" i="4"/>
  <c r="D58" i="1"/>
  <c r="E60" i="1"/>
  <c r="G55" i="1"/>
  <c r="K54" i="4"/>
  <c r="F38" i="4"/>
  <c r="D62" i="4"/>
  <c r="F53" i="4"/>
  <c r="L41" i="4"/>
  <c r="H62" i="1"/>
  <c r="H48" i="4"/>
  <c r="G59" i="4"/>
  <c r="D43" i="1"/>
  <c r="H61" i="1"/>
  <c r="L55" i="1"/>
  <c r="C58" i="4"/>
  <c r="I40" i="1"/>
  <c r="G46" i="4"/>
  <c r="I55" i="4"/>
  <c r="E38" i="4"/>
  <c r="C40" i="4"/>
  <c r="K46" i="4"/>
  <c r="C56" i="4"/>
  <c r="E64" i="4"/>
  <c r="D39" i="4"/>
  <c r="G56" i="1"/>
  <c r="G45" i="4"/>
  <c r="J48" i="1"/>
  <c r="C55" i="1"/>
  <c r="G63" i="1"/>
  <c r="E55" i="1"/>
  <c r="I39" i="1"/>
  <c r="C42" i="1"/>
  <c r="L62" i="4"/>
  <c r="D42" i="1"/>
  <c r="C37" i="4"/>
  <c r="J65" i="4"/>
  <c r="J63" i="4"/>
  <c r="E62" i="1"/>
  <c r="E41" i="4"/>
  <c r="H36" i="4"/>
  <c r="F45" i="4"/>
  <c r="C65" i="1"/>
  <c r="H59" i="1"/>
  <c r="I48" i="1"/>
  <c r="D64" i="1"/>
  <c r="J61" i="1"/>
  <c r="H58" i="1"/>
  <c r="C46" i="1"/>
  <c r="H52" i="1"/>
  <c r="J43" i="1"/>
  <c r="I53" i="4"/>
  <c r="L60" i="4"/>
  <c r="J47" i="1"/>
  <c r="F57" i="4"/>
  <c r="H60" i="4"/>
  <c r="E43" i="4"/>
  <c r="I64" i="4"/>
  <c r="G58" i="1"/>
  <c r="C47" i="1"/>
  <c r="C44" i="4"/>
  <c r="H64" i="4"/>
  <c r="E46" i="1"/>
  <c r="F60" i="1"/>
  <c r="I38" i="1"/>
  <c r="C38" i="4"/>
  <c r="K41" i="4"/>
  <c r="L47" i="1"/>
  <c r="G36" i="4"/>
  <c r="J41" i="4"/>
  <c r="H38" i="4"/>
  <c r="C56" i="1"/>
  <c r="D40" i="1"/>
  <c r="F43" i="4"/>
  <c r="L52" i="4"/>
  <c r="E39" i="1"/>
  <c r="L40" i="4"/>
  <c r="G48" i="4"/>
  <c r="E59" i="1"/>
  <c r="K56" i="1"/>
  <c r="L48" i="1"/>
  <c r="K59" i="1"/>
  <c r="E64" i="1"/>
  <c r="F44" i="4"/>
  <c r="H54" i="4"/>
  <c r="E54" i="1"/>
  <c r="F38" i="1"/>
  <c r="G47" i="4"/>
  <c r="K36" i="4"/>
  <c r="D63" i="4"/>
  <c r="I40" i="4"/>
  <c r="L39" i="1"/>
  <c r="I42" i="1"/>
  <c r="L46" i="1"/>
  <c r="L53" i="4"/>
  <c r="I46" i="4"/>
  <c r="F47" i="4"/>
  <c r="D37" i="4"/>
  <c r="L45" i="1"/>
  <c r="K45" i="4"/>
  <c r="F41" i="4"/>
  <c r="J45" i="1"/>
  <c r="E45" i="4"/>
  <c r="G38" i="4"/>
  <c r="L44" i="4"/>
  <c r="C59" i="4"/>
  <c r="I52" i="1"/>
  <c r="J55" i="1"/>
  <c r="G54" i="4"/>
  <c r="K35" i="4"/>
  <c r="E44" i="1"/>
  <c r="K58" i="1"/>
  <c r="I63" i="1"/>
  <c r="K59" i="4"/>
  <c r="L43" i="1"/>
  <c r="G43" i="4"/>
  <c r="L42" i="1"/>
  <c r="C62" i="1"/>
  <c r="I62" i="1"/>
  <c r="H39" i="4"/>
  <c r="H62" i="4"/>
  <c r="H44" i="4"/>
  <c r="J53" i="4"/>
  <c r="F37" i="4"/>
  <c r="F46" i="1"/>
  <c r="L64" i="4"/>
  <c r="F64" i="1"/>
  <c r="K38" i="1"/>
  <c r="C61" i="1"/>
  <c r="K57" i="4"/>
  <c r="I35" i="4"/>
  <c r="C58" i="1"/>
  <c r="H48" i="1"/>
  <c r="L46" i="4"/>
  <c r="C36" i="4"/>
  <c r="F59" i="4"/>
  <c r="F45" i="1"/>
  <c r="I37" i="4"/>
  <c r="I45" i="4"/>
  <c r="H53" i="1"/>
  <c r="C48" i="4"/>
  <c r="K35" i="1"/>
  <c r="G40" i="4"/>
  <c r="K63" i="1"/>
  <c r="G37" i="1"/>
  <c r="I60" i="1"/>
  <c r="J39" i="4"/>
  <c r="D38" i="1"/>
  <c r="D59" i="4"/>
  <c r="E57" i="1"/>
  <c r="K61" i="4"/>
  <c r="J62" i="4"/>
  <c r="H57" i="1"/>
  <c r="I53" i="1"/>
  <c r="C57" i="1"/>
  <c r="K36" i="1"/>
  <c r="K44" i="1"/>
  <c r="F52" i="1"/>
  <c r="J43" i="4"/>
  <c r="J63" i="1"/>
  <c r="D61" i="4"/>
  <c r="L54" i="1"/>
  <c r="J42" i="4"/>
  <c r="E40" i="4"/>
  <c r="I56" i="4"/>
  <c r="K64" i="1"/>
  <c r="H47" i="1"/>
  <c r="D35" i="1"/>
  <c r="F42" i="1"/>
  <c r="H42" i="4"/>
  <c r="J57" i="4"/>
  <c r="C53" i="1"/>
  <c r="L40" i="1"/>
  <c r="I64" i="1"/>
  <c r="F41" i="1"/>
  <c r="D65" i="1"/>
  <c r="H46" i="1"/>
  <c r="E53" i="1"/>
  <c r="I42" i="4"/>
  <c r="G53" i="1"/>
  <c r="K65" i="1"/>
  <c r="K37" i="1"/>
  <c r="H54" i="1"/>
  <c r="G47" i="1"/>
  <c r="C43" i="1"/>
  <c r="L41" i="1"/>
  <c r="K62" i="1"/>
  <c r="G40" i="1"/>
  <c r="G61" i="1"/>
  <c r="G56" i="4"/>
  <c r="L56" i="4"/>
  <c r="I44" i="4"/>
  <c r="J37" i="1"/>
  <c r="E36" i="4"/>
  <c r="D55" i="4"/>
  <c r="C45" i="4"/>
  <c r="F35" i="4"/>
</calcChain>
</file>

<file path=xl/comments1.xml><?xml version="1.0" encoding="utf-8"?>
<comments xmlns="http://schemas.openxmlformats.org/spreadsheetml/2006/main">
  <authors>
    <author>cszheng</author>
  </authors>
  <commentList>
    <comment ref="L15" authorId="0" shapeId="0">
      <text>
        <r>
          <rPr>
            <b/>
            <sz val="9"/>
            <color indexed="81"/>
            <rFont val="Tahoma"/>
            <family val="2"/>
          </rPr>
          <t>cszheng: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输入天数</t>
        </r>
      </text>
    </comment>
    <comment ref="B30" authorId="0" shapeId="0">
      <text>
        <r>
          <rPr>
            <b/>
            <sz val="9"/>
            <color indexed="81"/>
            <rFont val="Tahoma"/>
            <family val="2"/>
          </rPr>
          <t>cszheng: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自定义</t>
        </r>
        <r>
          <rPr>
            <sz val="9"/>
            <color indexed="81"/>
            <rFont val="Tahoma"/>
            <family val="2"/>
          </rPr>
          <t>BP</t>
        </r>
      </text>
    </comment>
  </commentList>
</comments>
</file>

<file path=xl/comments2.xml><?xml version="1.0" encoding="utf-8"?>
<comments xmlns="http://schemas.openxmlformats.org/spreadsheetml/2006/main">
  <authors>
    <author>cszheng</author>
  </authors>
  <commentList>
    <comment ref="L15" authorId="0" shapeId="0">
      <text>
        <r>
          <rPr>
            <b/>
            <sz val="9"/>
            <color indexed="81"/>
            <rFont val="Tahoma"/>
            <family val="2"/>
          </rPr>
          <t>cszheng: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输入天数</t>
        </r>
      </text>
    </comment>
    <comment ref="B30" authorId="0" shapeId="0">
      <text>
        <r>
          <rPr>
            <b/>
            <sz val="9"/>
            <color indexed="81"/>
            <rFont val="Tahoma"/>
            <family val="2"/>
          </rPr>
          <t>cszheng: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自定义</t>
        </r>
        <r>
          <rPr>
            <sz val="9"/>
            <color indexed="81"/>
            <rFont val="Tahoma"/>
            <family val="2"/>
          </rPr>
          <t>BP</t>
        </r>
      </text>
    </comment>
  </commentList>
</comments>
</file>

<file path=xl/sharedStrings.xml><?xml version="1.0" encoding="utf-8"?>
<sst xmlns="http://schemas.openxmlformats.org/spreadsheetml/2006/main" count="385" uniqueCount="155">
  <si>
    <t>现金流日期</t>
    <phoneticPr fontId="1" type="noConversion"/>
  </si>
  <si>
    <t>现金流</t>
    <phoneticPr fontId="1" type="noConversion"/>
  </si>
  <si>
    <t>剩余期限</t>
    <phoneticPr fontId="1" type="noConversion"/>
  </si>
  <si>
    <t>+10bp</t>
  </si>
  <si>
    <t>1d</t>
    <phoneticPr fontId="1" type="noConversion"/>
  </si>
  <si>
    <t>7d</t>
    <phoneticPr fontId="1" type="noConversion"/>
  </si>
  <si>
    <t>3W</t>
    <phoneticPr fontId="1" type="noConversion"/>
  </si>
  <si>
    <t>5M</t>
    <phoneticPr fontId="1" type="noConversion"/>
  </si>
  <si>
    <t>1Y</t>
    <phoneticPr fontId="1" type="noConversion"/>
  </si>
  <si>
    <t>+20bp</t>
    <phoneticPr fontId="1" type="noConversion"/>
  </si>
  <si>
    <t>+5bp</t>
    <phoneticPr fontId="1" type="noConversion"/>
  </si>
  <si>
    <t>2W</t>
    <phoneticPr fontId="1" type="noConversion"/>
  </si>
  <si>
    <t>1M</t>
    <phoneticPr fontId="1" type="noConversion"/>
  </si>
  <si>
    <t>到期日</t>
    <phoneticPr fontId="1" type="noConversion"/>
  </si>
  <si>
    <t>中国固定利率国债收益率曲线</t>
  </si>
  <si>
    <t>银行间固定利率国债收益率曲线</t>
  </si>
  <si>
    <t>银行间固定利率政策性金融债收益率曲线</t>
  </si>
  <si>
    <t>固定利率铁道部收益率曲线</t>
  </si>
  <si>
    <t>银行间中短期票据收益率曲线(AAA)</t>
  </si>
  <si>
    <t>银行间中短期票据收益率曲线(AAA-)</t>
  </si>
  <si>
    <t>银行间中短期票据收益率曲线(AA+)</t>
  </si>
  <si>
    <t>银行间中短期票据收益率曲线(AA)</t>
  </si>
  <si>
    <t>银行间中短期票据收益率曲线(AA-)</t>
  </si>
  <si>
    <t>银行间中短期票据收益率曲线(A+)</t>
  </si>
  <si>
    <t>银行间中短期票据收益率曲线(A)</t>
  </si>
  <si>
    <t>银行间中短期票据收益率曲线(A-)</t>
  </si>
  <si>
    <t>银行间固定利率企业债收益率曲线(AAA)</t>
  </si>
  <si>
    <t>银行间固定利率企业债收益率曲线(AAA(2))</t>
  </si>
  <si>
    <t>银行间固定利率企业债收益率曲线(AA+)</t>
  </si>
  <si>
    <t>银行间固定利率企业债收益率曲线(AA+(2))</t>
  </si>
  <si>
    <t>银行间固定利率企业债收益率曲线(AA)</t>
  </si>
  <si>
    <t>银行间固定利率企业债收益率曲线(AA(2))</t>
  </si>
  <si>
    <t>银行间固定利率企业债收益率曲线(AA-)</t>
  </si>
  <si>
    <t>银行间固定利率企业债收益率曲线(AA-(2))</t>
  </si>
  <si>
    <t>银行间固定利率企业债收益率曲线(A+)</t>
  </si>
  <si>
    <t>银行间固定利率企业债收益率曲线(A)</t>
  </si>
  <si>
    <t>银行间固定利率商业银行债收益率曲线(AAA)</t>
  </si>
  <si>
    <t>银行间固定利率商业银行债收益率曲线(AA+)</t>
  </si>
  <si>
    <t>银行间固定利率商业银行债收益率曲线(AA)</t>
  </si>
  <si>
    <t>银行间固定利率商业银行债收益率曲线(AA-)</t>
  </si>
  <si>
    <t>银行间固定利率商业银行债收益率曲线(A+)</t>
  </si>
  <si>
    <t>银行间固定利率商业银行债收益率曲线(A)</t>
  </si>
  <si>
    <t>银行间固定利率商业银行债收益率曲线(A-)</t>
  </si>
  <si>
    <t>银行间固定利率企业债收益率曲线(BBB+)</t>
  </si>
  <si>
    <t>银行间固定利率资产支持证券收益率曲线(无评级)</t>
  </si>
  <si>
    <t>银行间固定利率资产支持证券收益率曲线(AAA)</t>
  </si>
  <si>
    <t>银行间固定利率资产支持证券收益率曲线(A)</t>
  </si>
  <si>
    <t>央行票据收益率曲线</t>
  </si>
  <si>
    <t>交易所固定利率国债收益率曲线</t>
  </si>
  <si>
    <t>交易所固定利率企业债收益率曲线(AAA)</t>
  </si>
  <si>
    <t>银行间固定利率美元债券收益率曲线</t>
  </si>
  <si>
    <t>银行间浮动利率国债点差(1y)收益率曲线</t>
  </si>
  <si>
    <t>银行间浮动利率企业债(1y)点差收益率曲线(AAA)</t>
  </si>
  <si>
    <t>银行间浮动利率企业债(1y)点差收益率曲线(AA+)</t>
  </si>
  <si>
    <t>银行间浮动利率企业债(R07D)点差收益率曲线</t>
  </si>
  <si>
    <t>银行间浮动利率企业债(SHIBOR)点差收益率曲线</t>
  </si>
  <si>
    <t>银行间浮动利率企业债(SHIBOR_1Y_10D)点差收益率曲线(AA+(2))</t>
  </si>
  <si>
    <t>银行间浮动利率商业银行债(1y)点差收益率曲线(AA)</t>
  </si>
  <si>
    <t>银行间浮动利率商业银行债(1y)点差收益率曲线(AA-)</t>
  </si>
  <si>
    <t>银行间浮动利率商业银行债(1y)点差收益率曲线(AAA)</t>
  </si>
  <si>
    <t>银行间浮动利率商业银行债(R07D)点差收益率曲线(AAA)</t>
  </si>
  <si>
    <t>银行间浮动利率商业银行债(SHIBOR)点差收益率曲线(AAA)</t>
  </si>
  <si>
    <t>银行间浮动利率商业银行债(SHIBOR)点差收益率曲线(AA)</t>
  </si>
  <si>
    <t>银行间浮动利率商业银行债(1y)点差收益率曲线(AA+)</t>
  </si>
  <si>
    <t>银行间浮动利率资产支持证券点差(1y)收益率曲线(AAA)</t>
  </si>
  <si>
    <t>银行间浮动利率资产支持证券点差(1y)收益率曲线(AA-)</t>
  </si>
  <si>
    <t>银行间浮动利率资产支持证券点差(1y)收益率曲线(A+)</t>
  </si>
  <si>
    <t>银行间浮动利率资产支持证券点差(1y)收益率曲线(BBB)</t>
  </si>
  <si>
    <t>银行间浮动利率资产支持证券(1y)点差收益率曲线(A)</t>
  </si>
  <si>
    <t>银行间浮动利率资产支持证券(R07D)点差收益率曲线(A)</t>
  </si>
  <si>
    <t>银行间浮动利率资产支持证券(R07D)点差收益率曲线(AAA)</t>
  </si>
  <si>
    <t>银行间浮动利率资产支持证券(R07D)点差收益率曲线(BBB)</t>
  </si>
  <si>
    <t>银行间政策性银行浮动利率(1y)债点差收益率曲线</t>
  </si>
  <si>
    <t>银行间政策性银行浮动利率(R07D)点差收益率曲线</t>
  </si>
  <si>
    <t>银行间政策性银行浮动利率(SHIBOR)债点差收益率曲线</t>
  </si>
  <si>
    <t>交易所浮动利率企业债(1y)点差收益率曲线(AAA)</t>
  </si>
  <si>
    <t>编码</t>
    <phoneticPr fontId="1" type="noConversion"/>
  </si>
  <si>
    <t>曲线名称</t>
    <phoneticPr fontId="1" type="noConversion"/>
  </si>
  <si>
    <t>曲线日期</t>
    <phoneticPr fontId="1" type="noConversion"/>
  </si>
  <si>
    <t>曲线代码</t>
    <phoneticPr fontId="1" type="noConversion"/>
  </si>
  <si>
    <t>2M</t>
    <phoneticPr fontId="1" type="noConversion"/>
  </si>
  <si>
    <t>3M</t>
    <phoneticPr fontId="1" type="noConversion"/>
  </si>
  <si>
    <t>+50bp</t>
    <phoneticPr fontId="1" type="noConversion"/>
  </si>
  <si>
    <t>-5bp</t>
    <phoneticPr fontId="1" type="noConversion"/>
  </si>
  <si>
    <t>-10bp</t>
    <phoneticPr fontId="1" type="noConversion"/>
  </si>
  <si>
    <t>-15bp</t>
    <phoneticPr fontId="1" type="noConversion"/>
  </si>
  <si>
    <t>-20bp</t>
    <phoneticPr fontId="1" type="noConversion"/>
  </si>
  <si>
    <t>-30bp</t>
    <phoneticPr fontId="1" type="noConversion"/>
  </si>
  <si>
    <t>-50bp</t>
    <phoneticPr fontId="1" type="noConversion"/>
  </si>
  <si>
    <t>亿</t>
    <phoneticPr fontId="1" type="noConversion"/>
  </si>
  <si>
    <t>次/年</t>
    <phoneticPr fontId="1" type="noConversion"/>
  </si>
  <si>
    <t>债券代码</t>
    <phoneticPr fontId="1" type="noConversion"/>
  </si>
  <si>
    <t>债券简称</t>
    <phoneticPr fontId="10" type="noConversion"/>
  </si>
  <si>
    <t>信用评级</t>
    <phoneticPr fontId="10" type="noConversion"/>
  </si>
  <si>
    <t>发行主体</t>
    <phoneticPr fontId="10" type="noConversion"/>
  </si>
  <si>
    <t>票面利率</t>
    <phoneticPr fontId="10" type="noConversion"/>
  </si>
  <si>
    <t>剩余期限(年）</t>
    <phoneticPr fontId="10" type="noConversion"/>
  </si>
  <si>
    <t>付息频率</t>
    <phoneticPr fontId="10" type="noConversion"/>
  </si>
  <si>
    <t>剩余额度</t>
    <phoneticPr fontId="10" type="noConversion"/>
  </si>
  <si>
    <t>购买日期</t>
    <phoneticPr fontId="10" type="noConversion"/>
  </si>
  <si>
    <t>购买净价</t>
    <phoneticPr fontId="10" type="noConversion"/>
  </si>
  <si>
    <t>清算速度</t>
    <phoneticPr fontId="10" type="noConversion"/>
  </si>
  <si>
    <t>应计利息</t>
    <phoneticPr fontId="10" type="noConversion"/>
  </si>
  <si>
    <t>实际结算日期</t>
    <phoneticPr fontId="10" type="noConversion"/>
  </si>
  <si>
    <t>购买全价</t>
    <phoneticPr fontId="10" type="noConversion"/>
  </si>
  <si>
    <t>交易面额（百万）</t>
    <phoneticPr fontId="10" type="noConversion"/>
  </si>
  <si>
    <t>交易金额（百万）</t>
    <phoneticPr fontId="10" type="noConversion"/>
  </si>
  <si>
    <t>要求收益率</t>
    <phoneticPr fontId="10" type="noConversion"/>
  </si>
  <si>
    <t>资金成本</t>
    <phoneticPr fontId="10" type="noConversion"/>
  </si>
  <si>
    <t>折算曲线</t>
    <phoneticPr fontId="10" type="noConversion"/>
  </si>
  <si>
    <t>曲线选择日</t>
    <phoneticPr fontId="10" type="noConversion"/>
  </si>
  <si>
    <t>曲线平移</t>
    <phoneticPr fontId="10" type="noConversion"/>
  </si>
  <si>
    <t>-30bp</t>
    <phoneticPr fontId="10" type="noConversion"/>
  </si>
  <si>
    <t>0bp</t>
    <phoneticPr fontId="1" type="noConversion"/>
  </si>
  <si>
    <t>0bp</t>
    <phoneticPr fontId="1" type="noConversion"/>
  </si>
  <si>
    <t>+30bp</t>
    <phoneticPr fontId="1" type="noConversion"/>
  </si>
  <si>
    <t>+15bp</t>
    <phoneticPr fontId="1" type="noConversion"/>
  </si>
  <si>
    <t>+15bp</t>
    <phoneticPr fontId="1" type="noConversion"/>
  </si>
  <si>
    <t>+50bp</t>
    <phoneticPr fontId="1" type="noConversion"/>
  </si>
  <si>
    <t>+5bp</t>
    <phoneticPr fontId="1" type="noConversion"/>
  </si>
  <si>
    <t>+30bp</t>
    <phoneticPr fontId="1" type="noConversion"/>
  </si>
  <si>
    <t>+20bp</t>
    <phoneticPr fontId="1" type="noConversion"/>
  </si>
  <si>
    <t>+10bp</t>
    <phoneticPr fontId="1" type="noConversion"/>
  </si>
  <si>
    <t>-50bp</t>
    <phoneticPr fontId="10" type="noConversion"/>
  </si>
  <si>
    <t>+50bp</t>
    <phoneticPr fontId="1" type="noConversion"/>
  </si>
  <si>
    <t>期末净现金流（万元）</t>
    <phoneticPr fontId="1" type="noConversion"/>
  </si>
  <si>
    <t>持有期收益率</t>
    <phoneticPr fontId="10" type="noConversion"/>
  </si>
  <si>
    <t>年化收益率</t>
    <phoneticPr fontId="10" type="noConversion"/>
  </si>
  <si>
    <t>收益类型</t>
    <phoneticPr fontId="10" type="noConversion"/>
  </si>
  <si>
    <t>T+0</t>
    <phoneticPr fontId="10" type="noConversion"/>
  </si>
  <si>
    <t>T+1</t>
    <phoneticPr fontId="10" type="noConversion"/>
  </si>
  <si>
    <t>Day</t>
    <phoneticPr fontId="1" type="noConversion"/>
  </si>
  <si>
    <t>是否行权</t>
    <phoneticPr fontId="10" type="noConversion"/>
  </si>
  <si>
    <t>行权日期</t>
    <phoneticPr fontId="1" type="noConversion"/>
  </si>
  <si>
    <t>年化收益率</t>
  </si>
  <si>
    <t>投资超额收益分析</t>
    <phoneticPr fontId="10" type="noConversion"/>
  </si>
  <si>
    <t>曲线方法</t>
    <phoneticPr fontId="10" type="noConversion"/>
  </si>
  <si>
    <t>远期曲线法</t>
    <phoneticPr fontId="1" type="noConversion"/>
  </si>
  <si>
    <t>到期平移法</t>
    <phoneticPr fontId="1" type="noConversion"/>
  </si>
  <si>
    <t>远期因子</t>
    <phoneticPr fontId="1" type="noConversion"/>
  </si>
  <si>
    <t>交易日净价</t>
    <phoneticPr fontId="10" type="noConversion"/>
  </si>
  <si>
    <t>行权价格</t>
    <phoneticPr fontId="10" type="noConversion"/>
  </si>
  <si>
    <t>T+0</t>
  </si>
  <si>
    <t>否</t>
  </si>
  <si>
    <t>是</t>
    <phoneticPr fontId="1" type="noConversion"/>
  </si>
  <si>
    <t>否</t>
    <phoneticPr fontId="1" type="noConversion"/>
  </si>
  <si>
    <t>是否含权</t>
    <phoneticPr fontId="10" type="noConversion"/>
  </si>
  <si>
    <t>行权日期</t>
    <phoneticPr fontId="10" type="noConversion"/>
  </si>
  <si>
    <t>银行间中短期票据收益率曲线(超AAA)</t>
  </si>
  <si>
    <t>远期曲线法</t>
  </si>
  <si>
    <t>定价情景分析(全价）</t>
    <phoneticPr fontId="1" type="noConversion"/>
  </si>
  <si>
    <t>220010.IB</t>
    <phoneticPr fontId="1" type="noConversion"/>
  </si>
  <si>
    <t>债券代码</t>
    <phoneticPr fontId="10" type="noConversion"/>
  </si>
  <si>
    <t>到期平移法</t>
  </si>
  <si>
    <t>单券持有期情景分析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</si>
</sst>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76" formatCode="0.00_);[Red]\(0.00\)"/>
    <numFmt numFmtId="177" formatCode="0_);[Red]\(0\)"/>
    <numFmt numFmtId="178" formatCode="0.00000_ "/>
    <numFmt numFmtId="179" formatCode="###,###,##0.0000"/>
    <numFmt numFmtId="180" formatCode="###,###,##0.000000"/>
    <numFmt numFmtId="181" formatCode="0.00_ "/>
    <numFmt numFmtId="182" formatCode="0.0000_ "/>
    <numFmt numFmtId="183" formatCode="0.0_ "/>
    <numFmt numFmtId="184" formatCode="0.0000_);[Red]\(0.0000\)"/>
  </numFmts>
  <fonts count="2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theme="0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0"/>
      <color indexed="9"/>
      <name val="宋体"/>
      <family val="3"/>
      <charset val="134"/>
    </font>
    <font>
      <sz val="9"/>
      <name val="宋体"/>
      <family val="3"/>
      <charset val="134"/>
    </font>
    <font>
      <sz val="10"/>
      <color theme="1"/>
      <name val="Arial"/>
      <family val="2"/>
    </font>
    <font>
      <b/>
      <sz val="10"/>
      <name val="宋体"/>
      <family val="3"/>
      <charset val="134"/>
    </font>
    <font>
      <b/>
      <sz val="10"/>
      <color theme="9" tint="0.59999389629810485"/>
      <name val="宋体"/>
      <family val="3"/>
      <charset val="134"/>
    </font>
    <font>
      <sz val="10"/>
      <name val="宋体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4279B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111">
    <xf numFmtId="0" fontId="0" fillId="0" borderId="0" xfId="0">
      <alignment vertical="center"/>
    </xf>
    <xf numFmtId="0" fontId="2" fillId="0" borderId="0" xfId="0" applyFont="1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4" fillId="2" borderId="0" xfId="0" applyFont="1" applyFill="1">
      <alignment vertical="center"/>
    </xf>
    <xf numFmtId="0" fontId="4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77" fontId="4" fillId="2" borderId="0" xfId="0" applyNumberFormat="1" applyFont="1" applyFill="1" applyAlignment="1">
      <alignment horizontal="center" vertical="center"/>
    </xf>
    <xf numFmtId="0" fontId="6" fillId="2" borderId="0" xfId="0" applyFont="1" applyFill="1">
      <alignment vertical="center"/>
    </xf>
    <xf numFmtId="0" fontId="4" fillId="2" borderId="0" xfId="0" applyFont="1" applyFill="1" applyBorder="1">
      <alignment vertical="center"/>
    </xf>
    <xf numFmtId="177" fontId="4" fillId="4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/>
    </xf>
    <xf numFmtId="14" fontId="11" fillId="6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>
      <alignment vertical="center"/>
    </xf>
    <xf numFmtId="0" fontId="7" fillId="2" borderId="2" xfId="0" applyFont="1" applyFill="1" applyBorder="1" applyAlignment="1">
      <alignment horizontal="left" vertical="center"/>
    </xf>
    <xf numFmtId="0" fontId="7" fillId="2" borderId="2" xfId="0" applyFont="1" applyFill="1" applyBorder="1">
      <alignment vertical="center"/>
    </xf>
    <xf numFmtId="177" fontId="11" fillId="6" borderId="2" xfId="0" applyNumberFormat="1" applyFont="1" applyFill="1" applyBorder="1" applyAlignment="1">
      <alignment horizontal="right" vertical="center"/>
    </xf>
    <xf numFmtId="9" fontId="11" fillId="6" borderId="2" xfId="1" applyFont="1" applyFill="1" applyBorder="1" applyAlignment="1">
      <alignment horizontal="right" vertical="center"/>
    </xf>
    <xf numFmtId="178" fontId="8" fillId="8" borderId="2" xfId="0" applyNumberFormat="1" applyFont="1" applyFill="1" applyBorder="1" applyAlignment="1">
      <alignment horizontal="right" vertical="center"/>
    </xf>
    <xf numFmtId="10" fontId="8" fillId="8" borderId="2" xfId="1" applyNumberFormat="1" applyFont="1" applyFill="1" applyBorder="1">
      <alignment vertical="center"/>
    </xf>
    <xf numFmtId="181" fontId="8" fillId="8" borderId="2" xfId="1" applyNumberFormat="1" applyFont="1" applyFill="1" applyBorder="1">
      <alignment vertical="center"/>
    </xf>
    <xf numFmtId="0" fontId="14" fillId="7" borderId="2" xfId="0" applyFont="1" applyFill="1" applyBorder="1">
      <alignment vertical="center"/>
    </xf>
    <xf numFmtId="183" fontId="14" fillId="7" borderId="2" xfId="0" applyNumberFormat="1" applyFont="1" applyFill="1" applyBorder="1">
      <alignment vertical="center"/>
    </xf>
    <xf numFmtId="181" fontId="14" fillId="7" borderId="2" xfId="0" applyNumberFormat="1" applyFont="1" applyFill="1" applyBorder="1">
      <alignment vertical="center"/>
    </xf>
    <xf numFmtId="14" fontId="14" fillId="7" borderId="2" xfId="0" applyNumberFormat="1" applyFont="1" applyFill="1" applyBorder="1">
      <alignment vertical="center"/>
    </xf>
    <xf numFmtId="182" fontId="14" fillId="7" borderId="2" xfId="0" applyNumberFormat="1" applyFont="1" applyFill="1" applyBorder="1">
      <alignment vertical="center"/>
    </xf>
    <xf numFmtId="178" fontId="14" fillId="7" borderId="2" xfId="0" applyNumberFormat="1" applyFont="1" applyFill="1" applyBorder="1">
      <alignment vertical="center"/>
    </xf>
    <xf numFmtId="184" fontId="11" fillId="6" borderId="2" xfId="0" applyNumberFormat="1" applyFont="1" applyFill="1" applyBorder="1" applyAlignment="1">
      <alignment horizontal="right" vertical="center"/>
    </xf>
    <xf numFmtId="176" fontId="14" fillId="7" borderId="2" xfId="0" applyNumberFormat="1" applyFont="1" applyFill="1" applyBorder="1">
      <alignment vertical="center"/>
    </xf>
    <xf numFmtId="10" fontId="4" fillId="2" borderId="0" xfId="0" applyNumberFormat="1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181" fontId="8" fillId="8" borderId="5" xfId="1" applyNumberFormat="1" applyFont="1" applyFill="1" applyBorder="1">
      <alignment vertical="center"/>
    </xf>
    <xf numFmtId="177" fontId="11" fillId="6" borderId="2" xfId="1" applyNumberFormat="1" applyFont="1" applyFill="1" applyBorder="1" applyAlignment="1">
      <alignment horizontal="right" vertical="center"/>
    </xf>
    <xf numFmtId="184" fontId="18" fillId="6" borderId="6" xfId="1" applyNumberFormat="1" applyFont="1" applyFill="1" applyBorder="1" applyAlignment="1">
      <alignment vertical="center"/>
    </xf>
    <xf numFmtId="0" fontId="19" fillId="0" borderId="0" xfId="0" applyFont="1">
      <alignment vertical="center"/>
    </xf>
    <xf numFmtId="0" fontId="19" fillId="2" borderId="0" xfId="0" applyFont="1" applyFill="1">
      <alignment vertical="center"/>
    </xf>
    <xf numFmtId="182" fontId="20" fillId="7" borderId="2" xfId="0" applyNumberFormat="1" applyFont="1" applyFill="1" applyBorder="1">
      <alignment vertical="center"/>
    </xf>
    <xf numFmtId="179" fontId="14" fillId="7" borderId="2" xfId="0" applyNumberFormat="1" applyFont="1" applyFill="1" applyBorder="1">
      <alignment vertical="center"/>
    </xf>
    <xf numFmtId="0" fontId="11" fillId="6" borderId="1" xfId="1" applyNumberFormat="1" applyFont="1" applyFill="1" applyBorder="1" applyAlignment="1">
      <alignment horizontal="center" vertical="center"/>
    </xf>
    <xf numFmtId="178" fontId="8" fillId="8" borderId="1" xfId="0" applyNumberFormat="1" applyFont="1" applyFill="1" applyBorder="1" applyAlignment="1">
      <alignment horizontal="right" vertical="center"/>
    </xf>
    <xf numFmtId="178" fontId="8" fillId="8" borderId="11" xfId="0" applyNumberFormat="1" applyFont="1" applyFill="1" applyBorder="1" applyAlignment="1">
      <alignment horizontal="right" vertical="center"/>
    </xf>
    <xf numFmtId="178" fontId="8" fillId="8" borderId="12" xfId="0" applyNumberFormat="1" applyFont="1" applyFill="1" applyBorder="1" applyAlignment="1">
      <alignment horizontal="right" vertical="center"/>
    </xf>
    <xf numFmtId="0" fontId="11" fillId="6" borderId="13" xfId="1" applyNumberFormat="1" applyFont="1" applyFill="1" applyBorder="1" applyAlignment="1">
      <alignment horizontal="center" vertical="center"/>
    </xf>
    <xf numFmtId="177" fontId="4" fillId="4" borderId="14" xfId="0" applyNumberFormat="1" applyFont="1" applyFill="1" applyBorder="1" applyAlignment="1">
      <alignment horizontal="center" vertical="center"/>
    </xf>
    <xf numFmtId="178" fontId="8" fillId="8" borderId="14" xfId="0" applyNumberFormat="1" applyFont="1" applyFill="1" applyBorder="1" applyAlignment="1">
      <alignment horizontal="right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177" fontId="4" fillId="4" borderId="18" xfId="0" applyNumberFormat="1" applyFont="1" applyFill="1" applyBorder="1" applyAlignment="1">
      <alignment horizontal="center" vertical="center"/>
    </xf>
    <xf numFmtId="177" fontId="4" fillId="4" borderId="19" xfId="0" applyNumberFormat="1" applyFont="1" applyFill="1" applyBorder="1" applyAlignment="1">
      <alignment horizontal="center" vertical="center"/>
    </xf>
    <xf numFmtId="178" fontId="8" fillId="8" borderId="18" xfId="0" applyNumberFormat="1" applyFont="1" applyFill="1" applyBorder="1" applyAlignment="1">
      <alignment horizontal="right" vertical="center"/>
    </xf>
    <xf numFmtId="178" fontId="8" fillId="8" borderId="19" xfId="0" applyNumberFormat="1" applyFont="1" applyFill="1" applyBorder="1" applyAlignment="1">
      <alignment horizontal="right" vertical="center"/>
    </xf>
    <xf numFmtId="178" fontId="8" fillId="8" borderId="20" xfId="0" applyNumberFormat="1" applyFont="1" applyFill="1" applyBorder="1" applyAlignment="1">
      <alignment horizontal="right" vertical="center"/>
    </xf>
    <xf numFmtId="178" fontId="8" fillId="8" borderId="21" xfId="0" applyNumberFormat="1" applyFont="1" applyFill="1" applyBorder="1" applyAlignment="1">
      <alignment horizontal="right" vertical="center"/>
    </xf>
    <xf numFmtId="178" fontId="8" fillId="8" borderId="22" xfId="0" applyNumberFormat="1" applyFont="1" applyFill="1" applyBorder="1" applyAlignment="1">
      <alignment horizontal="right" vertical="center"/>
    </xf>
    <xf numFmtId="178" fontId="8" fillId="8" borderId="23" xfId="0" applyNumberFormat="1" applyFont="1" applyFill="1" applyBorder="1" applyAlignment="1">
      <alignment horizontal="right" vertical="center"/>
    </xf>
    <xf numFmtId="178" fontId="8" fillId="8" borderId="24" xfId="0" applyNumberFormat="1" applyFont="1" applyFill="1" applyBorder="1" applyAlignment="1">
      <alignment horizontal="right" vertical="center"/>
    </xf>
    <xf numFmtId="0" fontId="13" fillId="3" borderId="10" xfId="0" applyFont="1" applyFill="1" applyBorder="1" applyAlignment="1">
      <alignment horizontal="right" vertical="center"/>
    </xf>
    <xf numFmtId="0" fontId="12" fillId="3" borderId="10" xfId="0" applyFont="1" applyFill="1" applyBorder="1" applyAlignment="1">
      <alignment horizontal="right" vertical="center"/>
    </xf>
    <xf numFmtId="0" fontId="9" fillId="3" borderId="10" xfId="0" applyFont="1" applyFill="1" applyBorder="1" applyAlignment="1">
      <alignment horizontal="right" vertical="center"/>
    </xf>
    <xf numFmtId="0" fontId="9" fillId="3" borderId="26" xfId="0" applyFont="1" applyFill="1" applyBorder="1" applyAlignment="1">
      <alignment horizontal="right" vertical="center"/>
    </xf>
    <xf numFmtId="10" fontId="8" fillId="8" borderId="11" xfId="1" applyNumberFormat="1" applyFont="1" applyFill="1" applyBorder="1">
      <alignment vertical="center"/>
    </xf>
    <xf numFmtId="10" fontId="8" fillId="8" borderId="22" xfId="1" applyNumberFormat="1" applyFont="1" applyFill="1" applyBorder="1">
      <alignment vertical="center"/>
    </xf>
    <xf numFmtId="10" fontId="8" fillId="8" borderId="27" xfId="1" applyNumberFormat="1" applyFont="1" applyFill="1" applyBorder="1">
      <alignment vertical="center"/>
    </xf>
    <xf numFmtId="0" fontId="9" fillId="3" borderId="7" xfId="0" applyFont="1" applyFill="1" applyBorder="1" applyAlignment="1">
      <alignment horizontal="right" vertical="center"/>
    </xf>
    <xf numFmtId="0" fontId="9" fillId="3" borderId="28" xfId="0" applyFont="1" applyFill="1" applyBorder="1" applyAlignment="1">
      <alignment horizontal="right" vertical="center"/>
    </xf>
    <xf numFmtId="10" fontId="8" fillId="8" borderId="21" xfId="1" applyNumberFormat="1" applyFont="1" applyFill="1" applyBorder="1">
      <alignment vertical="center"/>
    </xf>
    <xf numFmtId="0" fontId="5" fillId="3" borderId="29" xfId="0" applyFont="1" applyFill="1" applyBorder="1" applyAlignment="1">
      <alignment horizontal="center" vertical="center"/>
    </xf>
    <xf numFmtId="10" fontId="8" fillId="8" borderId="14" xfId="1" applyNumberFormat="1" applyFont="1" applyFill="1" applyBorder="1">
      <alignment vertical="center"/>
    </xf>
    <xf numFmtId="10" fontId="8" fillId="8" borderId="30" xfId="1" applyNumberFormat="1" applyFont="1" applyFill="1" applyBorder="1">
      <alignment vertical="center"/>
    </xf>
    <xf numFmtId="10" fontId="8" fillId="8" borderId="18" xfId="1" applyNumberFormat="1" applyFont="1" applyFill="1" applyBorder="1">
      <alignment vertical="center"/>
    </xf>
    <xf numFmtId="10" fontId="8" fillId="8" borderId="19" xfId="1" applyNumberFormat="1" applyFont="1" applyFill="1" applyBorder="1">
      <alignment vertical="center"/>
    </xf>
    <xf numFmtId="10" fontId="8" fillId="8" borderId="20" xfId="1" applyNumberFormat="1" applyFont="1" applyFill="1" applyBorder="1">
      <alignment vertical="center"/>
    </xf>
    <xf numFmtId="10" fontId="8" fillId="8" borderId="12" xfId="1" applyNumberFormat="1" applyFont="1" applyFill="1" applyBorder="1">
      <alignment vertical="center"/>
    </xf>
    <xf numFmtId="181" fontId="8" fillId="8" borderId="21" xfId="1" applyNumberFormat="1" applyFont="1" applyFill="1" applyBorder="1">
      <alignment vertical="center"/>
    </xf>
    <xf numFmtId="181" fontId="8" fillId="8" borderId="31" xfId="1" applyNumberFormat="1" applyFont="1" applyFill="1" applyBorder="1">
      <alignment vertical="center"/>
    </xf>
    <xf numFmtId="181" fontId="8" fillId="8" borderId="11" xfId="1" applyNumberFormat="1" applyFont="1" applyFill="1" applyBorder="1">
      <alignment vertical="center"/>
    </xf>
    <xf numFmtId="181" fontId="8" fillId="8" borderId="22" xfId="1" applyNumberFormat="1" applyFont="1" applyFill="1" applyBorder="1">
      <alignment vertical="center"/>
    </xf>
    <xf numFmtId="181" fontId="8" fillId="8" borderId="18" xfId="1" applyNumberFormat="1" applyFont="1" applyFill="1" applyBorder="1">
      <alignment vertical="center"/>
    </xf>
    <xf numFmtId="181" fontId="8" fillId="8" borderId="20" xfId="1" applyNumberFormat="1" applyFont="1" applyFill="1" applyBorder="1">
      <alignment vertical="center"/>
    </xf>
    <xf numFmtId="0" fontId="5" fillId="3" borderId="32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181" fontId="8" fillId="8" borderId="34" xfId="1" applyNumberFormat="1" applyFont="1" applyFill="1" applyBorder="1">
      <alignment vertical="center"/>
    </xf>
    <xf numFmtId="181" fontId="8" fillId="8" borderId="35" xfId="1" applyNumberFormat="1" applyFont="1" applyFill="1" applyBorder="1">
      <alignment vertical="center"/>
    </xf>
    <xf numFmtId="181" fontId="8" fillId="8" borderId="1" xfId="1" applyNumberFormat="1" applyFont="1" applyFill="1" applyBorder="1">
      <alignment vertical="center"/>
    </xf>
    <xf numFmtId="0" fontId="9" fillId="3" borderId="33" xfId="0" applyFont="1" applyFill="1" applyBorder="1" applyAlignment="1">
      <alignment horizontal="right" vertical="center"/>
    </xf>
    <xf numFmtId="0" fontId="13" fillId="3" borderId="34" xfId="0" applyFont="1" applyFill="1" applyBorder="1" applyAlignment="1">
      <alignment horizontal="right" vertical="center"/>
    </xf>
    <xf numFmtId="0" fontId="12" fillId="3" borderId="34" xfId="0" applyFont="1" applyFill="1" applyBorder="1" applyAlignment="1">
      <alignment horizontal="right" vertical="center"/>
    </xf>
    <xf numFmtId="0" fontId="9" fillId="3" borderId="34" xfId="0" applyFont="1" applyFill="1" applyBorder="1" applyAlignment="1">
      <alignment horizontal="right" vertical="center"/>
    </xf>
    <xf numFmtId="0" fontId="9" fillId="3" borderId="36" xfId="0" applyFont="1" applyFill="1" applyBorder="1" applyAlignment="1">
      <alignment horizontal="right" vertical="center"/>
    </xf>
    <xf numFmtId="0" fontId="9" fillId="5" borderId="33" xfId="0" applyFont="1" applyFill="1" applyBorder="1" applyAlignment="1">
      <alignment horizontal="right" vertical="center"/>
    </xf>
    <xf numFmtId="0" fontId="9" fillId="5" borderId="34" xfId="0" applyFont="1" applyFill="1" applyBorder="1" applyAlignment="1">
      <alignment horizontal="right" vertical="center"/>
    </xf>
    <xf numFmtId="0" fontId="13" fillId="5" borderId="34" xfId="0" applyFont="1" applyFill="1" applyBorder="1" applyAlignment="1">
      <alignment horizontal="right" vertical="center"/>
    </xf>
    <xf numFmtId="0" fontId="12" fillId="5" borderId="34" xfId="0" applyFont="1" applyFill="1" applyBorder="1" applyAlignment="1">
      <alignment horizontal="right" vertical="center"/>
    </xf>
    <xf numFmtId="0" fontId="9" fillId="5" borderId="36" xfId="0" applyFont="1" applyFill="1" applyBorder="1" applyAlignment="1">
      <alignment horizontal="right" vertical="center"/>
    </xf>
    <xf numFmtId="0" fontId="9" fillId="5" borderId="37" xfId="0" applyFont="1" applyFill="1" applyBorder="1" applyAlignment="1">
      <alignment horizontal="left" vertical="center"/>
    </xf>
    <xf numFmtId="14" fontId="11" fillId="6" borderId="37" xfId="0" applyNumberFormat="1" applyFont="1" applyFill="1" applyBorder="1" applyAlignment="1">
      <alignment horizontal="right" vertical="center"/>
    </xf>
    <xf numFmtId="0" fontId="21" fillId="0" borderId="0" xfId="0" applyFont="1" applyAlignment="1">
      <alignment vertical="center"/>
    </xf>
    <xf numFmtId="9" fontId="11" fillId="6" borderId="2" xfId="1" applyFont="1" applyFill="1" applyBorder="1" applyAlignment="1">
      <alignment horizontal="left" vertical="center"/>
    </xf>
    <xf numFmtId="9" fontId="11" fillId="6" borderId="3" xfId="1" applyFont="1" applyFill="1" applyBorder="1" applyAlignment="1">
      <alignment horizontal="left" vertical="center"/>
    </xf>
    <xf numFmtId="9" fontId="11" fillId="6" borderId="0" xfId="1" applyFont="1" applyFill="1" applyBorder="1" applyAlignment="1">
      <alignment horizontal="left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5" fillId="3" borderId="9" xfId="0" applyFont="1" applyFill="1" applyBorder="1" applyAlignment="1">
      <alignment horizontal="center" vertical="top"/>
    </xf>
  </cellXfs>
  <cellStyles count="2">
    <cellStyle name="百分比" xfId="1" builtinId="5"/>
    <cellStyle name="常规" xfId="0" builtinId="0"/>
  </cellStyles>
  <dxfs count="23"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B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9525</xdr:rowOff>
    </xdr:from>
    <xdr:to>
      <xdr:col>12</xdr:col>
      <xdr:colOff>0</xdr:colOff>
      <xdr:row>3</xdr:row>
      <xdr:rowOff>57150</xdr:rowOff>
    </xdr:to>
    <xdr:sp macro="" textlink="">
      <xdr:nvSpPr>
        <xdr:cNvPr id="2" name="com_bar"/>
        <xdr:cNvSpPr>
          <a:spLocks noChangeArrowheads="1"/>
        </xdr:cNvSpPr>
      </xdr:nvSpPr>
      <xdr:spPr bwMode="auto">
        <a:xfrm>
          <a:off x="266700" y="9525"/>
          <a:ext cx="10515600" cy="381000"/>
        </a:xfrm>
        <a:prstGeom prst="rect">
          <a:avLst/>
        </a:prstGeom>
        <a:gradFill>
          <a:gsLst>
            <a:gs pos="0">
              <a:srgbClr val="043E79"/>
            </a:gs>
            <a:gs pos="100000">
              <a:srgbClr val="4177B5"/>
            </a:gs>
          </a:gsLst>
          <a:lin ang="5400000" scaled="0"/>
        </a:gradFill>
        <a:ln w="9525">
          <a:noFill/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l" rtl="0">
            <a:defRPr sz="1000"/>
          </a:pPr>
          <a:r>
            <a:rPr lang="zh-CN" altLang="en-US" sz="1600" b="1" i="0" u="none" strike="noStrike" baseline="0">
              <a:solidFill>
                <a:schemeClr val="bg1"/>
              </a:solidFill>
              <a:latin typeface="黑体" pitchFamily="2" charset="-122"/>
              <a:ea typeface="黑体" pitchFamily="2" charset="-122"/>
            </a:rPr>
            <a:t>                                   单券持有期情景分析 </a:t>
          </a:r>
          <a:r>
            <a:rPr lang="en-US" altLang="zh-CN" sz="1600" b="1" i="0" u="none" strike="noStrike" baseline="0">
              <a:solidFill>
                <a:schemeClr val="bg1"/>
              </a:solidFill>
              <a:latin typeface="黑体" pitchFamily="2" charset="-122"/>
              <a:ea typeface="黑体" pitchFamily="2" charset="-122"/>
            </a:rPr>
            <a:t>V1.1</a:t>
          </a:r>
          <a:endParaRPr lang="zh-CN" altLang="en-US" sz="1600" b="1" i="0" u="none" strike="noStrike" baseline="0">
            <a:solidFill>
              <a:schemeClr val="bg1"/>
            </a:solidFill>
            <a:latin typeface="黑体" pitchFamily="2" charset="-122"/>
            <a:ea typeface="黑体" pitchFamily="2" charset="-122"/>
          </a:endParaRPr>
        </a:p>
      </xdr:txBody>
    </xdr:sp>
    <xdr:clientData/>
  </xdr:twoCellAnchor>
  <xdr:twoCellAnchor editAs="oneCell">
    <xdr:from>
      <xdr:col>2</xdr:col>
      <xdr:colOff>85725</xdr:colOff>
      <xdr:row>1</xdr:row>
      <xdr:rowOff>28574</xdr:rowOff>
    </xdr:from>
    <xdr:to>
      <xdr:col>2</xdr:col>
      <xdr:colOff>962025</xdr:colOff>
      <xdr:row>3</xdr:row>
      <xdr:rowOff>26217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" y="57149"/>
          <a:ext cx="876300" cy="3024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</xdr:row>
      <xdr:rowOff>0</xdr:rowOff>
    </xdr:from>
    <xdr:to>
      <xdr:col>12</xdr:col>
      <xdr:colOff>0</xdr:colOff>
      <xdr:row>3</xdr:row>
      <xdr:rowOff>57150</xdr:rowOff>
    </xdr:to>
    <xdr:sp macro="" textlink="">
      <xdr:nvSpPr>
        <xdr:cNvPr id="2" name="com_bar"/>
        <xdr:cNvSpPr>
          <a:spLocks noChangeArrowheads="1"/>
        </xdr:cNvSpPr>
      </xdr:nvSpPr>
      <xdr:spPr bwMode="auto">
        <a:xfrm>
          <a:off x="266700" y="28575"/>
          <a:ext cx="8924925" cy="361950"/>
        </a:xfrm>
        <a:prstGeom prst="rect">
          <a:avLst/>
        </a:prstGeom>
        <a:gradFill>
          <a:gsLst>
            <a:gs pos="0">
              <a:srgbClr val="043E79"/>
            </a:gs>
            <a:gs pos="100000">
              <a:srgbClr val="4177B5"/>
            </a:gs>
          </a:gsLst>
          <a:lin ang="5400000" scaled="0"/>
        </a:gradFill>
        <a:ln w="9525">
          <a:noFill/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l" rtl="0">
            <a:defRPr sz="1000"/>
          </a:pPr>
          <a:r>
            <a:rPr lang="zh-CN" altLang="en-US" sz="1600" b="1" i="0" u="none" strike="noStrike" baseline="0">
              <a:solidFill>
                <a:schemeClr val="bg1"/>
              </a:solidFill>
              <a:latin typeface="黑体" pitchFamily="2" charset="-122"/>
              <a:ea typeface="黑体" pitchFamily="2" charset="-122"/>
            </a:rPr>
            <a:t>                                   单券持有期情景分析</a:t>
          </a:r>
        </a:p>
      </xdr:txBody>
    </xdr:sp>
    <xdr:clientData/>
  </xdr:twoCellAnchor>
  <xdr:twoCellAnchor editAs="oneCell">
    <xdr:from>
      <xdr:col>2</xdr:col>
      <xdr:colOff>85725</xdr:colOff>
      <xdr:row>1</xdr:row>
      <xdr:rowOff>28574</xdr:rowOff>
    </xdr:from>
    <xdr:to>
      <xdr:col>3</xdr:col>
      <xdr:colOff>238125</xdr:colOff>
      <xdr:row>3</xdr:row>
      <xdr:rowOff>26217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" y="57149"/>
          <a:ext cx="876300" cy="302443"/>
        </a:xfrm>
        <a:prstGeom prst="rect">
          <a:avLst/>
        </a:prstGeom>
      </xdr:spPr>
    </xdr:pic>
    <xdr:clientData/>
  </xdr:twoCellAnchor>
  <xdr:twoCellAnchor>
    <xdr:from>
      <xdr:col>3</xdr:col>
      <xdr:colOff>466725</xdr:colOff>
      <xdr:row>2</xdr:row>
      <xdr:rowOff>76200</xdr:rowOff>
    </xdr:from>
    <xdr:to>
      <xdr:col>5</xdr:col>
      <xdr:colOff>838200</xdr:colOff>
      <xdr:row>3</xdr:row>
      <xdr:rowOff>180975</xdr:rowOff>
    </xdr:to>
    <xdr:sp macro="" textlink="">
      <xdr:nvSpPr>
        <xdr:cNvPr id="5" name="AutoShape 19"/>
        <xdr:cNvSpPr>
          <a:spLocks noChangeArrowheads="1"/>
        </xdr:cNvSpPr>
      </xdr:nvSpPr>
      <xdr:spPr bwMode="auto">
        <a:xfrm>
          <a:off x="2085975" y="257175"/>
          <a:ext cx="2352675" cy="257175"/>
        </a:xfrm>
        <a:prstGeom prst="wedgeRoundRectCallout">
          <a:avLst>
            <a:gd name="adj1" fmla="val -71740"/>
            <a:gd name="adj2" fmla="val 42292"/>
            <a:gd name="adj3" fmla="val 16667"/>
          </a:avLst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zh-CN" altLang="en-US" sz="1050" b="0" i="0" strike="noStrike">
              <a:solidFill>
                <a:schemeClr val="tx1"/>
              </a:solidFill>
              <a:latin typeface="宋体"/>
              <a:ea typeface="宋体"/>
            </a:rPr>
            <a:t>输入债券代码</a:t>
          </a:r>
        </a:p>
      </xdr:txBody>
    </xdr:sp>
    <xdr:clientData/>
  </xdr:twoCellAnchor>
  <xdr:twoCellAnchor>
    <xdr:from>
      <xdr:col>12</xdr:col>
      <xdr:colOff>638175</xdr:colOff>
      <xdr:row>14</xdr:row>
      <xdr:rowOff>28575</xdr:rowOff>
    </xdr:from>
    <xdr:to>
      <xdr:col>21</xdr:col>
      <xdr:colOff>219075</xdr:colOff>
      <xdr:row>18</xdr:row>
      <xdr:rowOff>0</xdr:rowOff>
    </xdr:to>
    <xdr:sp macro="" textlink="">
      <xdr:nvSpPr>
        <xdr:cNvPr id="6" name="AutoShape 19"/>
        <xdr:cNvSpPr>
          <a:spLocks noChangeArrowheads="1"/>
        </xdr:cNvSpPr>
      </xdr:nvSpPr>
      <xdr:spPr bwMode="auto">
        <a:xfrm>
          <a:off x="9829800" y="2257425"/>
          <a:ext cx="2352675" cy="657225"/>
        </a:xfrm>
        <a:prstGeom prst="wedgeRoundRectCallout">
          <a:avLst>
            <a:gd name="adj1" fmla="val -71740"/>
            <a:gd name="adj2" fmla="val 42292"/>
            <a:gd name="adj3" fmla="val 16667"/>
          </a:avLst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zh-CN" altLang="en-US" sz="1050" b="0" i="0" strike="noStrike">
              <a:solidFill>
                <a:schemeClr val="tx1"/>
              </a:solidFill>
              <a:latin typeface="宋体"/>
              <a:ea typeface="宋体"/>
            </a:rPr>
            <a:t>输入不同的债券代码，选择不同的折算曲线、曲线平移、曲线方法可以得出不同情况下的定价情景分析</a:t>
          </a:r>
        </a:p>
      </xdr:txBody>
    </xdr:sp>
    <xdr:clientData/>
  </xdr:twoCellAnchor>
  <xdr:twoCellAnchor>
    <xdr:from>
      <xdr:col>12</xdr:col>
      <xdr:colOff>657225</xdr:colOff>
      <xdr:row>34</xdr:row>
      <xdr:rowOff>28575</xdr:rowOff>
    </xdr:from>
    <xdr:to>
      <xdr:col>21</xdr:col>
      <xdr:colOff>238125</xdr:colOff>
      <xdr:row>36</xdr:row>
      <xdr:rowOff>161925</xdr:rowOff>
    </xdr:to>
    <xdr:sp macro="" textlink="">
      <xdr:nvSpPr>
        <xdr:cNvPr id="7" name="AutoShape 19"/>
        <xdr:cNvSpPr>
          <a:spLocks noChangeArrowheads="1"/>
        </xdr:cNvSpPr>
      </xdr:nvSpPr>
      <xdr:spPr bwMode="auto">
        <a:xfrm>
          <a:off x="9848850" y="5686425"/>
          <a:ext cx="2352675" cy="476250"/>
        </a:xfrm>
        <a:prstGeom prst="wedgeRoundRectCallout">
          <a:avLst>
            <a:gd name="adj1" fmla="val -71740"/>
            <a:gd name="adj2" fmla="val 42292"/>
            <a:gd name="adj3" fmla="val 16667"/>
          </a:avLst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zh-CN" altLang="en-US" sz="1050" b="0" i="0" strike="noStrike">
              <a:solidFill>
                <a:schemeClr val="tx1"/>
              </a:solidFill>
              <a:latin typeface="宋体"/>
              <a:ea typeface="宋体"/>
            </a:rPr>
            <a:t>修改要求收益率，模板会将大于设定收益率标红</a:t>
          </a:r>
        </a:p>
      </xdr:txBody>
    </xdr:sp>
    <xdr:clientData/>
  </xdr:twoCellAnchor>
  <xdr:twoCellAnchor>
    <xdr:from>
      <xdr:col>13</xdr:col>
      <xdr:colOff>19050</xdr:colOff>
      <xdr:row>51</xdr:row>
      <xdr:rowOff>57150</xdr:rowOff>
    </xdr:from>
    <xdr:to>
      <xdr:col>21</xdr:col>
      <xdr:colOff>314325</xdr:colOff>
      <xdr:row>54</xdr:row>
      <xdr:rowOff>19050</xdr:rowOff>
    </xdr:to>
    <xdr:sp macro="" textlink="">
      <xdr:nvSpPr>
        <xdr:cNvPr id="8" name="AutoShape 19"/>
        <xdr:cNvSpPr>
          <a:spLocks noChangeArrowheads="1"/>
        </xdr:cNvSpPr>
      </xdr:nvSpPr>
      <xdr:spPr bwMode="auto">
        <a:xfrm>
          <a:off x="9925050" y="8639175"/>
          <a:ext cx="2352675" cy="476250"/>
        </a:xfrm>
        <a:prstGeom prst="wedgeRoundRectCallout">
          <a:avLst>
            <a:gd name="adj1" fmla="val -71740"/>
            <a:gd name="adj2" fmla="val 42292"/>
            <a:gd name="adj3" fmla="val 16667"/>
          </a:avLst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zh-CN" altLang="en-US" sz="1050" b="0" i="0" strike="noStrike">
              <a:solidFill>
                <a:schemeClr val="tx1"/>
              </a:solidFill>
              <a:latin typeface="宋体"/>
              <a:ea typeface="宋体"/>
            </a:rPr>
            <a:t>修改资金成本，模板将自动计算出在不同场景下对应的现金流情况</a:t>
          </a:r>
        </a:p>
      </xdr:txBody>
    </xdr:sp>
    <xdr:clientData/>
  </xdr:twoCellAnchor>
  <xdr:twoCellAnchor>
    <xdr:from>
      <xdr:col>10</xdr:col>
      <xdr:colOff>685800</xdr:colOff>
      <xdr:row>3</xdr:row>
      <xdr:rowOff>123825</xdr:rowOff>
    </xdr:from>
    <xdr:to>
      <xdr:col>25</xdr:col>
      <xdr:colOff>438150</xdr:colOff>
      <xdr:row>12</xdr:row>
      <xdr:rowOff>38100</xdr:rowOff>
    </xdr:to>
    <xdr:sp macro="" textlink="">
      <xdr:nvSpPr>
        <xdr:cNvPr id="9" name="AutoShape 19"/>
        <xdr:cNvSpPr>
          <a:spLocks noChangeArrowheads="1"/>
        </xdr:cNvSpPr>
      </xdr:nvSpPr>
      <xdr:spPr bwMode="auto">
        <a:xfrm>
          <a:off x="8477250" y="457200"/>
          <a:ext cx="6667500" cy="1466850"/>
        </a:xfrm>
        <a:prstGeom prst="wedgeRoundRectCallout">
          <a:avLst>
            <a:gd name="adj1" fmla="val -71740"/>
            <a:gd name="adj2" fmla="val 42292"/>
            <a:gd name="adj3" fmla="val 16667"/>
          </a:avLst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wrap="square" lIns="27432" tIns="18288" rIns="0" bIns="0" anchor="t" upright="1"/>
        <a:lstStyle/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曲线方法有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种</a:t>
          </a:r>
        </a:p>
        <a:p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1.1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）到期平移法：比如曲线平移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4bp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，将选择的折算曲线的到期曲线，向上平移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4bp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，取到的点作为现金流折现收益率</a:t>
          </a:r>
        </a:p>
        <a:p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2.1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）远期曲线法：先将不同期限的到期收益率作为远期因子，</a:t>
          </a:r>
        </a:p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再通过远期因子求各期限的现金流折现收益率</a:t>
          </a:r>
        </a:p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折现收益率的计算方法为：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[(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1+y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^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剩余期限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/   ((1+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远期因子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)^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平移日期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] ^(1/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剩余期限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平移日期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  -1 +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曲线平移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4bp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b_anal_dailycf"/>
      <definedName name="b_anal_nxcupn"/>
      <definedName name="b_anal_ptmyear"/>
      <definedName name="b_calc_accrint"/>
      <definedName name="B_CALC_CURVE_CHINABOND"/>
      <definedName name="b_dq_originclose"/>
      <definedName name="b_info_clause"/>
      <definedName name="b_info_couponrate2"/>
      <definedName name="b_info_interestfrequency"/>
      <definedName name="b_info_issueamount"/>
      <definedName name="b_info_issuer"/>
      <definedName name="b_info_maturitydate"/>
      <definedName name="b_info_name"/>
      <definedName name="b_info_redemptiondate"/>
      <definedName name="b_info_redemptionprice"/>
      <definedName name="b_info_repurchasedate"/>
      <definedName name="b_info_repurchaseprice"/>
      <definedName name="b_rate_latestcredi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T72"/>
  <sheetViews>
    <sheetView showGridLines="0" tabSelected="1" workbookViewId="0">
      <pane xSplit="2" ySplit="12" topLeftCell="C13" activePane="bottomRight" state="frozen"/>
      <selection pane="topRight" activeCell="C1" sqref="C1"/>
      <selection pane="bottomLeft" activeCell="A10" sqref="A10"/>
      <selection pane="bottomRight" activeCell="A47" sqref="A47"/>
    </sheetView>
  </sheetViews>
  <sheetFormatPr defaultRowHeight="12" x14ac:dyDescent="0.15"/>
  <cols>
    <col min="1" max="1" width="3.25" style="6" customWidth="1"/>
    <col min="2" max="2" width="9.625" style="6" customWidth="1"/>
    <col min="3" max="12" width="13.625" style="6" customWidth="1"/>
    <col min="13" max="13" width="9.375" style="6" bestFit="1" customWidth="1"/>
    <col min="14" max="15" width="9" style="6"/>
    <col min="16" max="16" width="13.25" style="6" hidden="1" customWidth="1"/>
    <col min="17" max="17" width="5" style="6" hidden="1" customWidth="1"/>
    <col min="18" max="18" width="53.5" style="6" hidden="1" customWidth="1"/>
    <col min="19" max="20" width="9" style="6" hidden="1" customWidth="1"/>
    <col min="21" max="16384" width="9" style="6"/>
  </cols>
  <sheetData>
    <row r="1" spans="2:19" ht="2.25" customHeight="1" x14ac:dyDescent="0.15"/>
    <row r="2" spans="2:19" x14ac:dyDescent="0.15">
      <c r="B2" s="12"/>
      <c r="C2" s="12"/>
    </row>
    <row r="3" spans="2:19" x14ac:dyDescent="0.15">
      <c r="B3" s="12"/>
      <c r="C3" s="12"/>
    </row>
    <row r="4" spans="2:19" ht="15" customHeight="1" x14ac:dyDescent="0.15">
      <c r="B4" s="12"/>
      <c r="C4" s="12"/>
    </row>
    <row r="5" spans="2:19" ht="12.75" x14ac:dyDescent="0.15">
      <c r="B5" s="99" t="s">
        <v>92</v>
      </c>
      <c r="C5" s="100" t="s">
        <v>151</v>
      </c>
      <c r="D5" s="14" t="s">
        <v>92</v>
      </c>
      <c r="E5" s="24" t="str">
        <f>[1]!b_info_name(C5)</f>
        <v>22附息国债10</v>
      </c>
      <c r="F5" s="14" t="s">
        <v>95</v>
      </c>
      <c r="G5" s="41">
        <f>[1]!b_info_couponrate2(C5)</f>
        <v>2.76</v>
      </c>
      <c r="H5" s="14" t="s">
        <v>97</v>
      </c>
      <c r="I5" s="31">
        <f>[1]!b_info_interestfrequency(C5)</f>
        <v>2</v>
      </c>
      <c r="J5" s="16" t="s">
        <v>90</v>
      </c>
      <c r="Q5" s="7" t="s">
        <v>76</v>
      </c>
      <c r="R5" s="7" t="s">
        <v>77</v>
      </c>
    </row>
    <row r="6" spans="2:19" ht="13.5" x14ac:dyDescent="0.15">
      <c r="B6" s="14" t="s">
        <v>93</v>
      </c>
      <c r="C6" s="24">
        <f>[1]!b_rate_latestcredit(C5)</f>
        <v>0</v>
      </c>
      <c r="D6" s="14" t="s">
        <v>94</v>
      </c>
      <c r="E6" s="24" t="str">
        <f>[1]!b_info_issuer(C5)</f>
        <v>中华人民共和国财政部</v>
      </c>
      <c r="F6" s="14" t="s">
        <v>96</v>
      </c>
      <c r="G6" s="25">
        <f ca="1">[1]!b_anal_ptmyear(C5,TODAY())</f>
        <v>8.0765027322404368</v>
      </c>
      <c r="H6" s="14" t="s">
        <v>98</v>
      </c>
      <c r="I6" s="26">
        <f>[1]!b_info_issueamount(C5)/100000000</f>
        <v>1981.6</v>
      </c>
      <c r="J6" s="16" t="s">
        <v>89</v>
      </c>
      <c r="Q6" s="38">
        <v>1882</v>
      </c>
      <c r="R6" s="38" t="s">
        <v>17</v>
      </c>
      <c r="S6" s="6" t="s">
        <v>126</v>
      </c>
    </row>
    <row r="7" spans="2:19" ht="13.5" x14ac:dyDescent="0.15">
      <c r="B7" s="17"/>
      <c r="C7" s="16"/>
      <c r="D7" s="18"/>
      <c r="E7" s="16"/>
      <c r="F7" s="18"/>
      <c r="G7" s="16"/>
      <c r="H7" s="18"/>
      <c r="I7" s="16"/>
      <c r="J7" s="16"/>
      <c r="Q7" s="38">
        <v>1802</v>
      </c>
      <c r="R7" s="38" t="s">
        <v>75</v>
      </c>
      <c r="S7" s="6" t="s">
        <v>127</v>
      </c>
    </row>
    <row r="8" spans="2:19" ht="13.5" x14ac:dyDescent="0.15">
      <c r="B8" s="14" t="s">
        <v>99</v>
      </c>
      <c r="C8" s="15">
        <f ca="1">TODAY()-1</f>
        <v>45398</v>
      </c>
      <c r="D8" s="14" t="s">
        <v>101</v>
      </c>
      <c r="E8" s="15" t="s">
        <v>142</v>
      </c>
      <c r="F8" s="14" t="s">
        <v>102</v>
      </c>
      <c r="G8" s="29">
        <f ca="1">[1]!b_calc_accrint(C5,I8)</f>
        <v>1.1601098901098901</v>
      </c>
      <c r="H8" s="14" t="s">
        <v>103</v>
      </c>
      <c r="I8" s="27">
        <f ca="1">IF(E8="T+1",C8+1,C8)</f>
        <v>45398</v>
      </c>
      <c r="J8" s="14" t="s">
        <v>140</v>
      </c>
      <c r="K8" s="28">
        <f ca="1">[1]!b_dq_originclose(C5,I8,1)</f>
        <v>103.221</v>
      </c>
      <c r="Q8" s="38">
        <v>1802</v>
      </c>
      <c r="R8" s="38" t="s">
        <v>75</v>
      </c>
    </row>
    <row r="9" spans="2:19" ht="13.5" x14ac:dyDescent="0.15">
      <c r="B9" s="14" t="s">
        <v>100</v>
      </c>
      <c r="C9" s="30">
        <v>100.0149</v>
      </c>
      <c r="D9" s="14" t="s">
        <v>105</v>
      </c>
      <c r="E9" s="19">
        <v>500</v>
      </c>
      <c r="F9" s="14" t="s">
        <v>104</v>
      </c>
      <c r="G9" s="28">
        <f ca="1">G8+C9</f>
        <v>101.17500989010989</v>
      </c>
      <c r="H9" s="14" t="s">
        <v>106</v>
      </c>
      <c r="I9" s="28">
        <f ca="1">E9*G9/100</f>
        <v>505.87504945054951</v>
      </c>
      <c r="J9" s="14" t="s">
        <v>146</v>
      </c>
      <c r="K9" s="40">
        <f>[1]!b_info_clause(C5)</f>
        <v>0</v>
      </c>
      <c r="Q9" s="38">
        <v>1012</v>
      </c>
      <c r="R9" s="38" t="s">
        <v>48</v>
      </c>
      <c r="S9" s="6" t="s">
        <v>129</v>
      </c>
    </row>
    <row r="10" spans="2:19" ht="13.5" x14ac:dyDescent="0.15">
      <c r="B10" s="17"/>
      <c r="C10" s="16"/>
      <c r="D10" s="18"/>
      <c r="E10" s="18"/>
      <c r="F10" s="18"/>
      <c r="G10" s="16"/>
      <c r="H10" s="16"/>
      <c r="I10" s="16"/>
      <c r="Q10" s="38">
        <v>1022</v>
      </c>
      <c r="R10" s="38" t="s">
        <v>49</v>
      </c>
      <c r="S10" s="6" t="s">
        <v>130</v>
      </c>
    </row>
    <row r="11" spans="2:19" ht="13.5" x14ac:dyDescent="0.15">
      <c r="B11" s="14" t="s">
        <v>108</v>
      </c>
      <c r="C11" s="20">
        <v>0.1</v>
      </c>
      <c r="D11" s="14" t="s">
        <v>107</v>
      </c>
      <c r="E11" s="20">
        <v>0.15</v>
      </c>
      <c r="F11" s="14" t="s">
        <v>110</v>
      </c>
      <c r="G11" s="15">
        <f ca="1">TODAY()-1</f>
        <v>45398</v>
      </c>
      <c r="H11" s="14" t="s">
        <v>132</v>
      </c>
      <c r="I11" s="15" t="s">
        <v>143</v>
      </c>
      <c r="J11" s="14" t="s">
        <v>141</v>
      </c>
      <c r="K11" s="40" t="str">
        <f>IF(LEFT(K9,2)="赎回",[1]!b_info_redemptionprice(C5),IF(LEFT(K9,2)="回售",[1]!b_info_repurchaseprice(C5),""))</f>
        <v/>
      </c>
      <c r="L11" s="11"/>
      <c r="Q11" s="38">
        <v>1032</v>
      </c>
      <c r="R11" s="38" t="s">
        <v>47</v>
      </c>
    </row>
    <row r="12" spans="2:19" ht="13.5" x14ac:dyDescent="0.15">
      <c r="B12" s="14" t="s">
        <v>109</v>
      </c>
      <c r="C12" s="102" t="s">
        <v>15</v>
      </c>
      <c r="D12" s="102"/>
      <c r="E12" s="102"/>
      <c r="F12" s="14" t="s">
        <v>111</v>
      </c>
      <c r="G12" s="36">
        <v>3</v>
      </c>
      <c r="H12" s="14" t="s">
        <v>136</v>
      </c>
      <c r="I12" s="37" t="s">
        <v>149</v>
      </c>
      <c r="J12" s="14" t="s">
        <v>147</v>
      </c>
      <c r="K12" s="27" t="str">
        <f>IF(LEFT(K9,2)="赎回",[1]!b_info_redemptiondate(C5),IF(LEFT(K9,2)="回售",[1]!b_info_repurchasedate(C5),""))</f>
        <v/>
      </c>
      <c r="Q12" s="38">
        <v>1112</v>
      </c>
      <c r="R12" s="38" t="s">
        <v>51</v>
      </c>
    </row>
    <row r="13" spans="2:19" ht="13.5" x14ac:dyDescent="0.15">
      <c r="Q13" s="38">
        <v>1472</v>
      </c>
      <c r="R13" s="38" t="s">
        <v>53</v>
      </c>
      <c r="S13" s="6" t="s">
        <v>137</v>
      </c>
    </row>
    <row r="14" spans="2:19" ht="13.5" customHeight="1" thickBot="1" x14ac:dyDescent="0.2">
      <c r="B14" s="105" t="s">
        <v>150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7"/>
      <c r="Q14" s="38">
        <v>1122</v>
      </c>
      <c r="R14" s="38" t="s">
        <v>52</v>
      </c>
      <c r="S14" s="6" t="s">
        <v>138</v>
      </c>
    </row>
    <row r="15" spans="2:19" s="8" customFormat="1" ht="13.5" x14ac:dyDescent="0.15">
      <c r="B15" s="94"/>
      <c r="C15" s="49" t="s">
        <v>4</v>
      </c>
      <c r="D15" s="50" t="s">
        <v>5</v>
      </c>
      <c r="E15" s="50" t="s">
        <v>11</v>
      </c>
      <c r="F15" s="50" t="s">
        <v>6</v>
      </c>
      <c r="G15" s="50" t="s">
        <v>12</v>
      </c>
      <c r="H15" s="50" t="s">
        <v>80</v>
      </c>
      <c r="I15" s="50" t="s">
        <v>81</v>
      </c>
      <c r="J15" s="50" t="s">
        <v>7</v>
      </c>
      <c r="K15" s="51" t="s">
        <v>8</v>
      </c>
      <c r="L15" s="46">
        <v>365</v>
      </c>
      <c r="M15" s="33" t="s">
        <v>131</v>
      </c>
      <c r="Q15" s="38">
        <v>1132</v>
      </c>
      <c r="R15" s="38" t="s">
        <v>54</v>
      </c>
    </row>
    <row r="16" spans="2:19" s="10" customFormat="1" ht="13.5" x14ac:dyDescent="0.15">
      <c r="B16" s="95"/>
      <c r="C16" s="52">
        <v>1</v>
      </c>
      <c r="D16" s="13">
        <v>7</v>
      </c>
      <c r="E16" s="13">
        <v>14</v>
      </c>
      <c r="F16" s="13">
        <v>21</v>
      </c>
      <c r="G16" s="13">
        <v>30</v>
      </c>
      <c r="H16" s="13">
        <v>60</v>
      </c>
      <c r="I16" s="13">
        <v>90</v>
      </c>
      <c r="J16" s="13">
        <v>150</v>
      </c>
      <c r="K16" s="53">
        <v>365</v>
      </c>
      <c r="L16" s="47">
        <f>L15</f>
        <v>365</v>
      </c>
      <c r="Q16" s="38">
        <v>1412</v>
      </c>
      <c r="R16" s="38" t="s">
        <v>55</v>
      </c>
    </row>
    <row r="17" spans="1:19" ht="13.5" x14ac:dyDescent="0.15">
      <c r="A17" s="11">
        <v>5.0000000000000001E-3</v>
      </c>
      <c r="B17" s="96" t="s">
        <v>118</v>
      </c>
      <c r="C17" s="54">
        <f ca="1">IF(C$16/365&gt;$G$6,"",SUMPRODUCT(CASH,(1/(1+RATE_1d/100+$A17)^(DUR-C$16/365))*((DUR-C$16/365)&gt;0)))</f>
        <v>101.15485864627838</v>
      </c>
      <c r="D17" s="21">
        <f t="shared" ref="D17:D30" ca="1" si="0">IF(D$16/365&gt;$G$6,"",SUMPRODUCT(CASH,(1/(1+RATE_7d/100+$A17)^(DUR-D$16/365))*((DUR-D$16/365)&gt;0)))</f>
        <v>101.18714935978015</v>
      </c>
      <c r="E17" s="21">
        <f t="shared" ref="E17:E30" ca="1" si="1">IF(E$16/365&gt;$G$6,"",SUMPRODUCT(CASH,(1/(1+RATE_2W/100+$A17)^(DUR-E$16/365))*((DUR-E$16/365)&gt;0)))</f>
        <v>101.22578165392144</v>
      </c>
      <c r="F17" s="21">
        <f t="shared" ref="F17:F30" ca="1" si="2">IF(F$16/365&gt;$G$6,"",SUMPRODUCT(CASH,(1/(1+RATE_3W/100+$A17)^(DUR-F$16/365))*((DUR-F$16/365)&gt;0)))</f>
        <v>101.26544830751908</v>
      </c>
      <c r="G17" s="21">
        <f t="shared" ref="G17:G30" ca="1" si="3">IF(G$16/365&gt;$G$6,"",SUMPRODUCT(CASH,(1/(1+RATE_1M/100+$A17)^(DUR-G$16/365))*((DUR-G$16/365)&gt;0)))</f>
        <v>99.937678553899104</v>
      </c>
      <c r="H17" s="21">
        <f t="shared" ref="H17:H30" ca="1" si="4">IF(H$16/365&gt;$G$6,"",SUMPRODUCT(CASH,(1/(1+RATE_2M/100+$A17)^(DUR-H$16/365))*((DUR-H$16/365)&gt;0)))</f>
        <v>100.10808409344644</v>
      </c>
      <c r="I17" s="21">
        <f t="shared" ref="I17:I30" ca="1" si="5">IF(I$16/365&gt;$G$6,"",SUMPRODUCT(CASH,(1/(1+RATE_3M/100+$A17)^(DUR-I$16/365))*((DUR-I$16/365)&gt;0)))</f>
        <v>100.27722842810621</v>
      </c>
      <c r="J17" s="21">
        <f t="shared" ref="J17:J30" ca="1" si="6">IF(J$16/365&gt;$G$6,"",SUMPRODUCT(CASH,(1/(1+RATE_5M/100+$A17)^(DUR-J$16/365))*((DUR-J$16/365)&gt;0)))</f>
        <v>100.63359073805384</v>
      </c>
      <c r="K17" s="55">
        <f t="shared" ref="K17:K30" ca="1" si="7">IF(K$16/365&gt;$G$6,"",SUMPRODUCT(CASH,(1/(1+RATE_1Y/100+$A17)^(DUR-K$16/365))*((DUR-K$16/365)&gt;0)))</f>
        <v>100.62623665493675</v>
      </c>
      <c r="L17" s="48">
        <f t="shared" ref="L17:L30" ca="1" si="8">IF(L$16/365&gt;$G$6,"",SUMPRODUCT(CASH,(1/(1+RATE_XD/100+$A17)^(DUR-L$16/365))*((DUR-L$16/365)&gt;0)))</f>
        <v>100.62623665493675</v>
      </c>
      <c r="Q17" s="38">
        <v>1862</v>
      </c>
      <c r="R17" s="38" t="s">
        <v>56</v>
      </c>
      <c r="S17" s="6" t="s">
        <v>144</v>
      </c>
    </row>
    <row r="18" spans="1:19" ht="13.5" x14ac:dyDescent="0.15">
      <c r="A18" s="11">
        <v>3.0000000000000001E-3</v>
      </c>
      <c r="B18" s="96" t="s">
        <v>120</v>
      </c>
      <c r="C18" s="54">
        <f t="shared" ref="C18:C30" ca="1" si="9">IF(C$16/365&gt;$G$6,"",SUMPRODUCT(CASH,(1/(1+RATE_1d/100+$A18)^(DUR-C$16/365))*((DUR-C$16/365)&gt;0)))</f>
        <v>102.5860842335527</v>
      </c>
      <c r="D18" s="21">
        <f t="shared" ca="1" si="0"/>
        <v>102.61551983089095</v>
      </c>
      <c r="E18" s="21">
        <f t="shared" ca="1" si="1"/>
        <v>102.65083400476625</v>
      </c>
      <c r="F18" s="21">
        <f t="shared" ca="1" si="2"/>
        <v>102.68719627389001</v>
      </c>
      <c r="G18" s="21">
        <f t="shared" ca="1" si="3"/>
        <v>101.35521076041894</v>
      </c>
      <c r="H18" s="21">
        <f t="shared" ca="1" si="4"/>
        <v>101.5116718423745</v>
      </c>
      <c r="I18" s="21">
        <f t="shared" ca="1" si="5"/>
        <v>101.66679812282688</v>
      </c>
      <c r="J18" s="21">
        <f t="shared" ca="1" si="6"/>
        <v>101.99524499539667</v>
      </c>
      <c r="K18" s="55">
        <f t="shared" ca="1" si="7"/>
        <v>101.88872595938795</v>
      </c>
      <c r="L18" s="48">
        <f t="shared" ca="1" si="8"/>
        <v>101.88872595938795</v>
      </c>
      <c r="Q18" s="38">
        <v>1142</v>
      </c>
      <c r="R18" s="38" t="s">
        <v>57</v>
      </c>
      <c r="S18" s="6" t="s">
        <v>145</v>
      </c>
    </row>
    <row r="19" spans="1:19" ht="13.5" x14ac:dyDescent="0.15">
      <c r="A19" s="11">
        <v>2E-3</v>
      </c>
      <c r="B19" s="96" t="s">
        <v>121</v>
      </c>
      <c r="C19" s="54">
        <f t="shared" ca="1" si="9"/>
        <v>103.31093547611199</v>
      </c>
      <c r="D19" s="21">
        <f t="shared" ca="1" si="0"/>
        <v>103.33890894339802</v>
      </c>
      <c r="E19" s="21">
        <f t="shared" ca="1" si="1"/>
        <v>103.37252390611299</v>
      </c>
      <c r="F19" s="21">
        <f t="shared" ca="1" si="2"/>
        <v>103.40719402773631</v>
      </c>
      <c r="G19" s="21">
        <f t="shared" ca="1" si="3"/>
        <v>102.07304954479602</v>
      </c>
      <c r="H19" s="21">
        <f t="shared" ca="1" si="4"/>
        <v>102.22236891610331</v>
      </c>
      <c r="I19" s="21">
        <f t="shared" ca="1" si="5"/>
        <v>102.37031794021505</v>
      </c>
      <c r="J19" s="21">
        <f t="shared" ca="1" si="6"/>
        <v>102.68447679000784</v>
      </c>
      <c r="K19" s="55">
        <f t="shared" ca="1" si="7"/>
        <v>102.52724851749177</v>
      </c>
      <c r="L19" s="48">
        <f t="shared" ca="1" si="8"/>
        <v>102.52724851749177</v>
      </c>
      <c r="Q19" s="38">
        <v>1152</v>
      </c>
      <c r="R19" s="38" t="s">
        <v>58</v>
      </c>
    </row>
    <row r="20" spans="1:19" ht="13.5" x14ac:dyDescent="0.15">
      <c r="A20" s="11">
        <v>1.5E-3</v>
      </c>
      <c r="B20" s="96" t="s">
        <v>117</v>
      </c>
      <c r="C20" s="54">
        <f t="shared" ca="1" si="9"/>
        <v>103.67569686213345</v>
      </c>
      <c r="D20" s="21">
        <f t="shared" ca="1" si="0"/>
        <v>103.70293048145813</v>
      </c>
      <c r="E20" s="21">
        <f t="shared" ca="1" si="1"/>
        <v>103.73568563851325</v>
      </c>
      <c r="F20" s="21">
        <f t="shared" ca="1" si="2"/>
        <v>103.76949953625684</v>
      </c>
      <c r="G20" s="21">
        <f t="shared" ca="1" si="3"/>
        <v>102.43426259022421</v>
      </c>
      <c r="H20" s="21">
        <f t="shared" ca="1" si="4"/>
        <v>102.57996805615628</v>
      </c>
      <c r="I20" s="21">
        <f t="shared" ca="1" si="5"/>
        <v>102.72428572636346</v>
      </c>
      <c r="J20" s="21">
        <f t="shared" ca="1" si="6"/>
        <v>103.03121669218149</v>
      </c>
      <c r="K20" s="55">
        <f t="shared" ca="1" si="7"/>
        <v>102.84834785885144</v>
      </c>
      <c r="L20" s="48">
        <f t="shared" ca="1" si="8"/>
        <v>102.84834785885144</v>
      </c>
      <c r="Q20" s="38">
        <v>1922</v>
      </c>
      <c r="R20" s="38" t="s">
        <v>63</v>
      </c>
    </row>
    <row r="21" spans="1:19" ht="13.5" x14ac:dyDescent="0.15">
      <c r="A21" s="11">
        <v>1E-3</v>
      </c>
      <c r="B21" s="96" t="s">
        <v>3</v>
      </c>
      <c r="C21" s="54">
        <f t="shared" ca="1" si="9"/>
        <v>104.04202549450312</v>
      </c>
      <c r="D21" s="21">
        <f t="shared" ca="1" si="0"/>
        <v>104.06851335653445</v>
      </c>
      <c r="E21" s="21">
        <f t="shared" ca="1" si="1"/>
        <v>104.10040184519345</v>
      </c>
      <c r="F21" s="21">
        <f t="shared" ca="1" si="2"/>
        <v>104.13335269001209</v>
      </c>
      <c r="G21" s="21">
        <f t="shared" ca="1" si="3"/>
        <v>102.79701454911337</v>
      </c>
      <c r="H21" s="21">
        <f t="shared" ca="1" si="4"/>
        <v>102.9390771472336</v>
      </c>
      <c r="I21" s="21">
        <f t="shared" ca="1" si="5"/>
        <v>103.07973472164917</v>
      </c>
      <c r="J21" s="21">
        <f t="shared" ca="1" si="6"/>
        <v>103.37938138793523</v>
      </c>
      <c r="K21" s="55">
        <f t="shared" ca="1" si="7"/>
        <v>103.17067972461579</v>
      </c>
      <c r="L21" s="48">
        <f t="shared" ca="1" si="8"/>
        <v>103.17067972461579</v>
      </c>
      <c r="Q21" s="38">
        <v>1162</v>
      </c>
      <c r="R21" s="38" t="s">
        <v>59</v>
      </c>
    </row>
    <row r="22" spans="1:19" ht="13.5" x14ac:dyDescent="0.15">
      <c r="A22" s="11">
        <v>5.0000000000000001E-4</v>
      </c>
      <c r="B22" s="96" t="s">
        <v>119</v>
      </c>
      <c r="C22" s="54">
        <f t="shared" ca="1" si="9"/>
        <v>104.40992897629366</v>
      </c>
      <c r="D22" s="21">
        <f t="shared" ca="1" si="0"/>
        <v>104.43566513082169</v>
      </c>
      <c r="E22" s="21">
        <f t="shared" ca="1" si="1"/>
        <v>104.46668004093432</v>
      </c>
      <c r="F22" s="21">
        <f t="shared" ca="1" si="2"/>
        <v>104.49876095666521</v>
      </c>
      <c r="G22" s="21">
        <f t="shared" ca="1" si="3"/>
        <v>103.1613128289672</v>
      </c>
      <c r="H22" s="21">
        <f t="shared" ca="1" si="4"/>
        <v>103.29970339837047</v>
      </c>
      <c r="I22" s="21">
        <f ca="1">IF(I$16/365&gt;$G$6,"",SUMPRODUCT(CASH,(1/(1+RATE_3M/100+$A22)^(DUR-I$16/365))*((DUR-I$16/365)&gt;0)))</f>
        <v>103.43667193993312</v>
      </c>
      <c r="J22" s="21">
        <f t="shared" ca="1" si="6"/>
        <v>103.72897751263729</v>
      </c>
      <c r="K22" s="55">
        <f t="shared" ca="1" si="7"/>
        <v>103.49424950969259</v>
      </c>
      <c r="L22" s="48">
        <f t="shared" ca="1" si="8"/>
        <v>103.49424950969259</v>
      </c>
      <c r="Q22" s="38">
        <v>1172</v>
      </c>
      <c r="R22" s="38" t="s">
        <v>60</v>
      </c>
    </row>
    <row r="23" spans="1:19" ht="13.5" x14ac:dyDescent="0.15">
      <c r="A23" s="11">
        <v>0</v>
      </c>
      <c r="B23" s="97" t="s">
        <v>114</v>
      </c>
      <c r="C23" s="54">
        <f t="shared" ca="1" si="9"/>
        <v>104.77941495141042</v>
      </c>
      <c r="D23" s="21">
        <f t="shared" ca="1" si="0"/>
        <v>104.80439340706747</v>
      </c>
      <c r="E23" s="21">
        <f t="shared" ca="1" si="1"/>
        <v>104.8345277807456</v>
      </c>
      <c r="F23" s="21">
        <f t="shared" ca="1" si="2"/>
        <v>104.8657318437869</v>
      </c>
      <c r="G23" s="21">
        <f t="shared" ca="1" si="3"/>
        <v>103.52716487678742</v>
      </c>
      <c r="H23" s="21">
        <f t="shared" ca="1" si="4"/>
        <v>103.66185405675532</v>
      </c>
      <c r="I23" s="21">
        <f t="shared" ca="1" si="5"/>
        <v>103.79510443191781</v>
      </c>
      <c r="J23" s="21">
        <f t="shared" ca="1" si="6"/>
        <v>104.08001173598274</v>
      </c>
      <c r="K23" s="55">
        <f t="shared" ca="1" si="7"/>
        <v>103.81906263536634</v>
      </c>
      <c r="L23" s="48">
        <f t="shared" ca="1" si="8"/>
        <v>103.81906263536634</v>
      </c>
      <c r="Q23" s="38">
        <v>1702</v>
      </c>
      <c r="R23" s="38" t="s">
        <v>62</v>
      </c>
    </row>
    <row r="24" spans="1:19" ht="13.5" x14ac:dyDescent="0.15">
      <c r="A24" s="11">
        <v>-5.0000000000000001E-4</v>
      </c>
      <c r="B24" s="95" t="s">
        <v>83</v>
      </c>
      <c r="C24" s="54">
        <f t="shared" ca="1" si="9"/>
        <v>105.15049110483071</v>
      </c>
      <c r="D24" s="21">
        <f t="shared" ca="1" si="0"/>
        <v>105.17470582880976</v>
      </c>
      <c r="E24" s="21">
        <f t="shared" ca="1" si="1"/>
        <v>105.20395266010121</v>
      </c>
      <c r="F24" s="21">
        <f t="shared" ca="1" si="2"/>
        <v>105.23427289908838</v>
      </c>
      <c r="G24" s="21">
        <f t="shared" ca="1" si="3"/>
        <v>103.89457817930355</v>
      </c>
      <c r="H24" s="21">
        <f t="shared" ca="1" si="4"/>
        <v>104.02553640795051</v>
      </c>
      <c r="I24" s="21">
        <f t="shared" ca="1" si="5"/>
        <v>104.15503928535892</v>
      </c>
      <c r="J24" s="21">
        <f t="shared" ca="1" si="6"/>
        <v>104.43249076218768</v>
      </c>
      <c r="K24" s="55">
        <f t="shared" ca="1" si="7"/>
        <v>104.14512454943988</v>
      </c>
      <c r="L24" s="48">
        <f t="shared" ca="1" si="8"/>
        <v>104.14512454943988</v>
      </c>
      <c r="Q24" s="38">
        <v>1402</v>
      </c>
      <c r="R24" s="38" t="s">
        <v>61</v>
      </c>
    </row>
    <row r="25" spans="1:19" ht="13.5" x14ac:dyDescent="0.15">
      <c r="A25" s="11">
        <v>-1E-3</v>
      </c>
      <c r="B25" s="95" t="s">
        <v>84</v>
      </c>
      <c r="C25" s="54">
        <f t="shared" ca="1" si="9"/>
        <v>105.52316516284563</v>
      </c>
      <c r="D25" s="21">
        <f t="shared" ca="1" si="0"/>
        <v>105.54661008061667</v>
      </c>
      <c r="E25" s="21">
        <f t="shared" ca="1" si="1"/>
        <v>105.57496231517658</v>
      </c>
      <c r="F25" s="21">
        <f t="shared" ca="1" si="2"/>
        <v>105.60439171065634</v>
      </c>
      <c r="G25" s="21">
        <f t="shared" ca="1" si="3"/>
        <v>104.26356026320526</v>
      </c>
      <c r="H25" s="21">
        <f t="shared" ca="1" si="4"/>
        <v>104.39075777611504</v>
      </c>
      <c r="I25" s="21">
        <f t="shared" ca="1" si="5"/>
        <v>104.51648362527892</v>
      </c>
      <c r="J25" s="21">
        <f t="shared" ca="1" si="6"/>
        <v>104.78642133018568</v>
      </c>
      <c r="K25" s="55">
        <f t="shared" ca="1" si="7"/>
        <v>104.47244072637774</v>
      </c>
      <c r="L25" s="48">
        <f t="shared" ca="1" si="8"/>
        <v>104.47244072637774</v>
      </c>
      <c r="Q25" s="38">
        <v>1182</v>
      </c>
      <c r="R25" s="38" t="s">
        <v>68</v>
      </c>
    </row>
    <row r="26" spans="1:19" ht="13.5" x14ac:dyDescent="0.15">
      <c r="A26" s="11">
        <v>-1.5E-3</v>
      </c>
      <c r="B26" s="95" t="s">
        <v>85</v>
      </c>
      <c r="C26" s="54">
        <f t="shared" ca="1" si="9"/>
        <v>105.89744489330307</v>
      </c>
      <c r="D26" s="21">
        <f t="shared" ca="1" si="0"/>
        <v>105.92011388832753</v>
      </c>
      <c r="E26" s="21">
        <f t="shared" ca="1" si="1"/>
        <v>105.94756442308756</v>
      </c>
      <c r="F26" s="21">
        <f t="shared" ca="1" si="2"/>
        <v>105.97609590718974</v>
      </c>
      <c r="G26" s="21">
        <f t="shared" ca="1" si="3"/>
        <v>104.63411869537603</v>
      </c>
      <c r="H26" s="21">
        <f t="shared" ca="1" si="4"/>
        <v>104.75752552422878</v>
      </c>
      <c r="I26" s="21">
        <f t="shared" ca="1" si="5"/>
        <v>104.87944461418209</v>
      </c>
      <c r="J26" s="21">
        <f t="shared" ca="1" si="6"/>
        <v>105.1418102138252</v>
      </c>
      <c r="K26" s="55">
        <f t="shared" ca="1" si="7"/>
        <v>104.80101666744997</v>
      </c>
      <c r="L26" s="48">
        <f t="shared" ca="1" si="8"/>
        <v>104.80101666744997</v>
      </c>
      <c r="Q26" s="38">
        <v>1192</v>
      </c>
      <c r="R26" s="38" t="s">
        <v>69</v>
      </c>
    </row>
    <row r="27" spans="1:19" ht="13.5" x14ac:dyDescent="0.15">
      <c r="A27" s="11">
        <v>-2E-3</v>
      </c>
      <c r="B27" s="95" t="s">
        <v>86</v>
      </c>
      <c r="C27" s="54">
        <f t="shared" ca="1" si="9"/>
        <v>106.27333810585191</v>
      </c>
      <c r="D27" s="21">
        <f t="shared" ca="1" si="0"/>
        <v>106.2952250192949</v>
      </c>
      <c r="E27" s="21">
        <f t="shared" ca="1" si="1"/>
        <v>106.32176670213013</v>
      </c>
      <c r="F27" s="21">
        <f t="shared" ca="1" si="2"/>
        <v>106.34939315823706</v>
      </c>
      <c r="G27" s="21">
        <f t="shared" ca="1" si="3"/>
        <v>105.00626108312748</v>
      </c>
      <c r="H27" s="21">
        <f t="shared" ca="1" si="4"/>
        <v>105.12584705431729</v>
      </c>
      <c r="I27" s="21">
        <f t="shared" ca="1" si="5"/>
        <v>105.24392945227</v>
      </c>
      <c r="J27" s="21">
        <f t="shared" ca="1" si="6"/>
        <v>105.49866422206736</v>
      </c>
      <c r="K27" s="55">
        <f t="shared" ca="1" si="7"/>
        <v>105.13085790087651</v>
      </c>
      <c r="L27" s="48">
        <f t="shared" ca="1" si="8"/>
        <v>105.13085790087651</v>
      </c>
      <c r="Q27" s="38">
        <v>1202</v>
      </c>
      <c r="R27" s="38" t="s">
        <v>70</v>
      </c>
    </row>
    <row r="28" spans="1:19" ht="13.5" x14ac:dyDescent="0.15">
      <c r="A28" s="11">
        <v>-3.0000000000000001E-3</v>
      </c>
      <c r="B28" s="95" t="s">
        <v>112</v>
      </c>
      <c r="C28" s="54">
        <f t="shared" ca="1" si="9"/>
        <v>107.02999642630647</v>
      </c>
      <c r="D28" s="21">
        <f t="shared" ca="1" si="0"/>
        <v>107.05030052944642</v>
      </c>
      <c r="E28" s="21">
        <f t="shared" ca="1" si="1"/>
        <v>107.07500285415098</v>
      </c>
      <c r="F28" s="21">
        <f t="shared" ca="1" si="2"/>
        <v>107.10079770775732</v>
      </c>
      <c r="G28" s="21">
        <f t="shared" ca="1" si="3"/>
        <v>105.75532835818521</v>
      </c>
      <c r="H28" s="21">
        <f t="shared" ca="1" si="4"/>
        <v>105.86718126511619</v>
      </c>
      <c r="I28" s="21">
        <f t="shared" ca="1" si="5"/>
        <v>105.97749966660331</v>
      </c>
      <c r="J28" s="21">
        <f t="shared" ca="1" si="6"/>
        <v>106.21679502497288</v>
      </c>
      <c r="K28" s="55">
        <f t="shared" ca="1" si="7"/>
        <v>105.79435849329934</v>
      </c>
      <c r="L28" s="48">
        <f t="shared" ca="1" si="8"/>
        <v>105.79435849329934</v>
      </c>
      <c r="Q28" s="38">
        <v>1212</v>
      </c>
      <c r="R28" s="38" t="s">
        <v>71</v>
      </c>
    </row>
    <row r="29" spans="1:19" ht="13.5" x14ac:dyDescent="0.15">
      <c r="A29" s="11">
        <v>-5.0000000000000001E-3</v>
      </c>
      <c r="B29" s="98" t="s">
        <v>88</v>
      </c>
      <c r="C29" s="56">
        <f t="shared" ca="1" si="9"/>
        <v>108.5630231747636</v>
      </c>
      <c r="D29" s="57">
        <f t="shared" ca="1" si="0"/>
        <v>108.58008585783718</v>
      </c>
      <c r="E29" s="57">
        <f t="shared" ca="1" si="1"/>
        <v>108.60102144475709</v>
      </c>
      <c r="F29" s="57">
        <f t="shared" ca="1" si="2"/>
        <v>108.62306551181912</v>
      </c>
      <c r="G29" s="57">
        <f t="shared" ca="1" si="3"/>
        <v>107.27280964024403</v>
      </c>
      <c r="H29" s="57">
        <f t="shared" ca="1" si="4"/>
        <v>107.36882514706113</v>
      </c>
      <c r="I29" s="57">
        <f t="shared" ca="1" si="5"/>
        <v>107.46324733000769</v>
      </c>
      <c r="J29" s="57">
        <f t="shared" ca="1" si="6"/>
        <v>107.67094166490865</v>
      </c>
      <c r="K29" s="45">
        <f t="shared" ca="1" si="7"/>
        <v>107.13678945381403</v>
      </c>
      <c r="L29" s="59">
        <f t="shared" ca="1" si="8"/>
        <v>107.13678945381403</v>
      </c>
      <c r="Q29" s="38">
        <v>1422</v>
      </c>
      <c r="R29" s="38" t="s">
        <v>66</v>
      </c>
    </row>
    <row r="30" spans="1:19" ht="13.5" x14ac:dyDescent="0.15">
      <c r="A30" s="11">
        <f>B30/10000</f>
        <v>1E-3</v>
      </c>
      <c r="B30" s="42">
        <v>10</v>
      </c>
      <c r="C30" s="60">
        <f t="shared" ca="1" si="9"/>
        <v>104.04202549450312</v>
      </c>
      <c r="D30" s="44">
        <f t="shared" ca="1" si="0"/>
        <v>104.06851335653445</v>
      </c>
      <c r="E30" s="44">
        <f t="shared" ca="1" si="1"/>
        <v>104.10040184519345</v>
      </c>
      <c r="F30" s="44">
        <f t="shared" ca="1" si="2"/>
        <v>104.13335269001209</v>
      </c>
      <c r="G30" s="44">
        <f t="shared" ca="1" si="3"/>
        <v>102.79701454911337</v>
      </c>
      <c r="H30" s="44">
        <f t="shared" ca="1" si="4"/>
        <v>102.9390771472336</v>
      </c>
      <c r="I30" s="44">
        <f t="shared" ca="1" si="5"/>
        <v>103.07973472164917</v>
      </c>
      <c r="J30" s="44">
        <f t="shared" ca="1" si="6"/>
        <v>103.37938138793523</v>
      </c>
      <c r="K30" s="58">
        <f t="shared" ca="1" si="7"/>
        <v>103.17067972461579</v>
      </c>
      <c r="L30" s="43">
        <f t="shared" ca="1" si="8"/>
        <v>103.17067972461579</v>
      </c>
      <c r="Q30" s="38">
        <v>1812</v>
      </c>
      <c r="R30" s="38" t="s">
        <v>65</v>
      </c>
    </row>
    <row r="31" spans="1:19" ht="13.5" x14ac:dyDescent="0.15">
      <c r="Q31" s="38">
        <v>1222</v>
      </c>
      <c r="R31" s="38" t="s">
        <v>64</v>
      </c>
    </row>
    <row r="32" spans="1:19" ht="13.5" customHeight="1" x14ac:dyDescent="0.15">
      <c r="B32" s="34" t="s">
        <v>128</v>
      </c>
      <c r="C32" s="103" t="s">
        <v>134</v>
      </c>
      <c r="D32" s="104"/>
      <c r="Q32" s="38">
        <v>1432</v>
      </c>
      <c r="R32" s="38" t="s">
        <v>67</v>
      </c>
    </row>
    <row r="33" spans="2:18" ht="13.5" customHeight="1" x14ac:dyDescent="0.15">
      <c r="B33" s="108" t="s">
        <v>135</v>
      </c>
      <c r="C33" s="109"/>
      <c r="D33" s="109"/>
      <c r="E33" s="109"/>
      <c r="F33" s="109"/>
      <c r="G33" s="109"/>
      <c r="H33" s="109"/>
      <c r="I33" s="109"/>
      <c r="J33" s="109"/>
      <c r="K33" s="109"/>
      <c r="L33" s="110"/>
      <c r="Q33" s="38">
        <v>1232</v>
      </c>
      <c r="R33" s="38" t="s">
        <v>15</v>
      </c>
    </row>
    <row r="34" spans="2:18" ht="13.5" x14ac:dyDescent="0.15">
      <c r="B34" s="68"/>
      <c r="C34" s="49" t="s">
        <v>4</v>
      </c>
      <c r="D34" s="50" t="s">
        <v>5</v>
      </c>
      <c r="E34" s="50" t="s">
        <v>11</v>
      </c>
      <c r="F34" s="50" t="s">
        <v>6</v>
      </c>
      <c r="G34" s="50" t="s">
        <v>12</v>
      </c>
      <c r="H34" s="50" t="s">
        <v>80</v>
      </c>
      <c r="I34" s="50" t="s">
        <v>81</v>
      </c>
      <c r="J34" s="50" t="s">
        <v>7</v>
      </c>
      <c r="K34" s="51" t="s">
        <v>8</v>
      </c>
      <c r="L34" s="71" t="str">
        <f>L15&amp;"d"</f>
        <v>365d</v>
      </c>
      <c r="M34" s="32"/>
      <c r="Q34" s="38">
        <v>1242</v>
      </c>
      <c r="R34" s="38" t="s">
        <v>50</v>
      </c>
    </row>
    <row r="35" spans="2:18" ht="13.5" x14ac:dyDescent="0.15">
      <c r="B35" s="61" t="s">
        <v>82</v>
      </c>
      <c r="C35" s="74">
        <f ca="1">IF(C17="","",IF($C$32="年化收益率",((SUMPRODUCT(((DUR-C$16/365)&lt;0)*CASH)+C17-$G$9*(1+C$16*$C$11/365))/$G$9)*365/C$16,((SUMPRODUCT(((DUR-C$16/365)&lt;0)*CASH)+C17-$G$9*(1+C$16*$C$11/365))/$G$9)))</f>
        <v>-0.17269783325434529</v>
      </c>
      <c r="D35" s="22">
        <f t="shared" ref="D35:L35" ca="1" si="10">IF(D17="","",IF($C$32="年化收益率",((SUMPRODUCT(((DUR-D$16/365)&lt;0)*CASH)+D17-$G$9*(1+D$16*$C$11/365))/$G$9)*365/D$16,((SUMPRODUCT(((DUR-D$16/365)&lt;0)*CASH)+D17-$G$9*(1+D$16*$C$11/365))/$G$9)))</f>
        <v>-9.3743646444964135E-2</v>
      </c>
      <c r="E35" s="22">
        <f t="shared" ca="1" si="10"/>
        <v>-8.6916804702108788E-2</v>
      </c>
      <c r="F35" s="22">
        <f t="shared" ca="1" si="10"/>
        <v>-8.4463497180724212E-2</v>
      </c>
      <c r="G35" s="22">
        <f t="shared" ca="1" si="10"/>
        <v>-8.2843569000019518E-2</v>
      </c>
      <c r="H35" s="22">
        <f t="shared" ca="1" si="10"/>
        <v>-8.117583839099593E-2</v>
      </c>
      <c r="I35" s="22">
        <f t="shared" ca="1" si="10"/>
        <v>-8.0670483028497483E-2</v>
      </c>
      <c r="J35" s="22">
        <f t="shared" ca="1" si="10"/>
        <v>-7.983151440051002E-2</v>
      </c>
      <c r="K35" s="75">
        <f t="shared" ca="1" si="10"/>
        <v>-7.8144536212760865E-2</v>
      </c>
      <c r="L35" s="72">
        <f t="shared" ca="1" si="10"/>
        <v>-7.8144536212760865E-2</v>
      </c>
      <c r="Q35" s="38">
        <v>1902</v>
      </c>
      <c r="R35" s="38" t="s">
        <v>35</v>
      </c>
    </row>
    <row r="36" spans="2:18" ht="13.5" x14ac:dyDescent="0.15">
      <c r="B36" s="61" t="s">
        <v>115</v>
      </c>
      <c r="C36" s="74">
        <f t="shared" ref="C36:L36" ca="1" si="11">IF(C18="","",IF($C$32="年化收益率",((SUMPRODUCT(((DUR-C$16/365)&lt;0)*CASH)+C18-$G$9*(1+C$16*$C$11/365))/$G$9)*365/C$16,((SUMPRODUCT(((DUR-C$16/365)&lt;0)*CASH)+C18-$G$9*(1+C$16*$C$11/365))/$G$9)))</f>
        <v>4.9906062269332452</v>
      </c>
      <c r="D36" s="22">
        <f t="shared" ca="1" si="11"/>
        <v>0.64239976983046454</v>
      </c>
      <c r="E36" s="22">
        <f t="shared" ca="1" si="11"/>
        <v>0.2802998688218204</v>
      </c>
      <c r="F36" s="22">
        <f t="shared" ca="1" si="11"/>
        <v>0.15977995511099247</v>
      </c>
      <c r="G36" s="22">
        <f t="shared" ca="1" si="11"/>
        <v>8.7619886992953464E-2</v>
      </c>
      <c r="H36" s="22">
        <f t="shared" ca="1" si="11"/>
        <v>3.2174534761000889E-3</v>
      </c>
      <c r="I36" s="22">
        <f t="shared" ca="1" si="11"/>
        <v>-2.497019595783713E-2</v>
      </c>
      <c r="J36" s="22">
        <f t="shared" ca="1" si="11"/>
        <v>-4.7082728939887561E-2</v>
      </c>
      <c r="K36" s="75">
        <f t="shared" ca="1" si="11"/>
        <v>-6.5666264099692159E-2</v>
      </c>
      <c r="L36" s="72">
        <f t="shared" ca="1" si="11"/>
        <v>-6.5666264099692159E-2</v>
      </c>
      <c r="Q36" s="38">
        <v>1852</v>
      </c>
      <c r="R36" s="38" t="s">
        <v>34</v>
      </c>
    </row>
    <row r="37" spans="2:18" ht="13.5" x14ac:dyDescent="0.15">
      <c r="B37" s="61" t="s">
        <v>9</v>
      </c>
      <c r="C37" s="74">
        <f t="shared" ref="C37:L37" ca="1" si="12">IF(C19="","",IF($C$32="年化收益率",((SUMPRODUCT(((DUR-C$16/365)&lt;0)*CASH)+C19-$G$9*(1+C$16*$C$11/365))/$G$9)*365/C$16,((SUMPRODUCT(((DUR-C$16/365)&lt;0)*CASH)+C19-$G$9*(1+C$16*$C$11/365))/$G$9)))</f>
        <v>7.6055869798039746</v>
      </c>
      <c r="D37" s="22">
        <f t="shared" ca="1" si="12"/>
        <v>1.0152149066228751</v>
      </c>
      <c r="E37" s="22">
        <f t="shared" ca="1" si="12"/>
        <v>0.46626957353565218</v>
      </c>
      <c r="F37" s="22">
        <f t="shared" ca="1" si="12"/>
        <v>0.28346906260490257</v>
      </c>
      <c r="G37" s="22">
        <f t="shared" ca="1" si="12"/>
        <v>0.17394263822774106</v>
      </c>
      <c r="H37" s="22">
        <f t="shared" ca="1" si="12"/>
        <v>4.5949420621077333E-2</v>
      </c>
      <c r="I37" s="22">
        <f t="shared" ca="1" si="12"/>
        <v>3.230084990501334E-3</v>
      </c>
      <c r="J37" s="22">
        <f t="shared" ca="1" si="12"/>
        <v>-3.0506197817804274E-2</v>
      </c>
      <c r="K37" s="75">
        <f t="shared" ca="1" si="12"/>
        <v>-5.9355194213982831E-2</v>
      </c>
      <c r="L37" s="72">
        <f t="shared" ca="1" si="12"/>
        <v>-5.9355194213982831E-2</v>
      </c>
      <c r="Q37" s="38">
        <v>1872</v>
      </c>
      <c r="R37" s="38" t="s">
        <v>31</v>
      </c>
    </row>
    <row r="38" spans="2:18" ht="13.5" x14ac:dyDescent="0.15">
      <c r="B38" s="61" t="s">
        <v>116</v>
      </c>
      <c r="C38" s="74">
        <f t="shared" ref="C38:L38" ca="1" si="13">IF(C20="","",IF($C$32="年化收益率",((SUMPRODUCT(((DUR-C$16/365)&lt;0)*CASH)+C20-$G$9*(1+C$16*$C$11/365))/$G$9)*365/C$16,((SUMPRODUCT(((DUR-C$16/365)&lt;0)*CASH)+C20-$G$9*(1+C$16*$C$11/365))/$G$9)))</f>
        <v>8.9215038850006021</v>
      </c>
      <c r="D38" s="22">
        <f t="shared" ca="1" si="13"/>
        <v>1.2028217383554056</v>
      </c>
      <c r="E38" s="22">
        <f t="shared" ca="1" si="13"/>
        <v>0.55985142913846653</v>
      </c>
      <c r="F38" s="22">
        <f t="shared" ca="1" si="13"/>
        <v>0.3457098748152676</v>
      </c>
      <c r="G38" s="22">
        <f t="shared" ca="1" si="13"/>
        <v>0.21737983407432007</v>
      </c>
      <c r="H38" s="22">
        <f t="shared" ca="1" si="13"/>
        <v>6.7450725844752049E-2</v>
      </c>
      <c r="I38" s="22">
        <f t="shared" ca="1" si="13"/>
        <v>1.7418727256621226E-2</v>
      </c>
      <c r="J38" s="22">
        <f t="shared" ca="1" si="13"/>
        <v>-2.2166848378923076E-2</v>
      </c>
      <c r="K38" s="75">
        <f t="shared" ca="1" si="13"/>
        <v>-5.6181492113944222E-2</v>
      </c>
      <c r="L38" s="72">
        <f t="shared" ca="1" si="13"/>
        <v>-5.6181492113944222E-2</v>
      </c>
      <c r="Q38" s="38">
        <v>1822</v>
      </c>
      <c r="R38" s="38" t="s">
        <v>33</v>
      </c>
    </row>
    <row r="39" spans="2:18" ht="13.5" x14ac:dyDescent="0.15">
      <c r="B39" s="61" t="s">
        <v>122</v>
      </c>
      <c r="C39" s="74">
        <f t="shared" ref="C39:L39" ca="1" si="14">IF(C21="","",IF($C$32="年化收益率",((SUMPRODUCT(((DUR-C$16/365)&lt;0)*CASH)+C21-$G$9*(1+C$16*$C$11/365))/$G$9)*365/C$16,((SUMPRODUCT(((DUR-C$16/365)&lt;0)*CASH)+C21-$G$9*(1+C$16*$C$11/365))/$G$9)))</f>
        <v>10.243074804145142</v>
      </c>
      <c r="D39" s="22">
        <f t="shared" ca="1" si="14"/>
        <v>1.3912332408567101</v>
      </c>
      <c r="E39" s="22">
        <f t="shared" ca="1" si="14"/>
        <v>0.65383385169155495</v>
      </c>
      <c r="F39" s="22">
        <f t="shared" ca="1" si="14"/>
        <v>0.40821655849089178</v>
      </c>
      <c r="G39" s="22">
        <f t="shared" ca="1" si="14"/>
        <v>0.26100208991870766</v>
      </c>
      <c r="H39" s="22">
        <f t="shared" ca="1" si="14"/>
        <v>8.9042819647624005E-2</v>
      </c>
      <c r="I39" s="22">
        <f t="shared" ca="1" si="14"/>
        <v>3.1666743136365916E-2</v>
      </c>
      <c r="J39" s="22">
        <f t="shared" ca="1" si="14"/>
        <v>-1.3793231607473224E-2</v>
      </c>
      <c r="K39" s="75">
        <f t="shared" ca="1" si="14"/>
        <v>-5.2995607910775358E-2</v>
      </c>
      <c r="L39" s="72">
        <f t="shared" ca="1" si="14"/>
        <v>-5.2995607910775358E-2</v>
      </c>
      <c r="Q39" s="38">
        <v>1252</v>
      </c>
      <c r="R39" s="38" t="s">
        <v>30</v>
      </c>
    </row>
    <row r="40" spans="2:18" ht="13.5" x14ac:dyDescent="0.15">
      <c r="B40" s="61" t="s">
        <v>10</v>
      </c>
      <c r="C40" s="74">
        <f t="shared" ref="C40:L40" ca="1" si="15">IF(C22="","",IF($C$32="年化收益率",((SUMPRODUCT(((DUR-C$16/365)&lt;0)*CASH)+C22-$G$9*(1+C$16*$C$11/365))/$G$9)*365/C$16,((SUMPRODUCT(((DUR-C$16/365)&lt;0)*CASH)+C22-$G$9*(1+C$16*$C$11/365))/$G$9)))</f>
        <v>11.570327166160199</v>
      </c>
      <c r="D40" s="22">
        <f t="shared" ca="1" si="15"/>
        <v>1.580453311476909</v>
      </c>
      <c r="E40" s="22">
        <f t="shared" ca="1" si="15"/>
        <v>0.74821877765204581</v>
      </c>
      <c r="F40" s="22">
        <f t="shared" ca="1" si="15"/>
        <v>0.47099039650882168</v>
      </c>
      <c r="G40" s="22">
        <f t="shared" ca="1" si="15"/>
        <v>0.30481029654043817</v>
      </c>
      <c r="H40" s="22">
        <f t="shared" ca="1" si="15"/>
        <v>0.11072613548617648</v>
      </c>
      <c r="I40" s="22">
        <f t="shared" ca="1" si="15"/>
        <v>4.5974413777251193E-2</v>
      </c>
      <c r="J40" s="22">
        <f t="shared" ca="1" si="15"/>
        <v>-5.3851879179728146E-3</v>
      </c>
      <c r="K40" s="75">
        <f t="shared" ca="1" si="15"/>
        <v>-4.9797488281943685E-2</v>
      </c>
      <c r="L40" s="72">
        <f t="shared" ca="1" si="15"/>
        <v>-4.9797488281943685E-2</v>
      </c>
      <c r="Q40" s="38">
        <v>1482</v>
      </c>
      <c r="R40" s="38" t="s">
        <v>32</v>
      </c>
    </row>
    <row r="41" spans="2:18" ht="13.5" x14ac:dyDescent="0.15">
      <c r="B41" s="61" t="s">
        <v>113</v>
      </c>
      <c r="C41" s="74">
        <f ca="1">IF(C23="","",IF($C$32="年化收益率",((SUMPRODUCT(((DUR-C$16/365)&lt;0)*CASH)+C23-$G$9*(1+C$16*$C$11/365))/$G$9)*365/C$16,((SUMPRODUCT(((DUR-C$16/365)&lt;0)*CASH)+C23-$G$9*(1+C$16*$C$11/365))/$G$9)))</f>
        <v>12.903288547276906</v>
      </c>
      <c r="D41" s="22">
        <f t="shared" ref="D41:L41" ca="1" si="16">IF(D23="","",IF($C$32="年化收益率",((SUMPRODUCT(((DUR-D$16/365)&lt;0)*CASH)+D23-$G$9*(1+D$16*$C$11/365))/$G$9)*365/D$16,((SUMPRODUCT(((DUR-D$16/365)&lt;0)*CASH)+D23-$G$9*(1+D$16*$C$11/365))/$G$9)))</f>
        <v>1.7704858684660125</v>
      </c>
      <c r="E41" s="22">
        <f t="shared" ca="1" si="16"/>
        <v>0.84300815384353522</v>
      </c>
      <c r="F41" s="22">
        <f t="shared" ca="1" si="16"/>
        <v>0.53403267860185788</v>
      </c>
      <c r="G41" s="22">
        <f t="shared" ca="1" si="16"/>
        <v>0.34880534946883135</v>
      </c>
      <c r="H41" s="22">
        <f t="shared" ca="1" si="16"/>
        <v>0.13250110911092844</v>
      </c>
      <c r="I41" s="22">
        <f t="shared" ca="1" si="16"/>
        <v>6.0342021803570886E-2</v>
      </c>
      <c r="J41" s="22">
        <f t="shared" ca="1" si="16"/>
        <v>3.0574431006455717E-3</v>
      </c>
      <c r="K41" s="75">
        <f t="shared" ca="1" si="16"/>
        <v>-4.6587079644212548E-2</v>
      </c>
      <c r="L41" s="72">
        <f t="shared" ca="1" si="16"/>
        <v>-4.6587079644212548E-2</v>
      </c>
      <c r="M41" s="12"/>
      <c r="N41" s="12"/>
      <c r="O41" s="12"/>
      <c r="P41" s="12"/>
      <c r="Q41" s="38">
        <v>1832</v>
      </c>
      <c r="R41" s="38" t="s">
        <v>29</v>
      </c>
    </row>
    <row r="42" spans="2:18" ht="13.5" x14ac:dyDescent="0.15">
      <c r="B42" s="62" t="s">
        <v>83</v>
      </c>
      <c r="C42" s="74">
        <f t="shared" ref="C42:L42" ca="1" si="17">IF(C24="","",IF($C$32="年化收益率",((SUMPRODUCT(((DUR-C$16/365)&lt;0)*CASH)+C24-$G$9*(1+C$16*$C$11/365))/$G$9)*365/C$16,((SUMPRODUCT(((DUR-C$16/365)&lt;0)*CASH)+C24-$G$9*(1+C$16*$C$11/365))/$G$9)))</f>
        <v>14.241986671897951</v>
      </c>
      <c r="D42" s="22">
        <f t="shared" ca="1" si="17"/>
        <v>1.961334851096274</v>
      </c>
      <c r="E42" s="22">
        <f t="shared" ca="1" si="17"/>
        <v>0.93820393751669084</v>
      </c>
      <c r="F42" s="22">
        <f t="shared" ca="1" si="17"/>
        <v>0.59734470139857709</v>
      </c>
      <c r="G42" s="22">
        <f t="shared" ca="1" si="17"/>
        <v>0.39298814901061668</v>
      </c>
      <c r="H42" s="22">
        <f t="shared" ca="1" si="17"/>
        <v>0.15436817857970081</v>
      </c>
      <c r="I42" s="22">
        <f t="shared" ca="1" si="17"/>
        <v>7.4769851324879316E-2</v>
      </c>
      <c r="J42" s="22">
        <f t="shared" ca="1" si="17"/>
        <v>1.1534822689705654E-2</v>
      </c>
      <c r="K42" s="75">
        <f t="shared" ca="1" si="17"/>
        <v>-4.3364328152241387E-2</v>
      </c>
      <c r="L42" s="72">
        <f t="shared" ca="1" si="17"/>
        <v>-4.3364328152241387E-2</v>
      </c>
      <c r="M42" s="12"/>
      <c r="N42" s="12"/>
      <c r="O42" s="12"/>
      <c r="P42" s="12"/>
      <c r="Q42" s="38">
        <v>1442</v>
      </c>
      <c r="R42" s="38" t="s">
        <v>28</v>
      </c>
    </row>
    <row r="43" spans="2:18" ht="13.5" x14ac:dyDescent="0.15">
      <c r="B43" s="63" t="s">
        <v>84</v>
      </c>
      <c r="C43" s="74">
        <f t="shared" ref="C43:L43" ca="1" si="18">IF(C25="","",IF($C$32="年化收益率",((SUMPRODUCT(((DUR-C$16/365)&lt;0)*CASH)+C25-$G$9*(1+C$16*$C$11/365))/$G$9)*365/C$16,((SUMPRODUCT(((DUR-C$16/365)&lt;0)*CASH)+C25-$G$9*(1+C$16*$C$11/365))/$G$9)))</f>
        <v>15.586449413470106</v>
      </c>
      <c r="D43" s="22">
        <f t="shared" ca="1" si="18"/>
        <v>2.1530042197857506</v>
      </c>
      <c r="E43" s="22">
        <f t="shared" ca="1" si="18"/>
        <v>1.0338080964104115</v>
      </c>
      <c r="F43" s="22">
        <f t="shared" ca="1" si="18"/>
        <v>0.66092776846370127</v>
      </c>
      <c r="G43" s="22">
        <f t="shared" ca="1" si="18"/>
        <v>0.43735960027788273</v>
      </c>
      <c r="H43" s="22">
        <f t="shared" ca="1" si="18"/>
        <v>0.17632778427100754</v>
      </c>
      <c r="I43" s="22">
        <f t="shared" ca="1" si="18"/>
        <v>8.9258187944552342E-2</v>
      </c>
      <c r="J43" s="22">
        <f t="shared" ca="1" si="18"/>
        <v>2.0047112925511215E-2</v>
      </c>
      <c r="K43" s="75">
        <f t="shared" ca="1" si="18"/>
        <v>-4.0129179697169656E-2</v>
      </c>
      <c r="L43" s="72">
        <f t="shared" ca="1" si="18"/>
        <v>-4.0129179697169656E-2</v>
      </c>
      <c r="M43" s="12"/>
      <c r="N43" s="12"/>
      <c r="O43" s="12"/>
      <c r="P43" s="12"/>
      <c r="Q43" s="38">
        <v>1842</v>
      </c>
      <c r="R43" s="38" t="s">
        <v>27</v>
      </c>
    </row>
    <row r="44" spans="2:18" ht="13.5" x14ac:dyDescent="0.15">
      <c r="B44" s="63" t="s">
        <v>85</v>
      </c>
      <c r="C44" s="74">
        <f t="shared" ref="C44:L44" ca="1" si="19">IF(C26="","",IF($C$32="年化收益率",((SUMPRODUCT(((DUR-C$16/365)&lt;0)*CASH)+C26-$G$9*(1+C$16*$C$11/365))/$G$9)*365/C$16,((SUMPRODUCT(((DUR-C$16/365)&lt;0)*CASH)+C26-$G$9*(1+C$16*$C$11/365))/$G$9)))</f>
        <v>16.936704795360821</v>
      </c>
      <c r="D44" s="22">
        <f t="shared" ca="1" si="19"/>
        <v>2.3454979562225815</v>
      </c>
      <c r="E44" s="22">
        <f t="shared" ca="1" si="19"/>
        <v>1.129822608813384</v>
      </c>
      <c r="F44" s="22">
        <f t="shared" ca="1" si="19"/>
        <v>0.7247831903387697</v>
      </c>
      <c r="G44" s="22">
        <f t="shared" ca="1" si="19"/>
        <v>0.48192061321616819</v>
      </c>
      <c r="H44" s="22">
        <f t="shared" ca="1" si="19"/>
        <v>0.19838036889754038</v>
      </c>
      <c r="I44" s="22">
        <f t="shared" ca="1" si="19"/>
        <v>0.10380731876840885</v>
      </c>
      <c r="J44" s="22">
        <f t="shared" ca="1" si="19"/>
        <v>2.8594476724095833E-2</v>
      </c>
      <c r="K44" s="75">
        <f t="shared" ca="1" si="19"/>
        <v>-3.6881579905194251E-2</v>
      </c>
      <c r="L44" s="72">
        <f t="shared" ca="1" si="19"/>
        <v>-3.6881579905194251E-2</v>
      </c>
      <c r="M44" s="12"/>
      <c r="N44" s="12"/>
      <c r="O44" s="12"/>
      <c r="P44" s="12"/>
      <c r="Q44" s="38">
        <v>1262</v>
      </c>
      <c r="R44" s="38" t="s">
        <v>26</v>
      </c>
    </row>
    <row r="45" spans="2:18" ht="13.5" x14ac:dyDescent="0.15">
      <c r="B45" s="63" t="s">
        <v>86</v>
      </c>
      <c r="C45" s="74">
        <f t="shared" ref="C45:L45" ca="1" si="20">IF(C27="","",IF($C$32="年化收益率",((SUMPRODUCT(((DUR-C$16/365)&lt;0)*CASH)+C27-$G$9*(1+C$16*$C$11/365))/$G$9)*365/C$16,((SUMPRODUCT(((DUR-C$16/365)&lt;0)*CASH)+C27-$G$9*(1+C$16*$C$11/365))/$G$9)))</f>
        <v>18.292780991739185</v>
      </c>
      <c r="D45" s="22">
        <f t="shared" ca="1" si="20"/>
        <v>2.5388200634896951</v>
      </c>
      <c r="E45" s="22">
        <f t="shared" ca="1" si="20"/>
        <v>1.226249463625859</v>
      </c>
      <c r="F45" s="22">
        <f t="shared" ca="1" si="20"/>
        <v>0.78891228458290197</v>
      </c>
      <c r="G45" s="22">
        <f t="shared" ca="1" si="20"/>
        <v>0.52667210263264641</v>
      </c>
      <c r="H45" s="22">
        <f t="shared" ca="1" si="20"/>
        <v>0.22052637751968321</v>
      </c>
      <c r="I45" s="22">
        <f t="shared" ca="1" si="20"/>
        <v>0.11841753241334629</v>
      </c>
      <c r="J45" s="22">
        <f t="shared" ca="1" si="20"/>
        <v>3.7177077845977756E-2</v>
      </c>
      <c r="K45" s="75">
        <f t="shared" ca="1" si="20"/>
        <v>-3.362147413614329E-2</v>
      </c>
      <c r="L45" s="72">
        <f t="shared" ca="1" si="20"/>
        <v>-3.362147413614329E-2</v>
      </c>
      <c r="M45" s="12"/>
      <c r="N45" s="12"/>
      <c r="O45" s="12"/>
      <c r="P45" s="12"/>
      <c r="Q45" s="38">
        <v>1912</v>
      </c>
      <c r="R45" s="38" t="s">
        <v>43</v>
      </c>
    </row>
    <row r="46" spans="2:18" ht="13.5" x14ac:dyDescent="0.15">
      <c r="B46" s="63" t="s">
        <v>87</v>
      </c>
      <c r="C46" s="74">
        <f t="shared" ref="C46:L46" ca="1" si="21">IF(C28="","",IF($C$32="年化收益率",((SUMPRODUCT(((DUR-C$16/365)&lt;0)*CASH)+C28-$G$9*(1+C$16*$C$11/365))/$G$9)*365/C$16,((SUMPRODUCT(((DUR-C$16/365)&lt;0)*CASH)+C28-$G$9*(1+C$16*$C$11/365))/$G$9)))</f>
        <v>21.022509283991248</v>
      </c>
      <c r="D46" s="22">
        <f t="shared" ca="1" si="21"/>
        <v>2.9279655105784932</v>
      </c>
      <c r="E46" s="22">
        <f t="shared" ca="1" si="21"/>
        <v>1.4203482095133935</v>
      </c>
      <c r="F46" s="22">
        <f t="shared" ca="1" si="21"/>
        <v>0.91799679575050874</v>
      </c>
      <c r="G46" s="22">
        <f t="shared" ca="1" si="21"/>
        <v>0.61675019460846492</v>
      </c>
      <c r="H46" s="22">
        <f t="shared" ca="1" si="21"/>
        <v>0.26510045881299404</v>
      </c>
      <c r="I46" s="22">
        <f t="shared" ca="1" si="21"/>
        <v>0.14782237024198447</v>
      </c>
      <c r="J46" s="22">
        <f t="shared" ca="1" si="21"/>
        <v>5.4448651353125495E-2</v>
      </c>
      <c r="K46" s="75">
        <f t="shared" ca="1" si="21"/>
        <v>-2.7063524765607135E-2</v>
      </c>
      <c r="L46" s="72">
        <f t="shared" ca="1" si="21"/>
        <v>-2.7063524765607135E-2</v>
      </c>
      <c r="M46" s="12"/>
      <c r="N46" s="12"/>
      <c r="O46" s="12"/>
      <c r="P46" s="12"/>
      <c r="Q46" s="38">
        <v>1492</v>
      </c>
      <c r="R46" s="38" t="s">
        <v>41</v>
      </c>
    </row>
    <row r="47" spans="2:18" ht="13.5" x14ac:dyDescent="0.15">
      <c r="B47" s="69" t="s">
        <v>123</v>
      </c>
      <c r="C47" s="76">
        <f t="shared" ref="C47:L47" ca="1" si="22">IF(C29="","",IF($C$32="年化收益率",((SUMPRODUCT(((DUR-C$16/365)&lt;0)*CASH)+C29-$G$9*(1+C$16*$C$11/365))/$G$9)*365/C$16,((SUMPRODUCT(((DUR-C$16/365)&lt;0)*CASH)+C29-$G$9*(1+C$16*$C$11/365))/$G$9)))</f>
        <v>26.553072253983615</v>
      </c>
      <c r="D47" s="70">
        <f t="shared" ca="1" si="22"/>
        <v>3.7163753948390097</v>
      </c>
      <c r="E47" s="70">
        <f t="shared" ca="1" si="22"/>
        <v>1.8135825143765405</v>
      </c>
      <c r="F47" s="70">
        <f t="shared" ca="1" si="22"/>
        <v>1.1795086477601366</v>
      </c>
      <c r="G47" s="70">
        <f t="shared" ca="1" si="22"/>
        <v>0.79923289415817333</v>
      </c>
      <c r="H47" s="70">
        <f t="shared" ca="1" si="22"/>
        <v>0.35538955581188358</v>
      </c>
      <c r="I47" s="70">
        <f t="shared" ca="1" si="22"/>
        <v>0.20737790867996328</v>
      </c>
      <c r="J47" s="70">
        <f t="shared" ca="1" si="22"/>
        <v>8.9421946580411332E-2</v>
      </c>
      <c r="K47" s="77">
        <f t="shared" ca="1" si="22"/>
        <v>-1.3795120226059707E-2</v>
      </c>
      <c r="L47" s="73">
        <f t="shared" ca="1" si="22"/>
        <v>-1.3795120226059707E-2</v>
      </c>
      <c r="M47" s="12"/>
      <c r="N47" s="12"/>
      <c r="O47" s="12"/>
      <c r="P47" s="12"/>
      <c r="Q47" s="38">
        <v>1272</v>
      </c>
      <c r="R47" s="38" t="s">
        <v>42</v>
      </c>
    </row>
    <row r="48" spans="2:18" ht="13.5" x14ac:dyDescent="0.15">
      <c r="B48" s="64" t="str">
        <f>B30&amp;"bp"</f>
        <v>10bp</v>
      </c>
      <c r="C48" s="65">
        <f t="shared" ref="C48:L48" ca="1" si="23">IF(C30="","",IF($C$32="年化收益率",((SUMPRODUCT(((DUR-C$16/365)&lt;0)*CASH)+C30-$G$9*(1+C$16*$C$11/365))/$G$9)*365/C$16,((SUMPRODUCT(((DUR-C$16/365)&lt;0)*CASH)+C30-$G$9*(1+C$16*$C$11/365))/$G$9)))</f>
        <v>10.243074804145142</v>
      </c>
      <c r="D48" s="65">
        <f t="shared" ca="1" si="23"/>
        <v>1.3912332408567101</v>
      </c>
      <c r="E48" s="65">
        <f t="shared" ca="1" si="23"/>
        <v>0.65383385169155495</v>
      </c>
      <c r="F48" s="65">
        <f t="shared" ca="1" si="23"/>
        <v>0.40821655849089178</v>
      </c>
      <c r="G48" s="65">
        <f t="shared" ca="1" si="23"/>
        <v>0.26100208991870766</v>
      </c>
      <c r="H48" s="65">
        <f t="shared" ca="1" si="23"/>
        <v>8.9042819647624005E-2</v>
      </c>
      <c r="I48" s="65">
        <f t="shared" ca="1" si="23"/>
        <v>3.1666743136365916E-2</v>
      </c>
      <c r="J48" s="65">
        <f t="shared" ca="1" si="23"/>
        <v>-1.3793231607473224E-2</v>
      </c>
      <c r="K48" s="66">
        <f t="shared" ca="1" si="23"/>
        <v>-5.2995607910775358E-2</v>
      </c>
      <c r="L48" s="67">
        <f t="shared" ca="1" si="23"/>
        <v>-5.2995607910775358E-2</v>
      </c>
      <c r="M48" s="12"/>
      <c r="N48" s="12"/>
      <c r="O48" s="12"/>
      <c r="P48" s="12"/>
      <c r="Q48" s="38">
        <v>1452</v>
      </c>
      <c r="R48" s="38" t="s">
        <v>40</v>
      </c>
    </row>
    <row r="49" spans="2:18" ht="13.5" customHeight="1" x14ac:dyDescent="0.15">
      <c r="Q49" s="38">
        <v>1282</v>
      </c>
      <c r="R49" s="38" t="s">
        <v>38</v>
      </c>
    </row>
    <row r="50" spans="2:18" ht="14.25" customHeight="1" x14ac:dyDescent="0.15">
      <c r="B50" s="105" t="s">
        <v>125</v>
      </c>
      <c r="C50" s="106"/>
      <c r="D50" s="106"/>
      <c r="E50" s="106"/>
      <c r="F50" s="106"/>
      <c r="G50" s="106"/>
      <c r="H50" s="106"/>
      <c r="I50" s="106"/>
      <c r="J50" s="106"/>
      <c r="K50" s="106"/>
      <c r="L50" s="107"/>
      <c r="Q50" s="38">
        <v>1302</v>
      </c>
      <c r="R50" s="38" t="s">
        <v>39</v>
      </c>
    </row>
    <row r="51" spans="2:18" ht="13.5" x14ac:dyDescent="0.15">
      <c r="B51" s="89"/>
      <c r="C51" s="49" t="s">
        <v>4</v>
      </c>
      <c r="D51" s="50" t="s">
        <v>5</v>
      </c>
      <c r="E51" s="50" t="s">
        <v>11</v>
      </c>
      <c r="F51" s="50" t="s">
        <v>6</v>
      </c>
      <c r="G51" s="50" t="s">
        <v>12</v>
      </c>
      <c r="H51" s="50" t="s">
        <v>80</v>
      </c>
      <c r="I51" s="50" t="s">
        <v>81</v>
      </c>
      <c r="J51" s="50" t="s">
        <v>7</v>
      </c>
      <c r="K51" s="84" t="s">
        <v>8</v>
      </c>
      <c r="L51" s="85" t="str">
        <f>L34</f>
        <v>365d</v>
      </c>
      <c r="Q51" s="38">
        <v>1292</v>
      </c>
      <c r="R51" s="38" t="s">
        <v>37</v>
      </c>
    </row>
    <row r="52" spans="2:18" ht="13.5" x14ac:dyDescent="0.15">
      <c r="B52" s="90" t="s">
        <v>124</v>
      </c>
      <c r="C52" s="82">
        <f t="shared" ref="C52:L52" ca="1" si="24">IF(C17="","",(SUMPRODUCT(((DUR-C$16/365)&lt;0)*CASH)+C17-$G$9*(1+C$16*$C$11/365))*$I$9)</f>
        <v>-24.216453423536834</v>
      </c>
      <c r="D52" s="23">
        <f t="shared" ca="1" si="24"/>
        <v>-92.016038856752786</v>
      </c>
      <c r="E52" s="23">
        <f t="shared" ca="1" si="24"/>
        <v>-170.63001882414332</v>
      </c>
      <c r="F52" s="23">
        <f t="shared" ca="1" si="24"/>
        <v>-248.72074215040058</v>
      </c>
      <c r="G52" s="23">
        <f t="shared" ca="1" si="24"/>
        <v>-348.5007412641736</v>
      </c>
      <c r="H52" s="23">
        <f t="shared" ca="1" si="24"/>
        <v>-682.97008913259583</v>
      </c>
      <c r="I52" s="23">
        <f t="shared" ca="1" si="24"/>
        <v>-1018.0774490858918</v>
      </c>
      <c r="J52" s="23">
        <f t="shared" ca="1" si="24"/>
        <v>-1679.1491651459835</v>
      </c>
      <c r="K52" s="35">
        <f t="shared" ca="1" si="24"/>
        <v>-3999.586864128752</v>
      </c>
      <c r="L52" s="86">
        <f t="shared" ca="1" si="24"/>
        <v>-3999.586864128752</v>
      </c>
      <c r="Q52" s="38">
        <v>1312</v>
      </c>
      <c r="R52" s="38" t="s">
        <v>36</v>
      </c>
    </row>
    <row r="53" spans="2:18" ht="13.5" x14ac:dyDescent="0.15">
      <c r="B53" s="90" t="s">
        <v>115</v>
      </c>
      <c r="C53" s="82">
        <f t="shared" ref="C53:L53" ca="1" si="25">IF(C18="","",(SUMPRODUCT(((DUR-C$16/365)&lt;0)*CASH)+C18-$G$9*(1+C$16*$C$11/365))*$I$9)</f>
        <v>699.80486131374767</v>
      </c>
      <c r="D53" s="23">
        <f t="shared" ca="1" si="25"/>
        <v>630.5609438501258</v>
      </c>
      <c r="E53" s="23">
        <f t="shared" ca="1" si="25"/>
        <v>550.26840962909591</v>
      </c>
      <c r="F53" s="23">
        <f t="shared" ca="1" si="25"/>
        <v>470.50608064371175</v>
      </c>
      <c r="G53" s="23">
        <f t="shared" ca="1" si="25"/>
        <v>368.59343380679564</v>
      </c>
      <c r="H53" s="23">
        <f t="shared" ca="1" si="25"/>
        <v>27.069932764572439</v>
      </c>
      <c r="I53" s="23">
        <f t="shared" ca="1" si="25"/>
        <v>-315.12881105409133</v>
      </c>
      <c r="J53" s="23">
        <f t="shared" ca="1" si="25"/>
        <v>-990.32225037812566</v>
      </c>
      <c r="K53" s="35">
        <f t="shared" ca="1" si="25"/>
        <v>-3360.9250248087073</v>
      </c>
      <c r="L53" s="86">
        <f t="shared" ca="1" si="25"/>
        <v>-3360.9250248087073</v>
      </c>
      <c r="Q53" s="38">
        <v>1322</v>
      </c>
      <c r="R53" s="38" t="s">
        <v>16</v>
      </c>
    </row>
    <row r="54" spans="2:18" ht="13.5" x14ac:dyDescent="0.15">
      <c r="B54" s="90" t="s">
        <v>9</v>
      </c>
      <c r="C54" s="82">
        <f t="shared" ref="C54:L54" ca="1" si="26">IF(C19="","",(SUMPRODUCT(((DUR-C$16/365)&lt;0)*CASH)+C19-$G$9*(1+C$16*$C$11/365))*$I$9)</f>
        <v>1066.4890194877239</v>
      </c>
      <c r="D54" s="23">
        <f t="shared" ca="1" si="26"/>
        <v>996.50544691163316</v>
      </c>
      <c r="E54" s="23">
        <f t="shared" ca="1" si="26"/>
        <v>915.35332416083793</v>
      </c>
      <c r="F54" s="23">
        <f t="shared" ca="1" si="26"/>
        <v>834.73497997499351</v>
      </c>
      <c r="G54" s="23">
        <f t="shared" ca="1" si="26"/>
        <v>731.73016435107297</v>
      </c>
      <c r="H54" s="23">
        <f t="shared" ca="1" si="26"/>
        <v>386.59385008149474</v>
      </c>
      <c r="I54" s="23">
        <f t="shared" ca="1" si="26"/>
        <v>40.76431135659054</v>
      </c>
      <c r="J54" s="23">
        <f t="shared" ca="1" si="26"/>
        <v>-641.65708219631392</v>
      </c>
      <c r="K54" s="35">
        <f t="shared" ca="1" si="26"/>
        <v>-3037.9123941526482</v>
      </c>
      <c r="L54" s="86">
        <f t="shared" ca="1" si="26"/>
        <v>-3037.9123941526482</v>
      </c>
      <c r="Q54" s="38">
        <v>1892</v>
      </c>
      <c r="R54" s="38" t="s">
        <v>46</v>
      </c>
    </row>
    <row r="55" spans="2:18" ht="13.5" x14ac:dyDescent="0.15">
      <c r="B55" s="90" t="s">
        <v>116</v>
      </c>
      <c r="C55" s="82">
        <f t="shared" ref="C55:L55" ca="1" si="27">IF(C20="","",(SUMPRODUCT(((DUR-C$16/365)&lt;0)*CASH)+C20-$G$9*(1+C$16*$C$11/365))*$I$9)</f>
        <v>1251.0127036789791</v>
      </c>
      <c r="D55" s="23">
        <f t="shared" ca="1" si="27"/>
        <v>1180.6548604788516</v>
      </c>
      <c r="E55" s="23">
        <f t="shared" ca="1" si="27"/>
        <v>1099.0677834973656</v>
      </c>
      <c r="F55" s="23">
        <f t="shared" ca="1" si="27"/>
        <v>1018.0162970140257</v>
      </c>
      <c r="G55" s="23">
        <f t="shared" ca="1" si="27"/>
        <v>914.45883156924049</v>
      </c>
      <c r="H55" s="23">
        <f t="shared" ca="1" si="27"/>
        <v>567.49433273926434</v>
      </c>
      <c r="I55" s="23">
        <f t="shared" ca="1" si="27"/>
        <v>219.82778267832228</v>
      </c>
      <c r="J55" s="23">
        <f t="shared" ca="1" si="27"/>
        <v>-466.2500170377387</v>
      </c>
      <c r="K55" s="35">
        <f t="shared" ca="1" si="27"/>
        <v>-2875.4762489637865</v>
      </c>
      <c r="L55" s="86">
        <f t="shared" ca="1" si="27"/>
        <v>-2875.4762489637865</v>
      </c>
      <c r="Q55" s="38">
        <v>1332</v>
      </c>
      <c r="R55" s="38" t="s">
        <v>45</v>
      </c>
    </row>
    <row r="56" spans="2:18" ht="13.5" x14ac:dyDescent="0.15">
      <c r="B56" s="90" t="s">
        <v>122</v>
      </c>
      <c r="C56" s="82">
        <f t="shared" ref="C56:L56" ca="1" si="28">IF(C21="","",(SUMPRODUCT(((DUR-C$16/365)&lt;0)*CASH)+C21-$G$9*(1+C$16*$C$11/365))*$I$9)</f>
        <v>1436.3292186941394</v>
      </c>
      <c r="D56" s="23">
        <f t="shared" ca="1" si="28"/>
        <v>1365.5941154863631</v>
      </c>
      <c r="E56" s="23">
        <f t="shared" ca="1" si="28"/>
        <v>1283.5686125871284</v>
      </c>
      <c r="F56" s="23">
        <f t="shared" ca="1" si="28"/>
        <v>1202.080529162698</v>
      </c>
      <c r="G56" s="23">
        <f t="shared" ca="1" si="28"/>
        <v>1097.9659967105795</v>
      </c>
      <c r="H56" s="23">
        <f t="shared" ca="1" si="28"/>
        <v>749.15866194614989</v>
      </c>
      <c r="I56" s="23">
        <f t="shared" ca="1" si="28"/>
        <v>399.64056074563024</v>
      </c>
      <c r="J56" s="23">
        <f t="shared" ca="1" si="28"/>
        <v>-290.12218435638101</v>
      </c>
      <c r="K56" s="35">
        <f t="shared" ca="1" si="28"/>
        <v>-2712.4166004307558</v>
      </c>
      <c r="L56" s="86">
        <f t="shared" ca="1" si="28"/>
        <v>-2712.4166004307558</v>
      </c>
      <c r="Q56" s="38">
        <v>1602</v>
      </c>
      <c r="R56" s="38" t="s">
        <v>44</v>
      </c>
    </row>
    <row r="57" spans="2:18" ht="13.5" x14ac:dyDescent="0.15">
      <c r="B57" s="90" t="s">
        <v>10</v>
      </c>
      <c r="C57" s="82">
        <f t="shared" ref="C57:L57" ca="1" si="29">IF(C22="","",(SUMPRODUCT(((DUR-C$16/365)&lt;0)*CASH)+C22-$G$9*(1+C$16*$C$11/365))*$I$9)</f>
        <v>1622.4424107379555</v>
      </c>
      <c r="D57" s="23">
        <f t="shared" ca="1" si="29"/>
        <v>1551.327037459776</v>
      </c>
      <c r="E57" s="23">
        <f t="shared" ca="1" si="29"/>
        <v>1468.8596129702016</v>
      </c>
      <c r="F57" s="23">
        <f t="shared" ca="1" si="29"/>
        <v>1386.9314541254844</v>
      </c>
      <c r="G57" s="23">
        <f t="shared" ca="1" si="29"/>
        <v>1282.2554070463843</v>
      </c>
      <c r="H57" s="23">
        <f t="shared" ca="1" si="29"/>
        <v>931.59048457317738</v>
      </c>
      <c r="I57" s="23">
        <f t="shared" ca="1" si="29"/>
        <v>580.20619369576298</v>
      </c>
      <c r="J57" s="23">
        <f t="shared" ca="1" si="29"/>
        <v>-113.27022748500583</v>
      </c>
      <c r="K57" s="35">
        <f t="shared" ca="1" si="29"/>
        <v>-2548.7307194043265</v>
      </c>
      <c r="L57" s="86">
        <f t="shared" ca="1" si="29"/>
        <v>-2548.7307194043265</v>
      </c>
      <c r="Q57" s="38">
        <v>1342</v>
      </c>
      <c r="R57" s="38" t="s">
        <v>72</v>
      </c>
    </row>
    <row r="58" spans="2:18" ht="13.5" x14ac:dyDescent="0.15">
      <c r="B58" s="90" t="s">
        <v>113</v>
      </c>
      <c r="C58" s="82">
        <f t="shared" ref="C58:L58" ca="1" si="30">IF(C23="","",(SUMPRODUCT(((DUR-C$16/365)&lt;0)*CASH)+C23-$G$9*(1+C$16*$C$11/365))*$I$9)</f>
        <v>1809.3561466714307</v>
      </c>
      <c r="D58" s="23">
        <f t="shared" ca="1" si="30"/>
        <v>1737.8574724394234</v>
      </c>
      <c r="E58" s="23">
        <f t="shared" ca="1" si="30"/>
        <v>1654.9446065375068</v>
      </c>
      <c r="F58" s="23">
        <f t="shared" ca="1" si="30"/>
        <v>1572.5728697950842</v>
      </c>
      <c r="G58" s="23">
        <f t="shared" ca="1" si="30"/>
        <v>1467.3308298290262</v>
      </c>
      <c r="H58" s="23">
        <f t="shared" ca="1" si="30"/>
        <v>1114.7934667921618</v>
      </c>
      <c r="I58" s="23">
        <f t="shared" ca="1" si="30"/>
        <v>761.5282483031998</v>
      </c>
      <c r="J58" s="23">
        <f t="shared" ca="1" si="30"/>
        <v>64.309227608709378</v>
      </c>
      <c r="K58" s="35">
        <f t="shared" ca="1" si="30"/>
        <v>-2384.4158633919346</v>
      </c>
      <c r="L58" s="86">
        <f t="shared" ca="1" si="30"/>
        <v>-2384.4158633919346</v>
      </c>
      <c r="Q58" s="38">
        <v>1342</v>
      </c>
      <c r="R58" s="38" t="s">
        <v>72</v>
      </c>
    </row>
    <row r="59" spans="2:18" ht="13.5" x14ac:dyDescent="0.15">
      <c r="B59" s="91" t="s">
        <v>83</v>
      </c>
      <c r="C59" s="82">
        <f t="shared" ref="C59:L59" ca="1" si="31">IF(C24="","",(SUMPRODUCT(((DUR-C$16/365)&lt;0)*CASH)+C24-$G$9*(1+C$16*$C$11/365))*$I$9)</f>
        <v>1997.0743141328398</v>
      </c>
      <c r="D59" s="23">
        <f t="shared" ca="1" si="31"/>
        <v>1925.1892871004613</v>
      </c>
      <c r="E59" s="23">
        <f t="shared" ca="1" si="31"/>
        <v>1841.827435649787</v>
      </c>
      <c r="F59" s="23">
        <f t="shared" ca="1" si="31"/>
        <v>1759.0085943702768</v>
      </c>
      <c r="G59" s="23">
        <f t="shared" ca="1" si="31"/>
        <v>1653.1960524081617</v>
      </c>
      <c r="H59" s="23">
        <f t="shared" ca="1" si="31"/>
        <v>1298.7712941873228</v>
      </c>
      <c r="I59" s="23">
        <f t="shared" ca="1" si="31"/>
        <v>943.61031008670159</v>
      </c>
      <c r="J59" s="23">
        <f t="shared" ca="1" si="31"/>
        <v>242.61957242041819</v>
      </c>
      <c r="K59" s="35">
        <f t="shared" ca="1" si="31"/>
        <v>-2219.4692764860374</v>
      </c>
      <c r="L59" s="86">
        <f t="shared" ca="1" si="31"/>
        <v>-2219.4692764860374</v>
      </c>
      <c r="Q59" s="38">
        <v>1352</v>
      </c>
      <c r="R59" s="38" t="s">
        <v>73</v>
      </c>
    </row>
    <row r="60" spans="2:18" ht="13.5" x14ac:dyDescent="0.15">
      <c r="B60" s="92" t="s">
        <v>84</v>
      </c>
      <c r="C60" s="82">
        <f t="shared" ref="C60:L60" ca="1" si="32">IF(C25="","",(SUMPRODUCT(((DUR-C$16/365)&lt;0)*CASH)+C25-$G$9*(1+C$16*$C$11/365))*$I$9)</f>
        <v>2185.6008216600758</v>
      </c>
      <c r="D60" s="23">
        <f t="shared" ca="1" si="32"/>
        <v>2113.3263688741517</v>
      </c>
      <c r="E60" s="23">
        <f t="shared" ca="1" si="32"/>
        <v>2029.5119632576707</v>
      </c>
      <c r="F60" s="23">
        <f t="shared" ca="1" si="32"/>
        <v>1946.2424664747987</v>
      </c>
      <c r="G60" s="23">
        <f t="shared" ca="1" si="32"/>
        <v>1839.8548823483075</v>
      </c>
      <c r="H60" s="23">
        <f t="shared" ca="1" si="32"/>
        <v>1483.5276718679499</v>
      </c>
      <c r="I60" s="23">
        <f t="shared" ca="1" si="32"/>
        <v>1126.4559834173519</v>
      </c>
      <c r="J60" s="23">
        <f t="shared" ca="1" si="32"/>
        <v>421.66421600846337</v>
      </c>
      <c r="K60" s="35">
        <f t="shared" ca="1" si="32"/>
        <v>-2053.8881892916343</v>
      </c>
      <c r="L60" s="86">
        <f t="shared" ca="1" si="32"/>
        <v>-2053.8881892916343</v>
      </c>
      <c r="Q60" s="38">
        <v>1352</v>
      </c>
      <c r="R60" s="38" t="s">
        <v>73</v>
      </c>
    </row>
    <row r="61" spans="2:18" ht="13.5" x14ac:dyDescent="0.15">
      <c r="B61" s="92" t="s">
        <v>85</v>
      </c>
      <c r="C61" s="82">
        <f t="shared" ref="C61:L61" ca="1" si="33">IF(C26="","",(SUMPRODUCT(((DUR-C$16/365)&lt;0)*CASH)+C26-$G$9*(1+C$16*$C$11/365))*$I$9)</f>
        <v>2374.9395988135743</v>
      </c>
      <c r="D61" s="23">
        <f t="shared" ca="1" si="33"/>
        <v>2302.2726260698519</v>
      </c>
      <c r="E61" s="23">
        <f t="shared" ca="1" si="33"/>
        <v>2218.002073022516</v>
      </c>
      <c r="F61" s="23">
        <f t="shared" ca="1" si="33"/>
        <v>2134.2783452771096</v>
      </c>
      <c r="G61" s="23">
        <f t="shared" ca="1" si="33"/>
        <v>2027.3111475470125</v>
      </c>
      <c r="H61" s="23">
        <f t="shared" ca="1" si="33"/>
        <v>1669.0663245818573</v>
      </c>
      <c r="I61" s="23">
        <f t="shared" ca="1" si="33"/>
        <v>1310.0688916273627</v>
      </c>
      <c r="J61" s="23">
        <f t="shared" ca="1" si="33"/>
        <v>601.44658509378132</v>
      </c>
      <c r="K61" s="35">
        <f t="shared" ca="1" si="33"/>
        <v>-1887.669818853459</v>
      </c>
      <c r="L61" s="86">
        <f t="shared" ca="1" si="33"/>
        <v>-1887.669818853459</v>
      </c>
      <c r="Q61" s="38">
        <v>1382</v>
      </c>
      <c r="R61" s="38" t="s">
        <v>74</v>
      </c>
    </row>
    <row r="62" spans="2:18" ht="13.5" x14ac:dyDescent="0.15">
      <c r="B62" s="92" t="s">
        <v>86</v>
      </c>
      <c r="C62" s="82">
        <f t="shared" ref="C62:L62" ca="1" si="34">IF(C27="","",(SUMPRODUCT(((DUR-C$16/365)&lt;0)*CASH)+C27-$G$9*(1+C$16*$C$11/365))*$I$9)</f>
        <v>2565.0945962998403</v>
      </c>
      <c r="D62" s="23">
        <f t="shared" ca="1" si="34"/>
        <v>2492.0319879974213</v>
      </c>
      <c r="E62" s="23">
        <f t="shared" ca="1" si="34"/>
        <v>2407.3016694376884</v>
      </c>
      <c r="F62" s="23">
        <f t="shared" ca="1" si="34"/>
        <v>2323.1201106104259</v>
      </c>
      <c r="G62" s="23">
        <f t="shared" ca="1" si="34"/>
        <v>2215.568696353424</v>
      </c>
      <c r="H62" s="23">
        <f t="shared" ca="1" si="34"/>
        <v>1855.3909968290834</v>
      </c>
      <c r="I62" s="23">
        <f t="shared" ca="1" si="34"/>
        <v>1494.4526771190567</v>
      </c>
      <c r="J62" s="23">
        <f t="shared" ca="1" si="34"/>
        <v>781.97012415991389</v>
      </c>
      <c r="K62" s="35">
        <f t="shared" ca="1" si="34"/>
        <v>-1720.8113685829803</v>
      </c>
      <c r="L62" s="86">
        <f t="shared" ca="1" si="34"/>
        <v>-1720.8113685829803</v>
      </c>
      <c r="Q62" s="38">
        <v>1382</v>
      </c>
      <c r="R62" s="38" t="s">
        <v>74</v>
      </c>
    </row>
    <row r="63" spans="2:18" ht="13.5" x14ac:dyDescent="0.15">
      <c r="B63" s="92" t="s">
        <v>87</v>
      </c>
      <c r="C63" s="82">
        <f t="shared" ref="C63:L63" ca="1" si="35">IF(C28="","",(SUMPRODUCT(((DUR-C$16/365)&lt;0)*CASH)+C28-$G$9*(1+C$16*$C$11/365))*$I$9)</f>
        <v>2947.8691615769617</v>
      </c>
      <c r="D63" s="23">
        <f t="shared" ca="1" si="35"/>
        <v>2874.0058490342171</v>
      </c>
      <c r="E63" s="23">
        <f t="shared" ca="1" si="35"/>
        <v>2788.345045089176</v>
      </c>
      <c r="F63" s="23">
        <f t="shared" ca="1" si="35"/>
        <v>2703.236924256355</v>
      </c>
      <c r="G63" s="23">
        <f t="shared" ca="1" si="35"/>
        <v>2594.5031411650398</v>
      </c>
      <c r="H63" s="23">
        <f t="shared" ca="1" si="35"/>
        <v>2230.4134773763594</v>
      </c>
      <c r="I63" s="23">
        <f t="shared" ca="1" si="35"/>
        <v>1865.5475455703713</v>
      </c>
      <c r="J63" s="23">
        <f t="shared" ca="1" si="35"/>
        <v>1145.2545795917067</v>
      </c>
      <c r="K63" s="35">
        <f t="shared" ca="1" si="35"/>
        <v>-1385.1629735806096</v>
      </c>
      <c r="L63" s="86">
        <f t="shared" ca="1" si="35"/>
        <v>-1385.1629735806096</v>
      </c>
      <c r="Q63" s="38">
        <v>1042</v>
      </c>
      <c r="R63" s="38" t="s">
        <v>24</v>
      </c>
    </row>
    <row r="64" spans="2:18" ht="13.5" x14ac:dyDescent="0.15">
      <c r="B64" s="93" t="s">
        <v>123</v>
      </c>
      <c r="C64" s="83">
        <f t="shared" ref="C64:L65" ca="1" si="36">IF(C29="","",(SUMPRODUCT(((DUR-C$16/365)&lt;0)*CASH)+C29-$G$9*(1+C$16*$C$11/365))*$I$9)</f>
        <v>3723.3891437617285</v>
      </c>
      <c r="D64" s="78">
        <f t="shared" ca="1" si="36"/>
        <v>3647.8860776826173</v>
      </c>
      <c r="E64" s="78">
        <f t="shared" ca="1" si="36"/>
        <v>3560.3197750745016</v>
      </c>
      <c r="F64" s="78">
        <f t="shared" ca="1" si="36"/>
        <v>3473.3142249130965</v>
      </c>
      <c r="G64" s="78">
        <f t="shared" ca="1" si="36"/>
        <v>3362.159059766831</v>
      </c>
      <c r="H64" s="78">
        <f t="shared" ca="1" si="36"/>
        <v>2990.0576504123728</v>
      </c>
      <c r="I64" s="78">
        <f t="shared" ca="1" si="36"/>
        <v>2617.1502182661015</v>
      </c>
      <c r="J64" s="78">
        <f t="shared" ca="1" si="36"/>
        <v>1880.8710829775657</v>
      </c>
      <c r="K64" s="79">
        <f t="shared" ca="1" si="36"/>
        <v>-706.06064504629205</v>
      </c>
      <c r="L64" s="87">
        <f t="shared" ca="1" si="36"/>
        <v>-706.06064504629205</v>
      </c>
      <c r="Q64" s="38">
        <v>1062</v>
      </c>
      <c r="R64" s="38" t="s">
        <v>25</v>
      </c>
    </row>
    <row r="65" spans="2:18" ht="13.5" x14ac:dyDescent="0.15">
      <c r="B65" s="64" t="str">
        <f>B48</f>
        <v>10bp</v>
      </c>
      <c r="C65" s="80">
        <f t="shared" ca="1" si="36"/>
        <v>1436.3292186941394</v>
      </c>
      <c r="D65" s="80">
        <f t="shared" ca="1" si="36"/>
        <v>1365.5941154863631</v>
      </c>
      <c r="E65" s="80">
        <f t="shared" ca="1" si="36"/>
        <v>1283.5686125871284</v>
      </c>
      <c r="F65" s="80">
        <f t="shared" ca="1" si="36"/>
        <v>1202.080529162698</v>
      </c>
      <c r="G65" s="80">
        <f t="shared" ca="1" si="36"/>
        <v>1097.9659967105795</v>
      </c>
      <c r="H65" s="80">
        <f t="shared" ca="1" si="36"/>
        <v>749.15866194614989</v>
      </c>
      <c r="I65" s="80">
        <f t="shared" ca="1" si="36"/>
        <v>399.64056074563024</v>
      </c>
      <c r="J65" s="80">
        <f t="shared" ca="1" si="36"/>
        <v>-290.12218435638101</v>
      </c>
      <c r="K65" s="81">
        <f t="shared" ca="1" si="36"/>
        <v>-2712.4166004307558</v>
      </c>
      <c r="L65" s="88">
        <f t="shared" ca="1" si="36"/>
        <v>-2712.4166004307558</v>
      </c>
      <c r="Q65" s="38">
        <v>1052</v>
      </c>
      <c r="R65" s="38" t="s">
        <v>23</v>
      </c>
    </row>
    <row r="66" spans="2:18" ht="13.5" x14ac:dyDescent="0.15">
      <c r="Q66" s="38">
        <v>1072</v>
      </c>
      <c r="R66" s="38" t="s">
        <v>21</v>
      </c>
    </row>
    <row r="67" spans="2:18" ht="13.5" x14ac:dyDescent="0.15">
      <c r="Q67" s="38">
        <v>1092</v>
      </c>
      <c r="R67" s="38" t="s">
        <v>22</v>
      </c>
    </row>
    <row r="68" spans="2:18" ht="13.5" x14ac:dyDescent="0.15">
      <c r="Q68" s="39">
        <v>1082</v>
      </c>
      <c r="R68" s="39" t="s">
        <v>20</v>
      </c>
    </row>
    <row r="69" spans="2:18" ht="13.5" x14ac:dyDescent="0.15">
      <c r="Q69" s="39">
        <v>1102</v>
      </c>
      <c r="R69" s="39" t="s">
        <v>18</v>
      </c>
    </row>
    <row r="70" spans="2:18" ht="13.5" x14ac:dyDescent="0.15">
      <c r="Q70" s="39">
        <v>1502</v>
      </c>
      <c r="R70" s="39" t="s">
        <v>19</v>
      </c>
    </row>
    <row r="71" spans="2:18" ht="13.5" x14ac:dyDescent="0.15">
      <c r="Q71" s="39">
        <v>2022</v>
      </c>
      <c r="R71" s="39" t="s">
        <v>148</v>
      </c>
    </row>
    <row r="72" spans="2:18" ht="13.5" x14ac:dyDescent="0.15">
      <c r="Q72" s="39">
        <v>1362</v>
      </c>
      <c r="R72" s="39" t="s">
        <v>14</v>
      </c>
    </row>
  </sheetData>
  <sheetProtection selectLockedCells="1"/>
  <protectedRanges>
    <protectedRange password="EA3D" sqref="B5:L66" name="区域1"/>
  </protectedRanges>
  <sortState ref="Q3:R64">
    <sortCondition ref="R3:R64"/>
  </sortState>
  <mergeCells count="5">
    <mergeCell ref="C12:E12"/>
    <mergeCell ref="C32:D32"/>
    <mergeCell ref="B14:L14"/>
    <mergeCell ref="B33:L33"/>
    <mergeCell ref="B50:L50"/>
  </mergeCells>
  <phoneticPr fontId="1" type="noConversion"/>
  <conditionalFormatting sqref="C17:L30">
    <cfRule type="cellIs" dxfId="22" priority="13" operator="greaterThan">
      <formula>$G$9</formula>
    </cfRule>
    <cfRule type="cellIs" dxfId="21" priority="14" operator="greaterThan">
      <formula>$G$9</formula>
    </cfRule>
  </conditionalFormatting>
  <conditionalFormatting sqref="C52:L65">
    <cfRule type="cellIs" dxfId="20" priority="8" operator="greaterThan">
      <formula>0</formula>
    </cfRule>
    <cfRule type="cellIs" dxfId="19" priority="9" operator="greaterThan">
      <formula>$E$11</formula>
    </cfRule>
    <cfRule type="cellIs" dxfId="18" priority="10" operator="greaterThan">
      <formula>$E$11</formula>
    </cfRule>
  </conditionalFormatting>
  <conditionalFormatting sqref="C35:L48">
    <cfRule type="cellIs" dxfId="17" priority="1" operator="greaterThan">
      <formula>0</formula>
    </cfRule>
    <cfRule type="cellIs" dxfId="16" priority="2" operator="greaterThan">
      <formula>$E$11</formula>
    </cfRule>
    <cfRule type="cellIs" dxfId="15" priority="5" operator="greaterThan">
      <formula>0</formula>
    </cfRule>
    <cfRule type="cellIs" dxfId="14" priority="6" operator="greaterThan">
      <formula>0</formula>
    </cfRule>
  </conditionalFormatting>
  <conditionalFormatting sqref="C52:L65">
    <cfRule type="cellIs" dxfId="13" priority="3" operator="greaterThan">
      <formula>0</formula>
    </cfRule>
    <cfRule type="cellIs" dxfId="12" priority="4" operator="greaterThan">
      <formula>0</formula>
    </cfRule>
  </conditionalFormatting>
  <dataValidations count="5">
    <dataValidation type="list" allowBlank="1" showInputMessage="1" showErrorMessage="1" sqref="C32">
      <formula1>$S$6:$S$7</formula1>
    </dataValidation>
    <dataValidation type="list" allowBlank="1" showInputMessage="1" showErrorMessage="1" sqref="C12:E12">
      <formula1>$R$6:$R$67</formula1>
    </dataValidation>
    <dataValidation type="list" allowBlank="1" showInputMessage="1" showErrorMessage="1" sqref="E8">
      <formula1>$S$9:$S$10</formula1>
    </dataValidation>
    <dataValidation type="list" allowBlank="1" showInputMessage="1" showErrorMessage="1" sqref="I11">
      <formula1>$S$17:$S$18</formula1>
    </dataValidation>
    <dataValidation type="list" allowBlank="1" showInputMessage="1" showErrorMessage="1" sqref="I12">
      <formula1>S13:S14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62"/>
  <sheetViews>
    <sheetView workbookViewId="0">
      <selection activeCell="A47" sqref="A47"/>
    </sheetView>
  </sheetViews>
  <sheetFormatPr defaultRowHeight="13.5" x14ac:dyDescent="0.15"/>
  <cols>
    <col min="1" max="1" width="11.125" customWidth="1"/>
    <col min="2" max="2" width="11.625" bestFit="1" customWidth="1"/>
    <col min="3" max="3" width="10.625" customWidth="1"/>
    <col min="4" max="4" width="9.25" customWidth="1"/>
    <col min="5" max="5" width="13.375" customWidth="1"/>
    <col min="6" max="6" width="10.5" bestFit="1" customWidth="1"/>
    <col min="7" max="7" width="11.625" bestFit="1" customWidth="1"/>
    <col min="8" max="8" width="12" customWidth="1"/>
    <col min="9" max="12" width="10.5" bestFit="1" customWidth="1"/>
    <col min="13" max="14" width="11.625" bestFit="1" customWidth="1"/>
  </cols>
  <sheetData>
    <row r="1" spans="1:15" x14ac:dyDescent="0.15">
      <c r="B1" t="s">
        <v>91</v>
      </c>
      <c r="C1" t="str">
        <f>模拟分析!$C$5</f>
        <v>220010.IB</v>
      </c>
      <c r="D1" t="s">
        <v>13</v>
      </c>
      <c r="E1" s="2" t="str">
        <f>[1]!b_info_maturitydate(C1)</f>
        <v>2032-05-15</v>
      </c>
      <c r="F1" t="s">
        <v>78</v>
      </c>
      <c r="G1" s="2">
        <f ca="1">模拟分析!$G$11</f>
        <v>45398</v>
      </c>
      <c r="H1" t="s">
        <v>79</v>
      </c>
      <c r="I1">
        <f>LOOKUP(模拟分析!$C$12,模拟分析!$R$6:$R$67,模拟分析!$Q$6:$Q$67)</f>
        <v>1232</v>
      </c>
      <c r="J1" t="s">
        <v>133</v>
      </c>
    </row>
    <row r="2" spans="1:15" x14ac:dyDescent="0.15">
      <c r="E2">
        <f>模拟分析!C16</f>
        <v>1</v>
      </c>
      <c r="F2">
        <f>模拟分析!D16</f>
        <v>7</v>
      </c>
      <c r="G2">
        <f>模拟分析!E16</f>
        <v>14</v>
      </c>
      <c r="H2">
        <f>模拟分析!F16</f>
        <v>21</v>
      </c>
      <c r="I2">
        <f>模拟分析!G16</f>
        <v>30</v>
      </c>
      <c r="J2">
        <f>模拟分析!H16</f>
        <v>60</v>
      </c>
      <c r="K2">
        <f>模拟分析!I16</f>
        <v>90</v>
      </c>
      <c r="L2">
        <f>模拟分析!J16</f>
        <v>150</v>
      </c>
      <c r="M2">
        <f>模拟分析!K16</f>
        <v>365</v>
      </c>
      <c r="N2">
        <f>模拟分析!L16</f>
        <v>365</v>
      </c>
    </row>
    <row r="3" spans="1:15" x14ac:dyDescent="0.15">
      <c r="D3" t="s">
        <v>139</v>
      </c>
      <c r="E3">
        <f ca="1">[1]!B_CALC_CURVE_CHINABOND($I$1,$G$1,E$2/365)</f>
        <v>1.4038253424657534</v>
      </c>
      <c r="F3">
        <f ca="1">[1]!B_CALC_CURVE_CHINABOND($I$1,$G$1,F$2/365)</f>
        <v>1.426777397260274</v>
      </c>
      <c r="G3">
        <f ca="1">[1]!B_CALC_CURVE_CHINABOND($I$1,$G$1,G$2/365)</f>
        <v>1.4535547945205478</v>
      </c>
      <c r="H3">
        <f ca="1">[1]!B_CALC_CURVE_CHINABOND($I$1,$G$1,H$2/365)</f>
        <v>1.4803321917808221</v>
      </c>
      <c r="I3">
        <f ca="1">[1]!B_CALC_CURVE_CHINABOND($I$1,$G$1,I$2/365)</f>
        <v>1.5131465753424658</v>
      </c>
      <c r="J3">
        <f ca="1">[1]!B_CALC_CURVE_CHINABOND($I$1,$G$1,J$2/365)</f>
        <v>1.5387884540117418</v>
      </c>
      <c r="K3">
        <f ca="1">[1]!B_CALC_CURVE_CHINABOND($I$1,$G$1,K$2/365)</f>
        <v>1.540931506849315</v>
      </c>
      <c r="L3">
        <f ca="1">[1]!B_CALC_CURVE_CHINABOND($I$1,$G$1,L$2/365)</f>
        <v>1.5851479452054793</v>
      </c>
      <c r="M3">
        <f ca="1">[1]!B_CALC_CURVE_CHINABOND($I$1,$G$1,M$2/365)</f>
        <v>1.7233000000000001</v>
      </c>
      <c r="N3">
        <f ca="1">[1]!B_CALC_CURVE_CHINABOND($I$1,$G$1,N$2/365)</f>
        <v>1.7233000000000001</v>
      </c>
    </row>
    <row r="4" spans="1:15" x14ac:dyDescent="0.15">
      <c r="B4" s="1" t="s">
        <v>0</v>
      </c>
      <c r="C4" t="s">
        <v>1</v>
      </c>
      <c r="D4" t="s">
        <v>2</v>
      </c>
      <c r="E4" s="9" t="s">
        <v>4</v>
      </c>
      <c r="F4" s="9" t="s">
        <v>5</v>
      </c>
      <c r="G4" s="9" t="s">
        <v>11</v>
      </c>
      <c r="H4" s="9" t="s">
        <v>6</v>
      </c>
      <c r="I4" s="9" t="s">
        <v>12</v>
      </c>
      <c r="J4" s="9" t="s">
        <v>80</v>
      </c>
      <c r="K4" s="9" t="s">
        <v>81</v>
      </c>
      <c r="L4" s="9" t="s">
        <v>7</v>
      </c>
      <c r="M4" s="9" t="s">
        <v>8</v>
      </c>
      <c r="N4" s="9" t="str">
        <f>N2&amp;"d"</f>
        <v>365d</v>
      </c>
    </row>
    <row r="5" spans="1:15" x14ac:dyDescent="0.15">
      <c r="B5" s="2" t="str">
        <f ca="1">[1]!b_anal_nxcupn(C1,模拟分析!$I$8)</f>
        <v>2024-05-15</v>
      </c>
      <c r="C5" s="4">
        <f ca="1">IF(B5="",0,IF(模拟分析!$K$9=0,[1]!b_anal_dailycf($C$1,B5),IF(模拟分析!$I$11="否",[1]!b_anal_dailycf($C$1,B5),IF(B5&lt;模拟分析!$K$12,[1]!b_anal_dailycf($C$1,B5),IF(B5=模拟分析!$K$12,[1]!b_anal_dailycf($C$1,B5)+模拟分析!$K$11,0)))))</f>
        <v>1.38</v>
      </c>
      <c r="D5" s="3">
        <f t="shared" ref="D5:D9" ca="1" si="0">IF(B5="",0,(-TODAY()+B5)/365)</f>
        <v>7.6712328767123292E-2</v>
      </c>
      <c r="E5" s="5">
        <f ca="1">IF($B5="",0,IF($D5-E$2/365&lt;=0,0,(IF(模拟分析!$I$12="到期平移法",[1]!B_CALC_CURVE_CHINABOND($I$1,$G$1,$D5-E$2/365)+模拟分析!$G$12/100,(((1+[1]!B_CALC_CURVE_CHINABOND($I$1,$G$1,$D5)/100)^$D5/(1+E$3/100)^(E$2/365))^(1/($D5-E$2/365))-1)*100+模拟分析!$G$12/100))))</f>
        <v>1.5409369511393967</v>
      </c>
      <c r="F5" s="5">
        <f ca="1">IF($B5="",0,IF($D5-F$2/365&lt;=0,0,(IF(模拟分析!$I$12="到期平移法",[1]!B_CALC_CURVE_CHINABOND($I$1,$G$1,$D5-F$2/365)+模拟分析!$G$12/100,(((1+[1]!B_CALC_CURVE_CHINABOND($I$1,$G$1,$D5)/100)^$D5/(1+F$3/100)^(F$2/365))^(1/($D5-F$2/365))-1)*100+模拟分析!$G$12/100))))</f>
        <v>1.56390112266385</v>
      </c>
      <c r="G5" s="5">
        <f ca="1">IF($B5="",0,IF($D5-G$2/365&lt;=0,0,(IF(模拟分析!$I$12="到期平移法",[1]!B_CALC_CURVE_CHINABOND($I$1,$G$1,$D5-G$2/365)+模拟分析!$G$12/100,(((1+[1]!B_CALC_CURVE_CHINABOND($I$1,$G$1,$D5)/100)^$D5/(1+G$3/100)^(G$2/365))^(1/($D5-G$2/365))-1)*100+模拟分析!$G$12/100))))</f>
        <v>1.5906926537983901</v>
      </c>
      <c r="H5" s="5">
        <f ca="1">IF($B5="",0,IF($D5-H$2/365&lt;=0,0,(IF(模拟分析!$I$12="到期平移法",[1]!B_CALC_CURVE_CHINABOND($I$1,$G$1,$D5-H$2/365)+模拟分析!$G$12/100,(((1+[1]!B_CALC_CURVE_CHINABOND($I$1,$G$1,$D5)/100)^$D5/(1+H$3/100)^(H$2/365))^(1/($D5-H$2/365))-1)*100+模拟分析!$G$12/100))))</f>
        <v>1.6174841824452535</v>
      </c>
      <c r="I5" s="5">
        <f ca="1">IF($B5="",0,IF($D5-I$2/365&lt;=0,0,(IF(模拟分析!$I$12="到期平移法",[1]!B_CALC_CURVE_CHINABOND($I$1,$G$1,$D5-I$2/365)+模拟分析!$G$12/100,(((1+[1]!B_CALC_CURVE_CHINABOND($I$1,$G$1,$D5)/100)^$D5/(1+I$3/100)^(I$2/365))^(1/($D5-I$2/365))-1)*100+模拟分析!$G$12/100))))</f>
        <v>0</v>
      </c>
      <c r="J5" s="5">
        <f ca="1">IF($B5="",0,IF($D5-J$2/365&lt;=0,0,(IF(模拟分析!$I$12="到期平移法",[1]!B_CALC_CURVE_CHINABOND($I$1,$G$1,$D5-J$2/365)+模拟分析!$G$12/100,(((1+[1]!B_CALC_CURVE_CHINABOND($I$1,$G$1,$D5)/100)^$D5/(1+J$3/100)^(J$2/365))^(1/($D5-J$2/365))-1)*100+模拟分析!$G$12/100))))</f>
        <v>0</v>
      </c>
      <c r="K5" s="5">
        <f ca="1">IF($B5="",0,IF($D5-K$2/365&lt;=0,0,(IF(模拟分析!$I$12="到期平移法",[1]!B_CALC_CURVE_CHINABOND($I$1,$G$1,$D5-K$2/365)+模拟分析!$G$12/100,(((1+[1]!B_CALC_CURVE_CHINABOND($I$1,$G$1,$D5)/100)^$D5/(1+K$3/100)^(K$2/365))^(1/($D5-K$2/365))-1)*100+模拟分析!$G$12/100))))</f>
        <v>0</v>
      </c>
      <c r="L5" s="5">
        <f ca="1">IF($B5="",0,IF($D5-L$2/365&lt;=0,0,(IF(模拟分析!$I$12="到期平移法",[1]!B_CALC_CURVE_CHINABOND($I$1,$G$1,$D5-L$2/365)+模拟分析!$G$12/100,(((1+[1]!B_CALC_CURVE_CHINABOND($I$1,$G$1,$D5)/100)^$D5/(1+L$3/100)^(L$2/365))^(1/($D5-L$2/365))-1)*100+模拟分析!$G$12/100))))</f>
        <v>0</v>
      </c>
      <c r="M5" s="5">
        <f ca="1">IF($B5="",0,IF($D5-M$2/365&lt;=0,0,(IF(模拟分析!$I$12="到期平移法",[1]!B_CALC_CURVE_CHINABOND($I$1,$G$1,$D5-M$2/365)+模拟分析!$G$12/100,(((1+[1]!B_CALC_CURVE_CHINABOND($I$1,$G$1,$D5)/100)^$D5/(1+M$3/100)^(M$2/365))^(1/($D5-M$2/365))-1)*100+模拟分析!$G$12/100))))</f>
        <v>0</v>
      </c>
      <c r="N5" s="5">
        <f ca="1">IF($B5="",0,IF($D5-N$2/365&lt;=0,0,(IF(模拟分析!$I$12="到期平移法",[1]!B_CALC_CURVE_CHINABOND($I$1,$G$1,$D5-N$2/365)+模拟分析!$G$12/100,(((1+[1]!B_CALC_CURVE_CHINABOND($I$1,$G$1,$D5)/100)^$D5/(1+N$3/100)^(N$2/365))^(1/($D5-N$2/365))-1)*100+模拟分析!$G$12/100))))</f>
        <v>0</v>
      </c>
      <c r="O5">
        <f ca="1">IF(C5="","",C5/((1+E5/100)^(D5-21/365)))</f>
        <v>1.379595348983303</v>
      </c>
    </row>
    <row r="6" spans="1:15" x14ac:dyDescent="0.15">
      <c r="B6" s="2" t="str">
        <f ca="1">IF(B5="","",IF(B5&lt;$E$1,[1]!b_anal_nxcupn($C$1,B5+2),""))</f>
        <v>2024-11-15</v>
      </c>
      <c r="C6" s="4">
        <f ca="1">IF(B6="",0,IF(模拟分析!$K$9=0,[1]!b_anal_dailycf($C$1,B6),IF(模拟分析!$I$11="否",[1]!b_anal_dailycf($C$1,B6),IF(B6&lt;模拟分析!$K$12,[1]!b_anal_dailycf($C$1,B6),IF(B6=模拟分析!$K$12,[1]!b_anal_dailycf($C$1,B6)+模拟分析!$K$11,0)))))</f>
        <v>1.38</v>
      </c>
      <c r="D6" s="3">
        <f t="shared" ca="1" si="0"/>
        <v>0.58082191780821912</v>
      </c>
      <c r="E6" s="5">
        <f ca="1">IF($B6="",0,IF($D6-E$2/365&lt;=0,0,(IF(模拟分析!$I$12="到期平移法",[1]!B_CALC_CURVE_CHINABOND($I$1,$G$1,$D6-E$2/365)+模拟分析!$G$12/100,(((1+[1]!B_CALC_CURVE_CHINABOND($I$1,$G$1,$D6)/100)^$D6/(1+E$3/100)^(E$2/365))^(1/($D6-E$2/365))-1)*100+模拟分析!$G$12/100))))</f>
        <v>1.6729966127844198</v>
      </c>
      <c r="F6" s="5">
        <f ca="1">IF($B6="",0,IF($D6-F$2/365&lt;=0,0,(IF(模拟分析!$I$12="到期平移法",[1]!B_CALC_CURVE_CHINABOND($I$1,$G$1,$D6-F$2/365)+模拟分析!$G$12/100,(((1+[1]!B_CALC_CURVE_CHINABOND($I$1,$G$1,$D6)/100)^$D6/(1+F$3/100)^(F$2/365))^(1/($D6-F$2/365))-1)*100+模拟分析!$G$12/100))))</f>
        <v>1.6792196984922769</v>
      </c>
      <c r="G6" s="5">
        <f ca="1">IF($B6="",0,IF($D6-G$2/365&lt;=0,0,(IF(模拟分析!$I$12="到期平移法",[1]!B_CALC_CURVE_CHINABOND($I$1,$G$1,$D6-G$2/365)+模拟分析!$G$12/100,(((1+[1]!B_CALC_CURVE_CHINABOND($I$1,$G$1,$D6)/100)^$D6/(1+G$3/100)^(G$2/365))^(1/($D6-G$2/365))-1)*100+模拟分析!$G$12/100))))</f>
        <v>1.6851953598654246</v>
      </c>
      <c r="H6" s="5">
        <f ca="1">IF($B6="",0,IF($D6-H$2/365&lt;=0,0,(IF(模拟分析!$I$12="到期平移法",[1]!B_CALC_CURVE_CHINABOND($I$1,$G$1,$D6-H$2/365)+模拟分析!$G$12/100,(((1+[1]!B_CALC_CURVE_CHINABOND($I$1,$G$1,$D6)/100)^$D6/(1+H$3/100)^(H$2/365))^(1/($D6-H$2/365))-1)*100+模拟分析!$G$12/100))))</f>
        <v>1.689643190535709</v>
      </c>
      <c r="I6" s="5">
        <f ca="1">IF($B6="",0,IF($D6-I$2/365&lt;=0,0,(IF(模拟分析!$I$12="到期平移法",[1]!B_CALC_CURVE_CHINABOND($I$1,$G$1,$D6-I$2/365)+模拟分析!$G$12/100,(((1+[1]!B_CALC_CURVE_CHINABOND($I$1,$G$1,$D6)/100)^$D6/(1+I$3/100)^(I$2/365))^(1/($D6-I$2/365))-1)*100+模拟分析!$G$12/100))))</f>
        <v>1.6931004600942579</v>
      </c>
      <c r="J6" s="5">
        <f ca="1">IF($B6="",0,IF($D6-J$2/365&lt;=0,0,(IF(模拟分析!$I$12="到期平移法",[1]!B_CALC_CURVE_CHINABOND($I$1,$G$1,$D6-J$2/365)+模拟分析!$G$12/100,(((1+[1]!B_CALC_CURVE_CHINABOND($I$1,$G$1,$D6)/100)^$D6/(1+J$3/100)^(J$2/365))^(1/($D6-J$2/365))-1)*100+模拟分析!$G$12/100))))</f>
        <v>1.7125848712987091</v>
      </c>
      <c r="K6" s="5">
        <f ca="1">IF($B6="",0,IF($D6-K$2/365&lt;=0,0,(IF(模拟分析!$I$12="到期平移法",[1]!B_CALC_CURVE_CHINABOND($I$1,$G$1,$D6-K$2/365)+模拟分析!$G$12/100,(((1+[1]!B_CALC_CURVE_CHINABOND($I$1,$G$1,$D6)/100)^$D6/(1+K$3/100)^(K$2/365))^(1/($D6-K$2/365))-1)*100+模拟分析!$G$12/100))))</f>
        <v>1.7463921280463957</v>
      </c>
      <c r="L6" s="5">
        <f ca="1">IF($B6="",0,IF($D6-L$2/365&lt;=0,0,(IF(模拟分析!$I$12="到期平移法",[1]!B_CALC_CURVE_CHINABOND($I$1,$G$1,$D6-L$2/365)+模拟分析!$G$12/100,(((1+[1]!B_CALC_CURVE_CHINABOND($I$1,$G$1,$D6)/100)^$D6/(1+L$3/100)^(L$2/365))^(1/($D6-L$2/365))-1)*100+模拟分析!$G$12/100))))</f>
        <v>1.8092219674149346</v>
      </c>
      <c r="M6" s="5">
        <f ca="1">IF($B6="",0,IF($D6-M$2/365&lt;=0,0,(IF(模拟分析!$I$12="到期平移法",[1]!B_CALC_CURVE_CHINABOND($I$1,$G$1,$D6-M$2/365)+模拟分析!$G$12/100,(((1+[1]!B_CALC_CURVE_CHINABOND($I$1,$G$1,$D6)/100)^$D6/(1+M$3/100)^(M$2/365))^(1/($D6-M$2/365))-1)*100+模拟分析!$G$12/100))))</f>
        <v>0</v>
      </c>
      <c r="N6" s="5">
        <f ca="1">IF($B6="",0,IF($D6-N$2/365&lt;=0,0,(IF(模拟分析!$I$12="到期平移法",[1]!B_CALC_CURVE_CHINABOND($I$1,$G$1,$D6-N$2/365)+模拟分析!$G$12/100,(((1+[1]!B_CALC_CURVE_CHINABOND($I$1,$G$1,$D6)/100)^$D6/(1+N$3/100)^(N$2/365))^(1/($D6-N$2/365))-1)*100+模拟分析!$G$12/100))))</f>
        <v>0</v>
      </c>
      <c r="O6">
        <f t="shared" ref="O6:O9" ca="1" si="1">IF(C6="","",C6/((1+E6/100)^(D6-21/365)))</f>
        <v>1.3680704815090683</v>
      </c>
    </row>
    <row r="7" spans="1:15" x14ac:dyDescent="0.15">
      <c r="A7">
        <f ca="1">[1]!B_CALC_CURVE_CHINABOND($I$1,$G$1,$D5-E$2/365)</f>
        <v>1.5032842465753424</v>
      </c>
      <c r="B7" s="2" t="str">
        <f ca="1">IF(B6="","",IF(B6&lt;$E$1,[1]!b_anal_nxcupn($C$1,B6+1),""))</f>
        <v>2025-05-15</v>
      </c>
      <c r="C7" s="4">
        <f ca="1">IF(B7="",0,IF(模拟分析!$K$9=0,[1]!b_anal_dailycf($C$1,B7),IF(模拟分析!$I$11="否",[1]!b_anal_dailycf($C$1,B7),IF(B7&lt;模拟分析!$K$12,[1]!b_anal_dailycf($C$1,B7),IF(B7=模拟分析!$K$12,[1]!b_anal_dailycf($C$1,B7)+模拟分析!$K$11,0)))))</f>
        <v>1.38</v>
      </c>
      <c r="D7" s="3">
        <f t="shared" ca="1" si="0"/>
        <v>1.0767123287671232</v>
      </c>
      <c r="E7" s="5">
        <f ca="1">IF($B7="",0,IF($D7-E$2/365&lt;=0,0,(IF(模拟分析!$I$12="到期平移法",[1]!B_CALC_CURVE_CHINABOND($I$1,$G$1,$D7-E$2/365)+模拟分析!$G$12/100,(((1+[1]!B_CALC_CURVE_CHINABOND($I$1,$G$1,$D7)/100)^$D7/(1+E$3/100)^(E$2/365))^(1/($D7-E$2/365))-1)*100+模拟分析!$G$12/100))))</f>
        <v>1.7602689638387436</v>
      </c>
      <c r="F7" s="5">
        <f ca="1">IF($B7="",0,IF($D7-F$2/365&lt;=0,0,(IF(模拟分析!$I$12="到期平移法",[1]!B_CALC_CURVE_CHINABOND($I$1,$G$1,$D7-F$2/365)+模拟分析!$G$12/100,(((1+[1]!B_CALC_CURVE_CHINABOND($I$1,$G$1,$D7)/100)^$D7/(1+F$3/100)^(F$2/365))^(1/($D7-F$2/365))-1)*100+模拟分析!$G$12/100))))</f>
        <v>1.7649339611903325</v>
      </c>
      <c r="G7" s="5">
        <f ca="1">IF($B7="",0,IF($D7-G$2/365&lt;=0,0,(IF(模拟分析!$I$12="到期平移法",[1]!B_CALC_CURVE_CHINABOND($I$1,$G$1,$D7-G$2/365)+模拟分析!$G$12/100,(((1+[1]!B_CALC_CURVE_CHINABOND($I$1,$G$1,$D7)/100)^$D7/(1+G$3/100)^(G$2/365))^(1/($D7-G$2/365))-1)*100+模拟分析!$G$12/100))))</f>
        <v>1.7696422405454804</v>
      </c>
      <c r="H7" s="5">
        <f ca="1">IF($B7="",0,IF($D7-H$2/365&lt;=0,0,(IF(模拟分析!$I$12="到期平移法",[1]!B_CALC_CURVE_CHINABOND($I$1,$G$1,$D7-H$2/365)+模拟分析!$G$12/100,(((1+[1]!B_CALC_CURVE_CHINABOND($I$1,$G$1,$D7)/100)^$D7/(1+H$3/100)^(H$2/365))^(1/($D7-H$2/365))-1)*100+模拟分析!$G$12/100))))</f>
        <v>1.7735175735185604</v>
      </c>
      <c r="I7" s="5">
        <f ca="1">IF($B7="",0,IF($D7-I$2/365&lt;=0,0,(IF(模拟分析!$I$12="到期平移法",[1]!B_CALC_CURVE_CHINABOND($I$1,$G$1,$D7-I$2/365)+模拟分析!$G$12/100,(((1+[1]!B_CALC_CURVE_CHINABOND($I$1,$G$1,$D7)/100)^$D7/(1+I$3/100)^(I$2/365))^(1/($D7-I$2/365))-1)*100+模拟分析!$G$12/100))))</f>
        <v>1.7773328303310387</v>
      </c>
      <c r="J7" s="5">
        <f ca="1">IF($B7="",0,IF($D7-J$2/365&lt;=0,0,(IF(模拟分析!$I$12="到期平移法",[1]!B_CALC_CURVE_CHINABOND($I$1,$G$1,$D7-J$2/365)+模拟分析!$G$12/100,(((1+[1]!B_CALC_CURVE_CHINABOND($I$1,$G$1,$D7)/100)^$D7/(1+J$3/100)^(J$2/365))^(1/($D7-J$2/365))-1)*100+模拟分析!$G$12/100))))</f>
        <v>1.793826112944944</v>
      </c>
      <c r="K7" s="5">
        <f ca="1">IF($B7="",0,IF($D7-K$2/365&lt;=0,0,(IF(模拟分析!$I$12="到期平移法",[1]!B_CALC_CURVE_CHINABOND($I$1,$G$1,$D7-K$2/365)+模拟分析!$G$12/100,(((1+[1]!B_CALC_CURVE_CHINABOND($I$1,$G$1,$D7)/100)^$D7/(1+K$3/100)^(K$2/365))^(1/($D7-K$2/365))-1)*100+模拟分析!$G$12/100))))</f>
        <v>1.8154960939264198</v>
      </c>
      <c r="L7" s="5">
        <f ca="1">IF($B7="",0,IF($D7-L$2/365&lt;=0,0,(IF(模拟分析!$I$12="到期平移法",[1]!B_CALC_CURVE_CHINABOND($I$1,$G$1,$D7-L$2/365)+模拟分析!$G$12/100,(((1+[1]!B_CALC_CURVE_CHINABOND($I$1,$G$1,$D7)/100)^$D7/(1+L$3/100)^(L$2/365))^(1/($D7-L$2/365))-1)*100+模拟分析!$G$12/100))))</f>
        <v>1.848606577589077</v>
      </c>
      <c r="M7" s="5">
        <f ca="1">IF($B7="",0,IF($D7-M$2/365&lt;=0,0,(IF(模拟分析!$I$12="到期平移法",[1]!B_CALC_CURVE_CHINABOND($I$1,$G$1,$D7-M$2/365)+模拟分析!$G$12/100,(((1+[1]!B_CALC_CURVE_CHINABOND($I$1,$G$1,$D7)/100)^$D7/(1+M$3/100)^(M$2/365))^(1/($D7-M$2/365))-1)*100+模拟分析!$G$12/100))))</f>
        <v>1.8394708655947312</v>
      </c>
      <c r="N7" s="5">
        <f ca="1">IF($B7="",0,IF($D7-N$2/365&lt;=0,0,(IF(模拟分析!$I$12="到期平移法",[1]!B_CALC_CURVE_CHINABOND($I$1,$G$1,$D7-N$2/365)+模拟分析!$G$12/100,(((1+[1]!B_CALC_CURVE_CHINABOND($I$1,$G$1,$D7)/100)^$D7/(1+N$3/100)^(N$2/365))^(1/($D7-N$2/365))-1)*100+模拟分析!$G$12/100))))</f>
        <v>1.8394708655947312</v>
      </c>
      <c r="O7">
        <f t="shared" ca="1" si="1"/>
        <v>1.3556747399018565</v>
      </c>
    </row>
    <row r="8" spans="1:15" x14ac:dyDescent="0.15">
      <c r="A8">
        <f ca="1">[1]!B_CALC_CURVE_CHINABOND($I$1,$G$1,$D7-E$2/365)</f>
        <v>1.7292178082191785</v>
      </c>
      <c r="B8" s="2" t="str">
        <f ca="1">IF(B7="","",IF(B7&lt;$E$1,[1]!b_anal_nxcupn($C$1,B7+1),""))</f>
        <v>2025-11-15</v>
      </c>
      <c r="C8" s="4">
        <f ca="1">IF(B8="",0,IF(模拟分析!$K$9=0,[1]!b_anal_dailycf($C$1,B8),IF(模拟分析!$I$11="否",[1]!b_anal_dailycf($C$1,B8),IF(B8&lt;模拟分析!$K$12,[1]!b_anal_dailycf($C$1,B8),IF(B8=模拟分析!$K$12,[1]!b_anal_dailycf($C$1,B8)+模拟分析!$K$11,0)))))</f>
        <v>1.38</v>
      </c>
      <c r="D8" s="3">
        <f t="shared" ca="1" si="0"/>
        <v>1.5808219178082192</v>
      </c>
      <c r="E8" s="5">
        <f ca="1">IF($B8="",0,IF($D8-E$2/365&lt;=0,0,(IF(模拟分析!$I$12="到期平移法",[1]!B_CALC_CURVE_CHINABOND($I$1,$G$1,$D8-E$2/365)+模拟分析!$G$12/100,(((1+[1]!B_CALC_CURVE_CHINABOND($I$1,$G$1,$D8)/100)^$D8/(1+E$3/100)^(E$2/365))^(1/($D8-E$2/365))-1)*100+模拟分析!$G$12/100))))</f>
        <v>1.8369328876787028</v>
      </c>
      <c r="F8" s="5">
        <f ca="1">IF($B8="",0,IF($D8-F$2/365&lt;=0,0,(IF(模拟分析!$I$12="到期平移法",[1]!B_CALC_CURVE_CHINABOND($I$1,$G$1,$D8-F$2/365)+模拟分析!$G$12/100,(((1+[1]!B_CALC_CURVE_CHINABOND($I$1,$G$1,$D8)/100)^$D8/(1+F$3/100)^(F$2/365))^(1/($D8-F$2/365))-1)*100+模拟分析!$G$12/100))))</f>
        <v>1.8409016693886648</v>
      </c>
      <c r="G8" s="5">
        <f ca="1">IF($B8="",0,IF($D8-G$2/365&lt;=0,0,(IF(模拟分析!$I$12="到期平移法",[1]!B_CALC_CURVE_CHINABOND($I$1,$G$1,$D8-G$2/365)+模拟分析!$G$12/100,(((1+[1]!B_CALC_CURVE_CHINABOND($I$1,$G$1,$D8)/100)^$D8/(1+G$3/100)^(G$2/365))^(1/($D8-G$2/365))-1)*100+模拟分析!$G$12/100))))</f>
        <v>1.8450184515259627</v>
      </c>
      <c r="H8" s="5">
        <f ca="1">IF($B8="",0,IF($D8-H$2/365&lt;=0,0,(IF(模拟分析!$I$12="到期平移法",[1]!B_CALC_CURVE_CHINABOND($I$1,$G$1,$D8-H$2/365)+模拟分析!$G$12/100,(((1+[1]!B_CALC_CURVE_CHINABOND($I$1,$G$1,$D8)/100)^$D8/(1+H$3/100)^(H$2/365))^(1/($D8-H$2/365))-1)*100+模拟分析!$G$12/100))))</f>
        <v>1.848562565968751</v>
      </c>
      <c r="I8" s="5">
        <f ca="1">IF($B8="",0,IF($D8-I$2/365&lt;=0,0,(IF(模拟分析!$I$12="到期平移法",[1]!B_CALC_CURVE_CHINABOND($I$1,$G$1,$D8-I$2/365)+模拟分析!$G$12/100,(((1+[1]!B_CALC_CURVE_CHINABOND($I$1,$G$1,$D8)/100)^$D8/(1+I$3/100)^(I$2/365))^(1/($D8-I$2/365))-1)*100+模拟分析!$G$12/100))))</f>
        <v>1.8523315346471481</v>
      </c>
      <c r="J8" s="5">
        <f ca="1">IF($B8="",0,IF($D8-J$2/365&lt;=0,0,(IF(模拟分析!$I$12="到期平移法",[1]!B_CALC_CURVE_CHINABOND($I$1,$G$1,$D8-J$2/365)+模拟分析!$G$12/100,(((1+[1]!B_CALC_CURVE_CHINABOND($I$1,$G$1,$D8)/100)^$D8/(1+J$3/100)^(J$2/365))^(1/($D8-J$2/365))-1)*100+模拟分析!$G$12/100))))</f>
        <v>1.8673164983628954</v>
      </c>
      <c r="K8" s="5">
        <f ca="1">IF($B8="",0,IF($D8-K$2/365&lt;=0,0,(IF(模拟分析!$I$12="到期平移法",[1]!B_CALC_CURVE_CHINABOND($I$1,$G$1,$D8-K$2/365)+模拟分析!$G$12/100,(((1+[1]!B_CALC_CURVE_CHINABOND($I$1,$G$1,$D8)/100)^$D8/(1+K$3/100)^(K$2/365))^(1/($D8-K$2/365))-1)*100+模拟分析!$G$12/100))))</f>
        <v>1.8853377106399705</v>
      </c>
      <c r="L8" s="5">
        <f ca="1">IF($B8="",0,IF($D8-L$2/365&lt;=0,0,(IF(模拟分析!$I$12="到期平移法",[1]!B_CALC_CURVE_CHINABOND($I$1,$G$1,$D8-L$2/365)+模拟分析!$G$12/100,(((1+[1]!B_CALC_CURVE_CHINABOND($I$1,$G$1,$D8)/100)^$D8/(1+L$3/100)^(L$2/365))^(1/($D8-L$2/365))-1)*100+模拟分析!$G$12/100))))</f>
        <v>1.9140115197277463</v>
      </c>
      <c r="M8" s="5">
        <f ca="1">IF($B8="",0,IF($D8-M$2/365&lt;=0,0,(IF(模拟分析!$I$12="到期平移法",[1]!B_CALC_CURVE_CHINABOND($I$1,$G$1,$D8-M$2/365)+模拟分析!$G$12/100,(((1+[1]!B_CALC_CURVE_CHINABOND($I$1,$G$1,$D8)/100)^$D8/(1+M$3/100)^(M$2/365))^(1/($D8-M$2/365))-1)*100+模拟分析!$G$12/100))))</f>
        <v>1.9791767014806483</v>
      </c>
      <c r="N8" s="5">
        <f ca="1">IF($B8="",0,IF($D8-N$2/365&lt;=0,0,(IF(模拟分析!$I$12="到期平移法",[1]!B_CALC_CURVE_CHINABOND($I$1,$G$1,$D8-N$2/365)+模拟分析!$G$12/100,(((1+[1]!B_CALC_CURVE_CHINABOND($I$1,$G$1,$D8)/100)^$D8/(1+N$3/100)^(N$2/365))^(1/($D8-N$2/365))-1)*100+模拟分析!$G$12/100))))</f>
        <v>1.9791767014806483</v>
      </c>
      <c r="O8">
        <f t="shared" ca="1" si="1"/>
        <v>1.3422611611845978</v>
      </c>
    </row>
    <row r="9" spans="1:15" x14ac:dyDescent="0.15">
      <c r="B9" s="2" t="str">
        <f ca="1">IF(B8="","",IF(B8&lt;$E$1,[1]!b_anal_nxcupn($C$1,B8+1),""))</f>
        <v>2026-05-15</v>
      </c>
      <c r="C9" s="4">
        <f ca="1">IF(B9="",0,IF(模拟分析!$K$9=0,[1]!b_anal_dailycf($C$1,B9),IF(模拟分析!$I$11="否",[1]!b_anal_dailycf($C$1,B9),IF(B9&lt;模拟分析!$K$12,[1]!b_anal_dailycf($C$1,B9),IF(B9=模拟分析!$K$12,[1]!b_anal_dailycf($C$1,B9)+模拟分析!$K$11,0)))))</f>
        <v>1.38</v>
      </c>
      <c r="D9" s="3">
        <f t="shared" ca="1" si="0"/>
        <v>2.0767123287671234</v>
      </c>
      <c r="E9" s="5">
        <f ca="1">IF($B9="",0,IF($D9-E$2/365&lt;=0,0,(IF(模拟分析!$I$12="到期平移法",[1]!B_CALC_CURVE_CHINABOND($I$1,$G$1,$D9-E$2/365)+模拟分析!$G$12/100,(((1+[1]!B_CALC_CURVE_CHINABOND($I$1,$G$1,$D9)/100)^$D9/(1+E$3/100)^(E$2/365))^(1/($D9-E$2/365))-1)*100+模拟分析!$G$12/100))))</f>
        <v>1.9206506362225351</v>
      </c>
      <c r="F9" s="5">
        <f ca="1">IF($B9="",0,IF($D9-F$2/365&lt;=0,0,(IF(模拟分析!$I$12="到期平移法",[1]!B_CALC_CURVE_CHINABOND($I$1,$G$1,$D9-F$2/365)+模拟分析!$G$12/100,(((1+[1]!B_CALC_CURVE_CHINABOND($I$1,$G$1,$D9)/100)^$D9/(1+F$3/100)^(F$2/365))^(1/($D9-F$2/365))-1)*100+模拟分析!$G$12/100))))</f>
        <v>1.9243345039641235</v>
      </c>
      <c r="G9" s="5">
        <f ca="1">IF($B9="",0,IF($D9-G$2/365&lt;=0,0,(IF(模拟分析!$I$12="到期平移法",[1]!B_CALC_CURVE_CHINABOND($I$1,$G$1,$D9-G$2/365)+模拟分析!$G$12/100,(((1+[1]!B_CALC_CURVE_CHINABOND($I$1,$G$1,$D9)/100)^$D9/(1+G$3/100)^(G$2/365))^(1/($D9-G$2/365))-1)*100+模拟分析!$G$12/100))))</f>
        <v>1.928237629649957</v>
      </c>
      <c r="H9" s="5">
        <f ca="1">IF($B9="",0,IF($D9-H$2/365&lt;=0,0,(IF(模拟分析!$I$12="到期平移法",[1]!B_CALC_CURVE_CHINABOND($I$1,$G$1,$D9-H$2/365)+模拟分析!$G$12/100,(((1+[1]!B_CALC_CURVE_CHINABOND($I$1,$G$1,$D9)/100)^$D9/(1+H$3/100)^(H$2/365))^(1/($D9-H$2/365))-1)*100+模拟分析!$G$12/100))))</f>
        <v>1.9317042777375704</v>
      </c>
      <c r="I9" s="5">
        <f ca="1">IF($B9="",0,IF($D9-I$2/365&lt;=0,0,(IF(模拟分析!$I$12="到期平移法",[1]!B_CALC_CURVE_CHINABOND($I$1,$G$1,$D9-I$2/365)+模拟分析!$G$12/100,(((1+[1]!B_CALC_CURVE_CHINABOND($I$1,$G$1,$D9)/100)^$D9/(1+I$3/100)^(I$2/365))^(1/($D9-I$2/365))-1)*100+模拟分析!$G$12/100))))</f>
        <v>1.9355667849597447</v>
      </c>
      <c r="J9" s="5">
        <f ca="1">IF($B9="",0,IF($D9-J$2/365&lt;=0,0,(IF(模拟分析!$I$12="到期平移法",[1]!B_CALC_CURVE_CHINABOND($I$1,$G$1,$D9-J$2/365)+模拟分析!$G$12/100,(((1+[1]!B_CALC_CURVE_CHINABOND($I$1,$G$1,$D9)/100)^$D9/(1+J$3/100)^(J$2/365))^(1/($D9-J$2/365))-1)*100+模拟分析!$G$12/100))))</f>
        <v>1.9502541851544908</v>
      </c>
      <c r="K9" s="5">
        <f ca="1">IF($B9="",0,IF($D9-K$2/365&lt;=0,0,(IF(模拟分析!$I$12="到期平移法",[1]!B_CALC_CURVE_CHINABOND($I$1,$G$1,$D9-K$2/365)+模拟分析!$G$12/100,(((1+[1]!B_CALC_CURVE_CHINABOND($I$1,$G$1,$D9)/100)^$D9/(1+K$3/100)^(K$2/365))^(1/($D9-K$2/365))-1)*100+模拟分析!$G$12/100))))</f>
        <v>1.967129600603349</v>
      </c>
      <c r="L9" s="5">
        <f ca="1">IF($B9="",0,IF($D9-L$2/365&lt;=0,0,(IF(模拟分析!$I$12="到期平移法",[1]!B_CALC_CURVE_CHINABOND($I$1,$G$1,$D9-L$2/365)+模拟分析!$G$12/100,(((1+[1]!B_CALC_CURVE_CHINABOND($I$1,$G$1,$D9)/100)^$D9/(1+L$3/100)^(L$2/365))^(1/($D9-L$2/365))-1)*100+模拟分析!$G$12/100))))</f>
        <v>1.9953593430677852</v>
      </c>
      <c r="M9" s="5">
        <f ca="1">IF($B9="",0,IF($D9-M$2/365&lt;=0,0,(IF(模拟分析!$I$12="到期平移法",[1]!B_CALC_CURVE_CHINABOND($I$1,$G$1,$D9-M$2/365)+模拟分析!$G$12/100,(((1+[1]!B_CALC_CURVE_CHINABOND($I$1,$G$1,$D9)/100)^$D9/(1+M$3/100)^(M$2/365))^(1/($D9-M$2/365))-1)*100+模拟分析!$G$12/100))))</f>
        <v>2.0750810560254771</v>
      </c>
      <c r="N9" s="5">
        <f ca="1">IF($B9="",0,IF($D9-N$2/365&lt;=0,0,(IF(模拟分析!$I$12="到期平移法",[1]!B_CALC_CURVE_CHINABOND($I$1,$G$1,$D9-N$2/365)+模拟分析!$G$12/100,(((1+[1]!B_CALC_CURVE_CHINABOND($I$1,$G$1,$D9)/100)^$D9/(1+N$3/100)^(N$2/365))^(1/($D9-N$2/365))-1)*100+模拟分析!$G$12/100))))</f>
        <v>2.0750810560254771</v>
      </c>
      <c r="O9">
        <f t="shared" ca="1" si="1"/>
        <v>1.3279944457708033</v>
      </c>
    </row>
    <row r="10" spans="1:15" x14ac:dyDescent="0.15">
      <c r="B10" s="2" t="str">
        <f ca="1">IF(B9="","",IF(B9&lt;$E$1,[1]!b_anal_nxcupn($C$1,B9+1),""))</f>
        <v>2026-11-15</v>
      </c>
      <c r="C10" s="4">
        <f ca="1">IF(B10="",0,IF(模拟分析!$K$9=0,[1]!b_anal_dailycf($C$1,B10),IF(模拟分析!$I$11="否",[1]!b_anal_dailycf($C$1,B10),IF(B10&lt;模拟分析!$K$12,[1]!b_anal_dailycf($C$1,B10),IF(B10=模拟分析!$K$12,[1]!b_anal_dailycf($C$1,B10)+模拟分析!$K$11,0)))))</f>
        <v>1.38</v>
      </c>
      <c r="D10" s="3">
        <f t="shared" ref="D10:D43" ca="1" si="2">IF(B10="",0,(-TODAY()+B10)/365)</f>
        <v>2.580821917808219</v>
      </c>
      <c r="E10" s="5">
        <f ca="1">IF($B10="",0,IF($D10-E$2/365&lt;=0,0,(IF(模拟分析!$I$12="到期平移法",[1]!B_CALC_CURVE_CHINABOND($I$1,$G$1,$D10-E$2/365)+模拟分析!$G$12/100,(((1+[1]!B_CALC_CURVE_CHINABOND($I$1,$G$1,$D10)/100)^$D10/(1+E$3/100)^(E$2/365))^(1/($D10-E$2/365))-1)*100+模拟分析!$G$12/100))))</f>
        <v>1.9930912233806974</v>
      </c>
      <c r="F10" s="5">
        <f ca="1">IF($B10="",0,IF($D10-F$2/365&lt;=0,0,(IF(模拟分析!$I$12="到期平移法",[1]!B_CALC_CURVE_CHINABOND($I$1,$G$1,$D10-F$2/365)+模拟分析!$G$12/100,(((1+[1]!B_CALC_CURVE_CHINABOND($I$1,$G$1,$D10)/100)^$D10/(1+F$3/100)^(F$2/365))^(1/($D10-F$2/365))-1)*100+模拟分析!$G$12/100))))</f>
        <v>1.996517269775836</v>
      </c>
      <c r="G10" s="5">
        <f ca="1">IF($B10="",0,IF($D10-G$2/365&lt;=0,0,(IF(模拟分析!$I$12="到期平移法",[1]!B_CALC_CURVE_CHINABOND($I$1,$G$1,$D10-G$2/365)+模拟分析!$G$12/100,(((1+[1]!B_CALC_CURVE_CHINABOND($I$1,$G$1,$D10)/100)^$D10/(1+G$3/100)^(G$2/365))^(1/($D10-G$2/365))-1)*100+模拟分析!$G$12/100))))</f>
        <v>2.0001933977956052</v>
      </c>
      <c r="H10" s="5">
        <f ca="1">IF($B10="",0,IF($D10-H$2/365&lt;=0,0,(IF(模拟分析!$I$12="到期平移法",[1]!B_CALC_CURVE_CHINABOND($I$1,$G$1,$D10-H$2/365)+模拟分析!$G$12/100,(((1+[1]!B_CALC_CURVE_CHINABOND($I$1,$G$1,$D10)/100)^$D10/(1+H$3/100)^(H$2/365))^(1/($D10-H$2/365))-1)*100+模拟分析!$G$12/100))))</f>
        <v>2.0035165230530203</v>
      </c>
      <c r="I10" s="5">
        <f ca="1">IF($B10="",0,IF($D10-I$2/365&lt;=0,0,(IF(模拟分析!$I$12="到期平移法",[1]!B_CALC_CURVE_CHINABOND($I$1,$G$1,$D10-I$2/365)+模拟分析!$G$12/100,(((1+[1]!B_CALC_CURVE_CHINABOND($I$1,$G$1,$D10)/100)^$D10/(1+I$3/100)^(I$2/365))^(1/($D10-I$2/365))-1)*100+模拟分析!$G$12/100))))</f>
        <v>2.0073108605580345</v>
      </c>
      <c r="J10" s="5">
        <f ca="1">IF($B10="",0,IF($D10-J$2/365&lt;=0,0,(IF(模拟分析!$I$12="到期平移法",[1]!B_CALC_CURVE_CHINABOND($I$1,$G$1,$D10-J$2/365)+模拟分析!$G$12/100,(((1+[1]!B_CALC_CURVE_CHINABOND($I$1,$G$1,$D10)/100)^$D10/(1+J$3/100)^(J$2/365))^(1/($D10-J$2/365))-1)*100+模拟分析!$G$12/100))))</f>
        <v>2.0213836720395704</v>
      </c>
      <c r="K10" s="5">
        <f ca="1">IF($B10="",0,IF($D10-K$2/365&lt;=0,0,(IF(模拟分析!$I$12="到期平移法",[1]!B_CALC_CURVE_CHINABOND($I$1,$G$1,$D10-K$2/365)+模拟分析!$G$12/100,(((1+[1]!B_CALC_CURVE_CHINABOND($I$1,$G$1,$D10)/100)^$D10/(1+K$3/100)^(K$2/365))^(1/($D10-K$2/365))-1)*100+模拟分析!$G$12/100))))</f>
        <v>2.0371294178369834</v>
      </c>
      <c r="L10" s="5">
        <f ca="1">IF($B10="",0,IF($D10-L$2/365&lt;=0,0,(IF(模拟分析!$I$12="到期平移法",[1]!B_CALC_CURVE_CHINABOND($I$1,$G$1,$D10-L$2/365)+模拟分析!$G$12/100,(((1+[1]!B_CALC_CURVE_CHINABOND($I$1,$G$1,$D10)/100)^$D10/(1+L$3/100)^(L$2/365))^(1/($D10-L$2/365))-1)*100+模拟分析!$G$12/100))))</f>
        <v>2.0641210218829396</v>
      </c>
      <c r="M10" s="5">
        <f ca="1">IF($B10="",0,IF($D10-M$2/365&lt;=0,0,(IF(模拟分析!$I$12="到期平移法",[1]!B_CALC_CURVE_CHINABOND($I$1,$G$1,$D10-M$2/365)+模拟分析!$G$12/100,(((1+[1]!B_CALC_CURVE_CHINABOND($I$1,$G$1,$D10)/100)^$D10/(1+M$3/100)^(M$2/365))^(1/($D10-M$2/365))-1)*100+模拟分析!$G$12/100))))</f>
        <v>2.1440973338120259</v>
      </c>
      <c r="N10" s="5">
        <f ca="1">IF($B10="",0,IF($D10-N$2/365&lt;=0,0,(IF(模拟分析!$I$12="到期平移法",[1]!B_CALC_CURVE_CHINABOND($I$1,$G$1,$D10-N$2/365)+模拟分析!$G$12/100,(((1+[1]!B_CALC_CURVE_CHINABOND($I$1,$G$1,$D10)/100)^$D10/(1+N$3/100)^(N$2/365))^(1/($D10-N$2/365))-1)*100+模拟分析!$G$12/100))))</f>
        <v>2.1440973338120259</v>
      </c>
      <c r="O10">
        <f t="shared" ref="O10:O43" ca="1" si="3">IF(C10="","",C10/((1+E10/100)^(D10-21/365)))</f>
        <v>1.3129633604963957</v>
      </c>
    </row>
    <row r="11" spans="1:15" x14ac:dyDescent="0.15">
      <c r="B11" s="2" t="str">
        <f ca="1">IF(B10="","",IF(B10&lt;$E$1,[1]!b_anal_nxcupn($C$1,B10+1),""))</f>
        <v>2027-05-15</v>
      </c>
      <c r="C11" s="4">
        <f ca="1">IF(B11="",0,IF(模拟分析!$K$9=0,[1]!b_anal_dailycf($C$1,B11),IF(模拟分析!$I$11="否",[1]!b_anal_dailycf($C$1,B11),IF(B11&lt;模拟分析!$K$12,[1]!b_anal_dailycf($C$1,B11),IF(B11=模拟分析!$K$12,[1]!b_anal_dailycf($C$1,B11)+模拟分析!$K$11,0)))))</f>
        <v>1.38</v>
      </c>
      <c r="D11" s="3">
        <f t="shared" ca="1" si="2"/>
        <v>3.0767123287671234</v>
      </c>
      <c r="E11" s="5">
        <f ca="1">IF($B11="",0,IF($D11-E$2/365&lt;=0,0,(IF(模拟分析!$I$12="到期平移法",[1]!B_CALC_CURVE_CHINABOND($I$1,$G$1,$D11-E$2/365)+模拟分析!$G$12/100,(((1+[1]!B_CALC_CURVE_CHINABOND($I$1,$G$1,$D11)/100)^$D11/(1+E$3/100)^(E$2/365))^(1/($D11-E$2/365))-1)*100+模拟分析!$G$12/100))))</f>
        <v>2.0607353087485323</v>
      </c>
      <c r="F11" s="5">
        <f ca="1">IF($B11="",0,IF($D11-F$2/365&lt;=0,0,(IF(模拟分析!$I$12="到期平移法",[1]!B_CALC_CURVE_CHINABOND($I$1,$G$1,$D11-F$2/365)+模拟分析!$G$12/100,(((1+[1]!B_CALC_CURVE_CHINABOND($I$1,$G$1,$D11)/100)^$D11/(1+F$3/100)^(F$2/365))^(1/($D11-F$2/365))-1)*100+模拟分析!$G$12/100))))</f>
        <v>2.0639714028972498</v>
      </c>
      <c r="G11" s="5">
        <f ca="1">IF($B11="",0,IF($D11-G$2/365&lt;=0,0,(IF(模拟分析!$I$12="到期平移法",[1]!B_CALC_CURVE_CHINABOND($I$1,$G$1,$D11-G$2/365)+模拟分析!$G$12/100,(((1+[1]!B_CALC_CURVE_CHINABOND($I$1,$G$1,$D11)/100)^$D11/(1+G$3/100)^(G$2/365))^(1/($D11-G$2/365))-1)*100+模拟分析!$G$12/100))))</f>
        <v>2.0674755001511422</v>
      </c>
      <c r="H11" s="5">
        <f ca="1">IF($B11="",0,IF($D11-H$2/365&lt;=0,0,(IF(模拟分析!$I$12="到期平移法",[1]!B_CALC_CURVE_CHINABOND($I$1,$G$1,$D11-H$2/365)+模拟分析!$G$12/100,(((1+[1]!B_CALC_CURVE_CHINABOND($I$1,$G$1,$D11)/100)^$D11/(1+H$3/100)^(H$2/365))^(1/($D11-H$2/365))-1)*100+模拟分析!$G$12/100))))</f>
        <v>2.0706821730134748</v>
      </c>
      <c r="I11" s="5">
        <f ca="1">IF($B11="",0,IF($D11-I$2/365&lt;=0,0,(IF(模拟分析!$I$12="到期平移法",[1]!B_CALC_CURVE_CHINABOND($I$1,$G$1,$D11-I$2/365)+模拟分析!$G$12/100,(((1+[1]!B_CALC_CURVE_CHINABOND($I$1,$G$1,$D11)/100)^$D11/(1+I$3/100)^(I$2/365))^(1/($D11-I$2/365))-1)*100+模拟分析!$G$12/100))))</f>
        <v>2.074403503914549</v>
      </c>
      <c r="J11" s="5">
        <f ca="1">IF($B11="",0,IF($D11-J$2/365&lt;=0,0,(IF(模拟分析!$I$12="到期平移法",[1]!B_CALC_CURVE_CHINABOND($I$1,$G$1,$D11-J$2/365)+模拟分析!$G$12/100,(((1+[1]!B_CALC_CURVE_CHINABOND($I$1,$G$1,$D11)/100)^$D11/(1+J$3/100)^(J$2/365))^(1/($D11-J$2/365))-1)*100+模拟分析!$G$12/100))))</f>
        <v>2.0879819898323357</v>
      </c>
      <c r="K11" s="5">
        <f ca="1">IF($B11="",0,IF($D11-K$2/365&lt;=0,0,(IF(模拟分析!$I$12="到期平移法",[1]!B_CALC_CURVE_CHINABOND($I$1,$G$1,$D11-K$2/365)+模拟分析!$G$12/100,(((1+[1]!B_CALC_CURVE_CHINABOND($I$1,$G$1,$D11)/100)^$D11/(1+K$3/100)^(K$2/365))^(1/($D11-K$2/365))-1)*100+模拟分析!$G$12/100))))</f>
        <v>2.1029121243594493</v>
      </c>
      <c r="L11" s="5">
        <f ca="1">IF($B11="",0,IF($D11-L$2/365&lt;=0,0,(IF(模拟分析!$I$12="到期平移法",[1]!B_CALC_CURVE_CHINABOND($I$1,$G$1,$D11-L$2/365)+模拟分析!$G$12/100,(((1+[1]!B_CALC_CURVE_CHINABOND($I$1,$G$1,$D11)/100)^$D11/(1+L$3/100)^(L$2/365))^(1/($D11-L$2/365))-1)*100+模拟分析!$G$12/100))))</f>
        <v>2.1289550570781555</v>
      </c>
      <c r="M11" s="5">
        <f ca="1">IF($B11="",0,IF($D11-M$2/365&lt;=0,0,(IF(模拟分析!$I$12="到期平移法",[1]!B_CALC_CURVE_CHINABOND($I$1,$G$1,$D11-M$2/365)+模拟分析!$G$12/100,(((1+[1]!B_CALC_CURVE_CHINABOND($I$1,$G$1,$D11)/100)^$D11/(1+M$3/100)^(M$2/365))^(1/($D11-M$2/365))-1)*100+模拟分析!$G$12/100))))</f>
        <v>2.2082751827499556</v>
      </c>
      <c r="N11" s="5">
        <f ca="1">IF($B11="",0,IF($D11-N$2/365&lt;=0,0,(IF(模拟分析!$I$12="到期平移法",[1]!B_CALC_CURVE_CHINABOND($I$1,$G$1,$D11-N$2/365)+模拟分析!$G$12/100,(((1+[1]!B_CALC_CURVE_CHINABOND($I$1,$G$1,$D11)/100)^$D11/(1+N$3/100)^(N$2/365))^(1/($D11-N$2/365))-1)*100+模拟分析!$G$12/100))))</f>
        <v>2.2082751827499556</v>
      </c>
      <c r="O11">
        <f t="shared" ca="1" si="3"/>
        <v>1.2975769281215199</v>
      </c>
    </row>
    <row r="12" spans="1:15" x14ac:dyDescent="0.15">
      <c r="B12" s="2" t="str">
        <f ca="1">IF(B11="","",IF(B11&lt;$E$1,[1]!b_anal_nxcupn($C$1,B11+1),""))</f>
        <v>2027-11-15</v>
      </c>
      <c r="C12" s="4">
        <f ca="1">IF(B12="",0,IF(模拟分析!$K$9=0,[1]!b_anal_dailycf($C$1,B12),IF(模拟分析!$I$11="否",[1]!b_anal_dailycf($C$1,B12),IF(B12&lt;模拟分析!$K$12,[1]!b_anal_dailycf($C$1,B12),IF(B12=模拟分析!$K$12,[1]!b_anal_dailycf($C$1,B12)+模拟分析!$K$11,0)))))</f>
        <v>1.38</v>
      </c>
      <c r="D12" s="3">
        <f t="shared" ca="1" si="2"/>
        <v>3.580821917808219</v>
      </c>
      <c r="E12" s="5">
        <f ca="1">IF($B12="",0,IF($D12-E$2/365&lt;=0,0,(IF(模拟分析!$I$12="到期平移法",[1]!B_CALC_CURVE_CHINABOND($I$1,$G$1,$D12-E$2/365)+模拟分析!$G$12/100,(((1+[1]!B_CALC_CURVE_CHINABOND($I$1,$G$1,$D12)/100)^$D12/(1+E$3/100)^(E$2/365))^(1/($D12-E$2/365))-1)*100+模拟分析!$G$12/100))))</f>
        <v>2.1027436167389699</v>
      </c>
      <c r="F12" s="5">
        <f ca="1">IF($B12="",0,IF($D12-F$2/365&lt;=0,0,(IF(模拟分析!$I$12="到期平移法",[1]!B_CALC_CURVE_CHINABOND($I$1,$G$1,$D12-F$2/365)+模拟分析!$G$12/100,(((1+[1]!B_CALC_CURVE_CHINABOND($I$1,$G$1,$D12)/100)^$D12/(1+F$3/100)^(F$2/365))^(1/($D12-F$2/365))-1)*100+模拟分析!$G$12/100))))</f>
        <v>2.1057167465225821</v>
      </c>
      <c r="G12" s="5">
        <f ca="1">IF($B12="",0,IF($D12-G$2/365&lt;=0,0,(IF(模拟分析!$I$12="到期平移法",[1]!B_CALC_CURVE_CHINABOND($I$1,$G$1,$D12-G$2/365)+模拟分析!$G$12/100,(((1+[1]!B_CALC_CURVE_CHINABOND($I$1,$G$1,$D12)/100)^$D12/(1+G$3/100)^(G$2/365))^(1/($D12-G$2/365))-1)*100+模拟分析!$G$12/100))))</f>
        <v>2.1089494691574759</v>
      </c>
      <c r="H12" s="5">
        <f ca="1">IF($B12="",0,IF($D12-H$2/365&lt;=0,0,(IF(模拟分析!$I$12="到期平移法",[1]!B_CALC_CURVE_CHINABOND($I$1,$G$1,$D12-H$2/365)+模拟分析!$G$12/100,(((1+[1]!B_CALC_CURVE_CHINABOND($I$1,$G$1,$D12)/100)^$D12/(1+H$3/100)^(H$2/365))^(1/($D12-H$2/365))-1)*100+模拟分析!$G$12/100))))</f>
        <v>2.1119242489293453</v>
      </c>
      <c r="I12" s="5">
        <f ca="1">IF($B12="",0,IF($D12-I$2/365&lt;=0,0,(IF(模拟分析!$I$12="到期平移法",[1]!B_CALC_CURVE_CHINABOND($I$1,$G$1,$D12-I$2/365)+模拟分析!$G$12/100,(((1+[1]!B_CALC_CURVE_CHINABOND($I$1,$G$1,$D12)/100)^$D12/(1+I$3/100)^(I$2/365))^(1/($D12-I$2/365))-1)*100+模拟分析!$G$12/100))))</f>
        <v>2.1154013935833524</v>
      </c>
      <c r="J12" s="5">
        <f ca="1">IF($B12="",0,IF($D12-J$2/365&lt;=0,0,(IF(模拟分析!$I$12="到期平移法",[1]!B_CALC_CURVE_CHINABOND($I$1,$G$1,$D12-J$2/365)+模拟分析!$G$12/100,(((1+[1]!B_CALC_CURVE_CHINABOND($I$1,$G$1,$D12)/100)^$D12/(1+J$3/100)^(J$2/365))^(1/($D12-J$2/365))-1)*100+模拟分析!$G$12/100))))</f>
        <v>2.1279674858412787</v>
      </c>
      <c r="K12" s="5">
        <f ca="1">IF($B12="",0,IF($D12-K$2/365&lt;=0,0,(IF(模拟分析!$I$12="到期平移法",[1]!B_CALC_CURVE_CHINABOND($I$1,$G$1,$D12-K$2/365)+模拟分析!$G$12/100,(((1+[1]!B_CALC_CURVE_CHINABOND($I$1,$G$1,$D12)/100)^$D12/(1+K$3/100)^(K$2/365))^(1/($D12-K$2/365))-1)*100+模拟分析!$G$12/100))))</f>
        <v>2.141631130461644</v>
      </c>
      <c r="L12" s="5">
        <f ca="1">IF($B12="",0,IF($D12-L$2/365&lt;=0,0,(IF(模拟分析!$I$12="到期平移法",[1]!B_CALC_CURVE_CHINABOND($I$1,$G$1,$D12-L$2/365)+模拟分析!$G$12/100,(((1+[1]!B_CALC_CURVE_CHINABOND($I$1,$G$1,$D12)/100)^$D12/(1+L$3/100)^(L$2/365))^(1/($D12-L$2/365))-1)*100+模拟分析!$G$12/100))))</f>
        <v>2.1655489988210683</v>
      </c>
      <c r="M12" s="5">
        <f ca="1">IF($B12="",0,IF($D12-M$2/365&lt;=0,0,(IF(模拟分析!$I$12="到期平移法",[1]!B_CALC_CURVE_CHINABOND($I$1,$G$1,$D12-M$2/365)+模拟分析!$G$12/100,(((1+[1]!B_CALC_CURVE_CHINABOND($I$1,$G$1,$D12)/100)^$D12/(1+M$3/100)^(M$2/365))^(1/($D12-M$2/365))-1)*100+模拟分析!$G$12/100))))</f>
        <v>2.2377528108926934</v>
      </c>
      <c r="N12" s="5">
        <f ca="1">IF($B12="",0,IF($D12-N$2/365&lt;=0,0,(IF(模拟分析!$I$12="到期平移法",[1]!B_CALC_CURVE_CHINABOND($I$1,$G$1,$D12-N$2/365)+模拟分析!$G$12/100,(((1+[1]!B_CALC_CURVE_CHINABOND($I$1,$G$1,$D12)/100)^$D12/(1+N$3/100)^(N$2/365))^(1/($D12-N$2/365))-1)*100+模拟分析!$G$12/100))))</f>
        <v>2.2377528108926934</v>
      </c>
      <c r="O12">
        <f t="shared" ca="1" si="3"/>
        <v>1.2824418540665341</v>
      </c>
    </row>
    <row r="13" spans="1:15" x14ac:dyDescent="0.15">
      <c r="B13" s="2" t="str">
        <f ca="1">IF(B12="","",IF(B12&lt;$E$1,[1]!b_anal_nxcupn($C$1,B12+1),""))</f>
        <v>2028-05-15</v>
      </c>
      <c r="C13" s="4">
        <f ca="1">IF(B13="",0,IF(模拟分析!$K$9=0,[1]!b_anal_dailycf($C$1,B13),IF(模拟分析!$I$11="否",[1]!b_anal_dailycf($C$1,B13),IF(B13&lt;模拟分析!$K$12,[1]!b_anal_dailycf($C$1,B13),IF(B13=模拟分析!$K$12,[1]!b_anal_dailycf($C$1,B13)+模拟分析!$K$11,0)))))</f>
        <v>1.38</v>
      </c>
      <c r="D13" s="3">
        <f t="shared" ca="1" si="2"/>
        <v>4.0794520547945208</v>
      </c>
      <c r="E13" s="5">
        <f ca="1">IF($B13="",0,IF($D13-E$2/365&lt;=0,0,(IF(模拟分析!$I$12="到期平移法",[1]!B_CALC_CURVE_CHINABOND($I$1,$G$1,$D13-E$2/365)+模拟分析!$G$12/100,(((1+[1]!B_CALC_CURVE_CHINABOND($I$1,$G$1,$D13)/100)^$D13/(1+E$3/100)^(E$2/365))^(1/($D13-E$2/365))-1)*100+模拟分析!$G$12/100))))</f>
        <v>2.1242872003134381</v>
      </c>
      <c r="F13" s="5">
        <f ca="1">IF($B13="",0,IF($D13-F$2/365&lt;=0,0,(IF(模拟分析!$I$12="到期平移法",[1]!B_CALC_CURVE_CHINABOND($I$1,$G$1,$D13-F$2/365)+模拟分析!$G$12/100,(((1+[1]!B_CALC_CURVE_CHINABOND($I$1,$G$1,$D13)/100)^$D13/(1+F$3/100)^(F$2/365))^(1/($D13-F$2/365))-1)*100+模拟分析!$G$12/100))))</f>
        <v>2.1269829871352317</v>
      </c>
      <c r="G13" s="5">
        <f ca="1">IF($B13="",0,IF($D13-G$2/365&lt;=0,0,(IF(模拟分析!$I$12="到期平移法",[1]!B_CALC_CURVE_CHINABOND($I$1,$G$1,$D13-G$2/365)+模拟分析!$G$12/100,(((1+[1]!B_CALC_CURVE_CHINABOND($I$1,$G$1,$D13)/100)^$D13/(1+G$3/100)^(G$2/365))^(1/($D13-G$2/365))-1)*100+模拟分析!$G$12/100))))</f>
        <v>2.1299183474261105</v>
      </c>
      <c r="H13" s="5">
        <f ca="1">IF($B13="",0,IF($D13-H$2/365&lt;=0,0,(IF(模拟分析!$I$12="到期平移法",[1]!B_CALC_CURVE_CHINABOND($I$1,$G$1,$D13-H$2/365)+模拟分析!$G$12/100,(((1+[1]!B_CALC_CURVE_CHINABOND($I$1,$G$1,$D13)/100)^$D13/(1+H$3/100)^(H$2/365))^(1/($D13-H$2/365))-1)*100+模拟分析!$G$12/100))))</f>
        <v>2.1326248506671228</v>
      </c>
      <c r="I13" s="5">
        <f ca="1">IF($B13="",0,IF($D13-I$2/365&lt;=0,0,(IF(模拟分析!$I$12="到期平移法",[1]!B_CALC_CURVE_CHINABOND($I$1,$G$1,$D13-I$2/365)+模拟分析!$G$12/100,(((1+[1]!B_CALC_CURVE_CHINABOND($I$1,$G$1,$D13)/100)^$D13/(1+I$3/100)^(I$2/365))^(1/($D13-I$2/365))-1)*100+模拟分析!$G$12/100))))</f>
        <v>2.1357965673834109</v>
      </c>
      <c r="J13" s="5">
        <f ca="1">IF($B13="",0,IF($D13-J$2/365&lt;=0,0,(IF(模拟分析!$I$12="到期平移法",[1]!B_CALC_CURVE_CHINABOND($I$1,$G$1,$D13-J$2/365)+模拟分析!$G$12/100,(((1+[1]!B_CALC_CURVE_CHINABOND($I$1,$G$1,$D13)/100)^$D13/(1+J$3/100)^(J$2/365))^(1/($D13-J$2/365))-1)*100+模拟分析!$G$12/100))))</f>
        <v>2.1471925842887738</v>
      </c>
      <c r="K13" s="5">
        <f ca="1">IF($B13="",0,IF($D13-K$2/365&lt;=0,0,(IF(模拟分析!$I$12="到期平移法",[1]!B_CALC_CURVE_CHINABOND($I$1,$G$1,$D13-K$2/365)+模拟分析!$G$12/100,(((1+[1]!B_CALC_CURVE_CHINABOND($I$1,$G$1,$D13)/100)^$D13/(1+K$3/100)^(K$2/365))^(1/($D13-K$2/365))-1)*100+模拟分析!$G$12/100))))</f>
        <v>2.159493168620322</v>
      </c>
      <c r="L13" s="5">
        <f ca="1">IF($B13="",0,IF($D13-L$2/365&lt;=0,0,(IF(模拟分析!$I$12="到期平移法",[1]!B_CALC_CURVE_CHINABOND($I$1,$G$1,$D13-L$2/365)+模拟分析!$G$12/100,(((1+[1]!B_CALC_CURVE_CHINABOND($I$1,$G$1,$D13)/100)^$D13/(1+L$3/100)^(L$2/365))^(1/($D13-L$2/365))-1)*100+模拟分析!$G$12/100))))</f>
        <v>2.1809639759561104</v>
      </c>
      <c r="M13" s="5">
        <f ca="1">IF($B13="",0,IF($D13-M$2/365&lt;=0,0,(IF(模拟分析!$I$12="到期平移法",[1]!B_CALC_CURVE_CHINABOND($I$1,$G$1,$D13-M$2/365)+模拟分析!$G$12/100,(((1+[1]!B_CALC_CURVE_CHINABOND($I$1,$G$1,$D13)/100)^$D13/(1+M$3/100)^(M$2/365))^(1/($D13-M$2/365))-1)*100+模拟分析!$G$12/100))))</f>
        <v>2.2444326998631223</v>
      </c>
      <c r="N13" s="5">
        <f ca="1">IF($B13="",0,IF($D13-N$2/365&lt;=0,0,(IF(模拟分析!$I$12="到期平移法",[1]!B_CALC_CURVE_CHINABOND($I$1,$G$1,$D13-N$2/365)+模拟分析!$G$12/100,(((1+[1]!B_CALC_CURVE_CHINABOND($I$1,$G$1,$D13)/100)^$D13/(1+N$3/100)^(N$2/365))^(1/($D13-N$2/365))-1)*100+模拟分析!$G$12/100))))</f>
        <v>2.2444326998631223</v>
      </c>
      <c r="O13">
        <f t="shared" ca="1" si="3"/>
        <v>1.2681272785606743</v>
      </c>
    </row>
    <row r="14" spans="1:15" x14ac:dyDescent="0.15">
      <c r="B14" s="2" t="str">
        <f ca="1">IF(B13="","",IF(B13&lt;$E$1,[1]!b_anal_nxcupn($C$1,B13+1),""))</f>
        <v>2028-11-15</v>
      </c>
      <c r="C14" s="4">
        <f ca="1">IF(B14="",0,IF(模拟分析!$K$9=0,[1]!b_anal_dailycf($C$1,B14),IF(模拟分析!$I$11="否",[1]!b_anal_dailycf($C$1,B14),IF(B14&lt;模拟分析!$K$12,[1]!b_anal_dailycf($C$1,B14),IF(B14=模拟分析!$K$12,[1]!b_anal_dailycf($C$1,B14)+模拟分析!$K$11,0)))))</f>
        <v>1.38</v>
      </c>
      <c r="D14" s="3">
        <f t="shared" ca="1" si="2"/>
        <v>4.5835616438356164</v>
      </c>
      <c r="E14" s="5">
        <f ca="1">IF($B14="",0,IF($D14-E$2/365&lt;=0,0,(IF(模拟分析!$I$12="到期平移法",[1]!B_CALC_CURVE_CHINABOND($I$1,$G$1,$D14-E$2/365)+模拟分析!$G$12/100,(((1+[1]!B_CALC_CURVE_CHINABOND($I$1,$G$1,$D14)/100)^$D14/(1+E$3/100)^(E$2/365))^(1/($D14-E$2/365))-1)*100+模拟分析!$G$12/100))))</f>
        <v>2.1402648215646223</v>
      </c>
      <c r="F14" s="5">
        <f ca="1">IF($B14="",0,IF($D14-F$2/365&lt;=0,0,(IF(模拟分析!$I$12="到期平移法",[1]!B_CALC_CURVE_CHINABOND($I$1,$G$1,$D14-F$2/365)+模拟分析!$G$12/100,(((1+[1]!B_CALC_CURVE_CHINABOND($I$1,$G$1,$D14)/100)^$D14/(1+F$3/100)^(F$2/365))^(1/($D14-F$2/365))-1)*100+模拟分析!$G$12/100))))</f>
        <v>2.1427207945464297</v>
      </c>
      <c r="G14" s="5">
        <f ca="1">IF($B14="",0,IF($D14-G$2/365&lt;=0,0,(IF(模拟分析!$I$12="到期平移法",[1]!B_CALC_CURVE_CHINABOND($I$1,$G$1,$D14-G$2/365)+模拟分析!$G$12/100,(((1+[1]!B_CALC_CURVE_CHINABOND($I$1,$G$1,$D14)/100)^$D14/(1+G$3/100)^(G$2/365))^(1/($D14-G$2/365))-1)*100+模拟分析!$G$12/100))))</f>
        <v>2.1453974026940856</v>
      </c>
      <c r="H14" s="5">
        <f ca="1">IF($B14="",0,IF($D14-H$2/365&lt;=0,0,(IF(模拟分析!$I$12="到期平移法",[1]!B_CALC_CURVE_CHINABOND($I$1,$G$1,$D14-H$2/365)+模拟分析!$G$12/100,(((1+[1]!B_CALC_CURVE_CHINABOND($I$1,$G$1,$D14)/100)^$D14/(1+H$3/100)^(H$2/365))^(1/($D14-H$2/365))-1)*100+模拟分析!$G$12/100))))</f>
        <v>2.1478684120376488</v>
      </c>
      <c r="I14" s="5">
        <f ca="1">IF($B14="",0,IF($D14-I$2/365&lt;=0,0,(IF(模拟分析!$I$12="到期平移法",[1]!B_CALC_CURVE_CHINABOND($I$1,$G$1,$D14-I$2/365)+模拟分析!$G$12/100,(((1+[1]!B_CALC_CURVE_CHINABOND($I$1,$G$1,$D14)/100)^$D14/(1+I$3/100)^(I$2/365))^(1/($D14-I$2/365))-1)*100+模拟分析!$G$12/100))))</f>
        <v>2.1507688524801813</v>
      </c>
      <c r="J14" s="5">
        <f ca="1">IF($B14="",0,IF($D14-J$2/365&lt;=0,0,(IF(模拟分析!$I$12="到期平移法",[1]!B_CALC_CURVE_CHINABOND($I$1,$G$1,$D14-J$2/365)+模拟分析!$G$12/100,(((1+[1]!B_CALC_CURVE_CHINABOND($I$1,$G$1,$D14)/100)^$D14/(1+J$3/100)^(J$2/365))^(1/($D14-J$2/365))-1)*100+模拟分析!$G$12/100))))</f>
        <v>2.1611448220580729</v>
      </c>
      <c r="K14" s="5">
        <f ca="1">IF($B14="",0,IF($D14-K$2/365&lt;=0,0,(IF(模拟分析!$I$12="到期平移法",[1]!B_CALC_CURVE_CHINABOND($I$1,$G$1,$D14-K$2/365)+模拟分析!$G$12/100,(((1+[1]!B_CALC_CURVE_CHINABOND($I$1,$G$1,$D14)/100)^$D14/(1+K$3/100)^(K$2/365))^(1/($D14-K$2/365))-1)*100+模拟分析!$G$12/100))))</f>
        <v>2.1722815175869967</v>
      </c>
      <c r="L14" s="5">
        <f ca="1">IF($B14="",0,IF($D14-L$2/365&lt;=0,0,(IF(模拟分析!$I$12="到期平移法",[1]!B_CALC_CURVE_CHINABOND($I$1,$G$1,$D14-L$2/365)+模拟分析!$G$12/100,(((1+[1]!B_CALC_CURVE_CHINABOND($I$1,$G$1,$D14)/100)^$D14/(1+L$3/100)^(L$2/365))^(1/($D14-L$2/365))-1)*100+模拟分析!$G$12/100))))</f>
        <v>2.1916644056476229</v>
      </c>
      <c r="M14" s="5">
        <f ca="1">IF($B14="",0,IF($D14-M$2/365&lt;=0,0,(IF(模拟分析!$I$12="到期平移法",[1]!B_CALC_CURVE_CHINABOND($I$1,$G$1,$D14-M$2/365)+模拟分析!$G$12/100,(((1+[1]!B_CALC_CURVE_CHINABOND($I$1,$G$1,$D14)/100)^$D14/(1+M$3/100)^(M$2/365))^(1/($D14-M$2/365))-1)*100+模拟分析!$G$12/100))))</f>
        <v>2.2479680465632232</v>
      </c>
      <c r="N14" s="5">
        <f ca="1">IF($B14="",0,IF($D14-N$2/365&lt;=0,0,(IF(模拟分析!$I$12="到期平移法",[1]!B_CALC_CURVE_CHINABOND($I$1,$G$1,$D14-N$2/365)+模拟分析!$G$12/100,(((1+[1]!B_CALC_CURVE_CHINABOND($I$1,$G$1,$D14)/100)^$D14/(1+N$3/100)^(N$2/365))^(1/($D14-N$2/365))-1)*100+模拟分析!$G$12/100))))</f>
        <v>2.2479680465632232</v>
      </c>
      <c r="O14">
        <f t="shared" ca="1" si="3"/>
        <v>1.2538722909019122</v>
      </c>
    </row>
    <row r="15" spans="1:15" x14ac:dyDescent="0.15">
      <c r="B15" s="2" t="str">
        <f ca="1">IF(B14="","",IF(B14&lt;$E$1,[1]!b_anal_nxcupn($C$1,B14+1),""))</f>
        <v>2029-05-15</v>
      </c>
      <c r="C15" s="4">
        <f ca="1">IF(B15="",0,IF(模拟分析!$K$9=0,[1]!b_anal_dailycf($C$1,B15),IF(模拟分析!$I$11="否",[1]!b_anal_dailycf($C$1,B15),IF(B15&lt;模拟分析!$K$12,[1]!b_anal_dailycf($C$1,B15),IF(B15=模拟分析!$K$12,[1]!b_anal_dailycf($C$1,B15)+模拟分析!$K$11,0)))))</f>
        <v>1.38</v>
      </c>
      <c r="D15" s="3">
        <f t="shared" ca="1" si="2"/>
        <v>5.0794520547945208</v>
      </c>
      <c r="E15" s="5">
        <f ca="1">IF($B15="",0,IF($D15-E$2/365&lt;=0,0,(IF(模拟分析!$I$12="到期平移法",[1]!B_CALC_CURVE_CHINABOND($I$1,$G$1,$D15-E$2/365)+模拟分析!$G$12/100,(((1+[1]!B_CALC_CURVE_CHINABOND($I$1,$G$1,$D15)/100)^$D15/(1+E$3/100)^(E$2/365))^(1/($D15-E$2/365))-1)*100+模拟分析!$G$12/100))))</f>
        <v>2.1640418493296374</v>
      </c>
      <c r="F15" s="5">
        <f ca="1">IF($B15="",0,IF($D15-F$2/365&lt;=0,0,(IF(模拟分析!$I$12="到期平移法",[1]!B_CALC_CURVE_CHINABOND($I$1,$G$1,$D15-F$2/365)+模拟分析!$G$12/100,(((1+[1]!B_CALC_CURVE_CHINABOND($I$1,$G$1,$D15)/100)^$D15/(1+F$3/100)^(F$2/365))^(1/($D15-F$2/365))-1)*100+模拟分析!$G$12/100))))</f>
        <v>2.1663349088078241</v>
      </c>
      <c r="G15" s="5">
        <f ca="1">IF($B15="",0,IF($D15-G$2/365&lt;=0,0,(IF(模拟分析!$I$12="到期平移法",[1]!B_CALC_CURVE_CHINABOND($I$1,$G$1,$D15-G$2/365)+模拟分析!$G$12/100,(((1+[1]!B_CALC_CURVE_CHINABOND($I$1,$G$1,$D15)/100)^$D15/(1+G$3/100)^(G$2/365))^(1/($D15-G$2/365))-1)*100+模拟分析!$G$12/100))))</f>
        <v>2.1688386240088318</v>
      </c>
      <c r="H15" s="5">
        <f ca="1">IF($B15="",0,IF($D15-H$2/365&lt;=0,0,(IF(模拟分析!$I$12="到期平移法",[1]!B_CALC_CURVE_CHINABOND($I$1,$G$1,$D15-H$2/365)+模拟分析!$G$12/100,(((1+[1]!B_CALC_CURVE_CHINABOND($I$1,$G$1,$D15)/100)^$D15/(1+H$3/100)^(H$2/365))^(1/($D15-H$2/365))-1)*100+模拟分析!$G$12/100))))</f>
        <v>2.1711556729247881</v>
      </c>
      <c r="I15" s="5">
        <f ca="1">IF($B15="",0,IF($D15-I$2/365&lt;=0,0,(IF(模拟分析!$I$12="到期平移法",[1]!B_CALC_CURVE_CHINABOND($I$1,$G$1,$D15-I$2/365)+模拟分析!$G$12/100,(((1+[1]!B_CALC_CURVE_CHINABOND($I$1,$G$1,$D15)/100)^$D15/(1+I$3/100)^(I$2/365))^(1/($D15-I$2/365))-1)*100+模拟分析!$G$12/100))))</f>
        <v>2.1738838079989695</v>
      </c>
      <c r="J15" s="5">
        <f ca="1">IF($B15="",0,IF($D15-J$2/365&lt;=0,0,(IF(模拟分析!$I$12="到期平移法",[1]!B_CALC_CURVE_CHINABOND($I$1,$G$1,$D15-J$2/365)+模拟分析!$G$12/100,(((1+[1]!B_CALC_CURVE_CHINABOND($I$1,$G$1,$D15)/100)^$D15/(1+J$3/100)^(J$2/365))^(1/($D15-J$2/365))-1)*100+模拟分析!$G$12/100))))</f>
        <v>2.183601608009059</v>
      </c>
      <c r="K15" s="5">
        <f ca="1">IF($B15="",0,IF($D15-K$2/365&lt;=0,0,(IF(模拟分析!$I$12="到期平移法",[1]!B_CALC_CURVE_CHINABOND($I$1,$G$1,$D15-K$2/365)+模拟分析!$G$12/100,(((1+[1]!B_CALC_CURVE_CHINABOND($I$1,$G$1,$D15)/100)^$D15/(1+K$3/100)^(K$2/365))^(1/($D15-K$2/365))-1)*100+模拟分析!$G$12/100))))</f>
        <v>2.193979732496024</v>
      </c>
      <c r="L15" s="5">
        <f ca="1">IF($B15="",0,IF($D15-L$2/365&lt;=0,0,(IF(模拟分析!$I$12="到期平移法",[1]!B_CALC_CURVE_CHINABOND($I$1,$G$1,$D15-L$2/365)+模拟分析!$G$12/100,(((1+[1]!B_CALC_CURVE_CHINABOND($I$1,$G$1,$D15)/100)^$D15/(1+L$3/100)^(L$2/365))^(1/($D15-L$2/365))-1)*100+模拟分析!$G$12/100))))</f>
        <v>2.212071498238791</v>
      </c>
      <c r="M15" s="5">
        <f ca="1">IF($B15="",0,IF($D15-M$2/365&lt;=0,0,(IF(模拟分析!$I$12="到期平移法",[1]!B_CALC_CURVE_CHINABOND($I$1,$G$1,$D15-M$2/365)+模拟分析!$G$12/100,(((1+[1]!B_CALC_CURVE_CHINABOND($I$1,$G$1,$D15)/100)^$D15/(1+M$3/100)^(M$2/365))^(1/($D15-M$2/365))-1)*100+模拟分析!$G$12/100))))</f>
        <v>2.2644875875361268</v>
      </c>
      <c r="N15" s="5">
        <f ca="1">IF($B15="",0,IF($D15-N$2/365&lt;=0,0,(IF(模拟分析!$I$12="到期平移法",[1]!B_CALC_CURVE_CHINABOND($I$1,$G$1,$D15-N$2/365)+模拟分析!$G$12/100,(((1+[1]!B_CALC_CURVE_CHINABOND($I$1,$G$1,$D15)/100)^$D15/(1+N$3/100)^(N$2/365))^(1/($D15-N$2/365))-1)*100+模拟分析!$G$12/100))))</f>
        <v>2.2644875875361268</v>
      </c>
      <c r="O15">
        <f t="shared" ca="1" si="3"/>
        <v>1.2393242898808958</v>
      </c>
    </row>
    <row r="16" spans="1:15" x14ac:dyDescent="0.15">
      <c r="B16" s="2" t="str">
        <f ca="1">IF(B15="","",IF(B15&lt;$E$1,[1]!b_anal_nxcupn($C$1,B15+1),""))</f>
        <v>2029-11-15</v>
      </c>
      <c r="C16" s="4">
        <f ca="1">IF(B16="",0,IF(模拟分析!$K$9=0,[1]!b_anal_dailycf($C$1,B16),IF(模拟分析!$I$11="否",[1]!b_anal_dailycf($C$1,B16),IF(B16&lt;模拟分析!$K$12,[1]!b_anal_dailycf($C$1,B16),IF(B16=模拟分析!$K$12,[1]!b_anal_dailycf($C$1,B16)+模拟分析!$K$11,0)))))</f>
        <v>1.38</v>
      </c>
      <c r="D16" s="3">
        <f t="shared" ca="1" si="2"/>
        <v>5.5835616438356164</v>
      </c>
      <c r="E16" s="5">
        <f ca="1">IF($B16="",0,IF($D16-E$2/365&lt;=0,0,(IF(模拟分析!$I$12="到期平移法",[1]!B_CALC_CURVE_CHINABOND($I$1,$G$1,$D16-E$2/365)+模拟分析!$G$12/100,(((1+[1]!B_CALC_CURVE_CHINABOND($I$1,$G$1,$D16)/100)^$D16/(1+E$3/100)^(E$2/365))^(1/($D16-E$2/365))-1)*100+模拟分析!$G$12/100))))</f>
        <v>2.1973417996927567</v>
      </c>
      <c r="F16" s="5">
        <f ca="1">IF($B16="",0,IF($D16-F$2/365&lt;=0,0,(IF(模拟分析!$I$12="到期平移法",[1]!B_CALC_CURVE_CHINABOND($I$1,$G$1,$D16-F$2/365)+模拟分析!$G$12/100,(((1+[1]!B_CALC_CURVE_CHINABOND($I$1,$G$1,$D16)/100)^$D16/(1+F$3/100)^(F$2/365))^(1/($D16-F$2/365))-1)*100+模拟分析!$G$12/100))))</f>
        <v>2.1995261886006454</v>
      </c>
      <c r="G16" s="5">
        <f ca="1">IF($B16="",0,IF($D16-G$2/365&lt;=0,0,(IF(模拟分析!$I$12="到期平移法",[1]!B_CALC_CURVE_CHINABOND($I$1,$G$1,$D16-G$2/365)+模拟分析!$G$12/100,(((1+[1]!B_CALC_CURVE_CHINABOND($I$1,$G$1,$D16)/100)^$D16/(1+G$3/100)^(G$2/365))^(1/($D16-G$2/365))-1)*100+模拟分析!$G$12/100))))</f>
        <v>2.2019178437070051</v>
      </c>
      <c r="H16" s="5">
        <f ca="1">IF($B16="",0,IF($D16-H$2/365&lt;=0,0,(IF(模拟分析!$I$12="到期平移法",[1]!B_CALC_CURVE_CHINABOND($I$1,$G$1,$D16-H$2/365)+模拟分析!$G$12/100,(((1+[1]!B_CALC_CURVE_CHINABOND($I$1,$G$1,$D16)/100)^$D16/(1+H$3/100)^(H$2/365))^(1/($D16-H$2/365))-1)*100+模拟分析!$G$12/100))))</f>
        <v>2.2041390230357369</v>
      </c>
      <c r="I16" s="5">
        <f ca="1">IF($B16="",0,IF($D16-I$2/365&lt;=0,0,(IF(模拟分析!$I$12="到期平移法",[1]!B_CALC_CURVE_CHINABOND($I$1,$G$1,$D16-I$2/365)+模拟分析!$G$12/100,(((1+[1]!B_CALC_CURVE_CHINABOND($I$1,$G$1,$D16)/100)^$D16/(1+I$3/100)^(I$2/365))^(1/($D16-I$2/365))-1)*100+模拟分析!$G$12/100))))</f>
        <v>2.2067658281462319</v>
      </c>
      <c r="J16" s="5">
        <f ca="1">IF($B16="",0,IF($D16-J$2/365&lt;=0,0,(IF(模拟分析!$I$12="到期平移法",[1]!B_CALC_CURVE_CHINABOND($I$1,$G$1,$D16-J$2/365)+模拟分析!$G$12/100,(((1+[1]!B_CALC_CURVE_CHINABOND($I$1,$G$1,$D16)/100)^$D16/(1+J$3/100)^(J$2/365))^(1/($D16-J$2/365))-1)*100+模拟分析!$G$12/100))))</f>
        <v>2.2160812857821264</v>
      </c>
      <c r="K16" s="5">
        <f ca="1">IF($B16="",0,IF($D16-K$2/365&lt;=0,0,(IF(模拟分析!$I$12="到期平移法",[1]!B_CALC_CURVE_CHINABOND($I$1,$G$1,$D16-K$2/365)+模拟分析!$G$12/100,(((1+[1]!B_CALC_CURVE_CHINABOND($I$1,$G$1,$D16)/100)^$D16/(1+K$3/100)^(K$2/365))^(1/($D16-K$2/365))-1)*100+模拟分析!$G$12/100))))</f>
        <v>2.2259824057498743</v>
      </c>
      <c r="L16" s="5">
        <f ca="1">IF($B16="",0,IF($D16-L$2/365&lt;=0,0,(IF(模拟分析!$I$12="到期平移法",[1]!B_CALC_CURVE_CHINABOND($I$1,$G$1,$D16-L$2/365)+模拟分析!$G$12/100,(((1+[1]!B_CALC_CURVE_CHINABOND($I$1,$G$1,$D16)/100)^$D16/(1+L$3/100)^(L$2/365))^(1/($D16-L$2/365))-1)*100+模拟分析!$G$12/100))))</f>
        <v>2.2433333259141128</v>
      </c>
      <c r="M16" s="5">
        <f ca="1">IF($B16="",0,IF($D16-M$2/365&lt;=0,0,(IF(模拟分析!$I$12="到期平移法",[1]!B_CALC_CURVE_CHINABOND($I$1,$G$1,$D16-M$2/365)+模拟分析!$G$12/100,(((1+[1]!B_CALC_CURVE_CHINABOND($I$1,$G$1,$D16)/100)^$D16/(1+M$3/100)^(M$2/365))^(1/($D16-M$2/365))-1)*100+模拟分析!$G$12/100))))</f>
        <v>2.2940175789595316</v>
      </c>
      <c r="N16" s="5">
        <f ca="1">IF($B16="",0,IF($D16-N$2/365&lt;=0,0,(IF(模拟分析!$I$12="到期平移法",[1]!B_CALC_CURVE_CHINABOND($I$1,$G$1,$D16-N$2/365)+模拟分析!$G$12/100,(((1+[1]!B_CALC_CURVE_CHINABOND($I$1,$G$1,$D16)/100)^$D16/(1+N$3/100)^(N$2/365))^(1/($D16-N$2/365))-1)*100+模拟分析!$G$12/100))))</f>
        <v>2.2940175789595316</v>
      </c>
      <c r="O16">
        <f t="shared" ca="1" si="3"/>
        <v>1.2238145143562886</v>
      </c>
    </row>
    <row r="17" spans="2:15" x14ac:dyDescent="0.15">
      <c r="B17" s="2" t="str">
        <f ca="1">IF(B16="","",IF(B16&lt;$E$1,[1]!b_anal_nxcupn($C$1,B16+1),""))</f>
        <v>2030-05-15</v>
      </c>
      <c r="C17" s="4">
        <f ca="1">IF(B17="",0,IF(模拟分析!$K$9=0,[1]!b_anal_dailycf($C$1,B17),IF(模拟分析!$I$11="否",[1]!b_anal_dailycf($C$1,B17),IF(B17&lt;模拟分析!$K$12,[1]!b_anal_dailycf($C$1,B17),IF(B17=模拟分析!$K$12,[1]!b_anal_dailycf($C$1,B17)+模拟分析!$K$11,0)))))</f>
        <v>1.38</v>
      </c>
      <c r="D17" s="3">
        <f t="shared" ca="1" si="2"/>
        <v>6.0794520547945208</v>
      </c>
      <c r="E17" s="5">
        <f ca="1">IF($B17="",0,IF($D17-E$2/365&lt;=0,0,(IF(模拟分析!$I$12="到期平移法",[1]!B_CALC_CURVE_CHINABOND($I$1,$G$1,$D17-E$2/365)+模拟分析!$G$12/100,(((1+[1]!B_CALC_CURVE_CHINABOND($I$1,$G$1,$D17)/100)^$D17/(1+E$3/100)^(E$2/365))^(1/($D17-E$2/365))-1)*100+模拟分析!$G$12/100))))</f>
        <v>2.2308249613475692</v>
      </c>
      <c r="F17" s="5">
        <f ca="1">IF($B17="",0,IF($D17-F$2/365&lt;=0,0,(IF(模拟分析!$I$12="到期平移法",[1]!B_CALC_CURVE_CHINABOND($I$1,$G$1,$D17-F$2/365)+模拟分析!$G$12/100,(((1+[1]!B_CALC_CURVE_CHINABOND($I$1,$G$1,$D17)/100)^$D17/(1+F$3/100)^(F$2/365))^(1/($D17-F$2/365))-1)*100+模拟分析!$G$12/100))))</f>
        <v>2.2329221041487188</v>
      </c>
      <c r="G17" s="5">
        <f ca="1">IF($B17="",0,IF($D17-G$2/365&lt;=0,0,(IF(模拟分析!$I$12="到期平移法",[1]!B_CALC_CURVE_CHINABOND($I$1,$G$1,$D17-G$2/365)+模拟分析!$G$12/100,(((1+[1]!B_CALC_CURVE_CHINABOND($I$1,$G$1,$D17)/100)^$D17/(1+G$3/100)^(G$2/365))^(1/($D17-G$2/365))-1)*100+模拟分析!$G$12/100))))</f>
        <v>2.2352241913644408</v>
      </c>
      <c r="H17" s="5">
        <f ca="1">IF($B17="",0,IF($D17-H$2/365&lt;=0,0,(IF(模拟分析!$I$12="到期平移法",[1]!B_CALC_CURVE_CHINABOND($I$1,$G$1,$D17-H$2/365)+模拟分析!$G$12/100,(((1+[1]!B_CALC_CURVE_CHINABOND($I$1,$G$1,$D17)/100)^$D17/(1+H$3/100)^(H$2/365))^(1/($D17-H$2/365))-1)*100+模拟分析!$G$12/100))))</f>
        <v>2.2373692151778344</v>
      </c>
      <c r="I17" s="5">
        <f ca="1">IF($B17="",0,IF($D17-I$2/365&lt;=0,0,(IF(模拟分析!$I$12="到期平移法",[1]!B_CALC_CURVE_CHINABOND($I$1,$G$1,$D17-I$2/365)+模拟分析!$G$12/100,(((1+[1]!B_CALC_CURVE_CHINABOND($I$1,$G$1,$D17)/100)^$D17/(1+I$3/100)^(I$2/365))^(1/($D17-I$2/365))-1)*100+模拟分析!$G$12/100))))</f>
        <v>2.2399162513298907</v>
      </c>
      <c r="J17" s="5">
        <f ca="1">IF($B17="",0,IF($D17-J$2/365&lt;=0,0,(IF(模拟分析!$I$12="到期平移法",[1]!B_CALC_CURVE_CHINABOND($I$1,$G$1,$D17-J$2/365)+模拟分析!$G$12/100,(((1+[1]!B_CALC_CURVE_CHINABOND($I$1,$G$1,$D17)/100)^$D17/(1+J$3/100)^(J$2/365))^(1/($D17-J$2/365))-1)*100+模拟分析!$G$12/100))))</f>
        <v>2.2489142329216869</v>
      </c>
      <c r="K17" s="5">
        <f ca="1">IF($B17="",0,IF($D17-K$2/365&lt;=0,0,(IF(模拟分析!$I$12="到期平移法",[1]!B_CALC_CURVE_CHINABOND($I$1,$G$1,$D17-K$2/365)+模拟分析!$G$12/100,(((1+[1]!B_CALC_CURVE_CHINABOND($I$1,$G$1,$D17)/100)^$D17/(1+K$3/100)^(K$2/365))^(1/($D17-K$2/365))-1)*100+模拟分析!$G$12/100))))</f>
        <v>2.2584392378923321</v>
      </c>
      <c r="L17" s="5">
        <f ca="1">IF($B17="",0,IF($D17-L$2/365&lt;=0,0,(IF(模拟分析!$I$12="到期平移法",[1]!B_CALC_CURVE_CHINABOND($I$1,$G$1,$D17-L$2/365)+模拟分析!$G$12/100,(((1+[1]!B_CALC_CURVE_CHINABOND($I$1,$G$1,$D17)/100)^$D17/(1+L$3/100)^(L$2/365))^(1/($D17-L$2/365))-1)*100+模拟分析!$G$12/100))))</f>
        <v>2.2752187099600616</v>
      </c>
      <c r="M17" s="5">
        <f ca="1">IF($B17="",0,IF($D17-M$2/365&lt;=0,0,(IF(模拟分析!$I$12="到期平移法",[1]!B_CALC_CURVE_CHINABOND($I$1,$G$1,$D17-M$2/365)+模拟分析!$G$12/100,(((1+[1]!B_CALC_CURVE_CHINABOND($I$1,$G$1,$D17)/100)^$D17/(1+M$3/100)^(M$2/365))^(1/($D17-M$2/365))-1)*100+模拟分析!$G$12/100))))</f>
        <v>2.324667886310364</v>
      </c>
      <c r="N17" s="5">
        <f ca="1">IF($B17="",0,IF($D17-N$2/365&lt;=0,0,(IF(模拟分析!$I$12="到期平移法",[1]!B_CALC_CURVE_CHINABOND($I$1,$G$1,$D17-N$2/365)+模拟分析!$G$12/100,(((1+[1]!B_CALC_CURVE_CHINABOND($I$1,$G$1,$D17)/100)^$D17/(1+N$3/100)^(N$2/365))^(1/($D17-N$2/365))-1)*100+模拟分析!$G$12/100))))</f>
        <v>2.324667886310364</v>
      </c>
      <c r="O17">
        <f t="shared" ca="1" si="3"/>
        <v>1.2083086390632487</v>
      </c>
    </row>
    <row r="18" spans="2:15" x14ac:dyDescent="0.15">
      <c r="B18" s="2" t="str">
        <f ca="1">IF(B17="","",IF(B17&lt;$E$1,[1]!b_anal_nxcupn($C$1,B17+1),""))</f>
        <v>2030-11-15</v>
      </c>
      <c r="C18" s="4">
        <f ca="1">IF(B18="",0,IF(模拟分析!$K$9=0,[1]!b_anal_dailycf($C$1,B18),IF(模拟分析!$I$11="否",[1]!b_anal_dailycf($C$1,B18),IF(B18&lt;模拟分析!$K$12,[1]!b_anal_dailycf($C$1,B18),IF(B18=模拟分析!$K$12,[1]!b_anal_dailycf($C$1,B18)+模拟分析!$K$11,0)))))</f>
        <v>1.38</v>
      </c>
      <c r="D18" s="3">
        <f t="shared" ca="1" si="2"/>
        <v>6.5835616438356164</v>
      </c>
      <c r="E18" s="5">
        <f ca="1">IF($B18="",0,IF($D18-E$2/365&lt;=0,0,(IF(模拟分析!$I$12="到期平移法",[1]!B_CALC_CURVE_CHINABOND($I$1,$G$1,$D18-E$2/365)+模拟分析!$G$12/100,(((1+[1]!B_CALC_CURVE_CHINABOND($I$1,$G$1,$D18)/100)^$D18/(1+E$3/100)^(E$2/365))^(1/($D18-E$2/365))-1)*100+模拟分析!$G$12/100))))</f>
        <v>2.2595395332526</v>
      </c>
      <c r="F18" s="5">
        <f ca="1">IF($B18="",0,IF($D18-F$2/365&lt;=0,0,(IF(模拟分析!$I$12="到期平移法",[1]!B_CALC_CURVE_CHINABOND($I$1,$G$1,$D18-F$2/365)+模拟分析!$G$12/100,(((1+[1]!B_CALC_CURVE_CHINABOND($I$1,$G$1,$D18)/100)^$D18/(1+F$3/100)^(F$2/365))^(1/($D18-F$2/365))-1)*100+模拟分析!$G$12/100))))</f>
        <v>2.2615480868950741</v>
      </c>
      <c r="G18" s="5">
        <f ca="1">IF($B18="",0,IF($D18-G$2/365&lt;=0,0,(IF(模拟分析!$I$12="到期平移法",[1]!B_CALC_CURVE_CHINABOND($I$1,$G$1,$D18-G$2/365)+模拟分析!$G$12/100,(((1+[1]!B_CALC_CURVE_CHINABOND($I$1,$G$1,$D18)/100)^$D18/(1+G$3/100)^(G$2/365))^(1/($D18-G$2/365))-1)*100+模拟分析!$G$12/100))))</f>
        <v>2.2637573518000473</v>
      </c>
      <c r="H18" s="5">
        <f ca="1">IF($B18="",0,IF($D18-H$2/365&lt;=0,0,(IF(模拟分析!$I$12="到期平移法",[1]!B_CALC_CURVE_CHINABOND($I$1,$G$1,$D18-H$2/365)+模拟分析!$G$12/100,(((1+[1]!B_CALC_CURVE_CHINABOND($I$1,$G$1,$D18)/100)^$D18/(1+H$3/100)^(H$2/365))^(1/($D18-H$2/365))-1)*100+模拟分析!$G$12/100))))</f>
        <v>2.2658210960127465</v>
      </c>
      <c r="I18" s="5">
        <f ca="1">IF($B18="",0,IF($D18-I$2/365&lt;=0,0,(IF(模拟分析!$I$12="到期平移法",[1]!B_CALC_CURVE_CHINABOND($I$1,$G$1,$D18-I$2/365)+模拟分析!$G$12/100,(((1+[1]!B_CALC_CURVE_CHINABOND($I$1,$G$1,$D18)/100)^$D18/(1+I$3/100)^(I$2/365))^(1/($D18-I$2/365))-1)*100+模拟分析!$G$12/100))))</f>
        <v>2.2682792154398865</v>
      </c>
      <c r="J18" s="5">
        <f ca="1">IF($B18="",0,IF($D18-J$2/365&lt;=0,0,(IF(模拟分析!$I$12="到期平移法",[1]!B_CALC_CURVE_CHINABOND($I$1,$G$1,$D18-J$2/365)+模拟分析!$G$12/100,(((1+[1]!B_CALC_CURVE_CHINABOND($I$1,$G$1,$D18)/100)^$D18/(1+J$3/100)^(J$2/365))^(1/($D18-J$2/365))-1)*100+模拟分析!$G$12/100))))</f>
        <v>2.2769360841738782</v>
      </c>
      <c r="K18" s="5">
        <f ca="1">IF($B18="",0,IF($D18-K$2/365&lt;=0,0,(IF(模拟分析!$I$12="到期平移法",[1]!B_CALC_CURVE_CHINABOND($I$1,$G$1,$D18-K$2/365)+模拟分析!$G$12/100,(((1+[1]!B_CALC_CURVE_CHINABOND($I$1,$G$1,$D18)/100)^$D18/(1+K$3/100)^(K$2/365))^(1/($D18-K$2/365))-1)*100+模拟分析!$G$12/100))))</f>
        <v>2.2860692721938389</v>
      </c>
      <c r="L18" s="5">
        <f ca="1">IF($B18="",0,IF($D18-L$2/365&lt;=0,0,(IF(模拟分析!$I$12="到期平移法",[1]!B_CALC_CURVE_CHINABOND($I$1,$G$1,$D18-L$2/365)+模拟分析!$G$12/100,(((1+[1]!B_CALC_CURVE_CHINABOND($I$1,$G$1,$D18)/100)^$D18/(1+L$3/100)^(L$2/365))^(1/($D18-L$2/365))-1)*100+模拟分析!$G$12/100))))</f>
        <v>2.3022184777298258</v>
      </c>
      <c r="M18" s="5">
        <f ca="1">IF($B18="",0,IF($D18-M$2/365&lt;=0,0,(IF(模拟分析!$I$12="到期平移法",[1]!B_CALC_CURVE_CHINABOND($I$1,$G$1,$D18-M$2/365)+模拟分析!$G$12/100,(((1+[1]!B_CALC_CURVE_CHINABOND($I$1,$G$1,$D18)/100)^$D18/(1+M$3/100)^(M$2/365))^(1/($D18-M$2/365))-1)*100+模拟分析!$G$12/100))))</f>
        <v>2.3500640775057344</v>
      </c>
      <c r="N18" s="5">
        <f ca="1">IF($B18="",0,IF($D18-N$2/365&lt;=0,0,(IF(模拟分析!$I$12="到期平移法",[1]!B_CALC_CURVE_CHINABOND($I$1,$G$1,$D18-N$2/365)+模拟分析!$G$12/100,(((1+[1]!B_CALC_CURVE_CHINABOND($I$1,$G$1,$D18)/100)^$D18/(1+N$3/100)^(N$2/365))^(1/($D18-N$2/365))-1)*100+模拟分析!$G$12/100))))</f>
        <v>2.3500640775057344</v>
      </c>
      <c r="O18">
        <f t="shared" ca="1" si="3"/>
        <v>1.1927559939268022</v>
      </c>
    </row>
    <row r="19" spans="2:15" x14ac:dyDescent="0.15">
      <c r="B19" s="2" t="str">
        <f ca="1">IF(B18="","",IF(B18&lt;$E$1,[1]!b_anal_nxcupn($C$1,B18+1),""))</f>
        <v>2031-05-15</v>
      </c>
      <c r="C19" s="4">
        <f ca="1">IF(B19="",0,IF(模拟分析!$K$9=0,[1]!b_anal_dailycf($C$1,B19),IF(模拟分析!$I$11="否",[1]!b_anal_dailycf($C$1,B19),IF(B19&lt;模拟分析!$K$12,[1]!b_anal_dailycf($C$1,B19),IF(B19=模拟分析!$K$12,[1]!b_anal_dailycf($C$1,B19)+模拟分析!$K$11,0)))))</f>
        <v>1.38</v>
      </c>
      <c r="D19" s="3">
        <f t="shared" ca="1" si="2"/>
        <v>7.0794520547945208</v>
      </c>
      <c r="E19" s="5">
        <f ca="1">IF($B19="",0,IF($D19-E$2/365&lt;=0,0,(IF(模拟分析!$I$12="到期平移法",[1]!B_CALC_CURVE_CHINABOND($I$1,$G$1,$D19-E$2/365)+模拟分析!$G$12/100,(((1+[1]!B_CALC_CURVE_CHINABOND($I$1,$G$1,$D19)/100)^$D19/(1+E$3/100)^(E$2/365))^(1/($D19-E$2/365))-1)*100+模拟分析!$G$12/100))))</f>
        <v>2.2770934482207603</v>
      </c>
      <c r="F19" s="5">
        <f ca="1">IF($B19="",0,IF($D19-F$2/365&lt;=0,0,(IF(模拟分析!$I$12="到期平移法",[1]!B_CALC_CURVE_CHINABOND($I$1,$G$1,$D19-F$2/365)+模拟分析!$G$12/100,(((1+[1]!B_CALC_CURVE_CHINABOND($I$1,$G$1,$D19)/100)^$D19/(1+F$3/100)^(F$2/365))^(1/($D19-F$2/365))-1)*100+模拟分析!$G$12/100))))</f>
        <v>2.2790021218880328</v>
      </c>
      <c r="G19" s="5">
        <f ca="1">IF($B19="",0,IF($D19-G$2/365&lt;=0,0,(IF(模拟分析!$I$12="到期平移法",[1]!B_CALC_CURVE_CHINABOND($I$1,$G$1,$D19-G$2/365)+模拟分析!$G$12/100,(((1+[1]!B_CALC_CURVE_CHINABOND($I$1,$G$1,$D19)/100)^$D19/(1+G$3/100)^(G$2/365))^(1/($D19-G$2/365))-1)*100+模拟分析!$G$12/100))))</f>
        <v>2.2811036869081955</v>
      </c>
      <c r="H19" s="5">
        <f ca="1">IF($B19="",0,IF($D19-H$2/365&lt;=0,0,(IF(模拟分析!$I$12="到期平移法",[1]!B_CALC_CURVE_CHINABOND($I$1,$G$1,$D19-H$2/365)+模拟分析!$G$12/100,(((1+[1]!B_CALC_CURVE_CHINABOND($I$1,$G$1,$D19)/100)^$D19/(1+H$3/100)^(H$2/365))^(1/($D19-H$2/365))-1)*100+模拟分析!$G$12/100))))</f>
        <v>2.2830693935993049</v>
      </c>
      <c r="I19" s="5">
        <f ca="1">IF($B19="",0,IF($D19-I$2/365&lt;=0,0,(IF(模拟分析!$I$12="到期平移法",[1]!B_CALC_CURVE_CHINABOND($I$1,$G$1,$D19-I$2/365)+模拟分析!$G$12/100,(((1+[1]!B_CALC_CURVE_CHINABOND($I$1,$G$1,$D19)/100)^$D19/(1+I$3/100)^(I$2/365))^(1/($D19-I$2/365))-1)*100+模拟分析!$G$12/100))))</f>
        <v>2.285414478888018</v>
      </c>
      <c r="J19" s="5">
        <f ca="1">IF($B19="",0,IF($D19-J$2/365&lt;=0,0,(IF(模拟分析!$I$12="到期平移法",[1]!B_CALC_CURVE_CHINABOND($I$1,$G$1,$D19-J$2/365)+模拟分析!$G$12/100,(((1+[1]!B_CALC_CURVE_CHINABOND($I$1,$G$1,$D19)/100)^$D19/(1+J$3/100)^(J$2/365))^(1/($D19-J$2/365))-1)*100+模拟分析!$G$12/100))))</f>
        <v>2.2936555736658124</v>
      </c>
      <c r="K19" s="5">
        <f ca="1">IF($B19="",0,IF($D19-K$2/365&lt;=0,0,(IF(模拟分析!$I$12="到期平移法",[1]!B_CALC_CURVE_CHINABOND($I$1,$G$1,$D19-K$2/365)+模拟分析!$G$12/100,(((1+[1]!B_CALC_CURVE_CHINABOND($I$1,$G$1,$D19)/100)^$D19/(1+K$3/100)^(K$2/365))^(1/($D19-K$2/365))-1)*100+模拟分析!$G$12/100))))</f>
        <v>2.3023284355478988</v>
      </c>
      <c r="L19" s="5">
        <f ca="1">IF($B19="",0,IF($D19-L$2/365&lt;=0,0,(IF(模拟分析!$I$12="到期平移法",[1]!B_CALC_CURVE_CHINABOND($I$1,$G$1,$D19-L$2/365)+模拟分析!$G$12/100,(((1+[1]!B_CALC_CURVE_CHINABOND($I$1,$G$1,$D19)/100)^$D19/(1+L$3/100)^(L$2/365))^(1/($D19-L$2/365))-1)*100+模拟分析!$G$12/100))))</f>
        <v>2.3176799160453263</v>
      </c>
      <c r="M19" s="5">
        <f ca="1">IF($B19="",0,IF($D19-M$2/365&lt;=0,0,(IF(模拟分析!$I$12="到期平移法",[1]!B_CALC_CURVE_CHINABOND($I$1,$G$1,$D19-M$2/365)+模拟分析!$G$12/100,(((1+[1]!B_CALC_CURVE_CHINABOND($I$1,$G$1,$D19)/100)^$D19/(1+M$3/100)^(M$2/365))^(1/($D19-M$2/365))-1)*100+模拟分析!$G$12/100))))</f>
        <v>2.363127471943097</v>
      </c>
      <c r="N19" s="5">
        <f ca="1">IF($B19="",0,IF($D19-N$2/365&lt;=0,0,(IF(模拟分析!$I$12="到期平移法",[1]!B_CALC_CURVE_CHINABOND($I$1,$G$1,$D19-N$2/365)+模拟分析!$G$12/100,(((1+[1]!B_CALC_CURVE_CHINABOND($I$1,$G$1,$D19)/100)^$D19/(1+N$3/100)^(N$2/365))^(1/($D19-N$2/365))-1)*100+模拟分析!$G$12/100))))</f>
        <v>2.363127471943097</v>
      </c>
      <c r="O19">
        <f t="shared" ca="1" si="3"/>
        <v>1.178192144487666</v>
      </c>
    </row>
    <row r="20" spans="2:15" x14ac:dyDescent="0.15">
      <c r="B20" s="2" t="str">
        <f ca="1">IF(B19="","",IF(B19&lt;$E$1,[1]!b_anal_nxcupn($C$1,B19+1),""))</f>
        <v>2031-11-15</v>
      </c>
      <c r="C20" s="4">
        <f ca="1">IF(B20="",0,IF(模拟分析!$K$9=0,[1]!b_anal_dailycf($C$1,B20),IF(模拟分析!$I$11="否",[1]!b_anal_dailycf($C$1,B20),IF(B20&lt;模拟分析!$K$12,[1]!b_anal_dailycf($C$1,B20),IF(B20=模拟分析!$K$12,[1]!b_anal_dailycf($C$1,B20)+模拟分析!$K$11,0)))))</f>
        <v>1.38</v>
      </c>
      <c r="D20" s="3">
        <f t="shared" ca="1" si="2"/>
        <v>7.5835616438356164</v>
      </c>
      <c r="E20" s="5">
        <f ca="1">IF($B20="",0,IF($D20-E$2/365&lt;=0,0,(IF(模拟分析!$I$12="到期平移法",[1]!B_CALC_CURVE_CHINABOND($I$1,$G$1,$D20-E$2/365)+模拟分析!$G$12/100,(((1+[1]!B_CALC_CURVE_CHINABOND($I$1,$G$1,$D20)/100)^$D20/(1+E$3/100)^(E$2/365))^(1/($D20-E$2/365))-1)*100+模拟分析!$G$12/100))))</f>
        <v>2.2875302615256863</v>
      </c>
      <c r="F20" s="5">
        <f ca="1">IF($B20="",0,IF($D20-F$2/365&lt;=0,0,(IF(模拟分析!$I$12="到期平移法",[1]!B_CALC_CURVE_CHINABOND($I$1,$G$1,$D20-F$2/365)+模拟分析!$G$12/100,(((1+[1]!B_CALC_CURVE_CHINABOND($I$1,$G$1,$D20)/100)^$D20/(1+F$3/100)^(F$2/365))^(1/($D20-F$2/365))-1)*100+模拟分析!$G$12/100))))</f>
        <v>2.2893345991653633</v>
      </c>
      <c r="G20" s="5">
        <f ca="1">IF($B20="",0,IF($D20-G$2/365&lt;=0,0,(IF(模拟分析!$I$12="到期平移法",[1]!B_CALC_CURVE_CHINABOND($I$1,$G$1,$D20-G$2/365)+模拟分析!$G$12/100,(((1+[1]!B_CALC_CURVE_CHINABOND($I$1,$G$1,$D20)/100)^$D20/(1+G$3/100)^(G$2/365))^(1/($D20-G$2/365))-1)*100+模拟分析!$G$12/100))))</f>
        <v>2.2913222159299393</v>
      </c>
      <c r="H20" s="5">
        <f ca="1">IF($B20="",0,IF($D20-H$2/365&lt;=0,0,(IF(模拟分析!$I$12="到期平移法",[1]!B_CALC_CURVE_CHINABOND($I$1,$G$1,$D20-H$2/365)+模拟分析!$G$12/100,(((1+[1]!B_CALC_CURVE_CHINABOND($I$1,$G$1,$D20)/100)^$D20/(1+H$3/100)^(H$2/365))^(1/($D20-H$2/365))-1)*100+模拟分析!$G$12/100))))</f>
        <v>2.2931824784202779</v>
      </c>
      <c r="I20" s="5">
        <f ca="1">IF($B20="",0,IF($D20-I$2/365&lt;=0,0,(IF(模拟分析!$I$12="到期平移法",[1]!B_CALC_CURVE_CHINABOND($I$1,$G$1,$D20-I$2/365)+模拟分析!$G$12/100,(((1+[1]!B_CALC_CURVE_CHINABOND($I$1,$G$1,$D20)/100)^$D20/(1+I$3/100)^(I$2/365))^(1/($D20-I$2/365))-1)*100+模拟分析!$G$12/100))))</f>
        <v>2.2954034279451894</v>
      </c>
      <c r="J20" s="5">
        <f ca="1">IF($B20="",0,IF($D20-J$2/365&lt;=0,0,(IF(模拟分析!$I$12="到期平移法",[1]!B_CALC_CURVE_CHINABOND($I$1,$G$1,$D20-J$2/365)+模拟分析!$G$12/100,(((1+[1]!B_CALC_CURVE_CHINABOND($I$1,$G$1,$D20)/100)^$D20/(1+J$3/100)^(J$2/365))^(1/($D20-J$2/365))-1)*100+模拟分析!$G$12/100))))</f>
        <v>2.3031959700314384</v>
      </c>
      <c r="K20" s="5">
        <f ca="1">IF($B20="",0,IF($D20-K$2/365&lt;=0,0,(IF(模拟分析!$I$12="到期平移法",[1]!B_CALC_CURVE_CHINABOND($I$1,$G$1,$D20-K$2/365)+模拟分析!$G$12/100,(((1+[1]!B_CALC_CURVE_CHINABOND($I$1,$G$1,$D20)/100)^$D20/(1+K$3/100)^(K$2/365))^(1/($D20-K$2/365))-1)*100+模拟分析!$G$12/100))))</f>
        <v>2.3113805557026832</v>
      </c>
      <c r="L20" s="5">
        <f ca="1">IF($B20="",0,IF($D20-L$2/365&lt;=0,0,(IF(模拟分析!$I$12="到期平移法",[1]!B_CALC_CURVE_CHINABOND($I$1,$G$1,$D20-L$2/365)+模拟分析!$G$12/100,(((1+[1]!B_CALC_CURVE_CHINABOND($I$1,$G$1,$D20)/100)^$D20/(1+L$3/100)^(L$2/365))^(1/($D20-L$2/365))-1)*100+模拟分析!$G$12/100))))</f>
        <v>2.3258617784834432</v>
      </c>
      <c r="M20" s="5">
        <f ca="1">IF($B20="",0,IF($D20-M$2/365&lt;=0,0,(IF(模拟分析!$I$12="到期平移法",[1]!B_CALC_CURVE_CHINABOND($I$1,$G$1,$D20-M$2/365)+模拟分析!$G$12/100,(((1+[1]!B_CALC_CURVE_CHINABOND($I$1,$G$1,$D20)/100)^$D20/(1+M$3/100)^(M$2/365))^(1/($D20-M$2/365))-1)*100+模拟分析!$G$12/100))))</f>
        <v>2.3685643905206919</v>
      </c>
      <c r="N20" s="5">
        <f ca="1">IF($B20="",0,IF($D20-N$2/365&lt;=0,0,(IF(模拟分析!$I$12="到期平移法",[1]!B_CALC_CURVE_CHINABOND($I$1,$G$1,$D20-N$2/365)+模拟分析!$G$12/100,(((1+[1]!B_CALC_CURVE_CHINABOND($I$1,$G$1,$D20)/100)^$D20/(1+N$3/100)^(N$2/365))^(1/($D20-N$2/365))-1)*100+模拟分析!$G$12/100))))</f>
        <v>2.3685643905206919</v>
      </c>
      <c r="O20">
        <f t="shared" ca="1" si="3"/>
        <v>1.1640006752635521</v>
      </c>
    </row>
    <row r="21" spans="2:15" x14ac:dyDescent="0.15">
      <c r="B21" s="2" t="str">
        <f ca="1">IF(B20="","",IF(B20&lt;$E$1,[1]!b_anal_nxcupn($C$1,B20+1),""))</f>
        <v>2032-05-15</v>
      </c>
      <c r="C21" s="4">
        <f ca="1">IF(B21="",0,IF(模拟分析!$K$9=0,[1]!b_anal_dailycf($C$1,B21),IF(模拟分析!$I$11="否",[1]!b_anal_dailycf($C$1,B21),IF(B21&lt;模拟分析!$K$12,[1]!b_anal_dailycf($C$1,B21),IF(B21=模拟分析!$K$12,[1]!b_anal_dailycf($C$1,B21)+模拟分析!$K$11,0)))))</f>
        <v>101.38</v>
      </c>
      <c r="D21" s="3">
        <f t="shared" ca="1" si="2"/>
        <v>8.0821917808219172</v>
      </c>
      <c r="E21" s="5">
        <f ca="1">IF($B21="",0,IF($D21-E$2/365&lt;=0,0,(IF(模拟分析!$I$12="到期平移法",[1]!B_CALC_CURVE_CHINABOND($I$1,$G$1,$D21-E$2/365)+模拟分析!$G$12/100,(((1+[1]!B_CALC_CURVE_CHINABOND($I$1,$G$1,$D21)/100)^$D21/(1+E$3/100)^(E$2/365))^(1/($D21-E$2/365))-1)*100+模拟分析!$G$12/100))))</f>
        <v>2.293732452003153</v>
      </c>
      <c r="F21" s="5">
        <f ca="1">IF($B21="",0,IF($D21-F$2/365&lt;=0,0,(IF(模拟分析!$I$12="到期平移法",[1]!B_CALC_CURVE_CHINABOND($I$1,$G$1,$D21-F$2/365)+模拟分析!$G$12/100,(((1+[1]!B_CALC_CURVE_CHINABOND($I$1,$G$1,$D21)/100)^$D21/(1+F$3/100)^(F$2/365))^(1/($D21-F$2/365))-1)*100+模拟分析!$G$12/100))))</f>
        <v>2.2954379533801892</v>
      </c>
      <c r="G21" s="5">
        <f ca="1">IF($B21="",0,IF($D21-G$2/365&lt;=0,0,(IF(模拟分析!$I$12="到期平移法",[1]!B_CALC_CURVE_CHINABOND($I$1,$G$1,$D21-G$2/365)+模拟分析!$G$12/100,(((1+[1]!B_CALC_CURVE_CHINABOND($I$1,$G$1,$D21)/100)^$D21/(1+G$3/100)^(G$2/365))^(1/($D21-G$2/365))-1)*100+模拟分析!$G$12/100))))</f>
        <v>2.2973170220171233</v>
      </c>
      <c r="H21" s="5">
        <f ca="1">IF($B21="",0,IF($D21-H$2/365&lt;=0,0,(IF(模拟分析!$I$12="到期平移法",[1]!B_CALC_CURVE_CHINABOND($I$1,$G$1,$D21-H$2/365)+模拟分析!$G$12/100,(((1+[1]!B_CALC_CURVE_CHINABOND($I$1,$G$1,$D21)/100)^$D21/(1+H$3/100)^(H$2/365))^(1/($D21-H$2/365))-1)*100+模拟分析!$G$12/100))))</f>
        <v>2.2990761218235432</v>
      </c>
      <c r="I21" s="5">
        <f ca="1">IF($B21="",0,IF($D21-I$2/365&lt;=0,0,(IF(模拟分析!$I$12="到期平移法",[1]!B_CALC_CURVE_CHINABOND($I$1,$G$1,$D21-I$2/365)+模拟分析!$G$12/100,(((1+[1]!B_CALC_CURVE_CHINABOND($I$1,$G$1,$D21)/100)^$D21/(1+I$3/100)^(I$2/365))^(1/($D21-I$2/365))-1)*100+模拟分析!$G$12/100))))</f>
        <v>2.3011769271474445</v>
      </c>
      <c r="J21" s="5">
        <f ca="1">IF($B21="",0,IF($D21-J$2/365&lt;=0,0,(IF(模拟分析!$I$12="到期平移法",[1]!B_CALC_CURVE_CHINABOND($I$1,$G$1,$D21-J$2/365)+模拟分析!$G$12/100,(((1+[1]!B_CALC_CURVE_CHINABOND($I$1,$G$1,$D21)/100)^$D21/(1+J$3/100)^(J$2/365))^(1/($D21-J$2/365))-1)*100+模拟分析!$G$12/100))))</f>
        <v>2.3085390610458698</v>
      </c>
      <c r="K21" s="5">
        <f ca="1">IF($B21="",0,IF($D21-K$2/365&lt;=0,0,(IF(模拟分析!$I$12="到期平移法",[1]!B_CALC_CURVE_CHINABOND($I$1,$G$1,$D21-K$2/365)+模拟分析!$G$12/100,(((1+[1]!B_CALC_CURVE_CHINABOND($I$1,$G$1,$D21)/100)^$D21/(1+K$3/100)^(K$2/365))^(1/($D21-K$2/365))-1)*100+模拟分析!$G$12/100))))</f>
        <v>2.3162592424005566</v>
      </c>
      <c r="L21" s="5">
        <f ca="1">IF($B21="",0,IF($D21-L$2/365&lt;=0,0,(IF(模拟分析!$I$12="到期平移法",[1]!B_CALC_CURVE_CHINABOND($I$1,$G$1,$D21-L$2/365)+模拟分析!$G$12/100,(((1+[1]!B_CALC_CURVE_CHINABOND($I$1,$G$1,$D21)/100)^$D21/(1+L$3/100)^(L$2/365))^(1/($D21-L$2/365))-1)*100+模拟分析!$G$12/100))))</f>
        <v>2.3299043289078534</v>
      </c>
      <c r="M21" s="5">
        <f ca="1">IF($B21="",0,IF($D21-M$2/365&lt;=0,0,(IF(模拟分析!$I$12="到期平移法",[1]!B_CALC_CURVE_CHINABOND($I$1,$G$1,$D21-M$2/365)+模拟分析!$G$12/100,(((1+[1]!B_CALC_CURVE_CHINABOND($I$1,$G$1,$D21)/100)^$D21/(1+M$3/100)^(M$2/365))^(1/($D21-M$2/365))-1)*100+模拟分析!$G$12/100))))</f>
        <v>2.3699377634544692</v>
      </c>
      <c r="N21" s="5">
        <f ca="1">IF($B21="",0,IF($D21-N$2/365&lt;=0,0,(IF(模拟分析!$I$12="到期平移法",[1]!B_CALC_CURVE_CHINABOND($I$1,$G$1,$D21-N$2/365)+模拟分析!$G$12/100,(((1+[1]!B_CALC_CURVE_CHINABOND($I$1,$G$1,$D21)/100)^$D21/(1+N$3/100)^(N$2/365))^(1/($D21-N$2/365))-1)*100+模拟分析!$G$12/100))))</f>
        <v>2.3699377634544692</v>
      </c>
      <c r="O21">
        <f t="shared" ca="1" si="3"/>
        <v>84.511776724989886</v>
      </c>
    </row>
    <row r="22" spans="2:15" x14ac:dyDescent="0.15">
      <c r="B22" s="2" t="str">
        <f ca="1">IF(B21="","",IF(B21&lt;$E$1,[1]!b_anal_nxcupn($C$1,B21+1),""))</f>
        <v/>
      </c>
      <c r="C22" s="4">
        <f ca="1">IF(B22="",0,IF(模拟分析!$K$9=0,[1]!b_anal_dailycf($C$1,B22),IF(模拟分析!$I$11="否",[1]!b_anal_dailycf($C$1,B22),IF(B22&lt;模拟分析!$K$12,[1]!b_anal_dailycf($C$1,B22),IF(B22=模拟分析!$K$12,[1]!b_anal_dailycf($C$1,B22)+模拟分析!$K$11,0)))))</f>
        <v>0</v>
      </c>
      <c r="D22" s="3">
        <f t="shared" ca="1" si="2"/>
        <v>0</v>
      </c>
      <c r="E22" s="5">
        <f ca="1">IF($B22="",0,IF($D22-E$2/365&lt;=0,0,(IF(模拟分析!$I$12="到期平移法",[1]!B_CALC_CURVE_CHINABOND($I$1,$G$1,$D22-E$2/365),(((1+[1]!B_CALC_CURVE_CHINABOND($I$1,$G$1,$D22)/100)^$D22/(1+E$3/100)^(E$2/365))^(1/($D22-E$2/365))-1)*100+模拟分析!$G$12/100))))</f>
        <v>0</v>
      </c>
      <c r="F22" s="5">
        <f ca="1">IF($B22="",0,IF($D22-F$2/365&lt;=0,0,(IF(模拟分析!$I$12="到期平移法",[1]!B_CALC_CURVE_CHINABOND($I$1,$G$1,$D22-F$2/365),(((1+[1]!B_CALC_CURVE_CHINABOND($I$1,$G$1,$D22)/100)^$D22/(1+F$3/100)^(F$2/365))^(1/($D22-F$2/365))-1)*100+模拟分析!$G$12/100))))</f>
        <v>0</v>
      </c>
      <c r="G22" s="5">
        <f ca="1">IF($B22="",0,IF($D22-G$2/365&lt;=0,0,(IF(模拟分析!$I$12="到期平移法",[1]!B_CALC_CURVE_CHINABOND($I$1,$G$1,$D22-G$2/365),(((1+[1]!B_CALC_CURVE_CHINABOND($I$1,$G$1,$D22)/100)^$D22/(1+G$3/100)^(G$2/365))^(1/($D22-G$2/365))-1)*100+模拟分析!$G$12/100))))</f>
        <v>0</v>
      </c>
      <c r="H22" s="5">
        <f ca="1">IF($B22="",0,IF($D22-H$2/365&lt;=0,0,(IF(模拟分析!$I$12="到期平移法",[1]!B_CALC_CURVE_CHINABOND($I$1,$G$1,$D22-H$2/365),(((1+[1]!B_CALC_CURVE_CHINABOND($I$1,$G$1,$D22)/100)^$D22/(1+H$3/100)^(H$2/365))^(1/($D22-H$2/365))-1)*100+模拟分析!$G$12/100))))</f>
        <v>0</v>
      </c>
      <c r="I22" s="5">
        <f ca="1">IF($B22="",0,IF($D22-I$2/365&lt;=0,0,(IF(模拟分析!$I$12="到期平移法",[1]!B_CALC_CURVE_CHINABOND($I$1,$G$1,$D22-I$2/365),(((1+[1]!B_CALC_CURVE_CHINABOND($I$1,$G$1,$D22)/100)^$D22/(1+I$3/100)^(I$2/365))^(1/($D22-I$2/365))-1)*100+模拟分析!$G$12/100))))</f>
        <v>0</v>
      </c>
      <c r="J22" s="5">
        <f ca="1">IF($B22="",0,IF($D22-J$2/365&lt;=0,0,(IF(模拟分析!$I$12="到期平移法",[1]!B_CALC_CURVE_CHINABOND($I$1,$G$1,$D22-J$2/365),(((1+[1]!B_CALC_CURVE_CHINABOND($I$1,$G$1,$D22)/100)^$D22/(1+J$3/100)^(J$2/365))^(1/($D22-J$2/365))-1)*100+模拟分析!$G$12/100))))</f>
        <v>0</v>
      </c>
      <c r="K22" s="5">
        <f ca="1">IF($B22="",0,IF($D22-K$2/365&lt;=0,0,(IF(模拟分析!$I$12="到期平移法",[1]!B_CALC_CURVE_CHINABOND($I$1,$G$1,$D22-K$2/365),(((1+[1]!B_CALC_CURVE_CHINABOND($I$1,$G$1,$D22)/100)^$D22/(1+K$3/100)^(K$2/365))^(1/($D22-K$2/365))-1)*100+模拟分析!$G$12/100))))</f>
        <v>0</v>
      </c>
      <c r="L22" s="5">
        <f ca="1">IF($B22="",0,IF($D22-L$2/365&lt;=0,0,(IF(模拟分析!$I$12="到期平移法",[1]!B_CALC_CURVE_CHINABOND($I$1,$G$1,$D22-L$2/365),(((1+[1]!B_CALC_CURVE_CHINABOND($I$1,$G$1,$D22)/100)^$D22/(1+L$3/100)^(L$2/365))^(1/($D22-L$2/365))-1)*100+模拟分析!$G$12/100))))</f>
        <v>0</v>
      </c>
      <c r="M22" s="5">
        <f ca="1">IF($B22="",0,IF($D22-M$2/365&lt;=0,0,(IF(模拟分析!$I$12="到期平移法",[1]!B_CALC_CURVE_CHINABOND($I$1,$G$1,$D22-M$2/365),(((1+[1]!B_CALC_CURVE_CHINABOND($I$1,$G$1,$D22)/100)^$D22/(1+M$3/100)^(M$2/365))^(1/($D22-M$2/365))-1)*100+模拟分析!$G$12/100))))</f>
        <v>0</v>
      </c>
      <c r="N22" s="5">
        <f ca="1">IF($B22="",0,IF($D22-N$2/365&lt;=0,0,(IF(模拟分析!$I$12="到期平移法",[1]!B_CALC_CURVE_CHINABOND($I$1,$G$1,$D22-N$2/365),(((1+[1]!B_CALC_CURVE_CHINABOND($I$1,$G$1,$D22)/100)^$D22/(1+N$3/100)^(N$2/365))^(1/($D22-N$2/365))-1)*100+模拟分析!$G$12/100))))</f>
        <v>0</v>
      </c>
      <c r="O22">
        <f t="shared" ca="1" si="3"/>
        <v>0</v>
      </c>
    </row>
    <row r="23" spans="2:15" x14ac:dyDescent="0.15">
      <c r="B23" s="2" t="str">
        <f ca="1">IF(B22="","",IF(B22&lt;$E$1,[1]!b_anal_nxcupn($C$1,B22+1),""))</f>
        <v/>
      </c>
      <c r="C23" s="4">
        <f ca="1">IF(B23="",0,IF(模拟分析!$K$9=0,[1]!b_anal_dailycf($C$1,B23),IF(模拟分析!$I$11="否",[1]!b_anal_dailycf($C$1,B23),IF(B23&lt;模拟分析!$K$12,[1]!b_anal_dailycf($C$1,B23),IF(B23=模拟分析!$K$12,[1]!b_anal_dailycf($C$1,B23)+模拟分析!$K$11,0)))))</f>
        <v>0</v>
      </c>
      <c r="D23" s="3">
        <f t="shared" ca="1" si="2"/>
        <v>0</v>
      </c>
      <c r="E23" s="5">
        <f ca="1">IF($B23="",0,IF($D23-E$2/365&lt;=0,0,(IF(模拟分析!$I$12="到期平移法",[1]!B_CALC_CURVE_CHINABOND($I$1,$G$1,$D23-E$2/365),(((1+[1]!B_CALC_CURVE_CHINABOND($I$1,$G$1,$D23)/100)^$D23/(1+E$3/100)^(E$2/365))^(1/($D23-E$2/365))-1)*100+模拟分析!$G$12/100))))</f>
        <v>0</v>
      </c>
      <c r="F23" s="5">
        <f ca="1">IF($B23="",0,IF($D23-F$2/365&lt;=0,0,(IF(模拟分析!$I$12="到期平移法",[1]!B_CALC_CURVE_CHINABOND($I$1,$G$1,$D23-F$2/365),(((1+[1]!B_CALC_CURVE_CHINABOND($I$1,$G$1,$D23)/100)^$D23/(1+F$3/100)^(F$2/365))^(1/($D23-F$2/365))-1)*100+模拟分析!$G$12/100))))</f>
        <v>0</v>
      </c>
      <c r="G23" s="5">
        <f ca="1">IF($B23="",0,IF($D23-G$2/365&lt;=0,0,(IF(模拟分析!$I$12="到期平移法",[1]!B_CALC_CURVE_CHINABOND($I$1,$G$1,$D23-G$2/365),(((1+[1]!B_CALC_CURVE_CHINABOND($I$1,$G$1,$D23)/100)^$D23/(1+G$3/100)^(G$2/365))^(1/($D23-G$2/365))-1)*100+模拟分析!$G$12/100))))</f>
        <v>0</v>
      </c>
      <c r="H23" s="5">
        <f ca="1">IF($B23="",0,IF($D23-H$2/365&lt;=0,0,(IF(模拟分析!$I$12="到期平移法",[1]!B_CALC_CURVE_CHINABOND($I$1,$G$1,$D23-H$2/365),(((1+[1]!B_CALC_CURVE_CHINABOND($I$1,$G$1,$D23)/100)^$D23/(1+H$3/100)^(H$2/365))^(1/($D23-H$2/365))-1)*100+模拟分析!$G$12/100))))</f>
        <v>0</v>
      </c>
      <c r="I23" s="5">
        <f ca="1">IF($B23="",0,IF($D23-I$2/365&lt;=0,0,(IF(模拟分析!$I$12="到期平移法",[1]!B_CALC_CURVE_CHINABOND($I$1,$G$1,$D23-I$2/365),(((1+[1]!B_CALC_CURVE_CHINABOND($I$1,$G$1,$D23)/100)^$D23/(1+I$3/100)^(I$2/365))^(1/($D23-I$2/365))-1)*100+模拟分析!$G$12/100))))</f>
        <v>0</v>
      </c>
      <c r="J23" s="5">
        <f ca="1">IF($B23="",0,IF($D23-J$2/365&lt;=0,0,(IF(模拟分析!$I$12="到期平移法",[1]!B_CALC_CURVE_CHINABOND($I$1,$G$1,$D23-J$2/365),(((1+[1]!B_CALC_CURVE_CHINABOND($I$1,$G$1,$D23)/100)^$D23/(1+J$3/100)^(J$2/365))^(1/($D23-J$2/365))-1)*100+模拟分析!$G$12/100))))</f>
        <v>0</v>
      </c>
      <c r="K23" s="5">
        <f ca="1">IF($B23="",0,IF($D23-K$2/365&lt;=0,0,(IF(模拟分析!$I$12="到期平移法",[1]!B_CALC_CURVE_CHINABOND($I$1,$G$1,$D23-K$2/365),(((1+[1]!B_CALC_CURVE_CHINABOND($I$1,$G$1,$D23)/100)^$D23/(1+K$3/100)^(K$2/365))^(1/($D23-K$2/365))-1)*100+模拟分析!$G$12/100))))</f>
        <v>0</v>
      </c>
      <c r="L23" s="5">
        <f ca="1">IF($B23="",0,IF($D23-L$2/365&lt;=0,0,(IF(模拟分析!$I$12="到期平移法",[1]!B_CALC_CURVE_CHINABOND($I$1,$G$1,$D23-L$2/365),(((1+[1]!B_CALC_CURVE_CHINABOND($I$1,$G$1,$D23)/100)^$D23/(1+L$3/100)^(L$2/365))^(1/($D23-L$2/365))-1)*100+模拟分析!$G$12/100))))</f>
        <v>0</v>
      </c>
      <c r="M23" s="5">
        <f ca="1">IF($B23="",0,IF($D23-M$2/365&lt;=0,0,(IF(模拟分析!$I$12="到期平移法",[1]!B_CALC_CURVE_CHINABOND($I$1,$G$1,$D23-M$2/365),(((1+[1]!B_CALC_CURVE_CHINABOND($I$1,$G$1,$D23)/100)^$D23/(1+M$3/100)^(M$2/365))^(1/($D23-M$2/365))-1)*100+模拟分析!$G$12/100))))</f>
        <v>0</v>
      </c>
      <c r="N23" s="5">
        <f ca="1">IF($B23="",0,IF($D23-N$2/365&lt;=0,0,(IF(模拟分析!$I$12="到期平移法",[1]!B_CALC_CURVE_CHINABOND($I$1,$G$1,$D23-N$2/365),(((1+[1]!B_CALC_CURVE_CHINABOND($I$1,$G$1,$D23)/100)^$D23/(1+N$3/100)^(N$2/365))^(1/($D23-N$2/365))-1)*100+模拟分析!$G$12/100))))</f>
        <v>0</v>
      </c>
      <c r="O23">
        <f t="shared" ca="1" si="3"/>
        <v>0</v>
      </c>
    </row>
    <row r="24" spans="2:15" x14ac:dyDescent="0.15">
      <c r="B24" s="2" t="str">
        <f ca="1">IF(B23="","",IF(B23&lt;$E$1,[1]!b_anal_nxcupn($C$1,B23+1),""))</f>
        <v/>
      </c>
      <c r="C24" s="4">
        <f ca="1">IF(B24="",0,IF(模拟分析!$K$9=0,[1]!b_anal_dailycf($C$1,B24),IF(模拟分析!$I$11="否",[1]!b_anal_dailycf($C$1,B24),IF(B24&lt;模拟分析!$K$12,[1]!b_anal_dailycf($C$1,B24),IF(B24=模拟分析!$K$12,[1]!b_anal_dailycf($C$1,B24)+模拟分析!$K$11,0)))))</f>
        <v>0</v>
      </c>
      <c r="D24" s="3">
        <f t="shared" ca="1" si="2"/>
        <v>0</v>
      </c>
      <c r="E24" s="5">
        <f ca="1">IF($B24="",0,IF($D24-E$2/365&lt;=0,0,(IF(模拟分析!$I$12="到期平移法",[1]!B_CALC_CURVE_CHINABOND($I$1,$G$1,$D24-E$2/365),(((1+[1]!B_CALC_CURVE_CHINABOND($I$1,$G$1,$D24)/100)^$D24/(1+E$3/100)^(E$2/365))^(1/($D24-E$2/365))-1)*100+模拟分析!$G$12/100))))</f>
        <v>0</v>
      </c>
      <c r="F24" s="5">
        <f ca="1">IF($B24="",0,IF($D24-F$2/365&lt;=0,0,(IF(模拟分析!$I$12="到期平移法",[1]!B_CALC_CURVE_CHINABOND($I$1,$G$1,$D24-F$2/365),(((1+[1]!B_CALC_CURVE_CHINABOND($I$1,$G$1,$D24)/100)^$D24/(1+F$3/100)^(F$2/365))^(1/($D24-F$2/365))-1)*100+模拟分析!$G$12/100))))</f>
        <v>0</v>
      </c>
      <c r="G24" s="5">
        <f ca="1">IF($B24="",0,IF($D24-G$2/365&lt;=0,0,(IF(模拟分析!$I$12="到期平移法",[1]!B_CALC_CURVE_CHINABOND($I$1,$G$1,$D24-G$2/365),(((1+[1]!B_CALC_CURVE_CHINABOND($I$1,$G$1,$D24)/100)^$D24/(1+G$3/100)^(G$2/365))^(1/($D24-G$2/365))-1)*100+模拟分析!$G$12/100))))</f>
        <v>0</v>
      </c>
      <c r="H24" s="5">
        <f ca="1">IF($B24="",0,IF($D24-H$2/365&lt;=0,0,(IF(模拟分析!$I$12="到期平移法",[1]!B_CALC_CURVE_CHINABOND($I$1,$G$1,$D24-H$2/365),(((1+[1]!B_CALC_CURVE_CHINABOND($I$1,$G$1,$D24)/100)^$D24/(1+H$3/100)^(H$2/365))^(1/($D24-H$2/365))-1)*100+模拟分析!$G$12/100))))</f>
        <v>0</v>
      </c>
      <c r="I24" s="5">
        <f ca="1">IF($B24="",0,IF($D24-I$2/365&lt;=0,0,(IF(模拟分析!$I$12="到期平移法",[1]!B_CALC_CURVE_CHINABOND($I$1,$G$1,$D24-I$2/365),(((1+[1]!B_CALC_CURVE_CHINABOND($I$1,$G$1,$D24)/100)^$D24/(1+I$3/100)^(I$2/365))^(1/($D24-I$2/365))-1)*100+模拟分析!$G$12/100))))</f>
        <v>0</v>
      </c>
      <c r="J24" s="5">
        <f ca="1">IF($B24="",0,IF($D24-J$2/365&lt;=0,0,(IF(模拟分析!$I$12="到期平移法",[1]!B_CALC_CURVE_CHINABOND($I$1,$G$1,$D24-J$2/365),(((1+[1]!B_CALC_CURVE_CHINABOND($I$1,$G$1,$D24)/100)^$D24/(1+J$3/100)^(J$2/365))^(1/($D24-J$2/365))-1)*100+模拟分析!$G$12/100))))</f>
        <v>0</v>
      </c>
      <c r="K24" s="5">
        <f ca="1">IF($B24="",0,IF($D24-K$2/365&lt;=0,0,(IF(模拟分析!$I$12="到期平移法",[1]!B_CALC_CURVE_CHINABOND($I$1,$G$1,$D24-K$2/365),(((1+[1]!B_CALC_CURVE_CHINABOND($I$1,$G$1,$D24)/100)^$D24/(1+K$3/100)^(K$2/365))^(1/($D24-K$2/365))-1)*100+模拟分析!$G$12/100))))</f>
        <v>0</v>
      </c>
      <c r="L24" s="5">
        <f ca="1">IF($B24="",0,IF($D24-L$2/365&lt;=0,0,(IF(模拟分析!$I$12="到期平移法",[1]!B_CALC_CURVE_CHINABOND($I$1,$G$1,$D24-L$2/365),(((1+[1]!B_CALC_CURVE_CHINABOND($I$1,$G$1,$D24)/100)^$D24/(1+L$3/100)^(L$2/365))^(1/($D24-L$2/365))-1)*100+模拟分析!$G$12/100))))</f>
        <v>0</v>
      </c>
      <c r="M24" s="5">
        <f ca="1">IF($B24="",0,IF($D24-M$2/365&lt;=0,0,(IF(模拟分析!$I$12="到期平移法",[1]!B_CALC_CURVE_CHINABOND($I$1,$G$1,$D24-M$2/365),(((1+[1]!B_CALC_CURVE_CHINABOND($I$1,$G$1,$D24)/100)^$D24/(1+M$3/100)^(M$2/365))^(1/($D24-M$2/365))-1)*100+模拟分析!$G$12/100))))</f>
        <v>0</v>
      </c>
      <c r="N24" s="5">
        <f ca="1">IF($B24="",0,IF($D24-N$2/365&lt;=0,0,(IF(模拟分析!$I$12="到期平移法",[1]!B_CALC_CURVE_CHINABOND($I$1,$G$1,$D24-N$2/365),(((1+[1]!B_CALC_CURVE_CHINABOND($I$1,$G$1,$D24)/100)^$D24/(1+N$3/100)^(N$2/365))^(1/($D24-N$2/365))-1)*100+模拟分析!$G$12/100))))</f>
        <v>0</v>
      </c>
      <c r="O24">
        <f t="shared" ca="1" si="3"/>
        <v>0</v>
      </c>
    </row>
    <row r="25" spans="2:15" x14ac:dyDescent="0.15">
      <c r="B25" s="2" t="str">
        <f ca="1">IF(B24="","",IF(B24&lt;$E$1,[1]!b_anal_nxcupn($C$1,B24+1),""))</f>
        <v/>
      </c>
      <c r="C25" s="4">
        <f ca="1">IF(B25="",0,IF(模拟分析!$K$9=0,[1]!b_anal_dailycf($C$1,B25),IF(模拟分析!$I$11="否",[1]!b_anal_dailycf($C$1,B25),IF(B25&lt;模拟分析!$K$12,[1]!b_anal_dailycf($C$1,B25),IF(B25=模拟分析!$K$12,[1]!b_anal_dailycf($C$1,B25)+模拟分析!$K$11,0)))))</f>
        <v>0</v>
      </c>
      <c r="D25" s="3">
        <f t="shared" ca="1" si="2"/>
        <v>0</v>
      </c>
      <c r="E25" s="5">
        <f ca="1">IF($B25="",0,IF($D25-E$2/365&lt;=0,0,(IF(模拟分析!$I$12="到期平移法",[1]!B_CALC_CURVE_CHINABOND($I$1,$G$1,$D25-E$2/365),(((1+[1]!B_CALC_CURVE_CHINABOND($I$1,$G$1,$D25)/100)^$D25/(1+E$3/100)^(E$2/365))^(1/($D25-E$2/365))-1)*100+模拟分析!$G$12/100))))</f>
        <v>0</v>
      </c>
      <c r="F25" s="5">
        <f ca="1">IF($B25="",0,IF($D25-F$2/365&lt;=0,0,(IF(模拟分析!$I$12="到期平移法",[1]!B_CALC_CURVE_CHINABOND($I$1,$G$1,$D25-F$2/365),(((1+[1]!B_CALC_CURVE_CHINABOND($I$1,$G$1,$D25)/100)^$D25/(1+F$3/100)^(F$2/365))^(1/($D25-F$2/365))-1)*100+模拟分析!$G$12/100))))</f>
        <v>0</v>
      </c>
      <c r="G25" s="5">
        <f ca="1">IF($B25="",0,IF($D25-G$2/365&lt;=0,0,(IF(模拟分析!$I$12="到期平移法",[1]!B_CALC_CURVE_CHINABOND($I$1,$G$1,$D25-G$2/365),(((1+[1]!B_CALC_CURVE_CHINABOND($I$1,$G$1,$D25)/100)^$D25/(1+G$3/100)^(G$2/365))^(1/($D25-G$2/365))-1)*100+模拟分析!$G$12/100))))</f>
        <v>0</v>
      </c>
      <c r="H25" s="5">
        <f ca="1">IF($B25="",0,IF($D25-H$2/365&lt;=0,0,(IF(模拟分析!$I$12="到期平移法",[1]!B_CALC_CURVE_CHINABOND($I$1,$G$1,$D25-H$2/365),(((1+[1]!B_CALC_CURVE_CHINABOND($I$1,$G$1,$D25)/100)^$D25/(1+H$3/100)^(H$2/365))^(1/($D25-H$2/365))-1)*100+模拟分析!$G$12/100))))</f>
        <v>0</v>
      </c>
      <c r="I25" s="5">
        <f ca="1">IF($B25="",0,IF($D25-I$2/365&lt;=0,0,(IF(模拟分析!$I$12="到期平移法",[1]!B_CALC_CURVE_CHINABOND($I$1,$G$1,$D25-I$2/365),(((1+[1]!B_CALC_CURVE_CHINABOND($I$1,$G$1,$D25)/100)^$D25/(1+I$3/100)^(I$2/365))^(1/($D25-I$2/365))-1)*100+模拟分析!$G$12/100))))</f>
        <v>0</v>
      </c>
      <c r="J25" s="5">
        <f ca="1">IF($B25="",0,IF($D25-J$2/365&lt;=0,0,(IF(模拟分析!$I$12="到期平移法",[1]!B_CALC_CURVE_CHINABOND($I$1,$G$1,$D25-J$2/365),(((1+[1]!B_CALC_CURVE_CHINABOND($I$1,$G$1,$D25)/100)^$D25/(1+J$3/100)^(J$2/365))^(1/($D25-J$2/365))-1)*100+模拟分析!$G$12/100))))</f>
        <v>0</v>
      </c>
      <c r="K25" s="5">
        <f ca="1">IF($B25="",0,IF($D25-K$2/365&lt;=0,0,(IF(模拟分析!$I$12="到期平移法",[1]!B_CALC_CURVE_CHINABOND($I$1,$G$1,$D25-K$2/365),(((1+[1]!B_CALC_CURVE_CHINABOND($I$1,$G$1,$D25)/100)^$D25/(1+K$3/100)^(K$2/365))^(1/($D25-K$2/365))-1)*100+模拟分析!$G$12/100))))</f>
        <v>0</v>
      </c>
      <c r="L25" s="5">
        <f ca="1">IF($B25="",0,IF($D25-L$2/365&lt;=0,0,(IF(模拟分析!$I$12="到期平移法",[1]!B_CALC_CURVE_CHINABOND($I$1,$G$1,$D25-L$2/365),(((1+[1]!B_CALC_CURVE_CHINABOND($I$1,$G$1,$D25)/100)^$D25/(1+L$3/100)^(L$2/365))^(1/($D25-L$2/365))-1)*100+模拟分析!$G$12/100))))</f>
        <v>0</v>
      </c>
      <c r="M25" s="5">
        <f ca="1">IF($B25="",0,IF($D25-M$2/365&lt;=0,0,(IF(模拟分析!$I$12="到期平移法",[1]!B_CALC_CURVE_CHINABOND($I$1,$G$1,$D25-M$2/365),(((1+[1]!B_CALC_CURVE_CHINABOND($I$1,$G$1,$D25)/100)^$D25/(1+M$3/100)^(M$2/365))^(1/($D25-M$2/365))-1)*100+模拟分析!$G$12/100))))</f>
        <v>0</v>
      </c>
      <c r="N25" s="5">
        <f ca="1">IF($B25="",0,IF($D25-N$2/365&lt;=0,0,(IF(模拟分析!$I$12="到期平移法",[1]!B_CALC_CURVE_CHINABOND($I$1,$G$1,$D25-N$2/365),(((1+[1]!B_CALC_CURVE_CHINABOND($I$1,$G$1,$D25)/100)^$D25/(1+N$3/100)^(N$2/365))^(1/($D25-N$2/365))-1)*100+模拟分析!$G$12/100))))</f>
        <v>0</v>
      </c>
      <c r="O25">
        <f t="shared" ca="1" si="3"/>
        <v>0</v>
      </c>
    </row>
    <row r="26" spans="2:15" x14ac:dyDescent="0.15">
      <c r="B26" s="2" t="str">
        <f ca="1">IF(B25="","",IF(B25&lt;$E$1,[1]!b_anal_nxcupn($C$1,B25+1),""))</f>
        <v/>
      </c>
      <c r="C26" s="4">
        <f ca="1">IF(B26="",0,IF(模拟分析!$K$9=0,[1]!b_anal_dailycf($C$1,B26),IF(模拟分析!$I$11="否",[1]!b_anal_dailycf($C$1,B26),IF(B26&lt;模拟分析!$K$12,[1]!b_anal_dailycf($C$1,B26),IF(B26=模拟分析!$K$12,[1]!b_anal_dailycf($C$1,B26)+模拟分析!$K$11,0)))))</f>
        <v>0</v>
      </c>
      <c r="D26" s="3">
        <f t="shared" ca="1" si="2"/>
        <v>0</v>
      </c>
      <c r="E26" s="5">
        <f ca="1">IF($B26="",0,IF($D26-E$2/365&lt;=0,0,(IF(模拟分析!$I$12="到期平移法",[1]!B_CALC_CURVE_CHINABOND($I$1,$G$1,$D26-E$2/365),(((1+[1]!B_CALC_CURVE_CHINABOND($I$1,$G$1,$D26)/100)^$D26/(1+E$3/100)^(E$2/365))^(1/($D26-E$2/365))-1)*100+模拟分析!$G$12/100))))</f>
        <v>0</v>
      </c>
      <c r="F26" s="5">
        <f ca="1">IF($B26="",0,IF($D26-F$2/365&lt;=0,0,(IF(模拟分析!$I$12="到期平移法",[1]!B_CALC_CURVE_CHINABOND($I$1,$G$1,$D26-F$2/365),(((1+[1]!B_CALC_CURVE_CHINABOND($I$1,$G$1,$D26)/100)^$D26/(1+F$3/100)^(F$2/365))^(1/($D26-F$2/365))-1)*100+模拟分析!$G$12/100))))</f>
        <v>0</v>
      </c>
      <c r="G26" s="5">
        <f ca="1">IF($B26="",0,IF($D26-G$2/365&lt;=0,0,(IF(模拟分析!$I$12="到期平移法",[1]!B_CALC_CURVE_CHINABOND($I$1,$G$1,$D26-G$2/365),(((1+[1]!B_CALC_CURVE_CHINABOND($I$1,$G$1,$D26)/100)^$D26/(1+G$3/100)^(G$2/365))^(1/($D26-G$2/365))-1)*100+模拟分析!$G$12/100))))</f>
        <v>0</v>
      </c>
      <c r="H26" s="5">
        <f ca="1">IF($B26="",0,IF($D26-H$2/365&lt;=0,0,(IF(模拟分析!$I$12="到期平移法",[1]!B_CALC_CURVE_CHINABOND($I$1,$G$1,$D26-H$2/365),(((1+[1]!B_CALC_CURVE_CHINABOND($I$1,$G$1,$D26)/100)^$D26/(1+H$3/100)^(H$2/365))^(1/($D26-H$2/365))-1)*100+模拟分析!$G$12/100))))</f>
        <v>0</v>
      </c>
      <c r="I26" s="5">
        <f ca="1">IF($B26="",0,IF($D26-I$2/365&lt;=0,0,(IF(模拟分析!$I$12="到期平移法",[1]!B_CALC_CURVE_CHINABOND($I$1,$G$1,$D26-I$2/365),(((1+[1]!B_CALC_CURVE_CHINABOND($I$1,$G$1,$D26)/100)^$D26/(1+I$3/100)^(I$2/365))^(1/($D26-I$2/365))-1)*100+模拟分析!$G$12/100))))</f>
        <v>0</v>
      </c>
      <c r="J26" s="5">
        <f ca="1">IF($B26="",0,IF($D26-J$2/365&lt;=0,0,(IF(模拟分析!$I$12="到期平移法",[1]!B_CALC_CURVE_CHINABOND($I$1,$G$1,$D26-J$2/365),(((1+[1]!B_CALC_CURVE_CHINABOND($I$1,$G$1,$D26)/100)^$D26/(1+J$3/100)^(J$2/365))^(1/($D26-J$2/365))-1)*100+模拟分析!$G$12/100))))</f>
        <v>0</v>
      </c>
      <c r="K26" s="5">
        <f ca="1">IF($B26="",0,IF($D26-K$2/365&lt;=0,0,(IF(模拟分析!$I$12="到期平移法",[1]!B_CALC_CURVE_CHINABOND($I$1,$G$1,$D26-K$2/365),(((1+[1]!B_CALC_CURVE_CHINABOND($I$1,$G$1,$D26)/100)^$D26/(1+K$3/100)^(K$2/365))^(1/($D26-K$2/365))-1)*100+模拟分析!$G$12/100))))</f>
        <v>0</v>
      </c>
      <c r="L26" s="5">
        <f ca="1">IF($B26="",0,IF($D26-L$2/365&lt;=0,0,(IF(模拟分析!$I$12="到期平移法",[1]!B_CALC_CURVE_CHINABOND($I$1,$G$1,$D26-L$2/365),(((1+[1]!B_CALC_CURVE_CHINABOND($I$1,$G$1,$D26)/100)^$D26/(1+L$3/100)^(L$2/365))^(1/($D26-L$2/365))-1)*100+模拟分析!$G$12/100))))</f>
        <v>0</v>
      </c>
      <c r="M26" s="5">
        <f ca="1">IF($B26="",0,IF($D26-M$2/365&lt;=0,0,(IF(模拟分析!$I$12="到期平移法",[1]!B_CALC_CURVE_CHINABOND($I$1,$G$1,$D26-M$2/365),(((1+[1]!B_CALC_CURVE_CHINABOND($I$1,$G$1,$D26)/100)^$D26/(1+M$3/100)^(M$2/365))^(1/($D26-M$2/365))-1)*100+模拟分析!$G$12/100))))</f>
        <v>0</v>
      </c>
      <c r="N26" s="5">
        <f ca="1">IF($B26="",0,IF($D26-N$2/365&lt;=0,0,(IF(模拟分析!$I$12="到期平移法",[1]!B_CALC_CURVE_CHINABOND($I$1,$G$1,$D26-N$2/365),(((1+[1]!B_CALC_CURVE_CHINABOND($I$1,$G$1,$D26)/100)^$D26/(1+N$3/100)^(N$2/365))^(1/($D26-N$2/365))-1)*100+模拟分析!$G$12/100))))</f>
        <v>0</v>
      </c>
      <c r="O26">
        <f t="shared" ca="1" si="3"/>
        <v>0</v>
      </c>
    </row>
    <row r="27" spans="2:15" x14ac:dyDescent="0.15">
      <c r="B27" s="2" t="str">
        <f ca="1">IF(B26="","",IF(B26&lt;$E$1,[1]!b_anal_nxcupn($C$1,B26+1),""))</f>
        <v/>
      </c>
      <c r="C27" s="4">
        <f ca="1">IF(B27="",0,IF(模拟分析!$K$9=0,[1]!b_anal_dailycf($C$1,B27),IF(模拟分析!$I$11="否",[1]!b_anal_dailycf($C$1,B27),IF(B27&lt;模拟分析!$K$12,[1]!b_anal_dailycf($C$1,B27),IF(B27=模拟分析!$K$12,[1]!b_anal_dailycf($C$1,B27)+模拟分析!$K$11,0)))))</f>
        <v>0</v>
      </c>
      <c r="D27" s="3">
        <f t="shared" ca="1" si="2"/>
        <v>0</v>
      </c>
      <c r="E27" s="5">
        <f ca="1">IF($B27="",0,IF($D27-E$2/365&lt;=0,0,(IF(模拟分析!$I$12="到期平移法",[1]!B_CALC_CURVE_CHINABOND($I$1,$G$1,$D27-E$2/365),(((1+[1]!B_CALC_CURVE_CHINABOND($I$1,$G$1,$D27)/100)^$D27/(1+E$3/100)^(E$2/365))^(1/($D27-E$2/365))-1)*100+模拟分析!$G$12/100))))</f>
        <v>0</v>
      </c>
      <c r="F27" s="5">
        <f ca="1">IF($B27="",0,IF($D27-F$2/365&lt;=0,0,(IF(模拟分析!$I$12="到期平移法",[1]!B_CALC_CURVE_CHINABOND($I$1,$G$1,$D27-F$2/365),(((1+[1]!B_CALC_CURVE_CHINABOND($I$1,$G$1,$D27)/100)^$D27/(1+F$3/100)^(F$2/365))^(1/($D27-F$2/365))-1)*100+模拟分析!$G$12/100))))</f>
        <v>0</v>
      </c>
      <c r="G27" s="5">
        <f ca="1">IF($B27="",0,IF($D27-G$2/365&lt;=0,0,(IF(模拟分析!$I$12="到期平移法",[1]!B_CALC_CURVE_CHINABOND($I$1,$G$1,$D27-G$2/365),(((1+[1]!B_CALC_CURVE_CHINABOND($I$1,$G$1,$D27)/100)^$D27/(1+G$3/100)^(G$2/365))^(1/($D27-G$2/365))-1)*100+模拟分析!$G$12/100))))</f>
        <v>0</v>
      </c>
      <c r="H27" s="5">
        <f ca="1">IF($B27="",0,IF($D27-H$2/365&lt;=0,0,(IF(模拟分析!$I$12="到期平移法",[1]!B_CALC_CURVE_CHINABOND($I$1,$G$1,$D27-H$2/365),(((1+[1]!B_CALC_CURVE_CHINABOND($I$1,$G$1,$D27)/100)^$D27/(1+H$3/100)^(H$2/365))^(1/($D27-H$2/365))-1)*100+模拟分析!$G$12/100))))</f>
        <v>0</v>
      </c>
      <c r="I27" s="5">
        <f ca="1">IF($B27="",0,IF($D27-I$2/365&lt;=0,0,(IF(模拟分析!$I$12="到期平移法",[1]!B_CALC_CURVE_CHINABOND($I$1,$G$1,$D27-I$2/365),(((1+[1]!B_CALC_CURVE_CHINABOND($I$1,$G$1,$D27)/100)^$D27/(1+I$3/100)^(I$2/365))^(1/($D27-I$2/365))-1)*100+模拟分析!$G$12/100))))</f>
        <v>0</v>
      </c>
      <c r="J27" s="5">
        <f ca="1">IF($B27="",0,IF($D27-J$2/365&lt;=0,0,(IF(模拟分析!$I$12="到期平移法",[1]!B_CALC_CURVE_CHINABOND($I$1,$G$1,$D27-J$2/365),(((1+[1]!B_CALC_CURVE_CHINABOND($I$1,$G$1,$D27)/100)^$D27/(1+J$3/100)^(J$2/365))^(1/($D27-J$2/365))-1)*100+模拟分析!$G$12/100))))</f>
        <v>0</v>
      </c>
      <c r="K27" s="5">
        <f ca="1">IF($B27="",0,IF($D27-K$2/365&lt;=0,0,(IF(模拟分析!$I$12="到期平移法",[1]!B_CALC_CURVE_CHINABOND($I$1,$G$1,$D27-K$2/365),(((1+[1]!B_CALC_CURVE_CHINABOND($I$1,$G$1,$D27)/100)^$D27/(1+K$3/100)^(K$2/365))^(1/($D27-K$2/365))-1)*100+模拟分析!$G$12/100))))</f>
        <v>0</v>
      </c>
      <c r="L27" s="5">
        <f ca="1">IF($B27="",0,IF($D27-L$2/365&lt;=0,0,(IF(模拟分析!$I$12="到期平移法",[1]!B_CALC_CURVE_CHINABOND($I$1,$G$1,$D27-L$2/365),(((1+[1]!B_CALC_CURVE_CHINABOND($I$1,$G$1,$D27)/100)^$D27/(1+L$3/100)^(L$2/365))^(1/($D27-L$2/365))-1)*100+模拟分析!$G$12/100))))</f>
        <v>0</v>
      </c>
      <c r="M27" s="5">
        <f ca="1">IF($B27="",0,IF($D27-M$2/365&lt;=0,0,(IF(模拟分析!$I$12="到期平移法",[1]!B_CALC_CURVE_CHINABOND($I$1,$G$1,$D27-M$2/365),(((1+[1]!B_CALC_CURVE_CHINABOND($I$1,$G$1,$D27)/100)^$D27/(1+M$3/100)^(M$2/365))^(1/($D27-M$2/365))-1)*100+模拟分析!$G$12/100))))</f>
        <v>0</v>
      </c>
      <c r="N27" s="5">
        <f ca="1">IF($B27="",0,IF($D27-N$2/365&lt;=0,0,(IF(模拟分析!$I$12="到期平移法",[1]!B_CALC_CURVE_CHINABOND($I$1,$G$1,$D27-N$2/365),(((1+[1]!B_CALC_CURVE_CHINABOND($I$1,$G$1,$D27)/100)^$D27/(1+N$3/100)^(N$2/365))^(1/($D27-N$2/365))-1)*100+模拟分析!$G$12/100))))</f>
        <v>0</v>
      </c>
      <c r="O27">
        <f t="shared" ca="1" si="3"/>
        <v>0</v>
      </c>
    </row>
    <row r="28" spans="2:15" x14ac:dyDescent="0.15">
      <c r="B28" s="2" t="str">
        <f ca="1">IF(B27="","",IF(B27&lt;$E$1,[1]!b_anal_nxcupn($C$1,B27+1),""))</f>
        <v/>
      </c>
      <c r="C28" s="4">
        <f ca="1">IF(B28="",0,IF(模拟分析!$K$9=0,[1]!b_anal_dailycf($C$1,B28),IF(模拟分析!$I$11="否",[1]!b_anal_dailycf($C$1,B28),IF(B28&lt;模拟分析!$K$12,[1]!b_anal_dailycf($C$1,B28),IF(B28=模拟分析!$K$12,[1]!b_anal_dailycf($C$1,B28)+模拟分析!$K$11,0)))))</f>
        <v>0</v>
      </c>
      <c r="D28" s="3">
        <f t="shared" ca="1" si="2"/>
        <v>0</v>
      </c>
      <c r="E28" s="5">
        <f ca="1">IF($B28="",0,IF($D28-E$2/365&lt;=0,0,(IF(模拟分析!$I$12="到期平移法",[1]!B_CALC_CURVE_CHINABOND($I$1,$G$1,$D28-E$2/365),(((1+[1]!B_CALC_CURVE_CHINABOND($I$1,$G$1,$D28)/100)^$D28/(1+E$3/100)^(E$2/365))^(1/($D28-E$2/365))-1)*100+模拟分析!$G$12/100))))</f>
        <v>0</v>
      </c>
      <c r="F28" s="5">
        <f ca="1">IF($B28="",0,IF($D28-F$2/365&lt;=0,0,(IF(模拟分析!$I$12="到期平移法",[1]!B_CALC_CURVE_CHINABOND($I$1,$G$1,$D28-F$2/365),(((1+[1]!B_CALC_CURVE_CHINABOND($I$1,$G$1,$D28)/100)^$D28/(1+F$3/100)^(F$2/365))^(1/($D28-F$2/365))-1)*100+模拟分析!$G$12/100))))</f>
        <v>0</v>
      </c>
      <c r="G28" s="5">
        <f ca="1">IF($B28="",0,IF($D28-G$2/365&lt;=0,0,(IF(模拟分析!$I$12="到期平移法",[1]!B_CALC_CURVE_CHINABOND($I$1,$G$1,$D28-G$2/365),(((1+[1]!B_CALC_CURVE_CHINABOND($I$1,$G$1,$D28)/100)^$D28/(1+G$3/100)^(G$2/365))^(1/($D28-G$2/365))-1)*100+模拟分析!$G$12/100))))</f>
        <v>0</v>
      </c>
      <c r="H28" s="5">
        <f ca="1">IF($B28="",0,IF($D28-H$2/365&lt;=0,0,(IF(模拟分析!$I$12="到期平移法",[1]!B_CALC_CURVE_CHINABOND($I$1,$G$1,$D28-H$2/365),(((1+[1]!B_CALC_CURVE_CHINABOND($I$1,$G$1,$D28)/100)^$D28/(1+H$3/100)^(H$2/365))^(1/($D28-H$2/365))-1)*100+模拟分析!$G$12/100))))</f>
        <v>0</v>
      </c>
      <c r="I28" s="5">
        <f ca="1">IF($B28="",0,IF($D28-I$2/365&lt;=0,0,(IF(模拟分析!$I$12="到期平移法",[1]!B_CALC_CURVE_CHINABOND($I$1,$G$1,$D28-I$2/365),(((1+[1]!B_CALC_CURVE_CHINABOND($I$1,$G$1,$D28)/100)^$D28/(1+I$3/100)^(I$2/365))^(1/($D28-I$2/365))-1)*100+模拟分析!$G$12/100))))</f>
        <v>0</v>
      </c>
      <c r="J28" s="5">
        <f ca="1">IF($B28="",0,IF($D28-J$2/365&lt;=0,0,(IF(模拟分析!$I$12="到期平移法",[1]!B_CALC_CURVE_CHINABOND($I$1,$G$1,$D28-J$2/365),(((1+[1]!B_CALC_CURVE_CHINABOND($I$1,$G$1,$D28)/100)^$D28/(1+J$3/100)^(J$2/365))^(1/($D28-J$2/365))-1)*100+模拟分析!$G$12/100))))</f>
        <v>0</v>
      </c>
      <c r="K28" s="5">
        <f ca="1">IF($B28="",0,IF($D28-K$2/365&lt;=0,0,(IF(模拟分析!$I$12="到期平移法",[1]!B_CALC_CURVE_CHINABOND($I$1,$G$1,$D28-K$2/365),(((1+[1]!B_CALC_CURVE_CHINABOND($I$1,$G$1,$D28)/100)^$D28/(1+K$3/100)^(K$2/365))^(1/($D28-K$2/365))-1)*100+模拟分析!$G$12/100))))</f>
        <v>0</v>
      </c>
      <c r="L28" s="5">
        <f ca="1">IF($B28="",0,IF($D28-L$2/365&lt;=0,0,(IF(模拟分析!$I$12="到期平移法",[1]!B_CALC_CURVE_CHINABOND($I$1,$G$1,$D28-L$2/365),(((1+[1]!B_CALC_CURVE_CHINABOND($I$1,$G$1,$D28)/100)^$D28/(1+L$3/100)^(L$2/365))^(1/($D28-L$2/365))-1)*100+模拟分析!$G$12/100))))</f>
        <v>0</v>
      </c>
      <c r="M28" s="5">
        <f ca="1">IF($B28="",0,IF($D28-M$2/365&lt;=0,0,(IF(模拟分析!$I$12="到期平移法",[1]!B_CALC_CURVE_CHINABOND($I$1,$G$1,$D28-M$2/365),(((1+[1]!B_CALC_CURVE_CHINABOND($I$1,$G$1,$D28)/100)^$D28/(1+M$3/100)^(M$2/365))^(1/($D28-M$2/365))-1)*100+模拟分析!$G$12/100))))</f>
        <v>0</v>
      </c>
      <c r="N28" s="5">
        <f ca="1">IF($B28="",0,IF($D28-N$2/365&lt;=0,0,(IF(模拟分析!$I$12="到期平移法",[1]!B_CALC_CURVE_CHINABOND($I$1,$G$1,$D28-N$2/365),(((1+[1]!B_CALC_CURVE_CHINABOND($I$1,$G$1,$D28)/100)^$D28/(1+N$3/100)^(N$2/365))^(1/($D28-N$2/365))-1)*100+模拟分析!$G$12/100))))</f>
        <v>0</v>
      </c>
      <c r="O28">
        <f t="shared" ca="1" si="3"/>
        <v>0</v>
      </c>
    </row>
    <row r="29" spans="2:15" x14ac:dyDescent="0.15">
      <c r="B29" s="2" t="str">
        <f ca="1">IF(B28="","",IF(B28&lt;$E$1,[1]!b_anal_nxcupn($C$1,B28+1),""))</f>
        <v/>
      </c>
      <c r="C29" s="4">
        <f ca="1">IF(B29="",0,IF(模拟分析!$K$9=0,[1]!b_anal_dailycf($C$1,B29),IF(模拟分析!$I$11="否",[1]!b_anal_dailycf($C$1,B29),IF(B29&lt;模拟分析!$K$12,[1]!b_anal_dailycf($C$1,B29),IF(B29=模拟分析!$K$12,[1]!b_anal_dailycf($C$1,B29)+模拟分析!$K$11,0)))))</f>
        <v>0</v>
      </c>
      <c r="D29" s="3">
        <f t="shared" ca="1" si="2"/>
        <v>0</v>
      </c>
      <c r="E29" s="5">
        <f ca="1">IF($B29="",0,IF($D29-E$2/365&lt;=0,0,(IF(模拟分析!$I$12="到期平移法",[1]!B_CALC_CURVE_CHINABOND($I$1,$G$1,$D29-E$2/365),(((1+[1]!B_CALC_CURVE_CHINABOND($I$1,$G$1,$D29)/100)^$D29/(1+E$3/100)^(E$2/365))^(1/($D29-E$2/365))-1)*100+模拟分析!$G$12/100))))</f>
        <v>0</v>
      </c>
      <c r="F29" s="5">
        <f ca="1">IF($B29="",0,IF($D29-F$2/365&lt;=0,0,(IF(模拟分析!$I$12="到期平移法",[1]!B_CALC_CURVE_CHINABOND($I$1,$G$1,$D29-F$2/365),(((1+[1]!B_CALC_CURVE_CHINABOND($I$1,$G$1,$D29)/100)^$D29/(1+F$3/100)^(F$2/365))^(1/($D29-F$2/365))-1)*100+模拟分析!$G$12/100))))</f>
        <v>0</v>
      </c>
      <c r="G29" s="5">
        <f ca="1">IF($B29="",0,IF($D29-G$2/365&lt;=0,0,(IF(模拟分析!$I$12="到期平移法",[1]!B_CALC_CURVE_CHINABOND($I$1,$G$1,$D29-G$2/365),(((1+[1]!B_CALC_CURVE_CHINABOND($I$1,$G$1,$D29)/100)^$D29/(1+G$3/100)^(G$2/365))^(1/($D29-G$2/365))-1)*100+模拟分析!$G$12/100))))</f>
        <v>0</v>
      </c>
      <c r="H29" s="5">
        <f ca="1">IF($B29="",0,IF($D29-H$2/365&lt;=0,0,(IF(模拟分析!$I$12="到期平移法",[1]!B_CALC_CURVE_CHINABOND($I$1,$G$1,$D29-H$2/365),(((1+[1]!B_CALC_CURVE_CHINABOND($I$1,$G$1,$D29)/100)^$D29/(1+H$3/100)^(H$2/365))^(1/($D29-H$2/365))-1)*100+模拟分析!$G$12/100))))</f>
        <v>0</v>
      </c>
      <c r="I29" s="5">
        <f ca="1">IF($B29="",0,IF($D29-I$2/365&lt;=0,0,(IF(模拟分析!$I$12="到期平移法",[1]!B_CALC_CURVE_CHINABOND($I$1,$G$1,$D29-I$2/365),(((1+[1]!B_CALC_CURVE_CHINABOND($I$1,$G$1,$D29)/100)^$D29/(1+I$3/100)^(I$2/365))^(1/($D29-I$2/365))-1)*100+模拟分析!$G$12/100))))</f>
        <v>0</v>
      </c>
      <c r="J29" s="5">
        <f ca="1">IF($B29="",0,IF($D29-J$2/365&lt;=0,0,(IF(模拟分析!$I$12="到期平移法",[1]!B_CALC_CURVE_CHINABOND($I$1,$G$1,$D29-J$2/365),(((1+[1]!B_CALC_CURVE_CHINABOND($I$1,$G$1,$D29)/100)^$D29/(1+J$3/100)^(J$2/365))^(1/($D29-J$2/365))-1)*100+模拟分析!$G$12/100))))</f>
        <v>0</v>
      </c>
      <c r="K29" s="5">
        <f ca="1">IF($B29="",0,IF($D29-K$2/365&lt;=0,0,(IF(模拟分析!$I$12="到期平移法",[1]!B_CALC_CURVE_CHINABOND($I$1,$G$1,$D29-K$2/365),(((1+[1]!B_CALC_CURVE_CHINABOND($I$1,$G$1,$D29)/100)^$D29/(1+K$3/100)^(K$2/365))^(1/($D29-K$2/365))-1)*100+模拟分析!$G$12/100))))</f>
        <v>0</v>
      </c>
      <c r="L29" s="5">
        <f ca="1">IF($B29="",0,IF($D29-L$2/365&lt;=0,0,(IF(模拟分析!$I$12="到期平移法",[1]!B_CALC_CURVE_CHINABOND($I$1,$G$1,$D29-L$2/365),(((1+[1]!B_CALC_CURVE_CHINABOND($I$1,$G$1,$D29)/100)^$D29/(1+L$3/100)^(L$2/365))^(1/($D29-L$2/365))-1)*100+模拟分析!$G$12/100))))</f>
        <v>0</v>
      </c>
      <c r="M29" s="5">
        <f ca="1">IF($B29="",0,IF($D29-M$2/365&lt;=0,0,(IF(模拟分析!$I$12="到期平移法",[1]!B_CALC_CURVE_CHINABOND($I$1,$G$1,$D29-M$2/365),(((1+[1]!B_CALC_CURVE_CHINABOND($I$1,$G$1,$D29)/100)^$D29/(1+M$3/100)^(M$2/365))^(1/($D29-M$2/365))-1)*100+模拟分析!$G$12/100))))</f>
        <v>0</v>
      </c>
      <c r="N29" s="5">
        <f ca="1">IF($B29="",0,IF($D29-N$2/365&lt;=0,0,(IF(模拟分析!$I$12="到期平移法",[1]!B_CALC_CURVE_CHINABOND($I$1,$G$1,$D29-N$2/365),(((1+[1]!B_CALC_CURVE_CHINABOND($I$1,$G$1,$D29)/100)^$D29/(1+N$3/100)^(N$2/365))^(1/($D29-N$2/365))-1)*100+模拟分析!$G$12/100))))</f>
        <v>0</v>
      </c>
      <c r="O29">
        <f t="shared" ca="1" si="3"/>
        <v>0</v>
      </c>
    </row>
    <row r="30" spans="2:15" x14ac:dyDescent="0.15">
      <c r="B30" s="2" t="str">
        <f ca="1">IF(B29="","",IF(B29&lt;$E$1,[1]!b_anal_nxcupn($C$1,B29+1),""))</f>
        <v/>
      </c>
      <c r="C30" s="4">
        <f ca="1">IF(B30="",0,IF(模拟分析!$K$9=0,[1]!b_anal_dailycf($C$1,B30),IF(模拟分析!$I$11="否",[1]!b_anal_dailycf($C$1,B30),IF(B30&lt;模拟分析!$K$12,[1]!b_anal_dailycf($C$1,B30),IF(B30=模拟分析!$K$12,[1]!b_anal_dailycf($C$1,B30)+模拟分析!$K$11,0)))))</f>
        <v>0</v>
      </c>
      <c r="D30" s="3">
        <f t="shared" ca="1" si="2"/>
        <v>0</v>
      </c>
      <c r="E30" s="5">
        <f ca="1">IF($B30="",0,IF($D30-E$2/365&lt;=0,0,(IF(模拟分析!$I$12="到期平移法",[1]!B_CALC_CURVE_CHINABOND($I$1,$G$1,$D30-E$2/365),(((1+[1]!B_CALC_CURVE_CHINABOND($I$1,$G$1,$D30)/100)^$D30/(1+E$3/100)^(E$2/365))^(1/($D30-E$2/365))-1)*100+模拟分析!$G$12/100))))</f>
        <v>0</v>
      </c>
      <c r="F30" s="5">
        <f ca="1">IF($B30="",0,IF($D30-F$2/365&lt;=0,0,(IF(模拟分析!$I$12="到期平移法",[1]!B_CALC_CURVE_CHINABOND($I$1,$G$1,$D30-F$2/365),(((1+[1]!B_CALC_CURVE_CHINABOND($I$1,$G$1,$D30)/100)^$D30/(1+F$3/100)^(F$2/365))^(1/($D30-F$2/365))-1)*100+模拟分析!$G$12/100))))</f>
        <v>0</v>
      </c>
      <c r="G30" s="5">
        <f ca="1">IF($B30="",0,IF($D30-G$2/365&lt;=0,0,(IF(模拟分析!$I$12="到期平移法",[1]!B_CALC_CURVE_CHINABOND($I$1,$G$1,$D30-G$2/365),(((1+[1]!B_CALC_CURVE_CHINABOND($I$1,$G$1,$D30)/100)^$D30/(1+G$3/100)^(G$2/365))^(1/($D30-G$2/365))-1)*100+模拟分析!$G$12/100))))</f>
        <v>0</v>
      </c>
      <c r="H30" s="5">
        <f ca="1">IF($B30="",0,IF($D30-H$2/365&lt;=0,0,(IF(模拟分析!$I$12="到期平移法",[1]!B_CALC_CURVE_CHINABOND($I$1,$G$1,$D30-H$2/365),(((1+[1]!B_CALC_CURVE_CHINABOND($I$1,$G$1,$D30)/100)^$D30/(1+H$3/100)^(H$2/365))^(1/($D30-H$2/365))-1)*100+模拟分析!$G$12/100))))</f>
        <v>0</v>
      </c>
      <c r="I30" s="5">
        <f ca="1">IF($B30="",0,IF($D30-I$2/365&lt;=0,0,(IF(模拟分析!$I$12="到期平移法",[1]!B_CALC_CURVE_CHINABOND($I$1,$G$1,$D30-I$2/365),(((1+[1]!B_CALC_CURVE_CHINABOND($I$1,$G$1,$D30)/100)^$D30/(1+I$3/100)^(I$2/365))^(1/($D30-I$2/365))-1)*100+模拟分析!$G$12/100))))</f>
        <v>0</v>
      </c>
      <c r="J30" s="5">
        <f ca="1">IF($B30="",0,IF($D30-J$2/365&lt;=0,0,(IF(模拟分析!$I$12="到期平移法",[1]!B_CALC_CURVE_CHINABOND($I$1,$G$1,$D30-J$2/365),(((1+[1]!B_CALC_CURVE_CHINABOND($I$1,$G$1,$D30)/100)^$D30/(1+J$3/100)^(J$2/365))^(1/($D30-J$2/365))-1)*100+模拟分析!$G$12/100))))</f>
        <v>0</v>
      </c>
      <c r="K30" s="5">
        <f ca="1">IF($B30="",0,IF($D30-K$2/365&lt;=0,0,(IF(模拟分析!$I$12="到期平移法",[1]!B_CALC_CURVE_CHINABOND($I$1,$G$1,$D30-K$2/365),(((1+[1]!B_CALC_CURVE_CHINABOND($I$1,$G$1,$D30)/100)^$D30/(1+K$3/100)^(K$2/365))^(1/($D30-K$2/365))-1)*100+模拟分析!$G$12/100))))</f>
        <v>0</v>
      </c>
      <c r="L30" s="5">
        <f ca="1">IF($B30="",0,IF($D30-L$2/365&lt;=0,0,(IF(模拟分析!$I$12="到期平移法",[1]!B_CALC_CURVE_CHINABOND($I$1,$G$1,$D30-L$2/365),(((1+[1]!B_CALC_CURVE_CHINABOND($I$1,$G$1,$D30)/100)^$D30/(1+L$3/100)^(L$2/365))^(1/($D30-L$2/365))-1)*100+模拟分析!$G$12/100))))</f>
        <v>0</v>
      </c>
      <c r="M30" s="5">
        <f ca="1">IF($B30="",0,IF($D30-M$2/365&lt;=0,0,(IF(模拟分析!$I$12="到期平移法",[1]!B_CALC_CURVE_CHINABOND($I$1,$G$1,$D30-M$2/365),(((1+[1]!B_CALC_CURVE_CHINABOND($I$1,$G$1,$D30)/100)^$D30/(1+M$3/100)^(M$2/365))^(1/($D30-M$2/365))-1)*100+模拟分析!$G$12/100))))</f>
        <v>0</v>
      </c>
      <c r="N30" s="5">
        <f ca="1">IF($B30="",0,IF($D30-N$2/365&lt;=0,0,(IF(模拟分析!$I$12="到期平移法",[1]!B_CALC_CURVE_CHINABOND($I$1,$G$1,$D30-N$2/365),(((1+[1]!B_CALC_CURVE_CHINABOND($I$1,$G$1,$D30)/100)^$D30/(1+N$3/100)^(N$2/365))^(1/($D30-N$2/365))-1)*100+模拟分析!$G$12/100))))</f>
        <v>0</v>
      </c>
      <c r="O30">
        <f t="shared" ca="1" si="3"/>
        <v>0</v>
      </c>
    </row>
    <row r="31" spans="2:15" x14ac:dyDescent="0.15">
      <c r="B31" s="2" t="str">
        <f ca="1">IF(B30="","",IF(B30&lt;$E$1,[1]!b_anal_nxcupn($C$1,B30+1),""))</f>
        <v/>
      </c>
      <c r="C31" s="4">
        <f ca="1">IF(B31="",0,IF(模拟分析!$K$9=0,[1]!b_anal_dailycf($C$1,B31),IF(模拟分析!$I$11="否",[1]!b_anal_dailycf($C$1,B31),IF(B31&lt;模拟分析!$K$12,[1]!b_anal_dailycf($C$1,B31),IF(B31=模拟分析!$K$12,[1]!b_anal_dailycf($C$1,B31)+模拟分析!$K$11,0)))))</f>
        <v>0</v>
      </c>
      <c r="D31" s="3">
        <f t="shared" ca="1" si="2"/>
        <v>0</v>
      </c>
      <c r="E31" s="5">
        <f ca="1">IF($B31="",0,IF($D31-E$2/365&lt;=0,0,(IF(模拟分析!$I$12="到期平移法",[1]!B_CALC_CURVE_CHINABOND($I$1,$G$1,$D31-E$2/365),(((1+[1]!B_CALC_CURVE_CHINABOND($I$1,$G$1,$D31)/100)^$D31/(1+E$3/100)^(E$2/365))^(1/($D31-E$2/365))-1)*100+模拟分析!$G$12/100))))</f>
        <v>0</v>
      </c>
      <c r="F31" s="5">
        <f ca="1">IF($B31="",0,IF($D31-F$2/365&lt;=0,0,(IF(模拟分析!$I$12="到期平移法",[1]!B_CALC_CURVE_CHINABOND($I$1,$G$1,$D31-F$2/365),(((1+[1]!B_CALC_CURVE_CHINABOND($I$1,$G$1,$D31)/100)^$D31/(1+F$3/100)^(F$2/365))^(1/($D31-F$2/365))-1)*100+模拟分析!$G$12/100))))</f>
        <v>0</v>
      </c>
      <c r="G31" s="5">
        <f ca="1">IF($B31="",0,IF($D31-G$2/365&lt;=0,0,(IF(模拟分析!$I$12="到期平移法",[1]!B_CALC_CURVE_CHINABOND($I$1,$G$1,$D31-G$2/365),(((1+[1]!B_CALC_CURVE_CHINABOND($I$1,$G$1,$D31)/100)^$D31/(1+G$3/100)^(G$2/365))^(1/($D31-G$2/365))-1)*100+模拟分析!$G$12/100))))</f>
        <v>0</v>
      </c>
      <c r="H31" s="5">
        <f ca="1">IF($B31="",0,IF($D31-H$2/365&lt;=0,0,(IF(模拟分析!$I$12="到期平移法",[1]!B_CALC_CURVE_CHINABOND($I$1,$G$1,$D31-H$2/365),(((1+[1]!B_CALC_CURVE_CHINABOND($I$1,$G$1,$D31)/100)^$D31/(1+H$3/100)^(H$2/365))^(1/($D31-H$2/365))-1)*100+模拟分析!$G$12/100))))</f>
        <v>0</v>
      </c>
      <c r="I31" s="5">
        <f ca="1">IF($B31="",0,IF($D31-I$2/365&lt;=0,0,(IF(模拟分析!$I$12="到期平移法",[1]!B_CALC_CURVE_CHINABOND($I$1,$G$1,$D31-I$2/365),(((1+[1]!B_CALC_CURVE_CHINABOND($I$1,$G$1,$D31)/100)^$D31/(1+I$3/100)^(I$2/365))^(1/($D31-I$2/365))-1)*100+模拟分析!$G$12/100))))</f>
        <v>0</v>
      </c>
      <c r="J31" s="5">
        <f ca="1">IF($B31="",0,IF($D31-J$2/365&lt;=0,0,(IF(模拟分析!$I$12="到期平移法",[1]!B_CALC_CURVE_CHINABOND($I$1,$G$1,$D31-J$2/365),(((1+[1]!B_CALC_CURVE_CHINABOND($I$1,$G$1,$D31)/100)^$D31/(1+J$3/100)^(J$2/365))^(1/($D31-J$2/365))-1)*100+模拟分析!$G$12/100))))</f>
        <v>0</v>
      </c>
      <c r="K31" s="5">
        <f ca="1">IF($B31="",0,IF($D31-K$2/365&lt;=0,0,(IF(模拟分析!$I$12="到期平移法",[1]!B_CALC_CURVE_CHINABOND($I$1,$G$1,$D31-K$2/365),(((1+[1]!B_CALC_CURVE_CHINABOND($I$1,$G$1,$D31)/100)^$D31/(1+K$3/100)^(K$2/365))^(1/($D31-K$2/365))-1)*100+模拟分析!$G$12/100))))</f>
        <v>0</v>
      </c>
      <c r="L31" s="5">
        <f ca="1">IF($B31="",0,IF($D31-L$2/365&lt;=0,0,(IF(模拟分析!$I$12="到期平移法",[1]!B_CALC_CURVE_CHINABOND($I$1,$G$1,$D31-L$2/365),(((1+[1]!B_CALC_CURVE_CHINABOND($I$1,$G$1,$D31)/100)^$D31/(1+L$3/100)^(L$2/365))^(1/($D31-L$2/365))-1)*100+模拟分析!$G$12/100))))</f>
        <v>0</v>
      </c>
      <c r="M31" s="5">
        <f ca="1">IF($B31="",0,IF($D31-M$2/365&lt;=0,0,(IF(模拟分析!$I$12="到期平移法",[1]!B_CALC_CURVE_CHINABOND($I$1,$G$1,$D31-M$2/365),(((1+[1]!B_CALC_CURVE_CHINABOND($I$1,$G$1,$D31)/100)^$D31/(1+M$3/100)^(M$2/365))^(1/($D31-M$2/365))-1)*100+模拟分析!$G$12/100))))</f>
        <v>0</v>
      </c>
      <c r="N31" s="5">
        <f ca="1">IF($B31="",0,IF($D31-N$2/365&lt;=0,0,(IF(模拟分析!$I$12="到期平移法",[1]!B_CALC_CURVE_CHINABOND($I$1,$G$1,$D31-N$2/365),(((1+[1]!B_CALC_CURVE_CHINABOND($I$1,$G$1,$D31)/100)^$D31/(1+N$3/100)^(N$2/365))^(1/($D31-N$2/365))-1)*100+模拟分析!$G$12/100))))</f>
        <v>0</v>
      </c>
      <c r="O31">
        <f t="shared" ca="1" si="3"/>
        <v>0</v>
      </c>
    </row>
    <row r="32" spans="2:15" x14ac:dyDescent="0.15">
      <c r="B32" s="2" t="str">
        <f ca="1">IF(B31="","",IF(B31&lt;$E$1,[1]!b_anal_nxcupn($C$1,B31+1),""))</f>
        <v/>
      </c>
      <c r="C32" s="4">
        <f ca="1">IF(B32="",0,IF(模拟分析!$K$9=0,[1]!b_anal_dailycf($C$1,B32),IF(模拟分析!$I$11="否",[1]!b_anal_dailycf($C$1,B32),IF(B32&lt;模拟分析!$K$12,[1]!b_anal_dailycf($C$1,B32),IF(B32=模拟分析!$K$12,[1]!b_anal_dailycf($C$1,B32)+模拟分析!$K$11,0)))))</f>
        <v>0</v>
      </c>
      <c r="D32" s="3">
        <f t="shared" ca="1" si="2"/>
        <v>0</v>
      </c>
      <c r="E32" s="5">
        <f ca="1">IF($B32="",0,IF($D32-E$2/365&lt;=0,0,(IF(模拟分析!$I$12="到期平移法",[1]!B_CALC_CURVE_CHINABOND($I$1,$G$1,$D32-E$2/365),(((1+[1]!B_CALC_CURVE_CHINABOND($I$1,$G$1,$D32)/100)^$D32/(1+E$3/100)^(E$2/365))^(1/($D32-E$2/365))-1)*100+模拟分析!$G$12/100))))</f>
        <v>0</v>
      </c>
      <c r="F32" s="5">
        <f ca="1">IF($B32="",0,IF($D32-F$2/365&lt;=0,0,(IF(模拟分析!$I$12="到期平移法",[1]!B_CALC_CURVE_CHINABOND($I$1,$G$1,$D32-F$2/365),(((1+[1]!B_CALC_CURVE_CHINABOND($I$1,$G$1,$D32)/100)^$D32/(1+F$3/100)^(F$2/365))^(1/($D32-F$2/365))-1)*100+模拟分析!$G$12/100))))</f>
        <v>0</v>
      </c>
      <c r="G32" s="5">
        <f ca="1">IF($B32="",0,IF($D32-G$2/365&lt;=0,0,(IF(模拟分析!$I$12="到期平移法",[1]!B_CALC_CURVE_CHINABOND($I$1,$G$1,$D32-G$2/365),(((1+[1]!B_CALC_CURVE_CHINABOND($I$1,$G$1,$D32)/100)^$D32/(1+G$3/100)^(G$2/365))^(1/($D32-G$2/365))-1)*100+模拟分析!$G$12/100))))</f>
        <v>0</v>
      </c>
      <c r="H32" s="5">
        <f ca="1">IF($B32="",0,IF($D32-H$2/365&lt;=0,0,(IF(模拟分析!$I$12="到期平移法",[1]!B_CALC_CURVE_CHINABOND($I$1,$G$1,$D32-H$2/365),(((1+[1]!B_CALC_CURVE_CHINABOND($I$1,$G$1,$D32)/100)^$D32/(1+H$3/100)^(H$2/365))^(1/($D32-H$2/365))-1)*100+模拟分析!$G$12/100))))</f>
        <v>0</v>
      </c>
      <c r="I32" s="5">
        <f ca="1">IF($B32="",0,IF($D32-I$2/365&lt;=0,0,(IF(模拟分析!$I$12="到期平移法",[1]!B_CALC_CURVE_CHINABOND($I$1,$G$1,$D32-I$2/365),(((1+[1]!B_CALC_CURVE_CHINABOND($I$1,$G$1,$D32)/100)^$D32/(1+I$3/100)^(I$2/365))^(1/($D32-I$2/365))-1)*100+模拟分析!$G$12/100))))</f>
        <v>0</v>
      </c>
      <c r="J32" s="5">
        <f ca="1">IF($B32="",0,IF($D32-J$2/365&lt;=0,0,(IF(模拟分析!$I$12="到期平移法",[1]!B_CALC_CURVE_CHINABOND($I$1,$G$1,$D32-J$2/365),(((1+[1]!B_CALC_CURVE_CHINABOND($I$1,$G$1,$D32)/100)^$D32/(1+J$3/100)^(J$2/365))^(1/($D32-J$2/365))-1)*100+模拟分析!$G$12/100))))</f>
        <v>0</v>
      </c>
      <c r="K32" s="5">
        <f ca="1">IF($B32="",0,IF($D32-K$2/365&lt;=0,0,(IF(模拟分析!$I$12="到期平移法",[1]!B_CALC_CURVE_CHINABOND($I$1,$G$1,$D32-K$2/365),(((1+[1]!B_CALC_CURVE_CHINABOND($I$1,$G$1,$D32)/100)^$D32/(1+K$3/100)^(K$2/365))^(1/($D32-K$2/365))-1)*100+模拟分析!$G$12/100))))</f>
        <v>0</v>
      </c>
      <c r="L32" s="5">
        <f ca="1">IF($B32="",0,IF($D32-L$2/365&lt;=0,0,(IF(模拟分析!$I$12="到期平移法",[1]!B_CALC_CURVE_CHINABOND($I$1,$G$1,$D32-L$2/365),(((1+[1]!B_CALC_CURVE_CHINABOND($I$1,$G$1,$D32)/100)^$D32/(1+L$3/100)^(L$2/365))^(1/($D32-L$2/365))-1)*100+模拟分析!$G$12/100))))</f>
        <v>0</v>
      </c>
      <c r="M32" s="5">
        <f ca="1">IF($B32="",0,IF($D32-M$2/365&lt;=0,0,(IF(模拟分析!$I$12="到期平移法",[1]!B_CALC_CURVE_CHINABOND($I$1,$G$1,$D32-M$2/365),(((1+[1]!B_CALC_CURVE_CHINABOND($I$1,$G$1,$D32)/100)^$D32/(1+M$3/100)^(M$2/365))^(1/($D32-M$2/365))-1)*100+模拟分析!$G$12/100))))</f>
        <v>0</v>
      </c>
      <c r="N32" s="5">
        <f ca="1">IF($B32="",0,IF($D32-N$2/365&lt;=0,0,(IF(模拟分析!$I$12="到期平移法",[1]!B_CALC_CURVE_CHINABOND($I$1,$G$1,$D32-N$2/365),(((1+[1]!B_CALC_CURVE_CHINABOND($I$1,$G$1,$D32)/100)^$D32/(1+N$3/100)^(N$2/365))^(1/($D32-N$2/365))-1)*100+模拟分析!$G$12/100))))</f>
        <v>0</v>
      </c>
      <c r="O32">
        <f t="shared" ca="1" si="3"/>
        <v>0</v>
      </c>
    </row>
    <row r="33" spans="2:15" x14ac:dyDescent="0.15">
      <c r="B33" s="2" t="str">
        <f ca="1">IF(B32="","",IF(B32&lt;$E$1,[1]!b_anal_nxcupn($C$1,B32+1),""))</f>
        <v/>
      </c>
      <c r="C33" s="4">
        <f ca="1">IF(B33="",0,IF(模拟分析!$K$9=0,[1]!b_anal_dailycf($C$1,B33),IF(模拟分析!$I$11="否",[1]!b_anal_dailycf($C$1,B33),IF(B33&lt;模拟分析!$K$12,[1]!b_anal_dailycf($C$1,B33),IF(B33=模拟分析!$K$12,[1]!b_anal_dailycf($C$1,B33)+模拟分析!$K$11,0)))))</f>
        <v>0</v>
      </c>
      <c r="D33" s="3">
        <f t="shared" ca="1" si="2"/>
        <v>0</v>
      </c>
      <c r="E33" s="5">
        <f ca="1">IF($B33="",0,IF($D33-E$2/365&lt;=0,0,(IF(模拟分析!$I$12="到期平移法",[1]!B_CALC_CURVE_CHINABOND($I$1,$G$1,$D33-E$2/365),(((1+[1]!B_CALC_CURVE_CHINABOND($I$1,$G$1,$D33)/100)^$D33/(1+E$3/100)^(E$2/365))^(1/($D33-E$2/365))-1)*100+模拟分析!$G$12/100))))</f>
        <v>0</v>
      </c>
      <c r="F33" s="5">
        <f ca="1">IF($B33="",0,IF($D33-F$2/365&lt;=0,0,(IF(模拟分析!$I$12="到期平移法",[1]!B_CALC_CURVE_CHINABOND($I$1,$G$1,$D33-F$2/365),(((1+[1]!B_CALC_CURVE_CHINABOND($I$1,$G$1,$D33)/100)^$D33/(1+F$3/100)^(F$2/365))^(1/($D33-F$2/365))-1)*100+模拟分析!$G$12/100))))</f>
        <v>0</v>
      </c>
      <c r="G33" s="5">
        <f ca="1">IF($B33="",0,IF($D33-G$2/365&lt;=0,0,(IF(模拟分析!$I$12="到期平移法",[1]!B_CALC_CURVE_CHINABOND($I$1,$G$1,$D33-G$2/365),(((1+[1]!B_CALC_CURVE_CHINABOND($I$1,$G$1,$D33)/100)^$D33/(1+G$3/100)^(G$2/365))^(1/($D33-G$2/365))-1)*100+模拟分析!$G$12/100))))</f>
        <v>0</v>
      </c>
      <c r="H33" s="5">
        <f ca="1">IF($B33="",0,IF($D33-H$2/365&lt;=0,0,(IF(模拟分析!$I$12="到期平移法",[1]!B_CALC_CURVE_CHINABOND($I$1,$G$1,$D33-H$2/365),(((1+[1]!B_CALC_CURVE_CHINABOND($I$1,$G$1,$D33)/100)^$D33/(1+H$3/100)^(H$2/365))^(1/($D33-H$2/365))-1)*100+模拟分析!$G$12/100))))</f>
        <v>0</v>
      </c>
      <c r="I33" s="5">
        <f ca="1">IF($B33="",0,IF($D33-I$2/365&lt;=0,0,(IF(模拟分析!$I$12="到期平移法",[1]!B_CALC_CURVE_CHINABOND($I$1,$G$1,$D33-I$2/365),(((1+[1]!B_CALC_CURVE_CHINABOND($I$1,$G$1,$D33)/100)^$D33/(1+I$3/100)^(I$2/365))^(1/($D33-I$2/365))-1)*100+模拟分析!$G$12/100))))</f>
        <v>0</v>
      </c>
      <c r="J33" s="5">
        <f ca="1">IF($B33="",0,IF($D33-J$2/365&lt;=0,0,(IF(模拟分析!$I$12="到期平移法",[1]!B_CALC_CURVE_CHINABOND($I$1,$G$1,$D33-J$2/365),(((1+[1]!B_CALC_CURVE_CHINABOND($I$1,$G$1,$D33)/100)^$D33/(1+J$3/100)^(J$2/365))^(1/($D33-J$2/365))-1)*100+模拟分析!$G$12/100))))</f>
        <v>0</v>
      </c>
      <c r="K33" s="5">
        <f ca="1">IF($B33="",0,IF($D33-K$2/365&lt;=0,0,(IF(模拟分析!$I$12="到期平移法",[1]!B_CALC_CURVE_CHINABOND($I$1,$G$1,$D33-K$2/365),(((1+[1]!B_CALC_CURVE_CHINABOND($I$1,$G$1,$D33)/100)^$D33/(1+K$3/100)^(K$2/365))^(1/($D33-K$2/365))-1)*100+模拟分析!$G$12/100))))</f>
        <v>0</v>
      </c>
      <c r="L33" s="5">
        <f ca="1">IF($B33="",0,IF($D33-L$2/365&lt;=0,0,(IF(模拟分析!$I$12="到期平移法",[1]!B_CALC_CURVE_CHINABOND($I$1,$G$1,$D33-L$2/365),(((1+[1]!B_CALC_CURVE_CHINABOND($I$1,$G$1,$D33)/100)^$D33/(1+L$3/100)^(L$2/365))^(1/($D33-L$2/365))-1)*100+模拟分析!$G$12/100))))</f>
        <v>0</v>
      </c>
      <c r="M33" s="5">
        <f ca="1">IF($B33="",0,IF($D33-M$2/365&lt;=0,0,(IF(模拟分析!$I$12="到期平移法",[1]!B_CALC_CURVE_CHINABOND($I$1,$G$1,$D33-M$2/365),(((1+[1]!B_CALC_CURVE_CHINABOND($I$1,$G$1,$D33)/100)^$D33/(1+M$3/100)^(M$2/365))^(1/($D33-M$2/365))-1)*100+模拟分析!$G$12/100))))</f>
        <v>0</v>
      </c>
      <c r="N33" s="5">
        <f ca="1">IF($B33="",0,IF($D33-N$2/365&lt;=0,0,(IF(模拟分析!$I$12="到期平移法",[1]!B_CALC_CURVE_CHINABOND($I$1,$G$1,$D33-N$2/365),(((1+[1]!B_CALC_CURVE_CHINABOND($I$1,$G$1,$D33)/100)^$D33/(1+N$3/100)^(N$2/365))^(1/($D33-N$2/365))-1)*100+模拟分析!$G$12/100))))</f>
        <v>0</v>
      </c>
      <c r="O33">
        <f t="shared" ca="1" si="3"/>
        <v>0</v>
      </c>
    </row>
    <row r="34" spans="2:15" x14ac:dyDescent="0.15">
      <c r="B34" s="2" t="str">
        <f ca="1">IF(B33="","",IF(B33&lt;$E$1,[1]!b_anal_nxcupn($C$1,B33+1),""))</f>
        <v/>
      </c>
      <c r="C34" s="4">
        <f ca="1">IF(B34="",0,IF(模拟分析!$K$9=0,[1]!b_anal_dailycf($C$1,B34),IF(模拟分析!$I$11="否",[1]!b_anal_dailycf($C$1,B34),IF(B34&lt;模拟分析!$K$12,[1]!b_anal_dailycf($C$1,B34),IF(B34=模拟分析!$K$12,[1]!b_anal_dailycf($C$1,B34)+模拟分析!$K$11,0)))))</f>
        <v>0</v>
      </c>
      <c r="D34" s="3">
        <f t="shared" ca="1" si="2"/>
        <v>0</v>
      </c>
      <c r="E34" s="5">
        <f ca="1">IF($B34="",0,IF($D34-E$2/365&lt;=0,0,(IF(模拟分析!$I$12="到期平移法",[1]!B_CALC_CURVE_CHINABOND($I$1,$G$1,$D34-E$2/365),(((1+[1]!B_CALC_CURVE_CHINABOND($I$1,$G$1,$D34)/100)^$D34/(1+E$3/100)^(E$2/365))^(1/($D34-E$2/365))-1)*100+模拟分析!$G$12/100))))</f>
        <v>0</v>
      </c>
      <c r="F34" s="5">
        <f ca="1">IF($B34="",0,IF($D34-F$2/365&lt;=0,0,(IF(模拟分析!$I$12="到期平移法",[1]!B_CALC_CURVE_CHINABOND($I$1,$G$1,$D34-F$2/365),(((1+[1]!B_CALC_CURVE_CHINABOND($I$1,$G$1,$D34)/100)^$D34/(1+F$3/100)^(F$2/365))^(1/($D34-F$2/365))-1)*100+模拟分析!$G$12/100))))</f>
        <v>0</v>
      </c>
      <c r="G34" s="5">
        <f ca="1">IF($B34="",0,IF($D34-G$2/365&lt;=0,0,(IF(模拟分析!$I$12="到期平移法",[1]!B_CALC_CURVE_CHINABOND($I$1,$G$1,$D34-G$2/365),(((1+[1]!B_CALC_CURVE_CHINABOND($I$1,$G$1,$D34)/100)^$D34/(1+G$3/100)^(G$2/365))^(1/($D34-G$2/365))-1)*100+模拟分析!$G$12/100))))</f>
        <v>0</v>
      </c>
      <c r="H34" s="5">
        <f ca="1">IF($B34="",0,IF($D34-H$2/365&lt;=0,0,(IF(模拟分析!$I$12="到期平移法",[1]!B_CALC_CURVE_CHINABOND($I$1,$G$1,$D34-H$2/365),(((1+[1]!B_CALC_CURVE_CHINABOND($I$1,$G$1,$D34)/100)^$D34/(1+H$3/100)^(H$2/365))^(1/($D34-H$2/365))-1)*100+模拟分析!$G$12/100))))</f>
        <v>0</v>
      </c>
      <c r="I34" s="5">
        <f ca="1">IF($B34="",0,IF($D34-I$2/365&lt;=0,0,(IF(模拟分析!$I$12="到期平移法",[1]!B_CALC_CURVE_CHINABOND($I$1,$G$1,$D34-I$2/365),(((1+[1]!B_CALC_CURVE_CHINABOND($I$1,$G$1,$D34)/100)^$D34/(1+I$3/100)^(I$2/365))^(1/($D34-I$2/365))-1)*100+模拟分析!$G$12/100))))</f>
        <v>0</v>
      </c>
      <c r="J34" s="5">
        <f ca="1">IF($B34="",0,IF($D34-J$2/365&lt;=0,0,(IF(模拟分析!$I$12="到期平移法",[1]!B_CALC_CURVE_CHINABOND($I$1,$G$1,$D34-J$2/365),(((1+[1]!B_CALC_CURVE_CHINABOND($I$1,$G$1,$D34)/100)^$D34/(1+J$3/100)^(J$2/365))^(1/($D34-J$2/365))-1)*100+模拟分析!$G$12/100))))</f>
        <v>0</v>
      </c>
      <c r="K34" s="5">
        <f ca="1">IF($B34="",0,IF($D34-K$2/365&lt;=0,0,(IF(模拟分析!$I$12="到期平移法",[1]!B_CALC_CURVE_CHINABOND($I$1,$G$1,$D34-K$2/365),(((1+[1]!B_CALC_CURVE_CHINABOND($I$1,$G$1,$D34)/100)^$D34/(1+K$3/100)^(K$2/365))^(1/($D34-K$2/365))-1)*100+模拟分析!$G$12/100))))</f>
        <v>0</v>
      </c>
      <c r="L34" s="5">
        <f ca="1">IF($B34="",0,IF($D34-L$2/365&lt;=0,0,(IF(模拟分析!$I$12="到期平移法",[1]!B_CALC_CURVE_CHINABOND($I$1,$G$1,$D34-L$2/365),(((1+[1]!B_CALC_CURVE_CHINABOND($I$1,$G$1,$D34)/100)^$D34/(1+L$3/100)^(L$2/365))^(1/($D34-L$2/365))-1)*100+模拟分析!$G$12/100))))</f>
        <v>0</v>
      </c>
      <c r="M34" s="5">
        <f ca="1">IF($B34="",0,IF($D34-M$2/365&lt;=0,0,(IF(模拟分析!$I$12="到期平移法",[1]!B_CALC_CURVE_CHINABOND($I$1,$G$1,$D34-M$2/365),(((1+[1]!B_CALC_CURVE_CHINABOND($I$1,$G$1,$D34)/100)^$D34/(1+M$3/100)^(M$2/365))^(1/($D34-M$2/365))-1)*100+模拟分析!$G$12/100))))</f>
        <v>0</v>
      </c>
      <c r="N34" s="5">
        <f ca="1">IF($B34="",0,IF($D34-N$2/365&lt;=0,0,(IF(模拟分析!$I$12="到期平移法",[1]!B_CALC_CURVE_CHINABOND($I$1,$G$1,$D34-N$2/365),(((1+[1]!B_CALC_CURVE_CHINABOND($I$1,$G$1,$D34)/100)^$D34/(1+N$3/100)^(N$2/365))^(1/($D34-N$2/365))-1)*100+模拟分析!$G$12/100))))</f>
        <v>0</v>
      </c>
      <c r="O34">
        <f t="shared" ca="1" si="3"/>
        <v>0</v>
      </c>
    </row>
    <row r="35" spans="2:15" x14ac:dyDescent="0.15">
      <c r="B35" s="2" t="str">
        <f ca="1">IF(B34="","",IF(B34&lt;$E$1,[1]!b_anal_nxcupn($C$1,B34+1),""))</f>
        <v/>
      </c>
      <c r="C35" s="4">
        <f ca="1">IF(B35="",0,IF(模拟分析!$K$9=0,[1]!b_anal_dailycf($C$1,B35),IF(模拟分析!$I$11="否",[1]!b_anal_dailycf($C$1,B35),IF(B35&lt;模拟分析!$K$12,[1]!b_anal_dailycf($C$1,B35),IF(B35=模拟分析!$K$12,[1]!b_anal_dailycf($C$1,B35)+模拟分析!$K$11,0)))))</f>
        <v>0</v>
      </c>
      <c r="D35" s="3">
        <f t="shared" ca="1" si="2"/>
        <v>0</v>
      </c>
      <c r="E35" s="5">
        <f ca="1">IF($B35="",0,IF($D35-E$2/365&lt;=0,0,(IF(模拟分析!$I$12="到期平移法",[1]!B_CALC_CURVE_CHINABOND($I$1,$G$1,$D35-E$2/365),(((1+[1]!B_CALC_CURVE_CHINABOND($I$1,$G$1,$D35)/100)^$D35/(1+E$3/100)^(E$2/365))^(1/($D35-E$2/365))-1)*100+模拟分析!$G$12/100))))</f>
        <v>0</v>
      </c>
      <c r="F35" s="5">
        <f ca="1">IF($B35="",0,IF($D35-F$2/365&lt;=0,0,(IF(模拟分析!$I$12="到期平移法",[1]!B_CALC_CURVE_CHINABOND($I$1,$G$1,$D35-F$2/365),(((1+[1]!B_CALC_CURVE_CHINABOND($I$1,$G$1,$D35)/100)^$D35/(1+F$3/100)^(F$2/365))^(1/($D35-F$2/365))-1)*100+模拟分析!$G$12/100))))</f>
        <v>0</v>
      </c>
      <c r="G35" s="5">
        <f ca="1">IF($B35="",0,IF($D35-G$2/365&lt;=0,0,(IF(模拟分析!$I$12="到期平移法",[1]!B_CALC_CURVE_CHINABOND($I$1,$G$1,$D35-G$2/365),(((1+[1]!B_CALC_CURVE_CHINABOND($I$1,$G$1,$D35)/100)^$D35/(1+G$3/100)^(G$2/365))^(1/($D35-G$2/365))-1)*100+模拟分析!$G$12/100))))</f>
        <v>0</v>
      </c>
      <c r="H35" s="5">
        <f ca="1">IF($B35="",0,IF($D35-H$2/365&lt;=0,0,(IF(模拟分析!$I$12="到期平移法",[1]!B_CALC_CURVE_CHINABOND($I$1,$G$1,$D35-H$2/365),(((1+[1]!B_CALC_CURVE_CHINABOND($I$1,$G$1,$D35)/100)^$D35/(1+H$3/100)^(H$2/365))^(1/($D35-H$2/365))-1)*100+模拟分析!$G$12/100))))</f>
        <v>0</v>
      </c>
      <c r="I35" s="5">
        <f ca="1">IF($B35="",0,IF($D35-I$2/365&lt;=0,0,(IF(模拟分析!$I$12="到期平移法",[1]!B_CALC_CURVE_CHINABOND($I$1,$G$1,$D35-I$2/365),(((1+[1]!B_CALC_CURVE_CHINABOND($I$1,$G$1,$D35)/100)^$D35/(1+I$3/100)^(I$2/365))^(1/($D35-I$2/365))-1)*100+模拟分析!$G$12/100))))</f>
        <v>0</v>
      </c>
      <c r="J35" s="5">
        <f ca="1">IF($B35="",0,IF($D35-J$2/365&lt;=0,0,(IF(模拟分析!$I$12="到期平移法",[1]!B_CALC_CURVE_CHINABOND($I$1,$G$1,$D35-J$2/365),(((1+[1]!B_CALC_CURVE_CHINABOND($I$1,$G$1,$D35)/100)^$D35/(1+J$3/100)^(J$2/365))^(1/($D35-J$2/365))-1)*100+模拟分析!$G$12/100))))</f>
        <v>0</v>
      </c>
      <c r="K35" s="5">
        <f ca="1">IF($B35="",0,IF($D35-K$2/365&lt;=0,0,(IF(模拟分析!$I$12="到期平移法",[1]!B_CALC_CURVE_CHINABOND($I$1,$G$1,$D35-K$2/365),(((1+[1]!B_CALC_CURVE_CHINABOND($I$1,$G$1,$D35)/100)^$D35/(1+K$3/100)^(K$2/365))^(1/($D35-K$2/365))-1)*100+模拟分析!$G$12/100))))</f>
        <v>0</v>
      </c>
      <c r="L35" s="5">
        <f ca="1">IF($B35="",0,IF($D35-L$2/365&lt;=0,0,(IF(模拟分析!$I$12="到期平移法",[1]!B_CALC_CURVE_CHINABOND($I$1,$G$1,$D35-L$2/365),(((1+[1]!B_CALC_CURVE_CHINABOND($I$1,$G$1,$D35)/100)^$D35/(1+L$3/100)^(L$2/365))^(1/($D35-L$2/365))-1)*100+模拟分析!$G$12/100))))</f>
        <v>0</v>
      </c>
      <c r="M35" s="5">
        <f ca="1">IF($B35="",0,IF($D35-M$2/365&lt;=0,0,(IF(模拟分析!$I$12="到期平移法",[1]!B_CALC_CURVE_CHINABOND($I$1,$G$1,$D35-M$2/365),(((1+[1]!B_CALC_CURVE_CHINABOND($I$1,$G$1,$D35)/100)^$D35/(1+M$3/100)^(M$2/365))^(1/($D35-M$2/365))-1)*100+模拟分析!$G$12/100))))</f>
        <v>0</v>
      </c>
      <c r="N35" s="5">
        <f ca="1">IF($B35="",0,IF($D35-N$2/365&lt;=0,0,(IF(模拟分析!$I$12="到期平移法",[1]!B_CALC_CURVE_CHINABOND($I$1,$G$1,$D35-N$2/365),(((1+[1]!B_CALC_CURVE_CHINABOND($I$1,$G$1,$D35)/100)^$D35/(1+N$3/100)^(N$2/365))^(1/($D35-N$2/365))-1)*100+模拟分析!$G$12/100))))</f>
        <v>0</v>
      </c>
      <c r="O35">
        <f t="shared" ca="1" si="3"/>
        <v>0</v>
      </c>
    </row>
    <row r="36" spans="2:15" x14ac:dyDescent="0.15">
      <c r="B36" s="2" t="str">
        <f ca="1">IF(B35="","",IF(B35&lt;$E$1,[1]!b_anal_nxcupn($C$1,B35+1),""))</f>
        <v/>
      </c>
      <c r="C36" s="4">
        <f ca="1">IF(B36="",0,IF(模拟分析!$K$9=0,[1]!b_anal_dailycf($C$1,B36),IF(模拟分析!$I$11="否",[1]!b_anal_dailycf($C$1,B36),IF(B36&lt;模拟分析!$K$12,[1]!b_anal_dailycf($C$1,B36),IF(B36=模拟分析!$K$12,[1]!b_anal_dailycf($C$1,B36)+模拟分析!$K$11,0)))))</f>
        <v>0</v>
      </c>
      <c r="D36" s="3">
        <f t="shared" ca="1" si="2"/>
        <v>0</v>
      </c>
      <c r="E36" s="5">
        <f ca="1">IF($B36="",0,IF($D36-E$2/365&lt;=0,0,(IF(模拟分析!$I$12="到期平移法",[1]!B_CALC_CURVE_CHINABOND($I$1,$G$1,$D36-E$2/365),(((1+[1]!B_CALC_CURVE_CHINABOND($I$1,$G$1,$D36)/100)^$D36/(1+E$3/100)^(E$2/365))^(1/($D36-E$2/365))-1)*100+模拟分析!$G$12/100))))</f>
        <v>0</v>
      </c>
      <c r="F36" s="5">
        <f ca="1">IF($B36="",0,IF($D36-F$2/365&lt;=0,0,(IF(模拟分析!$I$12="到期平移法",[1]!B_CALC_CURVE_CHINABOND($I$1,$G$1,$D36-F$2/365),(((1+[1]!B_CALC_CURVE_CHINABOND($I$1,$G$1,$D36)/100)^$D36/(1+F$3/100)^(F$2/365))^(1/($D36-F$2/365))-1)*100+模拟分析!$G$12/100))))</f>
        <v>0</v>
      </c>
      <c r="G36" s="5">
        <f ca="1">IF($B36="",0,IF($D36-G$2/365&lt;=0,0,(IF(模拟分析!$I$12="到期平移法",[1]!B_CALC_CURVE_CHINABOND($I$1,$G$1,$D36-G$2/365),(((1+[1]!B_CALC_CURVE_CHINABOND($I$1,$G$1,$D36)/100)^$D36/(1+G$3/100)^(G$2/365))^(1/($D36-G$2/365))-1)*100+模拟分析!$G$12/100))))</f>
        <v>0</v>
      </c>
      <c r="H36" s="5">
        <f ca="1">IF($B36="",0,IF($D36-H$2/365&lt;=0,0,(IF(模拟分析!$I$12="到期平移法",[1]!B_CALC_CURVE_CHINABOND($I$1,$G$1,$D36-H$2/365),(((1+[1]!B_CALC_CURVE_CHINABOND($I$1,$G$1,$D36)/100)^$D36/(1+H$3/100)^(H$2/365))^(1/($D36-H$2/365))-1)*100+模拟分析!$G$12/100))))</f>
        <v>0</v>
      </c>
      <c r="I36" s="5">
        <f ca="1">IF($B36="",0,IF($D36-I$2/365&lt;=0,0,(IF(模拟分析!$I$12="到期平移法",[1]!B_CALC_CURVE_CHINABOND($I$1,$G$1,$D36-I$2/365),(((1+[1]!B_CALC_CURVE_CHINABOND($I$1,$G$1,$D36)/100)^$D36/(1+I$3/100)^(I$2/365))^(1/($D36-I$2/365))-1)*100+模拟分析!$G$12/100))))</f>
        <v>0</v>
      </c>
      <c r="J36" s="5">
        <f ca="1">IF($B36="",0,IF($D36-J$2/365&lt;=0,0,(IF(模拟分析!$I$12="到期平移法",[1]!B_CALC_CURVE_CHINABOND($I$1,$G$1,$D36-J$2/365),(((1+[1]!B_CALC_CURVE_CHINABOND($I$1,$G$1,$D36)/100)^$D36/(1+J$3/100)^(J$2/365))^(1/($D36-J$2/365))-1)*100+模拟分析!$G$12/100))))</f>
        <v>0</v>
      </c>
      <c r="K36" s="5">
        <f ca="1">IF($B36="",0,IF($D36-K$2/365&lt;=0,0,(IF(模拟分析!$I$12="到期平移法",[1]!B_CALC_CURVE_CHINABOND($I$1,$G$1,$D36-K$2/365),(((1+[1]!B_CALC_CURVE_CHINABOND($I$1,$G$1,$D36)/100)^$D36/(1+K$3/100)^(K$2/365))^(1/($D36-K$2/365))-1)*100+模拟分析!$G$12/100))))</f>
        <v>0</v>
      </c>
      <c r="L36" s="5">
        <f ca="1">IF($B36="",0,IF($D36-L$2/365&lt;=0,0,(IF(模拟分析!$I$12="到期平移法",[1]!B_CALC_CURVE_CHINABOND($I$1,$G$1,$D36-L$2/365),(((1+[1]!B_CALC_CURVE_CHINABOND($I$1,$G$1,$D36)/100)^$D36/(1+L$3/100)^(L$2/365))^(1/($D36-L$2/365))-1)*100+模拟分析!$G$12/100))))</f>
        <v>0</v>
      </c>
      <c r="M36" s="5">
        <f ca="1">IF($B36="",0,IF($D36-M$2/365&lt;=0,0,(IF(模拟分析!$I$12="到期平移法",[1]!B_CALC_CURVE_CHINABOND($I$1,$G$1,$D36-M$2/365),(((1+[1]!B_CALC_CURVE_CHINABOND($I$1,$G$1,$D36)/100)^$D36/(1+M$3/100)^(M$2/365))^(1/($D36-M$2/365))-1)*100+模拟分析!$G$12/100))))</f>
        <v>0</v>
      </c>
      <c r="N36" s="5">
        <f ca="1">IF($B36="",0,IF($D36-N$2/365&lt;=0,0,(IF(模拟分析!$I$12="到期平移法",[1]!B_CALC_CURVE_CHINABOND($I$1,$G$1,$D36-N$2/365),(((1+[1]!B_CALC_CURVE_CHINABOND($I$1,$G$1,$D36)/100)^$D36/(1+N$3/100)^(N$2/365))^(1/($D36-N$2/365))-1)*100+模拟分析!$G$12/100))))</f>
        <v>0</v>
      </c>
      <c r="O36">
        <f t="shared" ca="1" si="3"/>
        <v>0</v>
      </c>
    </row>
    <row r="37" spans="2:15" x14ac:dyDescent="0.15">
      <c r="B37" s="2" t="str">
        <f ca="1">IF(B36="","",IF(B36&lt;$E$1,[1]!b_anal_nxcupn($C$1,B36+1),""))</f>
        <v/>
      </c>
      <c r="C37" s="4">
        <f ca="1">IF(B37="",0,IF(模拟分析!$K$9=0,[1]!b_anal_dailycf($C$1,B37),IF(模拟分析!$I$11="否",[1]!b_anal_dailycf($C$1,B37),IF(B37&lt;模拟分析!$K$12,[1]!b_anal_dailycf($C$1,B37),IF(B37=模拟分析!$K$12,[1]!b_anal_dailycf($C$1,B37)+模拟分析!$K$11,0)))))</f>
        <v>0</v>
      </c>
      <c r="D37" s="3">
        <f t="shared" ca="1" si="2"/>
        <v>0</v>
      </c>
      <c r="E37" s="5">
        <f ca="1">IF($B37="",0,IF($D37-E$2/365&lt;=0,0,(IF(模拟分析!$I$12="到期平移法",[1]!B_CALC_CURVE_CHINABOND($I$1,$G$1,$D37-E$2/365),(((1+[1]!B_CALC_CURVE_CHINABOND($I$1,$G$1,$D37)/100)^$D37/(1+E$3/100)^(E$2/365))^(1/($D37-E$2/365))-1)*100+模拟分析!$G$12/100))))</f>
        <v>0</v>
      </c>
      <c r="F37" s="5">
        <f ca="1">IF($B37="",0,IF($D37-F$2/365&lt;=0,0,(IF(模拟分析!$I$12="到期平移法",[1]!B_CALC_CURVE_CHINABOND($I$1,$G$1,$D37-F$2/365),(((1+[1]!B_CALC_CURVE_CHINABOND($I$1,$G$1,$D37)/100)^$D37/(1+F$3/100)^(F$2/365))^(1/($D37-F$2/365))-1)*100+模拟分析!$G$12/100))))</f>
        <v>0</v>
      </c>
      <c r="G37" s="5">
        <f ca="1">IF($B37="",0,IF($D37-G$2/365&lt;=0,0,(IF(模拟分析!$I$12="到期平移法",[1]!B_CALC_CURVE_CHINABOND($I$1,$G$1,$D37-G$2/365),(((1+[1]!B_CALC_CURVE_CHINABOND($I$1,$G$1,$D37)/100)^$D37/(1+G$3/100)^(G$2/365))^(1/($D37-G$2/365))-1)*100+模拟分析!$G$12/100))))</f>
        <v>0</v>
      </c>
      <c r="H37" s="5">
        <f ca="1">IF($B37="",0,IF($D37-H$2/365&lt;=0,0,(IF(模拟分析!$I$12="到期平移法",[1]!B_CALC_CURVE_CHINABOND($I$1,$G$1,$D37-H$2/365),(((1+[1]!B_CALC_CURVE_CHINABOND($I$1,$G$1,$D37)/100)^$D37/(1+H$3/100)^(H$2/365))^(1/($D37-H$2/365))-1)*100+模拟分析!$G$12/100))))</f>
        <v>0</v>
      </c>
      <c r="I37" s="5">
        <f ca="1">IF($B37="",0,IF($D37-I$2/365&lt;=0,0,(IF(模拟分析!$I$12="到期平移法",[1]!B_CALC_CURVE_CHINABOND($I$1,$G$1,$D37-I$2/365),(((1+[1]!B_CALC_CURVE_CHINABOND($I$1,$G$1,$D37)/100)^$D37/(1+I$3/100)^(I$2/365))^(1/($D37-I$2/365))-1)*100+模拟分析!$G$12/100))))</f>
        <v>0</v>
      </c>
      <c r="J37" s="5">
        <f ca="1">IF($B37="",0,IF($D37-J$2/365&lt;=0,0,(IF(模拟分析!$I$12="到期平移法",[1]!B_CALC_CURVE_CHINABOND($I$1,$G$1,$D37-J$2/365),(((1+[1]!B_CALC_CURVE_CHINABOND($I$1,$G$1,$D37)/100)^$D37/(1+J$3/100)^(J$2/365))^(1/($D37-J$2/365))-1)*100+模拟分析!$G$12/100))))</f>
        <v>0</v>
      </c>
      <c r="K37" s="5">
        <f ca="1">IF($B37="",0,IF($D37-K$2/365&lt;=0,0,(IF(模拟分析!$I$12="到期平移法",[1]!B_CALC_CURVE_CHINABOND($I$1,$G$1,$D37-K$2/365),(((1+[1]!B_CALC_CURVE_CHINABOND($I$1,$G$1,$D37)/100)^$D37/(1+K$3/100)^(K$2/365))^(1/($D37-K$2/365))-1)*100+模拟分析!$G$12/100))))</f>
        <v>0</v>
      </c>
      <c r="L37" s="5">
        <f ca="1">IF($B37="",0,IF($D37-L$2/365&lt;=0,0,(IF(模拟分析!$I$12="到期平移法",[1]!B_CALC_CURVE_CHINABOND($I$1,$G$1,$D37-L$2/365),(((1+[1]!B_CALC_CURVE_CHINABOND($I$1,$G$1,$D37)/100)^$D37/(1+L$3/100)^(L$2/365))^(1/($D37-L$2/365))-1)*100+模拟分析!$G$12/100))))</f>
        <v>0</v>
      </c>
      <c r="M37" s="5">
        <f ca="1">IF($B37="",0,IF($D37-M$2/365&lt;=0,0,(IF(模拟分析!$I$12="到期平移法",[1]!B_CALC_CURVE_CHINABOND($I$1,$G$1,$D37-M$2/365),(((1+[1]!B_CALC_CURVE_CHINABOND($I$1,$G$1,$D37)/100)^$D37/(1+M$3/100)^(M$2/365))^(1/($D37-M$2/365))-1)*100+模拟分析!$G$12/100))))</f>
        <v>0</v>
      </c>
      <c r="N37" s="5">
        <f ca="1">IF($B37="",0,IF($D37-N$2/365&lt;=0,0,(IF(模拟分析!$I$12="到期平移法",[1]!B_CALC_CURVE_CHINABOND($I$1,$G$1,$D37-N$2/365),(((1+[1]!B_CALC_CURVE_CHINABOND($I$1,$G$1,$D37)/100)^$D37/(1+N$3/100)^(N$2/365))^(1/($D37-N$2/365))-1)*100+模拟分析!$G$12/100))))</f>
        <v>0</v>
      </c>
      <c r="O37">
        <f t="shared" ca="1" si="3"/>
        <v>0</v>
      </c>
    </row>
    <row r="38" spans="2:15" x14ac:dyDescent="0.15">
      <c r="B38" s="2" t="str">
        <f ca="1">IF(B37="","",IF(B37&lt;$E$1,[1]!b_anal_nxcupn($C$1,B37+1),""))</f>
        <v/>
      </c>
      <c r="C38" s="4">
        <f ca="1">IF(B38="",0,IF(模拟分析!$K$9=0,[1]!b_anal_dailycf($C$1,B38),IF(模拟分析!$I$11="否",[1]!b_anal_dailycf($C$1,B38),IF(B38&lt;模拟分析!$K$12,[1]!b_anal_dailycf($C$1,B38),IF(B38=模拟分析!$K$12,[1]!b_anal_dailycf($C$1,B38)+模拟分析!$K$11,0)))))</f>
        <v>0</v>
      </c>
      <c r="D38" s="3">
        <f t="shared" ca="1" si="2"/>
        <v>0</v>
      </c>
      <c r="E38" s="5">
        <f ca="1">IF($B38="",0,IF($D38-E$2/365&lt;=0,0,(IF(模拟分析!$I$12="到期平移法",[1]!B_CALC_CURVE_CHINABOND($I$1,$G$1,$D38-E$2/365),(((1+[1]!B_CALC_CURVE_CHINABOND($I$1,$G$1,$D38)/100)^$D38/(1+E$3/100)^(E$2/365))^(1/($D38-E$2/365))-1)*100+模拟分析!$G$12/100))))</f>
        <v>0</v>
      </c>
      <c r="F38" s="5">
        <f ca="1">IF($B38="",0,IF($D38-F$2/365&lt;=0,0,(IF(模拟分析!$I$12="到期平移法",[1]!B_CALC_CURVE_CHINABOND($I$1,$G$1,$D38-F$2/365),(((1+[1]!B_CALC_CURVE_CHINABOND($I$1,$G$1,$D38)/100)^$D38/(1+F$3/100)^(F$2/365))^(1/($D38-F$2/365))-1)*100+模拟分析!$G$12/100))))</f>
        <v>0</v>
      </c>
      <c r="G38" s="5">
        <f ca="1">IF($B38="",0,IF($D38-G$2/365&lt;=0,0,(IF(模拟分析!$I$12="到期平移法",[1]!B_CALC_CURVE_CHINABOND($I$1,$G$1,$D38-G$2/365),(((1+[1]!B_CALC_CURVE_CHINABOND($I$1,$G$1,$D38)/100)^$D38/(1+G$3/100)^(G$2/365))^(1/($D38-G$2/365))-1)*100+模拟分析!$G$12/100))))</f>
        <v>0</v>
      </c>
      <c r="H38" s="5">
        <f ca="1">IF($B38="",0,IF($D38-H$2/365&lt;=0,0,(IF(模拟分析!$I$12="到期平移法",[1]!B_CALC_CURVE_CHINABOND($I$1,$G$1,$D38-H$2/365),(((1+[1]!B_CALC_CURVE_CHINABOND($I$1,$G$1,$D38)/100)^$D38/(1+H$3/100)^(H$2/365))^(1/($D38-H$2/365))-1)*100+模拟分析!$G$12/100))))</f>
        <v>0</v>
      </c>
      <c r="I38" s="5">
        <f ca="1">IF($B38="",0,IF($D38-I$2/365&lt;=0,0,(IF(模拟分析!$I$12="到期平移法",[1]!B_CALC_CURVE_CHINABOND($I$1,$G$1,$D38-I$2/365),(((1+[1]!B_CALC_CURVE_CHINABOND($I$1,$G$1,$D38)/100)^$D38/(1+I$3/100)^(I$2/365))^(1/($D38-I$2/365))-1)*100+模拟分析!$G$12/100))))</f>
        <v>0</v>
      </c>
      <c r="J38" s="5">
        <f ca="1">IF($B38="",0,IF($D38-J$2/365&lt;=0,0,(IF(模拟分析!$I$12="到期平移法",[1]!B_CALC_CURVE_CHINABOND($I$1,$G$1,$D38-J$2/365),(((1+[1]!B_CALC_CURVE_CHINABOND($I$1,$G$1,$D38)/100)^$D38/(1+J$3/100)^(J$2/365))^(1/($D38-J$2/365))-1)*100+模拟分析!$G$12/100))))</f>
        <v>0</v>
      </c>
      <c r="K38" s="5">
        <f ca="1">IF($B38="",0,IF($D38-K$2/365&lt;=0,0,(IF(模拟分析!$I$12="到期平移法",[1]!B_CALC_CURVE_CHINABOND($I$1,$G$1,$D38-K$2/365),(((1+[1]!B_CALC_CURVE_CHINABOND($I$1,$G$1,$D38)/100)^$D38/(1+K$3/100)^(K$2/365))^(1/($D38-K$2/365))-1)*100+模拟分析!$G$12/100))))</f>
        <v>0</v>
      </c>
      <c r="L38" s="5">
        <f ca="1">IF($B38="",0,IF($D38-L$2/365&lt;=0,0,(IF(模拟分析!$I$12="到期平移法",[1]!B_CALC_CURVE_CHINABOND($I$1,$G$1,$D38-L$2/365),(((1+[1]!B_CALC_CURVE_CHINABOND($I$1,$G$1,$D38)/100)^$D38/(1+L$3/100)^(L$2/365))^(1/($D38-L$2/365))-1)*100+模拟分析!$G$12/100))))</f>
        <v>0</v>
      </c>
      <c r="M38" s="5">
        <f ca="1">IF($B38="",0,IF($D38-M$2/365&lt;=0,0,(IF(模拟分析!$I$12="到期平移法",[1]!B_CALC_CURVE_CHINABOND($I$1,$G$1,$D38-M$2/365),(((1+[1]!B_CALC_CURVE_CHINABOND($I$1,$G$1,$D38)/100)^$D38/(1+M$3/100)^(M$2/365))^(1/($D38-M$2/365))-1)*100+模拟分析!$G$12/100))))</f>
        <v>0</v>
      </c>
      <c r="N38" s="5">
        <f ca="1">IF($B38="",0,IF($D38-N$2/365&lt;=0,0,(IF(模拟分析!$I$12="到期平移法",[1]!B_CALC_CURVE_CHINABOND($I$1,$G$1,$D38-N$2/365),(((1+[1]!B_CALC_CURVE_CHINABOND($I$1,$G$1,$D38)/100)^$D38/(1+N$3/100)^(N$2/365))^(1/($D38-N$2/365))-1)*100+模拟分析!$G$12/100))))</f>
        <v>0</v>
      </c>
      <c r="O38">
        <f t="shared" ca="1" si="3"/>
        <v>0</v>
      </c>
    </row>
    <row r="39" spans="2:15" x14ac:dyDescent="0.15">
      <c r="B39" s="2" t="str">
        <f ca="1">IF(B38="","",IF(B38&lt;$E$1,[1]!b_anal_nxcupn($C$1,B38+1),""))</f>
        <v/>
      </c>
      <c r="C39" s="4">
        <f ca="1">IF(B39="",0,IF(模拟分析!$K$9=0,[1]!b_anal_dailycf($C$1,B39),IF(模拟分析!$I$11="否",[1]!b_anal_dailycf($C$1,B39),IF(B39&lt;模拟分析!$K$12,[1]!b_anal_dailycf($C$1,B39),IF(B39=模拟分析!$K$12,[1]!b_anal_dailycf($C$1,B39)+模拟分析!$K$11,0)))))</f>
        <v>0</v>
      </c>
      <c r="D39" s="3">
        <f t="shared" ca="1" si="2"/>
        <v>0</v>
      </c>
      <c r="E39" s="5">
        <f ca="1">IF($B39="",0,IF($D39-E$2/365&lt;=0,0,(IF(模拟分析!$I$12="到期平移法",[1]!B_CALC_CURVE_CHINABOND($I$1,$G$1,$D39-E$2/365),(((1+[1]!B_CALC_CURVE_CHINABOND($I$1,$G$1,$D39)/100)^$D39/(1+E$3/100)^(E$2/365))^(1/($D39-E$2/365))-1)*100+模拟分析!$G$12/100))))</f>
        <v>0</v>
      </c>
      <c r="F39" s="5">
        <f ca="1">IF($B39="",0,IF($D39-F$2/365&lt;=0,0,(IF(模拟分析!$I$12="到期平移法",[1]!B_CALC_CURVE_CHINABOND($I$1,$G$1,$D39-F$2/365),(((1+[1]!B_CALC_CURVE_CHINABOND($I$1,$G$1,$D39)/100)^$D39/(1+F$3/100)^(F$2/365))^(1/($D39-F$2/365))-1)*100+模拟分析!$G$12/100))))</f>
        <v>0</v>
      </c>
      <c r="G39" s="5">
        <f ca="1">IF($B39="",0,IF($D39-G$2/365&lt;=0,0,(IF(模拟分析!$I$12="到期平移法",[1]!B_CALC_CURVE_CHINABOND($I$1,$G$1,$D39-G$2/365),(((1+[1]!B_CALC_CURVE_CHINABOND($I$1,$G$1,$D39)/100)^$D39/(1+G$3/100)^(G$2/365))^(1/($D39-G$2/365))-1)*100+模拟分析!$G$12/100))))</f>
        <v>0</v>
      </c>
      <c r="H39" s="5">
        <f ca="1">IF($B39="",0,IF($D39-H$2/365&lt;=0,0,(IF(模拟分析!$I$12="到期平移法",[1]!B_CALC_CURVE_CHINABOND($I$1,$G$1,$D39-H$2/365),(((1+[1]!B_CALC_CURVE_CHINABOND($I$1,$G$1,$D39)/100)^$D39/(1+H$3/100)^(H$2/365))^(1/($D39-H$2/365))-1)*100+模拟分析!$G$12/100))))</f>
        <v>0</v>
      </c>
      <c r="I39" s="5">
        <f ca="1">IF($B39="",0,IF($D39-I$2/365&lt;=0,0,(IF(模拟分析!$I$12="到期平移法",[1]!B_CALC_CURVE_CHINABOND($I$1,$G$1,$D39-I$2/365),(((1+[1]!B_CALC_CURVE_CHINABOND($I$1,$G$1,$D39)/100)^$D39/(1+I$3/100)^(I$2/365))^(1/($D39-I$2/365))-1)*100+模拟分析!$G$12/100))))</f>
        <v>0</v>
      </c>
      <c r="J39" s="5">
        <f ca="1">IF($B39="",0,IF($D39-J$2/365&lt;=0,0,(IF(模拟分析!$I$12="到期平移法",[1]!B_CALC_CURVE_CHINABOND($I$1,$G$1,$D39-J$2/365),(((1+[1]!B_CALC_CURVE_CHINABOND($I$1,$G$1,$D39)/100)^$D39/(1+J$3/100)^(J$2/365))^(1/($D39-J$2/365))-1)*100+模拟分析!$G$12/100))))</f>
        <v>0</v>
      </c>
      <c r="K39" s="5">
        <f ca="1">IF($B39="",0,IF($D39-K$2/365&lt;=0,0,(IF(模拟分析!$I$12="到期平移法",[1]!B_CALC_CURVE_CHINABOND($I$1,$G$1,$D39-K$2/365),(((1+[1]!B_CALC_CURVE_CHINABOND($I$1,$G$1,$D39)/100)^$D39/(1+K$3/100)^(K$2/365))^(1/($D39-K$2/365))-1)*100+模拟分析!$G$12/100))))</f>
        <v>0</v>
      </c>
      <c r="L39" s="5">
        <f ca="1">IF($B39="",0,IF($D39-L$2/365&lt;=0,0,(IF(模拟分析!$I$12="到期平移法",[1]!B_CALC_CURVE_CHINABOND($I$1,$G$1,$D39-L$2/365),(((1+[1]!B_CALC_CURVE_CHINABOND($I$1,$G$1,$D39)/100)^$D39/(1+L$3/100)^(L$2/365))^(1/($D39-L$2/365))-1)*100+模拟分析!$G$12/100))))</f>
        <v>0</v>
      </c>
      <c r="M39" s="5">
        <f ca="1">IF($B39="",0,IF($D39-M$2/365&lt;=0,0,(IF(模拟分析!$I$12="到期平移法",[1]!B_CALC_CURVE_CHINABOND($I$1,$G$1,$D39-M$2/365),(((1+[1]!B_CALC_CURVE_CHINABOND($I$1,$G$1,$D39)/100)^$D39/(1+M$3/100)^(M$2/365))^(1/($D39-M$2/365))-1)*100+模拟分析!$G$12/100))))</f>
        <v>0</v>
      </c>
      <c r="N39" s="5">
        <f ca="1">IF($B39="",0,IF($D39-N$2/365&lt;=0,0,(IF(模拟分析!$I$12="到期平移法",[1]!B_CALC_CURVE_CHINABOND($I$1,$G$1,$D39-N$2/365),(((1+[1]!B_CALC_CURVE_CHINABOND($I$1,$G$1,$D39)/100)^$D39/(1+N$3/100)^(N$2/365))^(1/($D39-N$2/365))-1)*100+模拟分析!$G$12/100))))</f>
        <v>0</v>
      </c>
      <c r="O39">
        <f t="shared" ca="1" si="3"/>
        <v>0</v>
      </c>
    </row>
    <row r="40" spans="2:15" x14ac:dyDescent="0.15">
      <c r="B40" s="2" t="str">
        <f ca="1">IF(B39="","",IF(B39&lt;$E$1,[1]!b_anal_nxcupn($C$1,B39+1),""))</f>
        <v/>
      </c>
      <c r="C40" s="4">
        <f ca="1">IF(B40="",0,IF(模拟分析!$K$9=0,[1]!b_anal_dailycf($C$1,B40),IF(模拟分析!$I$11="否",[1]!b_anal_dailycf($C$1,B40),IF(B40&lt;模拟分析!$K$12,[1]!b_anal_dailycf($C$1,B40),IF(B40=模拟分析!$K$12,[1]!b_anal_dailycf($C$1,B40)+模拟分析!$K$11,0)))))</f>
        <v>0</v>
      </c>
      <c r="D40" s="3">
        <f t="shared" ca="1" si="2"/>
        <v>0</v>
      </c>
      <c r="E40" s="5">
        <f ca="1">IF($B40="",0,IF($D40-E$2/365&lt;=0,0,(IF(模拟分析!$I$12="到期平移法",[1]!B_CALC_CURVE_CHINABOND($I$1,$G$1,$D40-E$2/365),(((1+[1]!B_CALC_CURVE_CHINABOND($I$1,$G$1,$D40)/100)^$D40/(1+E$3/100)^(E$2/365))^(1/($D40-E$2/365))-1)*100+模拟分析!$G$12/100))))</f>
        <v>0</v>
      </c>
      <c r="F40" s="5">
        <f ca="1">IF($B40="",0,IF($D40-F$2/365&lt;=0,0,(IF(模拟分析!$I$12="到期平移法",[1]!B_CALC_CURVE_CHINABOND($I$1,$G$1,$D40-F$2/365),(((1+[1]!B_CALC_CURVE_CHINABOND($I$1,$G$1,$D40)/100)^$D40/(1+F$3/100)^(F$2/365))^(1/($D40-F$2/365))-1)*100+模拟分析!$G$12/100))))</f>
        <v>0</v>
      </c>
      <c r="G40" s="5">
        <f ca="1">IF($B40="",0,IF($D40-G$2/365&lt;=0,0,(IF(模拟分析!$I$12="到期平移法",[1]!B_CALC_CURVE_CHINABOND($I$1,$G$1,$D40-G$2/365),(((1+[1]!B_CALC_CURVE_CHINABOND($I$1,$G$1,$D40)/100)^$D40/(1+G$3/100)^(G$2/365))^(1/($D40-G$2/365))-1)*100+模拟分析!$G$12/100))))</f>
        <v>0</v>
      </c>
      <c r="H40" s="5">
        <f ca="1">IF($B40="",0,IF($D40-H$2/365&lt;=0,0,(IF(模拟分析!$I$12="到期平移法",[1]!B_CALC_CURVE_CHINABOND($I$1,$G$1,$D40-H$2/365),(((1+[1]!B_CALC_CURVE_CHINABOND($I$1,$G$1,$D40)/100)^$D40/(1+H$3/100)^(H$2/365))^(1/($D40-H$2/365))-1)*100+模拟分析!$G$12/100))))</f>
        <v>0</v>
      </c>
      <c r="I40" s="5">
        <f ca="1">IF($B40="",0,IF($D40-I$2/365&lt;=0,0,(IF(模拟分析!$I$12="到期平移法",[1]!B_CALC_CURVE_CHINABOND($I$1,$G$1,$D40-I$2/365),(((1+[1]!B_CALC_CURVE_CHINABOND($I$1,$G$1,$D40)/100)^$D40/(1+I$3/100)^(I$2/365))^(1/($D40-I$2/365))-1)*100+模拟分析!$G$12/100))))</f>
        <v>0</v>
      </c>
      <c r="J40" s="5">
        <f ca="1">IF($B40="",0,IF($D40-J$2/365&lt;=0,0,(IF(模拟分析!$I$12="到期平移法",[1]!B_CALC_CURVE_CHINABOND($I$1,$G$1,$D40-J$2/365),(((1+[1]!B_CALC_CURVE_CHINABOND($I$1,$G$1,$D40)/100)^$D40/(1+J$3/100)^(J$2/365))^(1/($D40-J$2/365))-1)*100+模拟分析!$G$12/100))))</f>
        <v>0</v>
      </c>
      <c r="K40" s="5">
        <f ca="1">IF($B40="",0,IF($D40-K$2/365&lt;=0,0,(IF(模拟分析!$I$12="到期平移法",[1]!B_CALC_CURVE_CHINABOND($I$1,$G$1,$D40-K$2/365),(((1+[1]!B_CALC_CURVE_CHINABOND($I$1,$G$1,$D40)/100)^$D40/(1+K$3/100)^(K$2/365))^(1/($D40-K$2/365))-1)*100+模拟分析!$G$12/100))))</f>
        <v>0</v>
      </c>
      <c r="L40" s="5">
        <f ca="1">IF($B40="",0,IF($D40-L$2/365&lt;=0,0,(IF(模拟分析!$I$12="到期平移法",[1]!B_CALC_CURVE_CHINABOND($I$1,$G$1,$D40-L$2/365),(((1+[1]!B_CALC_CURVE_CHINABOND($I$1,$G$1,$D40)/100)^$D40/(1+L$3/100)^(L$2/365))^(1/($D40-L$2/365))-1)*100+模拟分析!$G$12/100))))</f>
        <v>0</v>
      </c>
      <c r="M40" s="5">
        <f ca="1">IF($B40="",0,IF($D40-M$2/365&lt;=0,0,(IF(模拟分析!$I$12="到期平移法",[1]!B_CALC_CURVE_CHINABOND($I$1,$G$1,$D40-M$2/365),(((1+[1]!B_CALC_CURVE_CHINABOND($I$1,$G$1,$D40)/100)^$D40/(1+M$3/100)^(M$2/365))^(1/($D40-M$2/365))-1)*100+模拟分析!$G$12/100))))</f>
        <v>0</v>
      </c>
      <c r="N40" s="5">
        <f ca="1">IF($B40="",0,IF($D40-N$2/365&lt;=0,0,(IF(模拟分析!$I$12="到期平移法",[1]!B_CALC_CURVE_CHINABOND($I$1,$G$1,$D40-N$2/365),(((1+[1]!B_CALC_CURVE_CHINABOND($I$1,$G$1,$D40)/100)^$D40/(1+N$3/100)^(N$2/365))^(1/($D40-N$2/365))-1)*100+模拟分析!$G$12/100))))</f>
        <v>0</v>
      </c>
      <c r="O40">
        <f t="shared" ca="1" si="3"/>
        <v>0</v>
      </c>
    </row>
    <row r="41" spans="2:15" x14ac:dyDescent="0.15">
      <c r="B41" s="2" t="str">
        <f ca="1">IF(B40="","",IF(B40&lt;$E$1,[1]!b_anal_nxcupn($C$1,B40+1),""))</f>
        <v/>
      </c>
      <c r="C41" s="4">
        <f ca="1">IF(B41="",0,IF(模拟分析!$K$9=0,[1]!b_anal_dailycf($C$1,B41),IF(模拟分析!$I$11="否",[1]!b_anal_dailycf($C$1,B41),IF(B41&lt;模拟分析!$K$12,[1]!b_anal_dailycf($C$1,B41),IF(B41=模拟分析!$K$12,[1]!b_anal_dailycf($C$1,B41)+模拟分析!$K$11,0)))))</f>
        <v>0</v>
      </c>
      <c r="D41" s="3">
        <f t="shared" ca="1" si="2"/>
        <v>0</v>
      </c>
      <c r="E41" s="5">
        <f ca="1">IF($B41="",0,IF($D41-E$2/365&lt;=0,0,(IF(模拟分析!$I$12="到期平移法",[1]!B_CALC_CURVE_CHINABOND($I$1,$G$1,$D41-E$2/365),(((1+[1]!B_CALC_CURVE_CHINABOND($I$1,$G$1,$D41)/100)^$D41/(1+E$3/100)^(E$2/365))^(1/($D41-E$2/365))-1)*100+模拟分析!$G$12/100))))</f>
        <v>0</v>
      </c>
      <c r="F41" s="5">
        <f ca="1">IF($B41="",0,IF($D41-F$2/365&lt;=0,0,(IF(模拟分析!$I$12="到期平移法",[1]!B_CALC_CURVE_CHINABOND($I$1,$G$1,$D41-F$2/365),(((1+[1]!B_CALC_CURVE_CHINABOND($I$1,$G$1,$D41)/100)^$D41/(1+F$3/100)^(F$2/365))^(1/($D41-F$2/365))-1)*100+模拟分析!$G$12/100))))</f>
        <v>0</v>
      </c>
      <c r="G41" s="5">
        <f ca="1">IF($B41="",0,IF($D41-G$2/365&lt;=0,0,(IF(模拟分析!$I$12="到期平移法",[1]!B_CALC_CURVE_CHINABOND($I$1,$G$1,$D41-G$2/365),(((1+[1]!B_CALC_CURVE_CHINABOND($I$1,$G$1,$D41)/100)^$D41/(1+G$3/100)^(G$2/365))^(1/($D41-G$2/365))-1)*100+模拟分析!$G$12/100))))</f>
        <v>0</v>
      </c>
      <c r="H41" s="5">
        <f ca="1">IF($B41="",0,IF($D41-H$2/365&lt;=0,0,(IF(模拟分析!$I$12="到期平移法",[1]!B_CALC_CURVE_CHINABOND($I$1,$G$1,$D41-H$2/365),(((1+[1]!B_CALC_CURVE_CHINABOND($I$1,$G$1,$D41)/100)^$D41/(1+H$3/100)^(H$2/365))^(1/($D41-H$2/365))-1)*100+模拟分析!$G$12/100))))</f>
        <v>0</v>
      </c>
      <c r="I41" s="5">
        <f ca="1">IF($B41="",0,IF($D41-I$2/365&lt;=0,0,(IF(模拟分析!$I$12="到期平移法",[1]!B_CALC_CURVE_CHINABOND($I$1,$G$1,$D41-I$2/365),(((1+[1]!B_CALC_CURVE_CHINABOND($I$1,$G$1,$D41)/100)^$D41/(1+I$3/100)^(I$2/365))^(1/($D41-I$2/365))-1)*100+模拟分析!$G$12/100))))</f>
        <v>0</v>
      </c>
      <c r="J41" s="5">
        <f ca="1">IF($B41="",0,IF($D41-J$2/365&lt;=0,0,(IF(模拟分析!$I$12="到期平移法",[1]!B_CALC_CURVE_CHINABOND($I$1,$G$1,$D41-J$2/365),(((1+[1]!B_CALC_CURVE_CHINABOND($I$1,$G$1,$D41)/100)^$D41/(1+J$3/100)^(J$2/365))^(1/($D41-J$2/365))-1)*100+模拟分析!$G$12/100))))</f>
        <v>0</v>
      </c>
      <c r="K41" s="5">
        <f ca="1">IF($B41="",0,IF($D41-K$2/365&lt;=0,0,(IF(模拟分析!$I$12="到期平移法",[1]!B_CALC_CURVE_CHINABOND($I$1,$G$1,$D41-K$2/365),(((1+[1]!B_CALC_CURVE_CHINABOND($I$1,$G$1,$D41)/100)^$D41/(1+K$3/100)^(K$2/365))^(1/($D41-K$2/365))-1)*100+模拟分析!$G$12/100))))</f>
        <v>0</v>
      </c>
      <c r="L41" s="5">
        <f ca="1">IF($B41="",0,IF($D41-L$2/365&lt;=0,0,(IF(模拟分析!$I$12="到期平移法",[1]!B_CALC_CURVE_CHINABOND($I$1,$G$1,$D41-L$2/365),(((1+[1]!B_CALC_CURVE_CHINABOND($I$1,$G$1,$D41)/100)^$D41/(1+L$3/100)^(L$2/365))^(1/($D41-L$2/365))-1)*100+模拟分析!$G$12/100))))</f>
        <v>0</v>
      </c>
      <c r="M41" s="5">
        <f ca="1">IF($B41="",0,IF($D41-M$2/365&lt;=0,0,(IF(模拟分析!$I$12="到期平移法",[1]!B_CALC_CURVE_CHINABOND($I$1,$G$1,$D41-M$2/365),(((1+[1]!B_CALC_CURVE_CHINABOND($I$1,$G$1,$D41)/100)^$D41/(1+M$3/100)^(M$2/365))^(1/($D41-M$2/365))-1)*100+模拟分析!$G$12/100))))</f>
        <v>0</v>
      </c>
      <c r="N41" s="5">
        <f ca="1">IF($B41="",0,IF($D41-N$2/365&lt;=0,0,(IF(模拟分析!$I$12="到期平移法",[1]!B_CALC_CURVE_CHINABOND($I$1,$G$1,$D41-N$2/365),(((1+[1]!B_CALC_CURVE_CHINABOND($I$1,$G$1,$D41)/100)^$D41/(1+N$3/100)^(N$2/365))^(1/($D41-N$2/365))-1)*100+模拟分析!$G$12/100))))</f>
        <v>0</v>
      </c>
      <c r="O41">
        <f t="shared" ca="1" si="3"/>
        <v>0</v>
      </c>
    </row>
    <row r="42" spans="2:15" x14ac:dyDescent="0.15">
      <c r="B42" s="2" t="str">
        <f ca="1">IF(B41="","",IF(B41&lt;$E$1,[1]!b_anal_nxcupn($C$1,B41+1),""))</f>
        <v/>
      </c>
      <c r="C42" s="4">
        <f ca="1">IF(B42="",0,IF(模拟分析!$K$9=0,[1]!b_anal_dailycf($C$1,B42),IF(模拟分析!$I$11="否",[1]!b_anal_dailycf($C$1,B42),IF(B42&lt;模拟分析!$K$12,[1]!b_anal_dailycf($C$1,B42),IF(B42=模拟分析!$K$12,[1]!b_anal_dailycf($C$1,B42)+模拟分析!$K$11,0)))))</f>
        <v>0</v>
      </c>
      <c r="D42" s="3">
        <f t="shared" ca="1" si="2"/>
        <v>0</v>
      </c>
      <c r="E42" s="5">
        <f ca="1">IF($B42="",0,IF($D42-E$2/365&lt;=0,0,(IF(模拟分析!$I$12="到期平移法",[1]!B_CALC_CURVE_CHINABOND($I$1,$G$1,$D42-E$2/365),(((1+[1]!B_CALC_CURVE_CHINABOND($I$1,$G$1,$D42)/100)^$D42/(1+E$3/100)^(E$2/365))^(1/($D42-E$2/365))-1)*100+模拟分析!$G$12/100))))</f>
        <v>0</v>
      </c>
      <c r="F42" s="5">
        <f ca="1">IF($B42="",0,IF($D42-F$2/365&lt;=0,0,(IF(模拟分析!$I$12="到期平移法",[1]!B_CALC_CURVE_CHINABOND($I$1,$G$1,$D42-F$2/365),(((1+[1]!B_CALC_CURVE_CHINABOND($I$1,$G$1,$D42)/100)^$D42/(1+F$3/100)^(F$2/365))^(1/($D42-F$2/365))-1)*100+模拟分析!$G$12/100))))</f>
        <v>0</v>
      </c>
      <c r="G42" s="5">
        <f ca="1">IF($B42="",0,IF($D42-G$2/365&lt;=0,0,(IF(模拟分析!$I$12="到期平移法",[1]!B_CALC_CURVE_CHINABOND($I$1,$G$1,$D42-G$2/365),(((1+[1]!B_CALC_CURVE_CHINABOND($I$1,$G$1,$D42)/100)^$D42/(1+G$3/100)^(G$2/365))^(1/($D42-G$2/365))-1)*100+模拟分析!$G$12/100))))</f>
        <v>0</v>
      </c>
      <c r="H42" s="5">
        <f ca="1">IF($B42="",0,IF($D42-H$2/365&lt;=0,0,(IF(模拟分析!$I$12="到期平移法",[1]!B_CALC_CURVE_CHINABOND($I$1,$G$1,$D42-H$2/365),(((1+[1]!B_CALC_CURVE_CHINABOND($I$1,$G$1,$D42)/100)^$D42/(1+H$3/100)^(H$2/365))^(1/($D42-H$2/365))-1)*100+模拟分析!$G$12/100))))</f>
        <v>0</v>
      </c>
      <c r="I42" s="5">
        <f ca="1">IF($B42="",0,IF($D42-I$2/365&lt;=0,0,(IF(模拟分析!$I$12="到期平移法",[1]!B_CALC_CURVE_CHINABOND($I$1,$G$1,$D42-I$2/365),(((1+[1]!B_CALC_CURVE_CHINABOND($I$1,$G$1,$D42)/100)^$D42/(1+I$3/100)^(I$2/365))^(1/($D42-I$2/365))-1)*100+模拟分析!$G$12/100))))</f>
        <v>0</v>
      </c>
      <c r="J42" s="5">
        <f ca="1">IF($B42="",0,IF($D42-J$2/365&lt;=0,0,(IF(模拟分析!$I$12="到期平移法",[1]!B_CALC_CURVE_CHINABOND($I$1,$G$1,$D42-J$2/365),(((1+[1]!B_CALC_CURVE_CHINABOND($I$1,$G$1,$D42)/100)^$D42/(1+J$3/100)^(J$2/365))^(1/($D42-J$2/365))-1)*100+模拟分析!$G$12/100))))</f>
        <v>0</v>
      </c>
      <c r="K42" s="5">
        <f ca="1">IF($B42="",0,IF($D42-K$2/365&lt;=0,0,(IF(模拟分析!$I$12="到期平移法",[1]!B_CALC_CURVE_CHINABOND($I$1,$G$1,$D42-K$2/365),(((1+[1]!B_CALC_CURVE_CHINABOND($I$1,$G$1,$D42)/100)^$D42/(1+K$3/100)^(K$2/365))^(1/($D42-K$2/365))-1)*100+模拟分析!$G$12/100))))</f>
        <v>0</v>
      </c>
      <c r="L42" s="5">
        <f ca="1">IF($B42="",0,IF($D42-L$2/365&lt;=0,0,(IF(模拟分析!$I$12="到期平移法",[1]!B_CALC_CURVE_CHINABOND($I$1,$G$1,$D42-L$2/365),(((1+[1]!B_CALC_CURVE_CHINABOND($I$1,$G$1,$D42)/100)^$D42/(1+L$3/100)^(L$2/365))^(1/($D42-L$2/365))-1)*100+模拟分析!$G$12/100))))</f>
        <v>0</v>
      </c>
      <c r="M42" s="5">
        <f ca="1">IF($B42="",0,IF($D42-M$2/365&lt;=0,0,(IF(模拟分析!$I$12="到期平移法",[1]!B_CALC_CURVE_CHINABOND($I$1,$G$1,$D42-M$2/365),(((1+[1]!B_CALC_CURVE_CHINABOND($I$1,$G$1,$D42)/100)^$D42/(1+M$3/100)^(M$2/365))^(1/($D42-M$2/365))-1)*100+模拟分析!$G$12/100))))</f>
        <v>0</v>
      </c>
      <c r="N42" s="5">
        <f ca="1">IF($B42="",0,IF($D42-N$2/365&lt;=0,0,(IF(模拟分析!$I$12="到期平移法",[1]!B_CALC_CURVE_CHINABOND($I$1,$G$1,$D42-N$2/365),(((1+[1]!B_CALC_CURVE_CHINABOND($I$1,$G$1,$D42)/100)^$D42/(1+N$3/100)^(N$2/365))^(1/($D42-N$2/365))-1)*100+模拟分析!$G$12/100))))</f>
        <v>0</v>
      </c>
      <c r="O42">
        <f t="shared" ca="1" si="3"/>
        <v>0</v>
      </c>
    </row>
    <row r="43" spans="2:15" x14ac:dyDescent="0.15">
      <c r="B43" s="2" t="str">
        <f ca="1">IF(B42="","",IF(B42&lt;$E$1,[1]!b_anal_nxcupn($C$1,B42+1),""))</f>
        <v/>
      </c>
      <c r="C43" s="4">
        <f ca="1">IF(B43="",0,IF(模拟分析!$K$9=0,[1]!b_anal_dailycf($C$1,B43),IF(模拟分析!$I$11="否",[1]!b_anal_dailycf($C$1,B43),IF(B43&lt;模拟分析!$K$12,[1]!b_anal_dailycf($C$1,B43),IF(B43=模拟分析!$K$12,[1]!b_anal_dailycf($C$1,B43)+模拟分析!$K$11,0)))))</f>
        <v>0</v>
      </c>
      <c r="D43" s="3">
        <f t="shared" ca="1" si="2"/>
        <v>0</v>
      </c>
      <c r="E43" s="5">
        <f ca="1">IF($B43="",0,IF($D43-E$2/365&lt;=0,0,(IF(模拟分析!$I$12="到期平移法",[1]!B_CALC_CURVE_CHINABOND($I$1,$G$1,$D43-E$2/365),(((1+[1]!B_CALC_CURVE_CHINABOND($I$1,$G$1,$D43)/100)^$D43/(1+E$3/100)^(E$2/365))^(1/($D43-E$2/365))-1)*100+模拟分析!$G$12/100))))</f>
        <v>0</v>
      </c>
      <c r="F43" s="5">
        <f ca="1">IF($B43="",0,IF($D43-F$2/365&lt;=0,0,(IF(模拟分析!$I$12="到期平移法",[1]!B_CALC_CURVE_CHINABOND($I$1,$G$1,$D43-F$2/365),(((1+[1]!B_CALC_CURVE_CHINABOND($I$1,$G$1,$D43)/100)^$D43/(1+F$3/100)^(F$2/365))^(1/($D43-F$2/365))-1)*100+模拟分析!$G$12/100))))</f>
        <v>0</v>
      </c>
      <c r="G43" s="5">
        <f ca="1">IF($B43="",0,IF($D43-G$2/365&lt;=0,0,(IF(模拟分析!$I$12="到期平移法",[1]!B_CALC_CURVE_CHINABOND($I$1,$G$1,$D43-G$2/365),(((1+[1]!B_CALC_CURVE_CHINABOND($I$1,$G$1,$D43)/100)^$D43/(1+G$3/100)^(G$2/365))^(1/($D43-G$2/365))-1)*100+模拟分析!$G$12/100))))</f>
        <v>0</v>
      </c>
      <c r="H43" s="5">
        <f ca="1">IF($B43="",0,IF($D43-H$2/365&lt;=0,0,(IF(模拟分析!$I$12="到期平移法",[1]!B_CALC_CURVE_CHINABOND($I$1,$G$1,$D43-H$2/365),(((1+[1]!B_CALC_CURVE_CHINABOND($I$1,$G$1,$D43)/100)^$D43/(1+H$3/100)^(H$2/365))^(1/($D43-H$2/365))-1)*100+模拟分析!$G$12/100))))</f>
        <v>0</v>
      </c>
      <c r="I43" s="5">
        <f ca="1">IF($B43="",0,IF($D43-I$2/365&lt;=0,0,(IF(模拟分析!$I$12="到期平移法",[1]!B_CALC_CURVE_CHINABOND($I$1,$G$1,$D43-I$2/365),(((1+[1]!B_CALC_CURVE_CHINABOND($I$1,$G$1,$D43)/100)^$D43/(1+I$3/100)^(I$2/365))^(1/($D43-I$2/365))-1)*100+模拟分析!$G$12/100))))</f>
        <v>0</v>
      </c>
      <c r="J43" s="5">
        <f ca="1">IF($B43="",0,IF($D43-J$2/365&lt;=0,0,(IF(模拟分析!$I$12="到期平移法",[1]!B_CALC_CURVE_CHINABOND($I$1,$G$1,$D43-J$2/365),(((1+[1]!B_CALC_CURVE_CHINABOND($I$1,$G$1,$D43)/100)^$D43/(1+J$3/100)^(J$2/365))^(1/($D43-J$2/365))-1)*100+模拟分析!$G$12/100))))</f>
        <v>0</v>
      </c>
      <c r="K43" s="5">
        <f ca="1">IF($B43="",0,IF($D43-K$2/365&lt;=0,0,(IF(模拟分析!$I$12="到期平移法",[1]!B_CALC_CURVE_CHINABOND($I$1,$G$1,$D43-K$2/365),(((1+[1]!B_CALC_CURVE_CHINABOND($I$1,$G$1,$D43)/100)^$D43/(1+K$3/100)^(K$2/365))^(1/($D43-K$2/365))-1)*100+模拟分析!$G$12/100))))</f>
        <v>0</v>
      </c>
      <c r="L43" s="5">
        <f ca="1">IF($B43="",0,IF($D43-L$2/365&lt;=0,0,(IF(模拟分析!$I$12="到期平移法",[1]!B_CALC_CURVE_CHINABOND($I$1,$G$1,$D43-L$2/365),(((1+[1]!B_CALC_CURVE_CHINABOND($I$1,$G$1,$D43)/100)^$D43/(1+L$3/100)^(L$2/365))^(1/($D43-L$2/365))-1)*100+模拟分析!$G$12/100))))</f>
        <v>0</v>
      </c>
      <c r="M43" s="5">
        <f ca="1">IF($B43="",0,IF($D43-M$2/365&lt;=0,0,(IF(模拟分析!$I$12="到期平移法",[1]!B_CALC_CURVE_CHINABOND($I$1,$G$1,$D43-M$2/365),(((1+[1]!B_CALC_CURVE_CHINABOND($I$1,$G$1,$D43)/100)^$D43/(1+M$3/100)^(M$2/365))^(1/($D43-M$2/365))-1)*100+模拟分析!$G$12/100))))</f>
        <v>0</v>
      </c>
      <c r="N43" s="5">
        <f ca="1">IF($B43="",0,IF($D43-N$2/365&lt;=0,0,(IF(模拟分析!$I$12="到期平移法",[1]!B_CALC_CURVE_CHINABOND($I$1,$G$1,$D43-N$2/365),(((1+[1]!B_CALC_CURVE_CHINABOND($I$1,$G$1,$D43)/100)^$D43/(1+N$3/100)^(N$2/365))^(1/($D43-N$2/365))-1)*100+模拟分析!$G$12/100))))</f>
        <v>0</v>
      </c>
      <c r="O43">
        <f t="shared" ca="1" si="3"/>
        <v>0</v>
      </c>
    </row>
    <row r="44" spans="2:15" x14ac:dyDescent="0.15">
      <c r="B44" s="2" t="str">
        <f ca="1">IF(B43="","",IF(B43&lt;$E$1,[1]!b_anal_nxcupn($C$1,B43+1),""))</f>
        <v/>
      </c>
      <c r="C44" s="4">
        <f ca="1">IF(B44="",0,IF(模拟分析!$K$9=0,[1]!b_anal_dailycf($C$1,B44),IF(模拟分析!$I$11="否",[1]!b_anal_dailycf($C$1,B44),IF(B44&lt;模拟分析!$K$12,[1]!b_anal_dailycf($C$1,B44),IF(B44=模拟分析!$K$12,[1]!b_anal_dailycf($C$1,B44)+模拟分析!$K$11,0)))))</f>
        <v>0</v>
      </c>
      <c r="D44" s="3">
        <f t="shared" ref="D44:D55" ca="1" si="4">IF(B44="",0,(-TODAY()+B44)/365)</f>
        <v>0</v>
      </c>
      <c r="E44" s="5">
        <f ca="1">IF($B44="",0,IF($D44-E$2/365&lt;=0,0,(IF(模拟分析!$I$12="到期平移法",[1]!B_CALC_CURVE_CHINABOND($I$1,$G$1,$D44-E$2/365),(((1+[1]!B_CALC_CURVE_CHINABOND($I$1,$G$1,$D44)/100)^$D44/(1+E$3/100)^(E$2/365))^(1/($D44-E$2/365))-1)*100+模拟分析!$G$12/100))))</f>
        <v>0</v>
      </c>
      <c r="F44" s="5">
        <f ca="1">IF($B44="",0,IF($D44-F$2/365&lt;=0,0,(IF(模拟分析!$I$12="到期平移法",[1]!B_CALC_CURVE_CHINABOND($I$1,$G$1,$D44-F$2/365),(((1+[1]!B_CALC_CURVE_CHINABOND($I$1,$G$1,$D44)/100)^$D44/(1+F$3/100)^(F$2/365))^(1/($D44-F$2/365))-1)*100+模拟分析!$G$12/100))))</f>
        <v>0</v>
      </c>
      <c r="G44" s="5">
        <f ca="1">IF($B44="",0,IF($D44-G$2/365&lt;=0,0,(IF(模拟分析!$I$12="到期平移法",[1]!B_CALC_CURVE_CHINABOND($I$1,$G$1,$D44-G$2/365),(((1+[1]!B_CALC_CURVE_CHINABOND($I$1,$G$1,$D44)/100)^$D44/(1+G$3/100)^(G$2/365))^(1/($D44-G$2/365))-1)*100+模拟分析!$G$12/100))))</f>
        <v>0</v>
      </c>
      <c r="H44" s="5">
        <f ca="1">IF($B44="",0,IF($D44-H$2/365&lt;=0,0,(IF(模拟分析!$I$12="到期平移法",[1]!B_CALC_CURVE_CHINABOND($I$1,$G$1,$D44-H$2/365),(((1+[1]!B_CALC_CURVE_CHINABOND($I$1,$G$1,$D44)/100)^$D44/(1+H$3/100)^(H$2/365))^(1/($D44-H$2/365))-1)*100+模拟分析!$G$12/100))))</f>
        <v>0</v>
      </c>
      <c r="I44" s="5">
        <f ca="1">IF($B44="",0,IF($D44-I$2/365&lt;=0,0,(IF(模拟分析!$I$12="到期平移法",[1]!B_CALC_CURVE_CHINABOND($I$1,$G$1,$D44-I$2/365),(((1+[1]!B_CALC_CURVE_CHINABOND($I$1,$G$1,$D44)/100)^$D44/(1+I$3/100)^(I$2/365))^(1/($D44-I$2/365))-1)*100+模拟分析!$G$12/100))))</f>
        <v>0</v>
      </c>
      <c r="J44" s="5">
        <f ca="1">IF($B44="",0,IF($D44-J$2/365&lt;=0,0,(IF(模拟分析!$I$12="到期平移法",[1]!B_CALC_CURVE_CHINABOND($I$1,$G$1,$D44-J$2/365),(((1+[1]!B_CALC_CURVE_CHINABOND($I$1,$G$1,$D44)/100)^$D44/(1+J$3/100)^(J$2/365))^(1/($D44-J$2/365))-1)*100+模拟分析!$G$12/100))))</f>
        <v>0</v>
      </c>
      <c r="K44" s="5">
        <f ca="1">IF($B44="",0,IF($D44-K$2/365&lt;=0,0,(IF(模拟分析!$I$12="到期平移法",[1]!B_CALC_CURVE_CHINABOND($I$1,$G$1,$D44-K$2/365),(((1+[1]!B_CALC_CURVE_CHINABOND($I$1,$G$1,$D44)/100)^$D44/(1+K$3/100)^(K$2/365))^(1/($D44-K$2/365))-1)*100+模拟分析!$G$12/100))))</f>
        <v>0</v>
      </c>
      <c r="L44" s="5">
        <f ca="1">IF($B44="",0,IF($D44-L$2/365&lt;=0,0,(IF(模拟分析!$I$12="到期平移法",[1]!B_CALC_CURVE_CHINABOND($I$1,$G$1,$D44-L$2/365),(((1+[1]!B_CALC_CURVE_CHINABOND($I$1,$G$1,$D44)/100)^$D44/(1+L$3/100)^(L$2/365))^(1/($D44-L$2/365))-1)*100+模拟分析!$G$12/100))))</f>
        <v>0</v>
      </c>
      <c r="M44" s="5">
        <f ca="1">IF($B44="",0,IF($D44-M$2/365&lt;=0,0,(IF(模拟分析!$I$12="到期平移法",[1]!B_CALC_CURVE_CHINABOND($I$1,$G$1,$D44-M$2/365),(((1+[1]!B_CALC_CURVE_CHINABOND($I$1,$G$1,$D44)/100)^$D44/(1+M$3/100)^(M$2/365))^(1/($D44-M$2/365))-1)*100+模拟分析!$G$12/100))))</f>
        <v>0</v>
      </c>
      <c r="N44" s="5">
        <f ca="1">IF($B44="",0,IF($D44-N$2/365&lt;=0,0,(IF(模拟分析!$I$12="到期平移法",[1]!B_CALC_CURVE_CHINABOND($I$1,$G$1,$D44-N$2/365),(((1+[1]!B_CALC_CURVE_CHINABOND($I$1,$G$1,$D44)/100)^$D44/(1+N$3/100)^(N$2/365))^(1/($D44-N$2/365))-1)*100+模拟分析!$G$12/100))))</f>
        <v>0</v>
      </c>
      <c r="O44">
        <f t="shared" ref="O44:O55" ca="1" si="5">IF(C44="","",C44/((1+E44/100)^(D44-21/365)))</f>
        <v>0</v>
      </c>
    </row>
    <row r="45" spans="2:15" x14ac:dyDescent="0.15">
      <c r="B45" s="2" t="str">
        <f ca="1">IF(B44="","",IF(B44&lt;$E$1,[1]!b_anal_nxcupn($C$1,B44+1),""))</f>
        <v/>
      </c>
      <c r="C45" s="4">
        <f ca="1">IF(B45="",0,IF(模拟分析!$K$9=0,[1]!b_anal_dailycf($C$1,B45),IF(模拟分析!$I$11="否",[1]!b_anal_dailycf($C$1,B45),IF(B45&lt;模拟分析!$K$12,[1]!b_anal_dailycf($C$1,B45),IF(B45=模拟分析!$K$12,[1]!b_anal_dailycf($C$1,B45)+模拟分析!$K$11,0)))))</f>
        <v>0</v>
      </c>
      <c r="D45" s="3">
        <f t="shared" ca="1" si="4"/>
        <v>0</v>
      </c>
      <c r="E45" s="5">
        <f ca="1">IF($B45="",0,IF($D45-E$2/365&lt;=0,0,(IF(模拟分析!$I$12="到期平移法",[1]!B_CALC_CURVE_CHINABOND($I$1,$G$1,$D45-E$2/365),(((1+[1]!B_CALC_CURVE_CHINABOND($I$1,$G$1,$D45)/100)^$D45/(1+E$3/100)^(E$2/365))^(1/($D45-E$2/365))-1)*100+模拟分析!$G$12/100))))</f>
        <v>0</v>
      </c>
      <c r="F45" s="5">
        <f ca="1">IF($B45="",0,IF($D45-F$2/365&lt;=0,0,(IF(模拟分析!$I$12="到期平移法",[1]!B_CALC_CURVE_CHINABOND($I$1,$G$1,$D45-F$2/365),(((1+[1]!B_CALC_CURVE_CHINABOND($I$1,$G$1,$D45)/100)^$D45/(1+F$3/100)^(F$2/365))^(1/($D45-F$2/365))-1)*100+模拟分析!$G$12/100))))</f>
        <v>0</v>
      </c>
      <c r="G45" s="5">
        <f ca="1">IF($B45="",0,IF($D45-G$2/365&lt;=0,0,(IF(模拟分析!$I$12="到期平移法",[1]!B_CALC_CURVE_CHINABOND($I$1,$G$1,$D45-G$2/365),(((1+[1]!B_CALC_CURVE_CHINABOND($I$1,$G$1,$D45)/100)^$D45/(1+G$3/100)^(G$2/365))^(1/($D45-G$2/365))-1)*100+模拟分析!$G$12/100))))</f>
        <v>0</v>
      </c>
      <c r="H45" s="5">
        <f ca="1">IF($B45="",0,IF($D45-H$2/365&lt;=0,0,(IF(模拟分析!$I$12="到期平移法",[1]!B_CALC_CURVE_CHINABOND($I$1,$G$1,$D45-H$2/365),(((1+[1]!B_CALC_CURVE_CHINABOND($I$1,$G$1,$D45)/100)^$D45/(1+H$3/100)^(H$2/365))^(1/($D45-H$2/365))-1)*100+模拟分析!$G$12/100))))</f>
        <v>0</v>
      </c>
      <c r="I45" s="5">
        <f ca="1">IF($B45="",0,IF($D45-I$2/365&lt;=0,0,(IF(模拟分析!$I$12="到期平移法",[1]!B_CALC_CURVE_CHINABOND($I$1,$G$1,$D45-I$2/365),(((1+[1]!B_CALC_CURVE_CHINABOND($I$1,$G$1,$D45)/100)^$D45/(1+I$3/100)^(I$2/365))^(1/($D45-I$2/365))-1)*100+模拟分析!$G$12/100))))</f>
        <v>0</v>
      </c>
      <c r="J45" s="5">
        <f ca="1">IF($B45="",0,IF($D45-J$2/365&lt;=0,0,(IF(模拟分析!$I$12="到期平移法",[1]!B_CALC_CURVE_CHINABOND($I$1,$G$1,$D45-J$2/365),(((1+[1]!B_CALC_CURVE_CHINABOND($I$1,$G$1,$D45)/100)^$D45/(1+J$3/100)^(J$2/365))^(1/($D45-J$2/365))-1)*100+模拟分析!$G$12/100))))</f>
        <v>0</v>
      </c>
      <c r="K45" s="5">
        <f ca="1">IF($B45="",0,IF($D45-K$2/365&lt;=0,0,(IF(模拟分析!$I$12="到期平移法",[1]!B_CALC_CURVE_CHINABOND($I$1,$G$1,$D45-K$2/365),(((1+[1]!B_CALC_CURVE_CHINABOND($I$1,$G$1,$D45)/100)^$D45/(1+K$3/100)^(K$2/365))^(1/($D45-K$2/365))-1)*100+模拟分析!$G$12/100))))</f>
        <v>0</v>
      </c>
      <c r="L45" s="5">
        <f ca="1">IF($B45="",0,IF($D45-L$2/365&lt;=0,0,(IF(模拟分析!$I$12="到期平移法",[1]!B_CALC_CURVE_CHINABOND($I$1,$G$1,$D45-L$2/365),(((1+[1]!B_CALC_CURVE_CHINABOND($I$1,$G$1,$D45)/100)^$D45/(1+L$3/100)^(L$2/365))^(1/($D45-L$2/365))-1)*100+模拟分析!$G$12/100))))</f>
        <v>0</v>
      </c>
      <c r="M45" s="5">
        <f ca="1">IF($B45="",0,IF($D45-M$2/365&lt;=0,0,(IF(模拟分析!$I$12="到期平移法",[1]!B_CALC_CURVE_CHINABOND($I$1,$G$1,$D45-M$2/365),(((1+[1]!B_CALC_CURVE_CHINABOND($I$1,$G$1,$D45)/100)^$D45/(1+M$3/100)^(M$2/365))^(1/($D45-M$2/365))-1)*100+模拟分析!$G$12/100))))</f>
        <v>0</v>
      </c>
      <c r="N45" s="5">
        <f ca="1">IF($B45="",0,IF($D45-N$2/365&lt;=0,0,(IF(模拟分析!$I$12="到期平移法",[1]!B_CALC_CURVE_CHINABOND($I$1,$G$1,$D45-N$2/365),(((1+[1]!B_CALC_CURVE_CHINABOND($I$1,$G$1,$D45)/100)^$D45/(1+N$3/100)^(N$2/365))^(1/($D45-N$2/365))-1)*100+模拟分析!$G$12/100))))</f>
        <v>0</v>
      </c>
      <c r="O45">
        <f t="shared" ca="1" si="5"/>
        <v>0</v>
      </c>
    </row>
    <row r="46" spans="2:15" x14ac:dyDescent="0.15">
      <c r="B46" s="2" t="str">
        <f ca="1">IF(B45="","",IF(B45&lt;$E$1,[1]!b_anal_nxcupn($C$1,B45+1),""))</f>
        <v/>
      </c>
      <c r="C46" s="4">
        <f ca="1">IF(B46="",0,IF(模拟分析!$K$9=0,[1]!b_anal_dailycf($C$1,B46),IF(模拟分析!$I$11="否",[1]!b_anal_dailycf($C$1,B46),IF(B46&lt;模拟分析!$K$12,[1]!b_anal_dailycf($C$1,B46),IF(B46=模拟分析!$K$12,[1]!b_anal_dailycf($C$1,B46)+模拟分析!$K$11,0)))))</f>
        <v>0</v>
      </c>
      <c r="D46" s="3">
        <f t="shared" ca="1" si="4"/>
        <v>0</v>
      </c>
      <c r="E46" s="5">
        <f ca="1">IF($B46="",0,IF($D46-E$2/365&lt;=0,0,(IF(模拟分析!$I$12="到期平移法",[1]!B_CALC_CURVE_CHINABOND($I$1,$G$1,$D46-E$2/365),(((1+[1]!B_CALC_CURVE_CHINABOND($I$1,$G$1,$D46)/100)^$D46/(1+E$3/100)^(E$2/365))^(1/($D46-E$2/365))-1)*100+模拟分析!$G$12/100))))</f>
        <v>0</v>
      </c>
      <c r="F46" s="5">
        <f ca="1">IF($B46="",0,IF($D46-F$2/365&lt;=0,0,(IF(模拟分析!$I$12="到期平移法",[1]!B_CALC_CURVE_CHINABOND($I$1,$G$1,$D46-F$2/365),(((1+[1]!B_CALC_CURVE_CHINABOND($I$1,$G$1,$D46)/100)^$D46/(1+F$3/100)^(F$2/365))^(1/($D46-F$2/365))-1)*100+模拟分析!$G$12/100))))</f>
        <v>0</v>
      </c>
      <c r="G46" s="5">
        <f ca="1">IF($B46="",0,IF($D46-G$2/365&lt;=0,0,(IF(模拟分析!$I$12="到期平移法",[1]!B_CALC_CURVE_CHINABOND($I$1,$G$1,$D46-G$2/365),(((1+[1]!B_CALC_CURVE_CHINABOND($I$1,$G$1,$D46)/100)^$D46/(1+G$3/100)^(G$2/365))^(1/($D46-G$2/365))-1)*100+模拟分析!$G$12/100))))</f>
        <v>0</v>
      </c>
      <c r="H46" s="5">
        <f ca="1">IF($B46="",0,IF($D46-H$2/365&lt;=0,0,(IF(模拟分析!$I$12="到期平移法",[1]!B_CALC_CURVE_CHINABOND($I$1,$G$1,$D46-H$2/365),(((1+[1]!B_CALC_CURVE_CHINABOND($I$1,$G$1,$D46)/100)^$D46/(1+H$3/100)^(H$2/365))^(1/($D46-H$2/365))-1)*100+模拟分析!$G$12/100))))</f>
        <v>0</v>
      </c>
      <c r="I46" s="5">
        <f ca="1">IF($B46="",0,IF($D46-I$2/365&lt;=0,0,(IF(模拟分析!$I$12="到期平移法",[1]!B_CALC_CURVE_CHINABOND($I$1,$G$1,$D46-I$2/365),(((1+[1]!B_CALC_CURVE_CHINABOND($I$1,$G$1,$D46)/100)^$D46/(1+I$3/100)^(I$2/365))^(1/($D46-I$2/365))-1)*100+模拟分析!$G$12/100))))</f>
        <v>0</v>
      </c>
      <c r="J46" s="5">
        <f ca="1">IF($B46="",0,IF($D46-J$2/365&lt;=0,0,(IF(模拟分析!$I$12="到期平移法",[1]!B_CALC_CURVE_CHINABOND($I$1,$G$1,$D46-J$2/365),(((1+[1]!B_CALC_CURVE_CHINABOND($I$1,$G$1,$D46)/100)^$D46/(1+J$3/100)^(J$2/365))^(1/($D46-J$2/365))-1)*100+模拟分析!$G$12/100))))</f>
        <v>0</v>
      </c>
      <c r="K46" s="5">
        <f ca="1">IF($B46="",0,IF($D46-K$2/365&lt;=0,0,(IF(模拟分析!$I$12="到期平移法",[1]!B_CALC_CURVE_CHINABOND($I$1,$G$1,$D46-K$2/365),(((1+[1]!B_CALC_CURVE_CHINABOND($I$1,$G$1,$D46)/100)^$D46/(1+K$3/100)^(K$2/365))^(1/($D46-K$2/365))-1)*100+模拟分析!$G$12/100))))</f>
        <v>0</v>
      </c>
      <c r="L46" s="5">
        <f ca="1">IF($B46="",0,IF($D46-L$2/365&lt;=0,0,(IF(模拟分析!$I$12="到期平移法",[1]!B_CALC_CURVE_CHINABOND($I$1,$G$1,$D46-L$2/365),(((1+[1]!B_CALC_CURVE_CHINABOND($I$1,$G$1,$D46)/100)^$D46/(1+L$3/100)^(L$2/365))^(1/($D46-L$2/365))-1)*100+模拟分析!$G$12/100))))</f>
        <v>0</v>
      </c>
      <c r="M46" s="5">
        <f ca="1">IF($B46="",0,IF($D46-M$2/365&lt;=0,0,(IF(模拟分析!$I$12="到期平移法",[1]!B_CALC_CURVE_CHINABOND($I$1,$G$1,$D46-M$2/365),(((1+[1]!B_CALC_CURVE_CHINABOND($I$1,$G$1,$D46)/100)^$D46/(1+M$3/100)^(M$2/365))^(1/($D46-M$2/365))-1)*100+模拟分析!$G$12/100))))</f>
        <v>0</v>
      </c>
      <c r="N46" s="5">
        <f ca="1">IF($B46="",0,IF($D46-N$2/365&lt;=0,0,(IF(模拟分析!$I$12="到期平移法",[1]!B_CALC_CURVE_CHINABOND($I$1,$G$1,$D46-N$2/365),(((1+[1]!B_CALC_CURVE_CHINABOND($I$1,$G$1,$D46)/100)^$D46/(1+N$3/100)^(N$2/365))^(1/($D46-N$2/365))-1)*100+模拟分析!$G$12/100))))</f>
        <v>0</v>
      </c>
      <c r="O46">
        <f t="shared" ca="1" si="5"/>
        <v>0</v>
      </c>
    </row>
    <row r="47" spans="2:15" x14ac:dyDescent="0.15">
      <c r="B47" s="2" t="str">
        <f ca="1">IF(B46="","",IF(B46&lt;$E$1,[1]!b_anal_nxcupn($C$1,B46+1),""))</f>
        <v/>
      </c>
      <c r="C47" s="4">
        <f ca="1">IF(B47="",0,IF(模拟分析!$K$9=0,[1]!b_anal_dailycf($C$1,B47),IF(模拟分析!$I$11="否",[1]!b_anal_dailycf($C$1,B47),IF(B47&lt;模拟分析!$K$12,[1]!b_anal_dailycf($C$1,B47),IF(B47=模拟分析!$K$12,[1]!b_anal_dailycf($C$1,B47)+模拟分析!$K$11,0)))))</f>
        <v>0</v>
      </c>
      <c r="D47" s="3">
        <f t="shared" ca="1" si="4"/>
        <v>0</v>
      </c>
      <c r="E47" s="5">
        <f ca="1">IF($B47="",0,IF($D47-E$2/365&lt;=0,0,(IF(模拟分析!$I$12="到期平移法",[1]!B_CALC_CURVE_CHINABOND($I$1,$G$1,$D47-E$2/365),(((1+[1]!B_CALC_CURVE_CHINABOND($I$1,$G$1,$D47)/100)^$D47/(1+E$3/100)^(E$2/365))^(1/($D47-E$2/365))-1)*100+模拟分析!$G$12/100))))</f>
        <v>0</v>
      </c>
      <c r="F47" s="5">
        <f ca="1">IF($B47="",0,IF($D47-F$2/365&lt;=0,0,(IF(模拟分析!$I$12="到期平移法",[1]!B_CALC_CURVE_CHINABOND($I$1,$G$1,$D47-F$2/365),(((1+[1]!B_CALC_CURVE_CHINABOND($I$1,$G$1,$D47)/100)^$D47/(1+F$3/100)^(F$2/365))^(1/($D47-F$2/365))-1)*100+模拟分析!$G$12/100))))</f>
        <v>0</v>
      </c>
      <c r="G47" s="5">
        <f ca="1">IF($B47="",0,IF($D47-G$2/365&lt;=0,0,(IF(模拟分析!$I$12="到期平移法",[1]!B_CALC_CURVE_CHINABOND($I$1,$G$1,$D47-G$2/365),(((1+[1]!B_CALC_CURVE_CHINABOND($I$1,$G$1,$D47)/100)^$D47/(1+G$3/100)^(G$2/365))^(1/($D47-G$2/365))-1)*100+模拟分析!$G$12/100))))</f>
        <v>0</v>
      </c>
      <c r="H47" s="5">
        <f ca="1">IF($B47="",0,IF($D47-H$2/365&lt;=0,0,(IF(模拟分析!$I$12="到期平移法",[1]!B_CALC_CURVE_CHINABOND($I$1,$G$1,$D47-H$2/365),(((1+[1]!B_CALC_CURVE_CHINABOND($I$1,$G$1,$D47)/100)^$D47/(1+H$3/100)^(H$2/365))^(1/($D47-H$2/365))-1)*100+模拟分析!$G$12/100))))</f>
        <v>0</v>
      </c>
      <c r="I47" s="5">
        <f ca="1">IF($B47="",0,IF($D47-I$2/365&lt;=0,0,(IF(模拟分析!$I$12="到期平移法",[1]!B_CALC_CURVE_CHINABOND($I$1,$G$1,$D47-I$2/365),(((1+[1]!B_CALC_CURVE_CHINABOND($I$1,$G$1,$D47)/100)^$D47/(1+I$3/100)^(I$2/365))^(1/($D47-I$2/365))-1)*100+模拟分析!$G$12/100))))</f>
        <v>0</v>
      </c>
      <c r="J47" s="5">
        <f ca="1">IF($B47="",0,IF($D47-J$2/365&lt;=0,0,(IF(模拟分析!$I$12="到期平移法",[1]!B_CALC_CURVE_CHINABOND($I$1,$G$1,$D47-J$2/365),(((1+[1]!B_CALC_CURVE_CHINABOND($I$1,$G$1,$D47)/100)^$D47/(1+J$3/100)^(J$2/365))^(1/($D47-J$2/365))-1)*100+模拟分析!$G$12/100))))</f>
        <v>0</v>
      </c>
      <c r="K47" s="5">
        <f ca="1">IF($B47="",0,IF($D47-K$2/365&lt;=0,0,(IF(模拟分析!$I$12="到期平移法",[1]!B_CALC_CURVE_CHINABOND($I$1,$G$1,$D47-K$2/365),(((1+[1]!B_CALC_CURVE_CHINABOND($I$1,$G$1,$D47)/100)^$D47/(1+K$3/100)^(K$2/365))^(1/($D47-K$2/365))-1)*100+模拟分析!$G$12/100))))</f>
        <v>0</v>
      </c>
      <c r="L47" s="5">
        <f ca="1">IF($B47="",0,IF($D47-L$2/365&lt;=0,0,(IF(模拟分析!$I$12="到期平移法",[1]!B_CALC_CURVE_CHINABOND($I$1,$G$1,$D47-L$2/365),(((1+[1]!B_CALC_CURVE_CHINABOND($I$1,$G$1,$D47)/100)^$D47/(1+L$3/100)^(L$2/365))^(1/($D47-L$2/365))-1)*100+模拟分析!$G$12/100))))</f>
        <v>0</v>
      </c>
      <c r="M47" s="5">
        <f ca="1">IF($B47="",0,IF($D47-M$2/365&lt;=0,0,(IF(模拟分析!$I$12="到期平移法",[1]!B_CALC_CURVE_CHINABOND($I$1,$G$1,$D47-M$2/365),(((1+[1]!B_CALC_CURVE_CHINABOND($I$1,$G$1,$D47)/100)^$D47/(1+M$3/100)^(M$2/365))^(1/($D47-M$2/365))-1)*100+模拟分析!$G$12/100))))</f>
        <v>0</v>
      </c>
      <c r="N47" s="5">
        <f ca="1">IF($B47="",0,IF($D47-N$2/365&lt;=0,0,(IF(模拟分析!$I$12="到期平移法",[1]!B_CALC_CURVE_CHINABOND($I$1,$G$1,$D47-N$2/365),(((1+[1]!B_CALC_CURVE_CHINABOND($I$1,$G$1,$D47)/100)^$D47/(1+N$3/100)^(N$2/365))^(1/($D47-N$2/365))-1)*100+模拟分析!$G$12/100))))</f>
        <v>0</v>
      </c>
      <c r="O47">
        <f t="shared" ca="1" si="5"/>
        <v>0</v>
      </c>
    </row>
    <row r="48" spans="2:15" x14ac:dyDescent="0.15">
      <c r="B48" s="2" t="str">
        <f ca="1">IF(B47="","",IF(B47&lt;$E$1,[1]!b_anal_nxcupn($C$1,B47+1),""))</f>
        <v/>
      </c>
      <c r="C48" s="4">
        <f ca="1">IF(B48="",0,IF(模拟分析!$K$9=0,[1]!b_anal_dailycf($C$1,B48),IF(模拟分析!$I$11="否",[1]!b_anal_dailycf($C$1,B48),IF(B48&lt;模拟分析!$K$12,[1]!b_anal_dailycf($C$1,B48),IF(B48=模拟分析!$K$12,[1]!b_anal_dailycf($C$1,B48)+模拟分析!$K$11,0)))))</f>
        <v>0</v>
      </c>
      <c r="D48" s="3">
        <f t="shared" ca="1" si="4"/>
        <v>0</v>
      </c>
      <c r="E48" s="5">
        <f ca="1">IF($B48="",0,IF($D48-E$2/365&lt;=0,0,(IF(模拟分析!$I$12="到期平移法",[1]!B_CALC_CURVE_CHINABOND($I$1,$G$1,$D48-E$2/365),(((1+[1]!B_CALC_CURVE_CHINABOND($I$1,$G$1,$D48)/100)^$D48/(1+E$3/100)^(E$2/365))^(1/($D48-E$2/365))-1)*100+模拟分析!$G$12/100))))</f>
        <v>0</v>
      </c>
      <c r="F48" s="5">
        <f ca="1">IF($B48="",0,IF($D48-F$2/365&lt;=0,0,(IF(模拟分析!$I$12="到期平移法",[1]!B_CALC_CURVE_CHINABOND($I$1,$G$1,$D48-F$2/365),(((1+[1]!B_CALC_CURVE_CHINABOND($I$1,$G$1,$D48)/100)^$D48/(1+F$3/100)^(F$2/365))^(1/($D48-F$2/365))-1)*100+模拟分析!$G$12/100))))</f>
        <v>0</v>
      </c>
      <c r="G48" s="5">
        <f ca="1">IF($B48="",0,IF($D48-G$2/365&lt;=0,0,(IF(模拟分析!$I$12="到期平移法",[1]!B_CALC_CURVE_CHINABOND($I$1,$G$1,$D48-G$2/365),(((1+[1]!B_CALC_CURVE_CHINABOND($I$1,$G$1,$D48)/100)^$D48/(1+G$3/100)^(G$2/365))^(1/($D48-G$2/365))-1)*100+模拟分析!$G$12/100))))</f>
        <v>0</v>
      </c>
      <c r="H48" s="5">
        <f ca="1">IF($B48="",0,IF($D48-H$2/365&lt;=0,0,(IF(模拟分析!$I$12="到期平移法",[1]!B_CALC_CURVE_CHINABOND($I$1,$G$1,$D48-H$2/365),(((1+[1]!B_CALC_CURVE_CHINABOND($I$1,$G$1,$D48)/100)^$D48/(1+H$3/100)^(H$2/365))^(1/($D48-H$2/365))-1)*100+模拟分析!$G$12/100))))</f>
        <v>0</v>
      </c>
      <c r="I48" s="5">
        <f ca="1">IF($B48="",0,IF($D48-I$2/365&lt;=0,0,(IF(模拟分析!$I$12="到期平移法",[1]!B_CALC_CURVE_CHINABOND($I$1,$G$1,$D48-I$2/365),(((1+[1]!B_CALC_CURVE_CHINABOND($I$1,$G$1,$D48)/100)^$D48/(1+I$3/100)^(I$2/365))^(1/($D48-I$2/365))-1)*100+模拟分析!$G$12/100))))</f>
        <v>0</v>
      </c>
      <c r="J48" s="5">
        <f ca="1">IF($B48="",0,IF($D48-J$2/365&lt;=0,0,(IF(模拟分析!$I$12="到期平移法",[1]!B_CALC_CURVE_CHINABOND($I$1,$G$1,$D48-J$2/365),(((1+[1]!B_CALC_CURVE_CHINABOND($I$1,$G$1,$D48)/100)^$D48/(1+J$3/100)^(J$2/365))^(1/($D48-J$2/365))-1)*100+模拟分析!$G$12/100))))</f>
        <v>0</v>
      </c>
      <c r="K48" s="5">
        <f ca="1">IF($B48="",0,IF($D48-K$2/365&lt;=0,0,(IF(模拟分析!$I$12="到期平移法",[1]!B_CALC_CURVE_CHINABOND($I$1,$G$1,$D48-K$2/365),(((1+[1]!B_CALC_CURVE_CHINABOND($I$1,$G$1,$D48)/100)^$D48/(1+K$3/100)^(K$2/365))^(1/($D48-K$2/365))-1)*100+模拟分析!$G$12/100))))</f>
        <v>0</v>
      </c>
      <c r="L48" s="5">
        <f ca="1">IF($B48="",0,IF($D48-L$2/365&lt;=0,0,(IF(模拟分析!$I$12="到期平移法",[1]!B_CALC_CURVE_CHINABOND($I$1,$G$1,$D48-L$2/365),(((1+[1]!B_CALC_CURVE_CHINABOND($I$1,$G$1,$D48)/100)^$D48/(1+L$3/100)^(L$2/365))^(1/($D48-L$2/365))-1)*100+模拟分析!$G$12/100))))</f>
        <v>0</v>
      </c>
      <c r="M48" s="5">
        <f ca="1">IF($B48="",0,IF($D48-M$2/365&lt;=0,0,(IF(模拟分析!$I$12="到期平移法",[1]!B_CALC_CURVE_CHINABOND($I$1,$G$1,$D48-M$2/365),(((1+[1]!B_CALC_CURVE_CHINABOND($I$1,$G$1,$D48)/100)^$D48/(1+M$3/100)^(M$2/365))^(1/($D48-M$2/365))-1)*100+模拟分析!$G$12/100))))</f>
        <v>0</v>
      </c>
      <c r="N48" s="5">
        <f ca="1">IF($B48="",0,IF($D48-N$2/365&lt;=0,0,(IF(模拟分析!$I$12="到期平移法",[1]!B_CALC_CURVE_CHINABOND($I$1,$G$1,$D48-N$2/365),(((1+[1]!B_CALC_CURVE_CHINABOND($I$1,$G$1,$D48)/100)^$D48/(1+N$3/100)^(N$2/365))^(1/($D48-N$2/365))-1)*100+模拟分析!$G$12/100))))</f>
        <v>0</v>
      </c>
      <c r="O48">
        <f t="shared" ca="1" si="5"/>
        <v>0</v>
      </c>
    </row>
    <row r="49" spans="2:15" x14ac:dyDescent="0.15">
      <c r="B49" s="2" t="str">
        <f ca="1">IF(B48="","",IF(B48&lt;$E$1,[1]!b_anal_nxcupn($C$1,B48+1),""))</f>
        <v/>
      </c>
      <c r="C49" s="4">
        <f ca="1">IF(B49="",0,IF(模拟分析!$K$9=0,[1]!b_anal_dailycf($C$1,B49),IF(模拟分析!$I$11="否",[1]!b_anal_dailycf($C$1,B49),IF(B49&lt;模拟分析!$K$12,[1]!b_anal_dailycf($C$1,B49),IF(B49=模拟分析!$K$12,[1]!b_anal_dailycf($C$1,B49)+模拟分析!$K$11,0)))))</f>
        <v>0</v>
      </c>
      <c r="D49" s="3">
        <f t="shared" ca="1" si="4"/>
        <v>0</v>
      </c>
      <c r="E49" s="5">
        <f ca="1">IF($B49="",0,IF($D49-E$2/365&lt;=0,0,(IF(模拟分析!$I$12="到期平移法",[1]!B_CALC_CURVE_CHINABOND($I$1,$G$1,$D49-E$2/365),(((1+[1]!B_CALC_CURVE_CHINABOND($I$1,$G$1,$D49)/100)^$D49/(1+E$3/100)^(E$2/365))^(1/($D49-E$2/365))-1)*100+模拟分析!$G$12/100))))</f>
        <v>0</v>
      </c>
      <c r="F49" s="5">
        <f ca="1">IF($B49="",0,IF($D49-F$2/365&lt;=0,0,(IF(模拟分析!$I$12="到期平移法",[1]!B_CALC_CURVE_CHINABOND($I$1,$G$1,$D49-F$2/365),(((1+[1]!B_CALC_CURVE_CHINABOND($I$1,$G$1,$D49)/100)^$D49/(1+F$3/100)^(F$2/365))^(1/($D49-F$2/365))-1)*100+模拟分析!$G$12/100))))</f>
        <v>0</v>
      </c>
      <c r="G49" s="5">
        <f ca="1">IF($B49="",0,IF($D49-G$2/365&lt;=0,0,(IF(模拟分析!$I$12="到期平移法",[1]!B_CALC_CURVE_CHINABOND($I$1,$G$1,$D49-G$2/365),(((1+[1]!B_CALC_CURVE_CHINABOND($I$1,$G$1,$D49)/100)^$D49/(1+G$3/100)^(G$2/365))^(1/($D49-G$2/365))-1)*100+模拟分析!$G$12/100))))</f>
        <v>0</v>
      </c>
      <c r="H49" s="5">
        <f ca="1">IF($B49="",0,IF($D49-H$2/365&lt;=0,0,(IF(模拟分析!$I$12="到期平移法",[1]!B_CALC_CURVE_CHINABOND($I$1,$G$1,$D49-H$2/365),(((1+[1]!B_CALC_CURVE_CHINABOND($I$1,$G$1,$D49)/100)^$D49/(1+H$3/100)^(H$2/365))^(1/($D49-H$2/365))-1)*100+模拟分析!$G$12/100))))</f>
        <v>0</v>
      </c>
      <c r="I49" s="5">
        <f ca="1">IF($B49="",0,IF($D49-I$2/365&lt;=0,0,(IF(模拟分析!$I$12="到期平移法",[1]!B_CALC_CURVE_CHINABOND($I$1,$G$1,$D49-I$2/365),(((1+[1]!B_CALC_CURVE_CHINABOND($I$1,$G$1,$D49)/100)^$D49/(1+I$3/100)^(I$2/365))^(1/($D49-I$2/365))-1)*100+模拟分析!$G$12/100))))</f>
        <v>0</v>
      </c>
      <c r="J49" s="5">
        <f ca="1">IF($B49="",0,IF($D49-J$2/365&lt;=0,0,(IF(模拟分析!$I$12="到期平移法",[1]!B_CALC_CURVE_CHINABOND($I$1,$G$1,$D49-J$2/365),(((1+[1]!B_CALC_CURVE_CHINABOND($I$1,$G$1,$D49)/100)^$D49/(1+J$3/100)^(J$2/365))^(1/($D49-J$2/365))-1)*100+模拟分析!$G$12/100))))</f>
        <v>0</v>
      </c>
      <c r="K49" s="5">
        <f ca="1">IF($B49="",0,IF($D49-K$2/365&lt;=0,0,(IF(模拟分析!$I$12="到期平移法",[1]!B_CALC_CURVE_CHINABOND($I$1,$G$1,$D49-K$2/365),(((1+[1]!B_CALC_CURVE_CHINABOND($I$1,$G$1,$D49)/100)^$D49/(1+K$3/100)^(K$2/365))^(1/($D49-K$2/365))-1)*100+模拟分析!$G$12/100))))</f>
        <v>0</v>
      </c>
      <c r="L49" s="5">
        <f ca="1">IF($B49="",0,IF($D49-L$2/365&lt;=0,0,(IF(模拟分析!$I$12="到期平移法",[1]!B_CALC_CURVE_CHINABOND($I$1,$G$1,$D49-L$2/365),(((1+[1]!B_CALC_CURVE_CHINABOND($I$1,$G$1,$D49)/100)^$D49/(1+L$3/100)^(L$2/365))^(1/($D49-L$2/365))-1)*100+模拟分析!$G$12/100))))</f>
        <v>0</v>
      </c>
      <c r="M49" s="5">
        <f ca="1">IF($B49="",0,IF($D49-M$2/365&lt;=0,0,(IF(模拟分析!$I$12="到期平移法",[1]!B_CALC_CURVE_CHINABOND($I$1,$G$1,$D49-M$2/365),(((1+[1]!B_CALC_CURVE_CHINABOND($I$1,$G$1,$D49)/100)^$D49/(1+M$3/100)^(M$2/365))^(1/($D49-M$2/365))-1)*100+模拟分析!$G$12/100))))</f>
        <v>0</v>
      </c>
      <c r="N49" s="5">
        <f ca="1">IF($B49="",0,IF($D49-N$2/365&lt;=0,0,(IF(模拟分析!$I$12="到期平移法",[1]!B_CALC_CURVE_CHINABOND($I$1,$G$1,$D49-N$2/365),(((1+[1]!B_CALC_CURVE_CHINABOND($I$1,$G$1,$D49)/100)^$D49/(1+N$3/100)^(N$2/365))^(1/($D49-N$2/365))-1)*100+模拟分析!$G$12/100))))</f>
        <v>0</v>
      </c>
      <c r="O49">
        <f t="shared" ca="1" si="5"/>
        <v>0</v>
      </c>
    </row>
    <row r="50" spans="2:15" x14ac:dyDescent="0.15">
      <c r="B50" s="2" t="str">
        <f ca="1">IF(B49="","",IF(B49&lt;$E$1,[1]!b_anal_nxcupn($C$1,B49+1),""))</f>
        <v/>
      </c>
      <c r="C50" s="4">
        <f ca="1">IF(B50="",0,IF(模拟分析!$K$9=0,[1]!b_anal_dailycf($C$1,B50),IF(模拟分析!$I$11="否",[1]!b_anal_dailycf($C$1,B50),IF(B50&lt;模拟分析!$K$12,[1]!b_anal_dailycf($C$1,B50),IF(B50=模拟分析!$K$12,[1]!b_anal_dailycf($C$1,B50)+模拟分析!$K$11,0)))))</f>
        <v>0</v>
      </c>
      <c r="D50" s="3">
        <f t="shared" ca="1" si="4"/>
        <v>0</v>
      </c>
      <c r="E50" s="5">
        <f ca="1">IF($B50="",0,IF($D50-E$2/365&lt;=0,0,(IF(模拟分析!$I$12="到期平移法",[1]!B_CALC_CURVE_CHINABOND($I$1,$G$1,$D50-E$2/365),(((1+[1]!B_CALC_CURVE_CHINABOND($I$1,$G$1,$D50)/100)^$D50/(1+E$3/100)^(E$2/365))^(1/($D50-E$2/365))-1)*100+模拟分析!$G$12/100))))</f>
        <v>0</v>
      </c>
      <c r="F50" s="5">
        <f ca="1">IF($B50="",0,IF($D50-F$2/365&lt;=0,0,(IF(模拟分析!$I$12="到期平移法",[1]!B_CALC_CURVE_CHINABOND($I$1,$G$1,$D50-F$2/365),(((1+[1]!B_CALC_CURVE_CHINABOND($I$1,$G$1,$D50)/100)^$D50/(1+F$3/100)^(F$2/365))^(1/($D50-F$2/365))-1)*100+模拟分析!$G$12/100))))</f>
        <v>0</v>
      </c>
      <c r="G50" s="5">
        <f ca="1">IF($B50="",0,IF($D50-G$2/365&lt;=0,0,(IF(模拟分析!$I$12="到期平移法",[1]!B_CALC_CURVE_CHINABOND($I$1,$G$1,$D50-G$2/365),(((1+[1]!B_CALC_CURVE_CHINABOND($I$1,$G$1,$D50)/100)^$D50/(1+G$3/100)^(G$2/365))^(1/($D50-G$2/365))-1)*100+模拟分析!$G$12/100))))</f>
        <v>0</v>
      </c>
      <c r="H50" s="5">
        <f ca="1">IF($B50="",0,IF($D50-H$2/365&lt;=0,0,(IF(模拟分析!$I$12="到期平移法",[1]!B_CALC_CURVE_CHINABOND($I$1,$G$1,$D50-H$2/365),(((1+[1]!B_CALC_CURVE_CHINABOND($I$1,$G$1,$D50)/100)^$D50/(1+H$3/100)^(H$2/365))^(1/($D50-H$2/365))-1)*100+模拟分析!$G$12/100))))</f>
        <v>0</v>
      </c>
      <c r="I50" s="5">
        <f ca="1">IF($B50="",0,IF($D50-I$2/365&lt;=0,0,(IF(模拟分析!$I$12="到期平移法",[1]!B_CALC_CURVE_CHINABOND($I$1,$G$1,$D50-I$2/365),(((1+[1]!B_CALC_CURVE_CHINABOND($I$1,$G$1,$D50)/100)^$D50/(1+I$3/100)^(I$2/365))^(1/($D50-I$2/365))-1)*100+模拟分析!$G$12/100))))</f>
        <v>0</v>
      </c>
      <c r="J50" s="5">
        <f ca="1">IF($B50="",0,IF($D50-J$2/365&lt;=0,0,(IF(模拟分析!$I$12="到期平移法",[1]!B_CALC_CURVE_CHINABOND($I$1,$G$1,$D50-J$2/365),(((1+[1]!B_CALC_CURVE_CHINABOND($I$1,$G$1,$D50)/100)^$D50/(1+J$3/100)^(J$2/365))^(1/($D50-J$2/365))-1)*100+模拟分析!$G$12/100))))</f>
        <v>0</v>
      </c>
      <c r="K50" s="5">
        <f ca="1">IF($B50="",0,IF($D50-K$2/365&lt;=0,0,(IF(模拟分析!$I$12="到期平移法",[1]!B_CALC_CURVE_CHINABOND($I$1,$G$1,$D50-K$2/365),(((1+[1]!B_CALC_CURVE_CHINABOND($I$1,$G$1,$D50)/100)^$D50/(1+K$3/100)^(K$2/365))^(1/($D50-K$2/365))-1)*100+模拟分析!$G$12/100))))</f>
        <v>0</v>
      </c>
      <c r="L50" s="5">
        <f ca="1">IF($B50="",0,IF($D50-L$2/365&lt;=0,0,(IF(模拟分析!$I$12="到期平移法",[1]!B_CALC_CURVE_CHINABOND($I$1,$G$1,$D50-L$2/365),(((1+[1]!B_CALC_CURVE_CHINABOND($I$1,$G$1,$D50)/100)^$D50/(1+L$3/100)^(L$2/365))^(1/($D50-L$2/365))-1)*100+模拟分析!$G$12/100))))</f>
        <v>0</v>
      </c>
      <c r="M50" s="5">
        <f ca="1">IF($B50="",0,IF($D50-M$2/365&lt;=0,0,(IF(模拟分析!$I$12="到期平移法",[1]!B_CALC_CURVE_CHINABOND($I$1,$G$1,$D50-M$2/365),(((1+[1]!B_CALC_CURVE_CHINABOND($I$1,$G$1,$D50)/100)^$D50/(1+M$3/100)^(M$2/365))^(1/($D50-M$2/365))-1)*100+模拟分析!$G$12/100))))</f>
        <v>0</v>
      </c>
      <c r="N50" s="5">
        <f ca="1">IF($B50="",0,IF($D50-N$2/365&lt;=0,0,(IF(模拟分析!$I$12="到期平移法",[1]!B_CALC_CURVE_CHINABOND($I$1,$G$1,$D50-N$2/365),(((1+[1]!B_CALC_CURVE_CHINABOND($I$1,$G$1,$D50)/100)^$D50/(1+N$3/100)^(N$2/365))^(1/($D50-N$2/365))-1)*100+模拟分析!$G$12/100))))</f>
        <v>0</v>
      </c>
      <c r="O50">
        <f t="shared" ca="1" si="5"/>
        <v>0</v>
      </c>
    </row>
    <row r="51" spans="2:15" x14ac:dyDescent="0.15">
      <c r="B51" s="2" t="str">
        <f ca="1">IF(B50="","",IF(B50&lt;$E$1,[1]!b_anal_nxcupn($C$1,B50+1),""))</f>
        <v/>
      </c>
      <c r="C51" s="4">
        <f ca="1">IF(B51="",0,IF(模拟分析!$K$9=0,[1]!b_anal_dailycf($C$1,B51),IF(模拟分析!$I$11="否",[1]!b_anal_dailycf($C$1,B51),IF(B51&lt;模拟分析!$K$12,[1]!b_anal_dailycf($C$1,B51),IF(B51=模拟分析!$K$12,[1]!b_anal_dailycf($C$1,B51)+模拟分析!$K$11,0)))))</f>
        <v>0</v>
      </c>
      <c r="D51" s="3">
        <f t="shared" ca="1" si="4"/>
        <v>0</v>
      </c>
      <c r="E51" s="5">
        <f ca="1">IF($B51="",0,IF($D51-E$2/365&lt;=0,0,(IF(模拟分析!$I$12="到期平移法",[1]!B_CALC_CURVE_CHINABOND($I$1,$G$1,$D51-E$2/365),(((1+[1]!B_CALC_CURVE_CHINABOND($I$1,$G$1,$D51)/100)^$D51/(1+E$3/100)^(E$2/365))^(1/($D51-E$2/365))-1)*100+模拟分析!$G$12/100))))</f>
        <v>0</v>
      </c>
      <c r="F51" s="5">
        <f ca="1">IF($B51="",0,IF($D51-F$2/365&lt;=0,0,(IF(模拟分析!$I$12="到期平移法",[1]!B_CALC_CURVE_CHINABOND($I$1,$G$1,$D51-F$2/365),(((1+[1]!B_CALC_CURVE_CHINABOND($I$1,$G$1,$D51)/100)^$D51/(1+F$3/100)^(F$2/365))^(1/($D51-F$2/365))-1)*100+模拟分析!$G$12/100))))</f>
        <v>0</v>
      </c>
      <c r="G51" s="5">
        <f ca="1">IF($B51="",0,IF($D51-G$2/365&lt;=0,0,(IF(模拟分析!$I$12="到期平移法",[1]!B_CALC_CURVE_CHINABOND($I$1,$G$1,$D51-G$2/365),(((1+[1]!B_CALC_CURVE_CHINABOND($I$1,$G$1,$D51)/100)^$D51/(1+G$3/100)^(G$2/365))^(1/($D51-G$2/365))-1)*100+模拟分析!$G$12/100))))</f>
        <v>0</v>
      </c>
      <c r="H51" s="5">
        <f ca="1">IF($B51="",0,IF($D51-H$2/365&lt;=0,0,(IF(模拟分析!$I$12="到期平移法",[1]!B_CALC_CURVE_CHINABOND($I$1,$G$1,$D51-H$2/365),(((1+[1]!B_CALC_CURVE_CHINABOND($I$1,$G$1,$D51)/100)^$D51/(1+H$3/100)^(H$2/365))^(1/($D51-H$2/365))-1)*100+模拟分析!$G$12/100))))</f>
        <v>0</v>
      </c>
      <c r="I51" s="5">
        <f ca="1">IF($B51="",0,IF($D51-I$2/365&lt;=0,0,(IF(模拟分析!$I$12="到期平移法",[1]!B_CALC_CURVE_CHINABOND($I$1,$G$1,$D51-I$2/365),(((1+[1]!B_CALC_CURVE_CHINABOND($I$1,$G$1,$D51)/100)^$D51/(1+I$3/100)^(I$2/365))^(1/($D51-I$2/365))-1)*100+模拟分析!$G$12/100))))</f>
        <v>0</v>
      </c>
      <c r="J51" s="5">
        <f ca="1">IF($B51="",0,IF($D51-J$2/365&lt;=0,0,(IF(模拟分析!$I$12="到期平移法",[1]!B_CALC_CURVE_CHINABOND($I$1,$G$1,$D51-J$2/365),(((1+[1]!B_CALC_CURVE_CHINABOND($I$1,$G$1,$D51)/100)^$D51/(1+J$3/100)^(J$2/365))^(1/($D51-J$2/365))-1)*100+模拟分析!$G$12/100))))</f>
        <v>0</v>
      </c>
      <c r="K51" s="5">
        <f ca="1">IF($B51="",0,IF($D51-K$2/365&lt;=0,0,(IF(模拟分析!$I$12="到期平移法",[1]!B_CALC_CURVE_CHINABOND($I$1,$G$1,$D51-K$2/365),(((1+[1]!B_CALC_CURVE_CHINABOND($I$1,$G$1,$D51)/100)^$D51/(1+K$3/100)^(K$2/365))^(1/($D51-K$2/365))-1)*100+模拟分析!$G$12/100))))</f>
        <v>0</v>
      </c>
      <c r="L51" s="5">
        <f ca="1">IF($B51="",0,IF($D51-L$2/365&lt;=0,0,(IF(模拟分析!$I$12="到期平移法",[1]!B_CALC_CURVE_CHINABOND($I$1,$G$1,$D51-L$2/365),(((1+[1]!B_CALC_CURVE_CHINABOND($I$1,$G$1,$D51)/100)^$D51/(1+L$3/100)^(L$2/365))^(1/($D51-L$2/365))-1)*100+模拟分析!$G$12/100))))</f>
        <v>0</v>
      </c>
      <c r="M51" s="5">
        <f ca="1">IF($B51="",0,IF($D51-M$2/365&lt;=0,0,(IF(模拟分析!$I$12="到期平移法",[1]!B_CALC_CURVE_CHINABOND($I$1,$G$1,$D51-M$2/365),(((1+[1]!B_CALC_CURVE_CHINABOND($I$1,$G$1,$D51)/100)^$D51/(1+M$3/100)^(M$2/365))^(1/($D51-M$2/365))-1)*100+模拟分析!$G$12/100))))</f>
        <v>0</v>
      </c>
      <c r="N51" s="5">
        <f ca="1">IF($B51="",0,IF($D51-N$2/365&lt;=0,0,(IF(模拟分析!$I$12="到期平移法",[1]!B_CALC_CURVE_CHINABOND($I$1,$G$1,$D51-N$2/365),(((1+[1]!B_CALC_CURVE_CHINABOND($I$1,$G$1,$D51)/100)^$D51/(1+N$3/100)^(N$2/365))^(1/($D51-N$2/365))-1)*100+模拟分析!$G$12/100))))</f>
        <v>0</v>
      </c>
      <c r="O51">
        <f t="shared" ca="1" si="5"/>
        <v>0</v>
      </c>
    </row>
    <row r="52" spans="2:15" x14ac:dyDescent="0.15">
      <c r="B52" s="2" t="str">
        <f ca="1">IF(B51="","",IF(B51&lt;$E$1,[1]!b_anal_nxcupn($C$1,B51+1),""))</f>
        <v/>
      </c>
      <c r="C52" s="4">
        <f ca="1">IF(B52="",0,IF(模拟分析!$K$9=0,[1]!b_anal_dailycf($C$1,B52),IF(模拟分析!$I$11="否",[1]!b_anal_dailycf($C$1,B52),IF(B52&lt;模拟分析!$K$12,[1]!b_anal_dailycf($C$1,B52),IF(B52=模拟分析!$K$12,[1]!b_anal_dailycf($C$1,B52)+模拟分析!$K$11,0)))))</f>
        <v>0</v>
      </c>
      <c r="D52" s="3">
        <f t="shared" ca="1" si="4"/>
        <v>0</v>
      </c>
      <c r="E52" s="5">
        <f ca="1">IF($B52="",0,IF($D52-E$2/365&lt;=0,0,(IF(模拟分析!$I$12="到期平移法",[1]!B_CALC_CURVE_CHINABOND($I$1,$G$1,$D52-E$2/365),(((1+[1]!B_CALC_CURVE_CHINABOND($I$1,$G$1,$D52)/100)^$D52/(1+E$3/100)^(E$2/365))^(1/($D52-E$2/365))-1)*100+模拟分析!$G$12/100))))</f>
        <v>0</v>
      </c>
      <c r="F52" s="5">
        <f ca="1">IF($B52="",0,IF($D52-F$2/365&lt;=0,0,(IF(模拟分析!$I$12="到期平移法",[1]!B_CALC_CURVE_CHINABOND($I$1,$G$1,$D52-F$2/365),(((1+[1]!B_CALC_CURVE_CHINABOND($I$1,$G$1,$D52)/100)^$D52/(1+F$3/100)^(F$2/365))^(1/($D52-F$2/365))-1)*100+模拟分析!$G$12/100))))</f>
        <v>0</v>
      </c>
      <c r="G52" s="5">
        <f ca="1">IF($B52="",0,IF($D52-G$2/365&lt;=0,0,(IF(模拟分析!$I$12="到期平移法",[1]!B_CALC_CURVE_CHINABOND($I$1,$G$1,$D52-G$2/365),(((1+[1]!B_CALC_CURVE_CHINABOND($I$1,$G$1,$D52)/100)^$D52/(1+G$3/100)^(G$2/365))^(1/($D52-G$2/365))-1)*100+模拟分析!$G$12/100))))</f>
        <v>0</v>
      </c>
      <c r="H52" s="5">
        <f ca="1">IF($B52="",0,IF($D52-H$2/365&lt;=0,0,(IF(模拟分析!$I$12="到期平移法",[1]!B_CALC_CURVE_CHINABOND($I$1,$G$1,$D52-H$2/365),(((1+[1]!B_CALC_CURVE_CHINABOND($I$1,$G$1,$D52)/100)^$D52/(1+H$3/100)^(H$2/365))^(1/($D52-H$2/365))-1)*100+模拟分析!$G$12/100))))</f>
        <v>0</v>
      </c>
      <c r="I52" s="5">
        <f ca="1">IF($B52="",0,IF($D52-I$2/365&lt;=0,0,(IF(模拟分析!$I$12="到期平移法",[1]!B_CALC_CURVE_CHINABOND($I$1,$G$1,$D52-I$2/365),(((1+[1]!B_CALC_CURVE_CHINABOND($I$1,$G$1,$D52)/100)^$D52/(1+I$3/100)^(I$2/365))^(1/($D52-I$2/365))-1)*100+模拟分析!$G$12/100))))</f>
        <v>0</v>
      </c>
      <c r="J52" s="5">
        <f ca="1">IF($B52="",0,IF($D52-J$2/365&lt;=0,0,(IF(模拟分析!$I$12="到期平移法",[1]!B_CALC_CURVE_CHINABOND($I$1,$G$1,$D52-J$2/365),(((1+[1]!B_CALC_CURVE_CHINABOND($I$1,$G$1,$D52)/100)^$D52/(1+J$3/100)^(J$2/365))^(1/($D52-J$2/365))-1)*100+模拟分析!$G$12/100))))</f>
        <v>0</v>
      </c>
      <c r="K52" s="5">
        <f ca="1">IF($B52="",0,IF($D52-K$2/365&lt;=0,0,(IF(模拟分析!$I$12="到期平移法",[1]!B_CALC_CURVE_CHINABOND($I$1,$G$1,$D52-K$2/365),(((1+[1]!B_CALC_CURVE_CHINABOND($I$1,$G$1,$D52)/100)^$D52/(1+K$3/100)^(K$2/365))^(1/($D52-K$2/365))-1)*100+模拟分析!$G$12/100))))</f>
        <v>0</v>
      </c>
      <c r="L52" s="5">
        <f ca="1">IF($B52="",0,IF($D52-L$2/365&lt;=0,0,(IF(模拟分析!$I$12="到期平移法",[1]!B_CALC_CURVE_CHINABOND($I$1,$G$1,$D52-L$2/365),(((1+[1]!B_CALC_CURVE_CHINABOND($I$1,$G$1,$D52)/100)^$D52/(1+L$3/100)^(L$2/365))^(1/($D52-L$2/365))-1)*100+模拟分析!$G$12/100))))</f>
        <v>0</v>
      </c>
      <c r="M52" s="5">
        <f ca="1">IF($B52="",0,IF($D52-M$2/365&lt;=0,0,(IF(模拟分析!$I$12="到期平移法",[1]!B_CALC_CURVE_CHINABOND($I$1,$G$1,$D52-M$2/365),(((1+[1]!B_CALC_CURVE_CHINABOND($I$1,$G$1,$D52)/100)^$D52/(1+M$3/100)^(M$2/365))^(1/($D52-M$2/365))-1)*100+模拟分析!$G$12/100))))</f>
        <v>0</v>
      </c>
      <c r="N52" s="5">
        <f ca="1">IF($B52="",0,IF($D52-N$2/365&lt;=0,0,(IF(模拟分析!$I$12="到期平移法",[1]!B_CALC_CURVE_CHINABOND($I$1,$G$1,$D52-N$2/365),(((1+[1]!B_CALC_CURVE_CHINABOND($I$1,$G$1,$D52)/100)^$D52/(1+N$3/100)^(N$2/365))^(1/($D52-N$2/365))-1)*100+模拟分析!$G$12/100))))</f>
        <v>0</v>
      </c>
      <c r="O52">
        <f t="shared" ca="1" si="5"/>
        <v>0</v>
      </c>
    </row>
    <row r="53" spans="2:15" x14ac:dyDescent="0.15">
      <c r="B53" s="2" t="str">
        <f ca="1">IF(B52="","",IF(B52&lt;$E$1,[1]!b_anal_nxcupn($C$1,B52+1),""))</f>
        <v/>
      </c>
      <c r="C53" s="4">
        <f ca="1">IF(B53="",0,IF(模拟分析!$K$9=0,[1]!b_anal_dailycf($C$1,B53),IF(模拟分析!$I$11="否",[1]!b_anal_dailycf($C$1,B53),IF(B53&lt;模拟分析!$K$12,[1]!b_anal_dailycf($C$1,B53),IF(B53=模拟分析!$K$12,[1]!b_anal_dailycf($C$1,B53)+模拟分析!$K$11,0)))))</f>
        <v>0</v>
      </c>
      <c r="D53" s="3">
        <f t="shared" ca="1" si="4"/>
        <v>0</v>
      </c>
      <c r="E53" s="5">
        <f ca="1">IF($B53="",0,IF($D53-E$2/365&lt;=0,0,(IF(模拟分析!$I$12="到期平移法",[1]!B_CALC_CURVE_CHINABOND($I$1,$G$1,$D53-E$2/365),(((1+[1]!B_CALC_CURVE_CHINABOND($I$1,$G$1,$D53)/100)^$D53/(1+E$3/100)^(E$2/365))^(1/($D53-E$2/365))-1)*100+模拟分析!$G$12/100))))</f>
        <v>0</v>
      </c>
      <c r="F53" s="5">
        <f ca="1">IF($B53="",0,IF($D53-F$2/365&lt;=0,0,(IF(模拟分析!$I$12="到期平移法",[1]!B_CALC_CURVE_CHINABOND($I$1,$G$1,$D53-F$2/365),(((1+[1]!B_CALC_CURVE_CHINABOND($I$1,$G$1,$D53)/100)^$D53/(1+F$3/100)^(F$2/365))^(1/($D53-F$2/365))-1)*100+模拟分析!$G$12/100))))</f>
        <v>0</v>
      </c>
      <c r="G53" s="5">
        <f ca="1">IF($B53="",0,IF($D53-G$2/365&lt;=0,0,(IF(模拟分析!$I$12="到期平移法",[1]!B_CALC_CURVE_CHINABOND($I$1,$G$1,$D53-G$2/365),(((1+[1]!B_CALC_CURVE_CHINABOND($I$1,$G$1,$D53)/100)^$D53/(1+G$3/100)^(G$2/365))^(1/($D53-G$2/365))-1)*100+模拟分析!$G$12/100))))</f>
        <v>0</v>
      </c>
      <c r="H53" s="5">
        <f ca="1">IF($B53="",0,IF($D53-H$2/365&lt;=0,0,(IF(模拟分析!$I$12="到期平移法",[1]!B_CALC_CURVE_CHINABOND($I$1,$G$1,$D53-H$2/365),(((1+[1]!B_CALC_CURVE_CHINABOND($I$1,$G$1,$D53)/100)^$D53/(1+H$3/100)^(H$2/365))^(1/($D53-H$2/365))-1)*100+模拟分析!$G$12/100))))</f>
        <v>0</v>
      </c>
      <c r="I53" s="5">
        <f ca="1">IF($B53="",0,IF($D53-I$2/365&lt;=0,0,(IF(模拟分析!$I$12="到期平移法",[1]!B_CALC_CURVE_CHINABOND($I$1,$G$1,$D53-I$2/365),(((1+[1]!B_CALC_CURVE_CHINABOND($I$1,$G$1,$D53)/100)^$D53/(1+I$3/100)^(I$2/365))^(1/($D53-I$2/365))-1)*100+模拟分析!$G$12/100))))</f>
        <v>0</v>
      </c>
      <c r="J53" s="5">
        <f ca="1">IF($B53="",0,IF($D53-J$2/365&lt;=0,0,(IF(模拟分析!$I$12="到期平移法",[1]!B_CALC_CURVE_CHINABOND($I$1,$G$1,$D53-J$2/365),(((1+[1]!B_CALC_CURVE_CHINABOND($I$1,$G$1,$D53)/100)^$D53/(1+J$3/100)^(J$2/365))^(1/($D53-J$2/365))-1)*100+模拟分析!$G$12/100))))</f>
        <v>0</v>
      </c>
      <c r="K53" s="5">
        <f ca="1">IF($B53="",0,IF($D53-K$2/365&lt;=0,0,(IF(模拟分析!$I$12="到期平移法",[1]!B_CALC_CURVE_CHINABOND($I$1,$G$1,$D53-K$2/365),(((1+[1]!B_CALC_CURVE_CHINABOND($I$1,$G$1,$D53)/100)^$D53/(1+K$3/100)^(K$2/365))^(1/($D53-K$2/365))-1)*100+模拟分析!$G$12/100))))</f>
        <v>0</v>
      </c>
      <c r="L53" s="5">
        <f ca="1">IF($B53="",0,IF($D53-L$2/365&lt;=0,0,(IF(模拟分析!$I$12="到期平移法",[1]!B_CALC_CURVE_CHINABOND($I$1,$G$1,$D53-L$2/365),(((1+[1]!B_CALC_CURVE_CHINABOND($I$1,$G$1,$D53)/100)^$D53/(1+L$3/100)^(L$2/365))^(1/($D53-L$2/365))-1)*100+模拟分析!$G$12/100))))</f>
        <v>0</v>
      </c>
      <c r="M53" s="5">
        <f ca="1">IF($B53="",0,IF($D53-M$2/365&lt;=0,0,(IF(模拟分析!$I$12="到期平移法",[1]!B_CALC_CURVE_CHINABOND($I$1,$G$1,$D53-M$2/365),(((1+[1]!B_CALC_CURVE_CHINABOND($I$1,$G$1,$D53)/100)^$D53/(1+M$3/100)^(M$2/365))^(1/($D53-M$2/365))-1)*100+模拟分析!$G$12/100))))</f>
        <v>0</v>
      </c>
      <c r="N53" s="5">
        <f ca="1">IF($B53="",0,IF($D53-N$2/365&lt;=0,0,(IF(模拟分析!$I$12="到期平移法",[1]!B_CALC_CURVE_CHINABOND($I$1,$G$1,$D53-N$2/365),(((1+[1]!B_CALC_CURVE_CHINABOND($I$1,$G$1,$D53)/100)^$D53/(1+N$3/100)^(N$2/365))^(1/($D53-N$2/365))-1)*100+模拟分析!$G$12/100))))</f>
        <v>0</v>
      </c>
      <c r="O53">
        <f t="shared" ca="1" si="5"/>
        <v>0</v>
      </c>
    </row>
    <row r="54" spans="2:15" x14ac:dyDescent="0.15">
      <c r="B54" s="2" t="str">
        <f ca="1">IF(B53="","",IF(B53&lt;$E$1,[1]!b_anal_nxcupn($C$1,B53+1),""))</f>
        <v/>
      </c>
      <c r="C54" s="4">
        <f ca="1">IF(B54="",0,IF(模拟分析!$K$9=0,[1]!b_anal_dailycf($C$1,B54),IF(模拟分析!$I$11="否",[1]!b_anal_dailycf($C$1,B54),IF(B54&lt;模拟分析!$K$12,[1]!b_anal_dailycf($C$1,B54),IF(B54=模拟分析!$K$12,[1]!b_anal_dailycf($C$1,B54)+模拟分析!$K$11,0)))))</f>
        <v>0</v>
      </c>
      <c r="D54" s="3">
        <f t="shared" ca="1" si="4"/>
        <v>0</v>
      </c>
      <c r="E54" s="5">
        <f ca="1">IF($B54="",0,IF($D54-E$2/365&lt;=0,0,(IF(模拟分析!$I$12="到期平移法",[1]!B_CALC_CURVE_CHINABOND($I$1,$G$1,$D54-E$2/365),(((1+[1]!B_CALC_CURVE_CHINABOND($I$1,$G$1,$D54)/100)^$D54/(1+E$3/100)^(E$2/365))^(1/($D54-E$2/365))-1)*100+模拟分析!$G$12/100))))</f>
        <v>0</v>
      </c>
      <c r="F54" s="5">
        <f ca="1">IF($B54="",0,IF($D54-F$2/365&lt;=0,0,(IF(模拟分析!$I$12="到期平移法",[1]!B_CALC_CURVE_CHINABOND($I$1,$G$1,$D54-F$2/365),(((1+[1]!B_CALC_CURVE_CHINABOND($I$1,$G$1,$D54)/100)^$D54/(1+F$3/100)^(F$2/365))^(1/($D54-F$2/365))-1)*100+模拟分析!$G$12/100))))</f>
        <v>0</v>
      </c>
      <c r="G54" s="5">
        <f ca="1">IF($B54="",0,IF($D54-G$2/365&lt;=0,0,(IF(模拟分析!$I$12="到期平移法",[1]!B_CALC_CURVE_CHINABOND($I$1,$G$1,$D54-G$2/365),(((1+[1]!B_CALC_CURVE_CHINABOND($I$1,$G$1,$D54)/100)^$D54/(1+G$3/100)^(G$2/365))^(1/($D54-G$2/365))-1)*100+模拟分析!$G$12/100))))</f>
        <v>0</v>
      </c>
      <c r="H54" s="5">
        <f ca="1">IF($B54="",0,IF($D54-H$2/365&lt;=0,0,(IF(模拟分析!$I$12="到期平移法",[1]!B_CALC_CURVE_CHINABOND($I$1,$G$1,$D54-H$2/365),(((1+[1]!B_CALC_CURVE_CHINABOND($I$1,$G$1,$D54)/100)^$D54/(1+H$3/100)^(H$2/365))^(1/($D54-H$2/365))-1)*100+模拟分析!$G$12/100))))</f>
        <v>0</v>
      </c>
      <c r="I54" s="5">
        <f ca="1">IF($B54="",0,IF($D54-I$2/365&lt;=0,0,(IF(模拟分析!$I$12="到期平移法",[1]!B_CALC_CURVE_CHINABOND($I$1,$G$1,$D54-I$2/365),(((1+[1]!B_CALC_CURVE_CHINABOND($I$1,$G$1,$D54)/100)^$D54/(1+I$3/100)^(I$2/365))^(1/($D54-I$2/365))-1)*100+模拟分析!$G$12/100))))</f>
        <v>0</v>
      </c>
      <c r="J54" s="5">
        <f ca="1">IF($B54="",0,IF($D54-J$2/365&lt;=0,0,(IF(模拟分析!$I$12="到期平移法",[1]!B_CALC_CURVE_CHINABOND($I$1,$G$1,$D54-J$2/365),(((1+[1]!B_CALC_CURVE_CHINABOND($I$1,$G$1,$D54)/100)^$D54/(1+J$3/100)^(J$2/365))^(1/($D54-J$2/365))-1)*100+模拟分析!$G$12/100))))</f>
        <v>0</v>
      </c>
      <c r="K54" s="5">
        <f ca="1">IF($B54="",0,IF($D54-K$2/365&lt;=0,0,(IF(模拟分析!$I$12="到期平移法",[1]!B_CALC_CURVE_CHINABOND($I$1,$G$1,$D54-K$2/365),(((1+[1]!B_CALC_CURVE_CHINABOND($I$1,$G$1,$D54)/100)^$D54/(1+K$3/100)^(K$2/365))^(1/($D54-K$2/365))-1)*100+模拟分析!$G$12/100))))</f>
        <v>0</v>
      </c>
      <c r="L54" s="5">
        <f ca="1">IF($B54="",0,IF($D54-L$2/365&lt;=0,0,(IF(模拟分析!$I$12="到期平移法",[1]!B_CALC_CURVE_CHINABOND($I$1,$G$1,$D54-L$2/365),(((1+[1]!B_CALC_CURVE_CHINABOND($I$1,$G$1,$D54)/100)^$D54/(1+L$3/100)^(L$2/365))^(1/($D54-L$2/365))-1)*100+模拟分析!$G$12/100))))</f>
        <v>0</v>
      </c>
      <c r="M54" s="5">
        <f ca="1">IF($B54="",0,IF($D54-M$2/365&lt;=0,0,(IF(模拟分析!$I$12="到期平移法",[1]!B_CALC_CURVE_CHINABOND($I$1,$G$1,$D54-M$2/365),(((1+[1]!B_CALC_CURVE_CHINABOND($I$1,$G$1,$D54)/100)^$D54/(1+M$3/100)^(M$2/365))^(1/($D54-M$2/365))-1)*100+模拟分析!$G$12/100))))</f>
        <v>0</v>
      </c>
      <c r="N54" s="5">
        <f ca="1">IF($B54="",0,IF($D54-N$2/365&lt;=0,0,(IF(模拟分析!$I$12="到期平移法",[1]!B_CALC_CURVE_CHINABOND($I$1,$G$1,$D54-N$2/365),(((1+[1]!B_CALC_CURVE_CHINABOND($I$1,$G$1,$D54)/100)^$D54/(1+N$3/100)^(N$2/365))^(1/($D54-N$2/365))-1)*100+模拟分析!$G$12/100))))</f>
        <v>0</v>
      </c>
      <c r="O54">
        <f t="shared" ca="1" si="5"/>
        <v>0</v>
      </c>
    </row>
    <row r="55" spans="2:15" x14ac:dyDescent="0.15">
      <c r="B55" s="2" t="str">
        <f ca="1">IF(B54="","",IF(B54&lt;$E$1,[1]!b_anal_nxcupn($C$1,B54+1),""))</f>
        <v/>
      </c>
      <c r="C55" s="4">
        <f ca="1">IF(B55="",0,IF(模拟分析!$K$9=0,[1]!b_anal_dailycf($C$1,B55),IF(模拟分析!$I$11="否",[1]!b_anal_dailycf($C$1,B55),IF(B55&lt;模拟分析!$K$12,[1]!b_anal_dailycf($C$1,B55),IF(B55=模拟分析!$K$12,[1]!b_anal_dailycf($C$1,B55)+模拟分析!$K$11,0)))))</f>
        <v>0</v>
      </c>
      <c r="D55" s="3">
        <f t="shared" ca="1" si="4"/>
        <v>0</v>
      </c>
      <c r="E55" s="5">
        <f ca="1">IF($B55="",0,IF($D55-E$2/365&lt;=0,0,(IF(模拟分析!$I$12="到期平移法",[1]!B_CALC_CURVE_CHINABOND($I$1,$G$1,$D55-E$2/365),(((1+[1]!B_CALC_CURVE_CHINABOND($I$1,$G$1,$D55)/100)^$D55/(1+E$3/100)^(E$2/365))^(1/($D55-E$2/365))-1)*100+模拟分析!$G$12/100))))</f>
        <v>0</v>
      </c>
      <c r="F55" s="5">
        <f ca="1">IF($B55="",0,IF($D55-F$2/365&lt;=0,0,(IF(模拟分析!$I$12="到期平移法",[1]!B_CALC_CURVE_CHINABOND($I$1,$G$1,$D55-F$2/365),(((1+[1]!B_CALC_CURVE_CHINABOND($I$1,$G$1,$D55)/100)^$D55/(1+F$3/100)^(F$2/365))^(1/($D55-F$2/365))-1)*100+模拟分析!$G$12/100))))</f>
        <v>0</v>
      </c>
      <c r="G55" s="5">
        <f ca="1">IF($B55="",0,IF($D55-G$2/365&lt;=0,0,(IF(模拟分析!$I$12="到期平移法",[1]!B_CALC_CURVE_CHINABOND($I$1,$G$1,$D55-G$2/365),(((1+[1]!B_CALC_CURVE_CHINABOND($I$1,$G$1,$D55)/100)^$D55/(1+G$3/100)^(G$2/365))^(1/($D55-G$2/365))-1)*100+模拟分析!$G$12/100))))</f>
        <v>0</v>
      </c>
      <c r="H55" s="5">
        <f ca="1">IF($B55="",0,IF($D55-H$2/365&lt;=0,0,(IF(模拟分析!$I$12="到期平移法",[1]!B_CALC_CURVE_CHINABOND($I$1,$G$1,$D55-H$2/365),(((1+[1]!B_CALC_CURVE_CHINABOND($I$1,$G$1,$D55)/100)^$D55/(1+H$3/100)^(H$2/365))^(1/($D55-H$2/365))-1)*100+模拟分析!$G$12/100))))</f>
        <v>0</v>
      </c>
      <c r="I55" s="5">
        <f ca="1">IF($B55="",0,IF($D55-I$2/365&lt;=0,0,(IF(模拟分析!$I$12="到期平移法",[1]!B_CALC_CURVE_CHINABOND($I$1,$G$1,$D55-I$2/365),(((1+[1]!B_CALC_CURVE_CHINABOND($I$1,$G$1,$D55)/100)^$D55/(1+I$3/100)^(I$2/365))^(1/($D55-I$2/365))-1)*100+模拟分析!$G$12/100))))</f>
        <v>0</v>
      </c>
      <c r="J55" s="5">
        <f ca="1">IF($B55="",0,IF($D55-J$2/365&lt;=0,0,(IF(模拟分析!$I$12="到期平移法",[1]!B_CALC_CURVE_CHINABOND($I$1,$G$1,$D55-J$2/365),(((1+[1]!B_CALC_CURVE_CHINABOND($I$1,$G$1,$D55)/100)^$D55/(1+J$3/100)^(J$2/365))^(1/($D55-J$2/365))-1)*100+模拟分析!$G$12/100))))</f>
        <v>0</v>
      </c>
      <c r="K55" s="5">
        <f ca="1">IF($B55="",0,IF($D55-K$2/365&lt;=0,0,(IF(模拟分析!$I$12="到期平移法",[1]!B_CALC_CURVE_CHINABOND($I$1,$G$1,$D55-K$2/365),(((1+[1]!B_CALC_CURVE_CHINABOND($I$1,$G$1,$D55)/100)^$D55/(1+K$3/100)^(K$2/365))^(1/($D55-K$2/365))-1)*100+模拟分析!$G$12/100))))</f>
        <v>0</v>
      </c>
      <c r="L55" s="5">
        <f ca="1">IF($B55="",0,IF($D55-L$2/365&lt;=0,0,(IF(模拟分析!$I$12="到期平移法",[1]!B_CALC_CURVE_CHINABOND($I$1,$G$1,$D55-L$2/365),(((1+[1]!B_CALC_CURVE_CHINABOND($I$1,$G$1,$D55)/100)^$D55/(1+L$3/100)^(L$2/365))^(1/($D55-L$2/365))-1)*100+模拟分析!$G$12/100))))</f>
        <v>0</v>
      </c>
      <c r="M55" s="5">
        <f ca="1">IF($B55="",0,IF($D55-M$2/365&lt;=0,0,(IF(模拟分析!$I$12="到期平移法",[1]!B_CALC_CURVE_CHINABOND($I$1,$G$1,$D55-M$2/365),(((1+[1]!B_CALC_CURVE_CHINABOND($I$1,$G$1,$D55)/100)^$D55/(1+M$3/100)^(M$2/365))^(1/($D55-M$2/365))-1)*100+模拟分析!$G$12/100))))</f>
        <v>0</v>
      </c>
      <c r="N55" s="5">
        <f ca="1">IF($B55="",0,IF($D55-N$2/365&lt;=0,0,(IF(模拟分析!$I$12="到期平移法",[1]!B_CALC_CURVE_CHINABOND($I$1,$G$1,$D55-N$2/365),(((1+[1]!B_CALC_CURVE_CHINABOND($I$1,$G$1,$D55)/100)^$D55/(1+N$3/100)^(N$2/365))^(1/($D55-N$2/365))-1)*100+模拟分析!$G$12/100))))</f>
        <v>0</v>
      </c>
      <c r="O55">
        <f t="shared" ca="1" si="5"/>
        <v>0</v>
      </c>
    </row>
    <row r="56" spans="2:15" x14ac:dyDescent="0.15">
      <c r="B56" s="2" t="str">
        <f ca="1">IF(B55="","",IF(B55&lt;$E$1,[1]!b_anal_nxcupn($C$1,B55+1),""))</f>
        <v/>
      </c>
      <c r="C56" s="4">
        <f ca="1">IF(B56="",0,IF(模拟分析!$K$9=0,[1]!b_anal_dailycf($C$1,B56),IF(模拟分析!$I$11="否",[1]!b_anal_dailycf($C$1,B56),IF(B56&lt;模拟分析!$K$12,[1]!b_anal_dailycf($C$1,B56),IF(B56=模拟分析!$K$12,[1]!b_anal_dailycf($C$1,B56)+模拟分析!$K$11,0)))))</f>
        <v>0</v>
      </c>
      <c r="D56" s="3">
        <f t="shared" ref="D56:D62" ca="1" si="6">IF(B56="",0,(-TODAY()+B56)/365)</f>
        <v>0</v>
      </c>
      <c r="E56" s="5">
        <f ca="1">IF($B56="",0,IF($D56-E$2/365&lt;=0,0,(IF(模拟分析!$I$12="到期平移法",[1]!B_CALC_CURVE_CHINABOND($I$1,$G$1,$D56-E$2/365),(((1+[1]!B_CALC_CURVE_CHINABOND($I$1,$G$1,$D56)/100)^$D56/(1+E$3/100)^(E$2/365))^(1/($D56-E$2/365))-1)*100+模拟分析!$G$12/100))))</f>
        <v>0</v>
      </c>
      <c r="F56" s="5">
        <f ca="1">IF($B56="",0,IF($D56-F$2/365&lt;=0,0,(IF(模拟分析!$I$12="到期平移法",[1]!B_CALC_CURVE_CHINABOND($I$1,$G$1,$D56-F$2/365),(((1+[1]!B_CALC_CURVE_CHINABOND($I$1,$G$1,$D56)/100)^$D56/(1+F$3/100)^(F$2/365))^(1/($D56-F$2/365))-1)*100+模拟分析!$G$12/100))))</f>
        <v>0</v>
      </c>
      <c r="G56" s="5">
        <f ca="1">IF($B56="",0,IF($D56-G$2/365&lt;=0,0,(IF(模拟分析!$I$12="到期平移法",[1]!B_CALC_CURVE_CHINABOND($I$1,$G$1,$D56-G$2/365),(((1+[1]!B_CALC_CURVE_CHINABOND($I$1,$G$1,$D56)/100)^$D56/(1+G$3/100)^(G$2/365))^(1/($D56-G$2/365))-1)*100+模拟分析!$G$12/100))))</f>
        <v>0</v>
      </c>
      <c r="H56" s="5">
        <f ca="1">IF($B56="",0,IF($D56-H$2/365&lt;=0,0,(IF(模拟分析!$I$12="到期平移法",[1]!B_CALC_CURVE_CHINABOND($I$1,$G$1,$D56-H$2/365),(((1+[1]!B_CALC_CURVE_CHINABOND($I$1,$G$1,$D56)/100)^$D56/(1+H$3/100)^(H$2/365))^(1/($D56-H$2/365))-1)*100+模拟分析!$G$12/100))))</f>
        <v>0</v>
      </c>
      <c r="I56" s="5">
        <f ca="1">IF($B56="",0,IF($D56-I$2/365&lt;=0,0,(IF(模拟分析!$I$12="到期平移法",[1]!B_CALC_CURVE_CHINABOND($I$1,$G$1,$D56-I$2/365),(((1+[1]!B_CALC_CURVE_CHINABOND($I$1,$G$1,$D56)/100)^$D56/(1+I$3/100)^(I$2/365))^(1/($D56-I$2/365))-1)*100+模拟分析!$G$12/100))))</f>
        <v>0</v>
      </c>
      <c r="J56" s="5">
        <f ca="1">IF($B56="",0,IF($D56-J$2/365&lt;=0,0,(IF(模拟分析!$I$12="到期平移法",[1]!B_CALC_CURVE_CHINABOND($I$1,$G$1,$D56-J$2/365),(((1+[1]!B_CALC_CURVE_CHINABOND($I$1,$G$1,$D56)/100)^$D56/(1+J$3/100)^(J$2/365))^(1/($D56-J$2/365))-1)*100+模拟分析!$G$12/100))))</f>
        <v>0</v>
      </c>
      <c r="K56" s="5">
        <f ca="1">IF($B56="",0,IF($D56-K$2/365&lt;=0,0,(IF(模拟分析!$I$12="到期平移法",[1]!B_CALC_CURVE_CHINABOND($I$1,$G$1,$D56-K$2/365),(((1+[1]!B_CALC_CURVE_CHINABOND($I$1,$G$1,$D56)/100)^$D56/(1+K$3/100)^(K$2/365))^(1/($D56-K$2/365))-1)*100+模拟分析!$G$12/100))))</f>
        <v>0</v>
      </c>
      <c r="L56" s="5">
        <f ca="1">IF($B56="",0,IF($D56-L$2/365&lt;=0,0,(IF(模拟分析!$I$12="到期平移法",[1]!B_CALC_CURVE_CHINABOND($I$1,$G$1,$D56-L$2/365),(((1+[1]!B_CALC_CURVE_CHINABOND($I$1,$G$1,$D56)/100)^$D56/(1+L$3/100)^(L$2/365))^(1/($D56-L$2/365))-1)*100+模拟分析!$G$12/100))))</f>
        <v>0</v>
      </c>
      <c r="M56" s="5">
        <f ca="1">IF($B56="",0,IF($D56-M$2/365&lt;=0,0,(IF(模拟分析!$I$12="到期平移法",[1]!B_CALC_CURVE_CHINABOND($I$1,$G$1,$D56-M$2/365),(((1+[1]!B_CALC_CURVE_CHINABOND($I$1,$G$1,$D56)/100)^$D56/(1+M$3/100)^(M$2/365))^(1/($D56-M$2/365))-1)*100+模拟分析!$G$12/100))))</f>
        <v>0</v>
      </c>
      <c r="N56" s="5">
        <f ca="1">IF($B56="",0,IF($D56-N$2/365&lt;=0,0,(IF(模拟分析!$I$12="到期平移法",[1]!B_CALC_CURVE_CHINABOND($I$1,$G$1,$D56-N$2/365),(((1+[1]!B_CALC_CURVE_CHINABOND($I$1,$G$1,$D56)/100)^$D56/(1+N$3/100)^(N$2/365))^(1/($D56-N$2/365))-1)*100+模拟分析!$G$12/100))))</f>
        <v>0</v>
      </c>
      <c r="O56">
        <f t="shared" ref="O56:O62" ca="1" si="7">IF(C56="","",C56/((1+E56/100)^(D56-21/365)))</f>
        <v>0</v>
      </c>
    </row>
    <row r="57" spans="2:15" x14ac:dyDescent="0.15">
      <c r="B57" s="2" t="str">
        <f ca="1">IF(B56="","",IF(B56&lt;$E$1,[1]!b_anal_nxcupn($C$1,B56+1),""))</f>
        <v/>
      </c>
      <c r="C57" s="4">
        <f ca="1">IF(B57="",0,IF(模拟分析!$K$9=0,[1]!b_anal_dailycf($C$1,B57),IF(模拟分析!$I$11="否",[1]!b_anal_dailycf($C$1,B57),IF(B57&lt;模拟分析!$K$12,[1]!b_anal_dailycf($C$1,B57),IF(B57=模拟分析!$K$12,[1]!b_anal_dailycf($C$1,B57)+模拟分析!$K$11,0)))))</f>
        <v>0</v>
      </c>
      <c r="D57" s="3">
        <f t="shared" ca="1" si="6"/>
        <v>0</v>
      </c>
      <c r="E57" s="5">
        <f ca="1">IF($B57="",0,IF($D57-E$2/365&lt;=0,0,(IF(模拟分析!$I$12="到期平移法",[1]!B_CALC_CURVE_CHINABOND($I$1,$G$1,$D57-E$2/365),(((1+[1]!B_CALC_CURVE_CHINABOND($I$1,$G$1,$D57)/100)^$D57/(1+E$3/100)^(E$2/365))^(1/($D57-E$2/365))-1)*100+模拟分析!$G$12/100))))</f>
        <v>0</v>
      </c>
      <c r="F57" s="5">
        <f ca="1">IF($B57="",0,IF($D57-F$2/365&lt;=0,0,(IF(模拟分析!$I$12="到期平移法",[1]!B_CALC_CURVE_CHINABOND($I$1,$G$1,$D57-F$2/365),(((1+[1]!B_CALC_CURVE_CHINABOND($I$1,$G$1,$D57)/100)^$D57/(1+F$3/100)^(F$2/365))^(1/($D57-F$2/365))-1)*100+模拟分析!$G$12/100))))</f>
        <v>0</v>
      </c>
      <c r="G57" s="5">
        <f ca="1">IF($B57="",0,IF($D57-G$2/365&lt;=0,0,(IF(模拟分析!$I$12="到期平移法",[1]!B_CALC_CURVE_CHINABOND($I$1,$G$1,$D57-G$2/365),(((1+[1]!B_CALC_CURVE_CHINABOND($I$1,$G$1,$D57)/100)^$D57/(1+G$3/100)^(G$2/365))^(1/($D57-G$2/365))-1)*100+模拟分析!$G$12/100))))</f>
        <v>0</v>
      </c>
      <c r="H57" s="5">
        <f ca="1">IF($B57="",0,IF($D57-H$2/365&lt;=0,0,(IF(模拟分析!$I$12="到期平移法",[1]!B_CALC_CURVE_CHINABOND($I$1,$G$1,$D57-H$2/365),(((1+[1]!B_CALC_CURVE_CHINABOND($I$1,$G$1,$D57)/100)^$D57/(1+H$3/100)^(H$2/365))^(1/($D57-H$2/365))-1)*100+模拟分析!$G$12/100))))</f>
        <v>0</v>
      </c>
      <c r="I57" s="5">
        <f ca="1">IF($B57="",0,IF($D57-I$2/365&lt;=0,0,(IF(模拟分析!$I$12="到期平移法",[1]!B_CALC_CURVE_CHINABOND($I$1,$G$1,$D57-I$2/365),(((1+[1]!B_CALC_CURVE_CHINABOND($I$1,$G$1,$D57)/100)^$D57/(1+I$3/100)^(I$2/365))^(1/($D57-I$2/365))-1)*100+模拟分析!$G$12/100))))</f>
        <v>0</v>
      </c>
      <c r="J57" s="5">
        <f ca="1">IF($B57="",0,IF($D57-J$2/365&lt;=0,0,(IF(模拟分析!$I$12="到期平移法",[1]!B_CALC_CURVE_CHINABOND($I$1,$G$1,$D57-J$2/365),(((1+[1]!B_CALC_CURVE_CHINABOND($I$1,$G$1,$D57)/100)^$D57/(1+J$3/100)^(J$2/365))^(1/($D57-J$2/365))-1)*100+模拟分析!$G$12/100))))</f>
        <v>0</v>
      </c>
      <c r="K57" s="5">
        <f ca="1">IF($B57="",0,IF($D57-K$2/365&lt;=0,0,(IF(模拟分析!$I$12="到期平移法",[1]!B_CALC_CURVE_CHINABOND($I$1,$G$1,$D57-K$2/365),(((1+[1]!B_CALC_CURVE_CHINABOND($I$1,$G$1,$D57)/100)^$D57/(1+K$3/100)^(K$2/365))^(1/($D57-K$2/365))-1)*100+模拟分析!$G$12/100))))</f>
        <v>0</v>
      </c>
      <c r="L57" s="5">
        <f ca="1">IF($B57="",0,IF($D57-L$2/365&lt;=0,0,(IF(模拟分析!$I$12="到期平移法",[1]!B_CALC_CURVE_CHINABOND($I$1,$G$1,$D57-L$2/365),(((1+[1]!B_CALC_CURVE_CHINABOND($I$1,$G$1,$D57)/100)^$D57/(1+L$3/100)^(L$2/365))^(1/($D57-L$2/365))-1)*100+模拟分析!$G$12/100))))</f>
        <v>0</v>
      </c>
      <c r="M57" s="5">
        <f ca="1">IF($B57="",0,IF($D57-M$2/365&lt;=0,0,(IF(模拟分析!$I$12="到期平移法",[1]!B_CALC_CURVE_CHINABOND($I$1,$G$1,$D57-M$2/365),(((1+[1]!B_CALC_CURVE_CHINABOND($I$1,$G$1,$D57)/100)^$D57/(1+M$3/100)^(M$2/365))^(1/($D57-M$2/365))-1)*100+模拟分析!$G$12/100))))</f>
        <v>0</v>
      </c>
      <c r="N57" s="5">
        <f ca="1">IF($B57="",0,IF($D57-N$2/365&lt;=0,0,(IF(模拟分析!$I$12="到期平移法",[1]!B_CALC_CURVE_CHINABOND($I$1,$G$1,$D57-N$2/365),(((1+[1]!B_CALC_CURVE_CHINABOND($I$1,$G$1,$D57)/100)^$D57/(1+N$3/100)^(N$2/365))^(1/($D57-N$2/365))-1)*100+模拟分析!$G$12/100))))</f>
        <v>0</v>
      </c>
      <c r="O57">
        <f t="shared" ca="1" si="7"/>
        <v>0</v>
      </c>
    </row>
    <row r="58" spans="2:15" x14ac:dyDescent="0.15">
      <c r="B58" s="2" t="str">
        <f ca="1">IF(B57="","",IF(B57&lt;$E$1,[1]!b_anal_nxcupn($C$1,B57+1),""))</f>
        <v/>
      </c>
      <c r="C58" s="4">
        <f ca="1">IF(B58="",0,IF(模拟分析!$K$9=0,[1]!b_anal_dailycf($C$1,B58),IF(模拟分析!$I$11="否",[1]!b_anal_dailycf($C$1,B58),IF(B58&lt;模拟分析!$K$12,[1]!b_anal_dailycf($C$1,B58),IF(B58=模拟分析!$K$12,[1]!b_anal_dailycf($C$1,B58)+模拟分析!$K$11,0)))))</f>
        <v>0</v>
      </c>
      <c r="D58" s="3">
        <f t="shared" ca="1" si="6"/>
        <v>0</v>
      </c>
      <c r="E58" s="5">
        <f ca="1">IF($B58="",0,IF($D58-E$2/365&lt;=0,0,(IF(模拟分析!$I$12="到期平移法",[1]!B_CALC_CURVE_CHINABOND($I$1,$G$1,$D58-E$2/365),(((1+[1]!B_CALC_CURVE_CHINABOND($I$1,$G$1,$D58)/100)^$D58/(1+E$3/100)^(E$2/365))^(1/($D58-E$2/365))-1)*100+模拟分析!$G$12/100))))</f>
        <v>0</v>
      </c>
      <c r="F58" s="5">
        <f ca="1">IF($B58="",0,IF($D58-F$2/365&lt;=0,0,(IF(模拟分析!$I$12="到期平移法",[1]!B_CALC_CURVE_CHINABOND($I$1,$G$1,$D58-F$2/365),(((1+[1]!B_CALC_CURVE_CHINABOND($I$1,$G$1,$D58)/100)^$D58/(1+F$3/100)^(F$2/365))^(1/($D58-F$2/365))-1)*100+模拟分析!$G$12/100))))</f>
        <v>0</v>
      </c>
      <c r="G58" s="5">
        <f ca="1">IF($B58="",0,IF($D58-G$2/365&lt;=0,0,(IF(模拟分析!$I$12="到期平移法",[1]!B_CALC_CURVE_CHINABOND($I$1,$G$1,$D58-G$2/365),(((1+[1]!B_CALC_CURVE_CHINABOND($I$1,$G$1,$D58)/100)^$D58/(1+G$3/100)^(G$2/365))^(1/($D58-G$2/365))-1)*100+模拟分析!$G$12/100))))</f>
        <v>0</v>
      </c>
      <c r="H58" s="5">
        <f ca="1">IF($B58="",0,IF($D58-H$2/365&lt;=0,0,(IF(模拟分析!$I$12="到期平移法",[1]!B_CALC_CURVE_CHINABOND($I$1,$G$1,$D58-H$2/365),(((1+[1]!B_CALC_CURVE_CHINABOND($I$1,$G$1,$D58)/100)^$D58/(1+H$3/100)^(H$2/365))^(1/($D58-H$2/365))-1)*100+模拟分析!$G$12/100))))</f>
        <v>0</v>
      </c>
      <c r="I58" s="5">
        <f ca="1">IF($B58="",0,IF($D58-I$2/365&lt;=0,0,(IF(模拟分析!$I$12="到期平移法",[1]!B_CALC_CURVE_CHINABOND($I$1,$G$1,$D58-I$2/365),(((1+[1]!B_CALC_CURVE_CHINABOND($I$1,$G$1,$D58)/100)^$D58/(1+I$3/100)^(I$2/365))^(1/($D58-I$2/365))-1)*100+模拟分析!$G$12/100))))</f>
        <v>0</v>
      </c>
      <c r="J58" s="5">
        <f ca="1">IF($B58="",0,IF($D58-J$2/365&lt;=0,0,(IF(模拟分析!$I$12="到期平移法",[1]!B_CALC_CURVE_CHINABOND($I$1,$G$1,$D58-J$2/365),(((1+[1]!B_CALC_CURVE_CHINABOND($I$1,$G$1,$D58)/100)^$D58/(1+J$3/100)^(J$2/365))^(1/($D58-J$2/365))-1)*100+模拟分析!$G$12/100))))</f>
        <v>0</v>
      </c>
      <c r="K58" s="5">
        <f ca="1">IF($B58="",0,IF($D58-K$2/365&lt;=0,0,(IF(模拟分析!$I$12="到期平移法",[1]!B_CALC_CURVE_CHINABOND($I$1,$G$1,$D58-K$2/365),(((1+[1]!B_CALC_CURVE_CHINABOND($I$1,$G$1,$D58)/100)^$D58/(1+K$3/100)^(K$2/365))^(1/($D58-K$2/365))-1)*100+模拟分析!$G$12/100))))</f>
        <v>0</v>
      </c>
      <c r="L58" s="5">
        <f ca="1">IF($B58="",0,IF($D58-L$2/365&lt;=0,0,(IF(模拟分析!$I$12="到期平移法",[1]!B_CALC_CURVE_CHINABOND($I$1,$G$1,$D58-L$2/365),(((1+[1]!B_CALC_CURVE_CHINABOND($I$1,$G$1,$D58)/100)^$D58/(1+L$3/100)^(L$2/365))^(1/($D58-L$2/365))-1)*100+模拟分析!$G$12/100))))</f>
        <v>0</v>
      </c>
      <c r="M58" s="5">
        <f ca="1">IF($B58="",0,IF($D58-M$2/365&lt;=0,0,(IF(模拟分析!$I$12="到期平移法",[1]!B_CALC_CURVE_CHINABOND($I$1,$G$1,$D58-M$2/365),(((1+[1]!B_CALC_CURVE_CHINABOND($I$1,$G$1,$D58)/100)^$D58/(1+M$3/100)^(M$2/365))^(1/($D58-M$2/365))-1)*100+模拟分析!$G$12/100))))</f>
        <v>0</v>
      </c>
      <c r="N58" s="5">
        <f ca="1">IF($B58="",0,IF($D58-N$2/365&lt;=0,0,(IF(模拟分析!$I$12="到期平移法",[1]!B_CALC_CURVE_CHINABOND($I$1,$G$1,$D58-N$2/365),(((1+[1]!B_CALC_CURVE_CHINABOND($I$1,$G$1,$D58)/100)^$D58/(1+N$3/100)^(N$2/365))^(1/($D58-N$2/365))-1)*100+模拟分析!$G$12/100))))</f>
        <v>0</v>
      </c>
      <c r="O58">
        <f t="shared" ca="1" si="7"/>
        <v>0</v>
      </c>
    </row>
    <row r="59" spans="2:15" x14ac:dyDescent="0.15">
      <c r="B59" s="2" t="str">
        <f ca="1">IF(B58="","",IF(B58&lt;$E$1,[1]!b_anal_nxcupn($C$1,B58+1),""))</f>
        <v/>
      </c>
      <c r="C59" s="4">
        <f ca="1">IF(B59="",0,IF(模拟分析!$K$9=0,[1]!b_anal_dailycf($C$1,B59),IF(模拟分析!$I$11="否",[1]!b_anal_dailycf($C$1,B59),IF(B59&lt;模拟分析!$K$12,[1]!b_anal_dailycf($C$1,B59),IF(B59=模拟分析!$K$12,[1]!b_anal_dailycf($C$1,B59)+模拟分析!$K$11,0)))))</f>
        <v>0</v>
      </c>
      <c r="D59" s="3">
        <f t="shared" ca="1" si="6"/>
        <v>0</v>
      </c>
      <c r="E59" s="5">
        <f ca="1">IF($B59="",0,IF($D59-E$2/365&lt;=0,0,(IF(模拟分析!$I$12="到期平移法",[1]!B_CALC_CURVE_CHINABOND($I$1,$G$1,$D59-E$2/365),(((1+[1]!B_CALC_CURVE_CHINABOND($I$1,$G$1,$D59)/100)^$D59/(1+E$3/100)^(E$2/365))^(1/($D59-E$2/365))-1)*100+模拟分析!$G$12/100))))</f>
        <v>0</v>
      </c>
      <c r="F59" s="5">
        <f ca="1">IF($B59="",0,IF($D59-F$2/365&lt;=0,0,(IF(模拟分析!$I$12="到期平移法",[1]!B_CALC_CURVE_CHINABOND($I$1,$G$1,$D59-F$2/365),(((1+[1]!B_CALC_CURVE_CHINABOND($I$1,$G$1,$D59)/100)^$D59/(1+F$3/100)^(F$2/365))^(1/($D59-F$2/365))-1)*100+模拟分析!$G$12/100))))</f>
        <v>0</v>
      </c>
      <c r="G59" s="5">
        <f ca="1">IF($B59="",0,IF($D59-G$2/365&lt;=0,0,(IF(模拟分析!$I$12="到期平移法",[1]!B_CALC_CURVE_CHINABOND($I$1,$G$1,$D59-G$2/365),(((1+[1]!B_CALC_CURVE_CHINABOND($I$1,$G$1,$D59)/100)^$D59/(1+G$3/100)^(G$2/365))^(1/($D59-G$2/365))-1)*100+模拟分析!$G$12/100))))</f>
        <v>0</v>
      </c>
      <c r="H59" s="5">
        <f ca="1">IF($B59="",0,IF($D59-H$2/365&lt;=0,0,(IF(模拟分析!$I$12="到期平移法",[1]!B_CALC_CURVE_CHINABOND($I$1,$G$1,$D59-H$2/365),(((1+[1]!B_CALC_CURVE_CHINABOND($I$1,$G$1,$D59)/100)^$D59/(1+H$3/100)^(H$2/365))^(1/($D59-H$2/365))-1)*100+模拟分析!$G$12/100))))</f>
        <v>0</v>
      </c>
      <c r="I59" s="5">
        <f ca="1">IF($B59="",0,IF($D59-I$2/365&lt;=0,0,(IF(模拟分析!$I$12="到期平移法",[1]!B_CALC_CURVE_CHINABOND($I$1,$G$1,$D59-I$2/365),(((1+[1]!B_CALC_CURVE_CHINABOND($I$1,$G$1,$D59)/100)^$D59/(1+I$3/100)^(I$2/365))^(1/($D59-I$2/365))-1)*100+模拟分析!$G$12/100))))</f>
        <v>0</v>
      </c>
      <c r="J59" s="5">
        <f ca="1">IF($B59="",0,IF($D59-J$2/365&lt;=0,0,(IF(模拟分析!$I$12="到期平移法",[1]!B_CALC_CURVE_CHINABOND($I$1,$G$1,$D59-J$2/365),(((1+[1]!B_CALC_CURVE_CHINABOND($I$1,$G$1,$D59)/100)^$D59/(1+J$3/100)^(J$2/365))^(1/($D59-J$2/365))-1)*100+模拟分析!$G$12/100))))</f>
        <v>0</v>
      </c>
      <c r="K59" s="5">
        <f ca="1">IF($B59="",0,IF($D59-K$2/365&lt;=0,0,(IF(模拟分析!$I$12="到期平移法",[1]!B_CALC_CURVE_CHINABOND($I$1,$G$1,$D59-K$2/365),(((1+[1]!B_CALC_CURVE_CHINABOND($I$1,$G$1,$D59)/100)^$D59/(1+K$3/100)^(K$2/365))^(1/($D59-K$2/365))-1)*100+模拟分析!$G$12/100))))</f>
        <v>0</v>
      </c>
      <c r="L59" s="5">
        <f ca="1">IF($B59="",0,IF($D59-L$2/365&lt;=0,0,(IF(模拟分析!$I$12="到期平移法",[1]!B_CALC_CURVE_CHINABOND($I$1,$G$1,$D59-L$2/365),(((1+[1]!B_CALC_CURVE_CHINABOND($I$1,$G$1,$D59)/100)^$D59/(1+L$3/100)^(L$2/365))^(1/($D59-L$2/365))-1)*100+模拟分析!$G$12/100))))</f>
        <v>0</v>
      </c>
      <c r="M59" s="5">
        <f ca="1">IF($B59="",0,IF($D59-M$2/365&lt;=0,0,(IF(模拟分析!$I$12="到期平移法",[1]!B_CALC_CURVE_CHINABOND($I$1,$G$1,$D59-M$2/365),(((1+[1]!B_CALC_CURVE_CHINABOND($I$1,$G$1,$D59)/100)^$D59/(1+M$3/100)^(M$2/365))^(1/($D59-M$2/365))-1)*100+模拟分析!$G$12/100))))</f>
        <v>0</v>
      </c>
      <c r="N59" s="5">
        <f ca="1">IF($B59="",0,IF($D59-N$2/365&lt;=0,0,(IF(模拟分析!$I$12="到期平移法",[1]!B_CALC_CURVE_CHINABOND($I$1,$G$1,$D59-N$2/365),(((1+[1]!B_CALC_CURVE_CHINABOND($I$1,$G$1,$D59)/100)^$D59/(1+N$3/100)^(N$2/365))^(1/($D59-N$2/365))-1)*100+模拟分析!$G$12/100))))</f>
        <v>0</v>
      </c>
      <c r="O59">
        <f t="shared" ca="1" si="7"/>
        <v>0</v>
      </c>
    </row>
    <row r="60" spans="2:15" x14ac:dyDescent="0.15">
      <c r="B60" s="2" t="str">
        <f ca="1">IF(B59="","",IF(B59&lt;$E$1,[1]!b_anal_nxcupn($C$1,B59+1),""))</f>
        <v/>
      </c>
      <c r="C60" s="4">
        <f ca="1">IF(B60="",0,IF(模拟分析!$K$9=0,[1]!b_anal_dailycf($C$1,B60),IF(模拟分析!$I$11="否",[1]!b_anal_dailycf($C$1,B60),IF(B60&lt;模拟分析!$K$12,[1]!b_anal_dailycf($C$1,B60),IF(B60=模拟分析!$K$12,[1]!b_anal_dailycf($C$1,B60)+模拟分析!$K$11,0)))))</f>
        <v>0</v>
      </c>
      <c r="D60" s="3">
        <f t="shared" ca="1" si="6"/>
        <v>0</v>
      </c>
      <c r="E60" s="5">
        <f ca="1">IF($B60="",0,IF($D60-E$2/365&lt;=0,0,(IF(模拟分析!$I$12="到期平移法",[1]!B_CALC_CURVE_CHINABOND($I$1,$G$1,$D60-E$2/365),(((1+[1]!B_CALC_CURVE_CHINABOND($I$1,$G$1,$D60)/100)^$D60/(1+E$3/100)^(E$2/365))^(1/($D60-E$2/365))-1)*100+模拟分析!$G$12/100))))</f>
        <v>0</v>
      </c>
      <c r="F60" s="5">
        <f ca="1">IF($B60="",0,IF($D60-F$2/365&lt;=0,0,(IF(模拟分析!$I$12="到期平移法",[1]!B_CALC_CURVE_CHINABOND($I$1,$G$1,$D60-F$2/365),(((1+[1]!B_CALC_CURVE_CHINABOND($I$1,$G$1,$D60)/100)^$D60/(1+F$3/100)^(F$2/365))^(1/($D60-F$2/365))-1)*100+模拟分析!$G$12/100))))</f>
        <v>0</v>
      </c>
      <c r="G60" s="5">
        <f ca="1">IF($B60="",0,IF($D60-G$2/365&lt;=0,0,(IF(模拟分析!$I$12="到期平移法",[1]!B_CALC_CURVE_CHINABOND($I$1,$G$1,$D60-G$2/365),(((1+[1]!B_CALC_CURVE_CHINABOND($I$1,$G$1,$D60)/100)^$D60/(1+G$3/100)^(G$2/365))^(1/($D60-G$2/365))-1)*100+模拟分析!$G$12/100))))</f>
        <v>0</v>
      </c>
      <c r="H60" s="5">
        <f ca="1">IF($B60="",0,IF($D60-H$2/365&lt;=0,0,(IF(模拟分析!$I$12="到期平移法",[1]!B_CALC_CURVE_CHINABOND($I$1,$G$1,$D60-H$2/365),(((1+[1]!B_CALC_CURVE_CHINABOND($I$1,$G$1,$D60)/100)^$D60/(1+H$3/100)^(H$2/365))^(1/($D60-H$2/365))-1)*100+模拟分析!$G$12/100))))</f>
        <v>0</v>
      </c>
      <c r="I60" s="5">
        <f ca="1">IF($B60="",0,IF($D60-I$2/365&lt;=0,0,(IF(模拟分析!$I$12="到期平移法",[1]!B_CALC_CURVE_CHINABOND($I$1,$G$1,$D60-I$2/365),(((1+[1]!B_CALC_CURVE_CHINABOND($I$1,$G$1,$D60)/100)^$D60/(1+I$3/100)^(I$2/365))^(1/($D60-I$2/365))-1)*100+模拟分析!$G$12/100))))</f>
        <v>0</v>
      </c>
      <c r="J60" s="5">
        <f ca="1">IF($B60="",0,IF($D60-J$2/365&lt;=0,0,(IF(模拟分析!$I$12="到期平移法",[1]!B_CALC_CURVE_CHINABOND($I$1,$G$1,$D60-J$2/365),(((1+[1]!B_CALC_CURVE_CHINABOND($I$1,$G$1,$D60)/100)^$D60/(1+J$3/100)^(J$2/365))^(1/($D60-J$2/365))-1)*100+模拟分析!$G$12/100))))</f>
        <v>0</v>
      </c>
      <c r="K60" s="5">
        <f ca="1">IF($B60="",0,IF($D60-K$2/365&lt;=0,0,(IF(模拟分析!$I$12="到期平移法",[1]!B_CALC_CURVE_CHINABOND($I$1,$G$1,$D60-K$2/365),(((1+[1]!B_CALC_CURVE_CHINABOND($I$1,$G$1,$D60)/100)^$D60/(1+K$3/100)^(K$2/365))^(1/($D60-K$2/365))-1)*100+模拟分析!$G$12/100))))</f>
        <v>0</v>
      </c>
      <c r="L60" s="5">
        <f ca="1">IF($B60="",0,IF($D60-L$2/365&lt;=0,0,(IF(模拟分析!$I$12="到期平移法",[1]!B_CALC_CURVE_CHINABOND($I$1,$G$1,$D60-L$2/365),(((1+[1]!B_CALC_CURVE_CHINABOND($I$1,$G$1,$D60)/100)^$D60/(1+L$3/100)^(L$2/365))^(1/($D60-L$2/365))-1)*100+模拟分析!$G$12/100))))</f>
        <v>0</v>
      </c>
      <c r="M60" s="5">
        <f ca="1">IF($B60="",0,IF($D60-M$2/365&lt;=0,0,(IF(模拟分析!$I$12="到期平移法",[1]!B_CALC_CURVE_CHINABOND($I$1,$G$1,$D60-M$2/365),(((1+[1]!B_CALC_CURVE_CHINABOND($I$1,$G$1,$D60)/100)^$D60/(1+M$3/100)^(M$2/365))^(1/($D60-M$2/365))-1)*100+模拟分析!$G$12/100))))</f>
        <v>0</v>
      </c>
      <c r="N60" s="5">
        <f ca="1">IF($B60="",0,IF($D60-N$2/365&lt;=0,0,(IF(模拟分析!$I$12="到期平移法",[1]!B_CALC_CURVE_CHINABOND($I$1,$G$1,$D60-N$2/365),(((1+[1]!B_CALC_CURVE_CHINABOND($I$1,$G$1,$D60)/100)^$D60/(1+N$3/100)^(N$2/365))^(1/($D60-N$2/365))-1)*100+模拟分析!$G$12/100))))</f>
        <v>0</v>
      </c>
      <c r="O60">
        <f t="shared" ca="1" si="7"/>
        <v>0</v>
      </c>
    </row>
    <row r="61" spans="2:15" x14ac:dyDescent="0.15">
      <c r="B61" s="2" t="str">
        <f ca="1">IF(B60="","",IF(B60&lt;$E$1,[1]!b_anal_nxcupn($C$1,B60+1),""))</f>
        <v/>
      </c>
      <c r="C61" s="4">
        <f ca="1">IF(B61="",0,IF(模拟分析!$K$9=0,[1]!b_anal_dailycf($C$1,B61),IF(模拟分析!$I$11="否",[1]!b_anal_dailycf($C$1,B61),IF(B61&lt;模拟分析!$K$12,[1]!b_anal_dailycf($C$1,B61),IF(B61=模拟分析!$K$12,[1]!b_anal_dailycf($C$1,B61)+模拟分析!$K$11,0)))))</f>
        <v>0</v>
      </c>
      <c r="D61" s="3">
        <f t="shared" ca="1" si="6"/>
        <v>0</v>
      </c>
      <c r="E61" s="5">
        <f ca="1">IF($B61="",0,IF($D61-E$2/365&lt;=0,0,(IF(模拟分析!$I$12="到期平移法",[1]!B_CALC_CURVE_CHINABOND($I$1,$G$1,$D61-E$2/365),(((1+[1]!B_CALC_CURVE_CHINABOND($I$1,$G$1,$D61)/100)^$D61/(1+E$3/100)^(E$2/365))^(1/($D61-E$2/365))-1)*100+模拟分析!$G$12/100))))</f>
        <v>0</v>
      </c>
      <c r="F61" s="5">
        <f ca="1">IF($B61="",0,IF($D61-F$2/365&lt;=0,0,(IF(模拟分析!$I$12="到期平移法",[1]!B_CALC_CURVE_CHINABOND($I$1,$G$1,$D61-F$2/365),(((1+[1]!B_CALC_CURVE_CHINABOND($I$1,$G$1,$D61)/100)^$D61/(1+F$3/100)^(F$2/365))^(1/($D61-F$2/365))-1)*100+模拟分析!$G$12/100))))</f>
        <v>0</v>
      </c>
      <c r="G61" s="5">
        <f ca="1">IF($B61="",0,IF($D61-G$2/365&lt;=0,0,(IF(模拟分析!$I$12="到期平移法",[1]!B_CALC_CURVE_CHINABOND($I$1,$G$1,$D61-G$2/365),(((1+[1]!B_CALC_CURVE_CHINABOND($I$1,$G$1,$D61)/100)^$D61/(1+G$3/100)^(G$2/365))^(1/($D61-G$2/365))-1)*100+模拟分析!$G$12/100))))</f>
        <v>0</v>
      </c>
      <c r="H61" s="5">
        <f ca="1">IF($B61="",0,IF($D61-H$2/365&lt;=0,0,(IF(模拟分析!$I$12="到期平移法",[1]!B_CALC_CURVE_CHINABOND($I$1,$G$1,$D61-H$2/365),(((1+[1]!B_CALC_CURVE_CHINABOND($I$1,$G$1,$D61)/100)^$D61/(1+H$3/100)^(H$2/365))^(1/($D61-H$2/365))-1)*100+模拟分析!$G$12/100))))</f>
        <v>0</v>
      </c>
      <c r="I61" s="5">
        <f ca="1">IF($B61="",0,IF($D61-I$2/365&lt;=0,0,(IF(模拟分析!$I$12="到期平移法",[1]!B_CALC_CURVE_CHINABOND($I$1,$G$1,$D61-I$2/365),(((1+[1]!B_CALC_CURVE_CHINABOND($I$1,$G$1,$D61)/100)^$D61/(1+I$3/100)^(I$2/365))^(1/($D61-I$2/365))-1)*100+模拟分析!$G$12/100))))</f>
        <v>0</v>
      </c>
      <c r="J61" s="5">
        <f ca="1">IF($B61="",0,IF($D61-J$2/365&lt;=0,0,(IF(模拟分析!$I$12="到期平移法",[1]!B_CALC_CURVE_CHINABOND($I$1,$G$1,$D61-J$2/365),(((1+[1]!B_CALC_CURVE_CHINABOND($I$1,$G$1,$D61)/100)^$D61/(1+J$3/100)^(J$2/365))^(1/($D61-J$2/365))-1)*100+模拟分析!$G$12/100))))</f>
        <v>0</v>
      </c>
      <c r="K61" s="5">
        <f ca="1">IF($B61="",0,IF($D61-K$2/365&lt;=0,0,(IF(模拟分析!$I$12="到期平移法",[1]!B_CALC_CURVE_CHINABOND($I$1,$G$1,$D61-K$2/365),(((1+[1]!B_CALC_CURVE_CHINABOND($I$1,$G$1,$D61)/100)^$D61/(1+K$3/100)^(K$2/365))^(1/($D61-K$2/365))-1)*100+模拟分析!$G$12/100))))</f>
        <v>0</v>
      </c>
      <c r="L61" s="5">
        <f ca="1">IF($B61="",0,IF($D61-L$2/365&lt;=0,0,(IF(模拟分析!$I$12="到期平移法",[1]!B_CALC_CURVE_CHINABOND($I$1,$G$1,$D61-L$2/365),(((1+[1]!B_CALC_CURVE_CHINABOND($I$1,$G$1,$D61)/100)^$D61/(1+L$3/100)^(L$2/365))^(1/($D61-L$2/365))-1)*100+模拟分析!$G$12/100))))</f>
        <v>0</v>
      </c>
      <c r="M61" s="5">
        <f ca="1">IF($B61="",0,IF($D61-M$2/365&lt;=0,0,(IF(模拟分析!$I$12="到期平移法",[1]!B_CALC_CURVE_CHINABOND($I$1,$G$1,$D61-M$2/365),(((1+[1]!B_CALC_CURVE_CHINABOND($I$1,$G$1,$D61)/100)^$D61/(1+M$3/100)^(M$2/365))^(1/($D61-M$2/365))-1)*100+模拟分析!$G$12/100))))</f>
        <v>0</v>
      </c>
      <c r="N61" s="5">
        <f ca="1">IF($B61="",0,IF($D61-N$2/365&lt;=0,0,(IF(模拟分析!$I$12="到期平移法",[1]!B_CALC_CURVE_CHINABOND($I$1,$G$1,$D61-N$2/365),(((1+[1]!B_CALC_CURVE_CHINABOND($I$1,$G$1,$D61)/100)^$D61/(1+N$3/100)^(N$2/365))^(1/($D61-N$2/365))-1)*100+模拟分析!$G$12/100))))</f>
        <v>0</v>
      </c>
      <c r="O61">
        <f t="shared" ca="1" si="7"/>
        <v>0</v>
      </c>
    </row>
    <row r="62" spans="2:15" x14ac:dyDescent="0.15">
      <c r="B62" s="2" t="str">
        <f ca="1">IF(B61="","",IF(B61&lt;$E$1,[1]!b_anal_nxcupn($C$1,B61+1),""))</f>
        <v/>
      </c>
      <c r="C62" s="4">
        <f ca="1">IF(B62="",0,IF(模拟分析!$K$9=0,[1]!b_anal_dailycf($C$1,B62),IF(模拟分析!$I$11="否",[1]!b_anal_dailycf($C$1,B62),IF(B62&lt;模拟分析!$K$12,[1]!b_anal_dailycf($C$1,B62),IF(B62=模拟分析!$K$12,[1]!b_anal_dailycf($C$1,B62)+模拟分析!$K$11,0)))))</f>
        <v>0</v>
      </c>
      <c r="D62" s="3">
        <f t="shared" ca="1" si="6"/>
        <v>0</v>
      </c>
      <c r="E62" s="5">
        <f ca="1">IF($B62="",0,IF($D62-E$2/365&lt;=0,0,(IF(模拟分析!$I$12="到期平移法",[1]!B_CALC_CURVE_CHINABOND($I$1,$G$1,$D62-E$2/365),(((1+[1]!B_CALC_CURVE_CHINABOND($I$1,$G$1,$D62)/100)^$D62/(1+E$3/100)^(E$2/365))^(1/($D62-E$2/365))-1)*100+模拟分析!$G$12/100))))</f>
        <v>0</v>
      </c>
      <c r="F62" s="5">
        <f ca="1">IF($B62="",0,IF($D62-F$2/365&lt;=0,0,(IF(模拟分析!$I$12="到期平移法",[1]!B_CALC_CURVE_CHINABOND($I$1,$G$1,$D62-F$2/365),(((1+[1]!B_CALC_CURVE_CHINABOND($I$1,$G$1,$D62)/100)^$D62/(1+F$3/100)^(F$2/365))^(1/($D62-F$2/365))-1)*100+模拟分析!$G$12/100))))</f>
        <v>0</v>
      </c>
      <c r="G62" s="5">
        <f ca="1">IF($B62="",0,IF($D62-G$2/365&lt;=0,0,(IF(模拟分析!$I$12="到期平移法",[1]!B_CALC_CURVE_CHINABOND($I$1,$G$1,$D62-G$2/365),(((1+[1]!B_CALC_CURVE_CHINABOND($I$1,$G$1,$D62)/100)^$D62/(1+G$3/100)^(G$2/365))^(1/($D62-G$2/365))-1)*100+模拟分析!$G$12/100))))</f>
        <v>0</v>
      </c>
      <c r="H62" s="5">
        <f ca="1">IF($B62="",0,IF($D62-H$2/365&lt;=0,0,(IF(模拟分析!$I$12="到期平移法",[1]!B_CALC_CURVE_CHINABOND($I$1,$G$1,$D62-H$2/365),(((1+[1]!B_CALC_CURVE_CHINABOND($I$1,$G$1,$D62)/100)^$D62/(1+H$3/100)^(H$2/365))^(1/($D62-H$2/365))-1)*100+模拟分析!$G$12/100))))</f>
        <v>0</v>
      </c>
      <c r="I62" s="5">
        <f ca="1">IF($B62="",0,IF($D62-I$2/365&lt;=0,0,(IF(模拟分析!$I$12="到期平移法",[1]!B_CALC_CURVE_CHINABOND($I$1,$G$1,$D62-I$2/365),(((1+[1]!B_CALC_CURVE_CHINABOND($I$1,$G$1,$D62)/100)^$D62/(1+I$3/100)^(I$2/365))^(1/($D62-I$2/365))-1)*100+模拟分析!$G$12/100))))</f>
        <v>0</v>
      </c>
      <c r="J62" s="5">
        <f ca="1">IF($B62="",0,IF($D62-J$2/365&lt;=0,0,(IF(模拟分析!$I$12="到期平移法",[1]!B_CALC_CURVE_CHINABOND($I$1,$G$1,$D62-J$2/365),(((1+[1]!B_CALC_CURVE_CHINABOND($I$1,$G$1,$D62)/100)^$D62/(1+J$3/100)^(J$2/365))^(1/($D62-J$2/365))-1)*100+模拟分析!$G$12/100))))</f>
        <v>0</v>
      </c>
      <c r="K62" s="5">
        <f ca="1">IF($B62="",0,IF($D62-K$2/365&lt;=0,0,(IF(模拟分析!$I$12="到期平移法",[1]!B_CALC_CURVE_CHINABOND($I$1,$G$1,$D62-K$2/365),(((1+[1]!B_CALC_CURVE_CHINABOND($I$1,$G$1,$D62)/100)^$D62/(1+K$3/100)^(K$2/365))^(1/($D62-K$2/365))-1)*100+模拟分析!$G$12/100))))</f>
        <v>0</v>
      </c>
      <c r="L62" s="5">
        <f ca="1">IF($B62="",0,IF($D62-L$2/365&lt;=0,0,(IF(模拟分析!$I$12="到期平移法",[1]!B_CALC_CURVE_CHINABOND($I$1,$G$1,$D62-L$2/365),(((1+[1]!B_CALC_CURVE_CHINABOND($I$1,$G$1,$D62)/100)^$D62/(1+L$3/100)^(L$2/365))^(1/($D62-L$2/365))-1)*100+模拟分析!$G$12/100))))</f>
        <v>0</v>
      </c>
      <c r="M62" s="5">
        <f ca="1">IF($B62="",0,IF($D62-M$2/365&lt;=0,0,(IF(模拟分析!$I$12="到期平移法",[1]!B_CALC_CURVE_CHINABOND($I$1,$G$1,$D62-M$2/365),(((1+[1]!B_CALC_CURVE_CHINABOND($I$1,$G$1,$D62)/100)^$D62/(1+M$3/100)^(M$2/365))^(1/($D62-M$2/365))-1)*100+模拟分析!$G$12/100))))</f>
        <v>0</v>
      </c>
      <c r="N62" s="5">
        <f ca="1">IF($B62="",0,IF($D62-N$2/365&lt;=0,0,(IF(模拟分析!$I$12="到期平移法",[1]!B_CALC_CURVE_CHINABOND($I$1,$G$1,$D62-N$2/365),(((1+[1]!B_CALC_CURVE_CHINABOND($I$1,$G$1,$D62)/100)^$D62/(1+N$3/100)^(N$2/365))^(1/($D62-N$2/365))-1)*100+模拟分析!$G$12/100))))</f>
        <v>0</v>
      </c>
      <c r="O62">
        <f t="shared" ca="1" si="7"/>
        <v>0</v>
      </c>
    </row>
  </sheetData>
  <phoneticPr fontId="1" type="noConversion"/>
  <conditionalFormatting sqref="C5:N62">
    <cfRule type="cellIs" dxfId="11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T72"/>
  <sheetViews>
    <sheetView workbookViewId="0">
      <pane xSplit="2" ySplit="12" topLeftCell="C13" activePane="bottomRight" state="frozen"/>
      <selection pane="topRight" activeCell="C1" sqref="C1"/>
      <selection pane="bottomLeft" activeCell="A10" sqref="A10"/>
      <selection pane="bottomRight" activeCell="O14" sqref="O14"/>
    </sheetView>
  </sheetViews>
  <sheetFormatPr defaultRowHeight="12" x14ac:dyDescent="0.15"/>
  <cols>
    <col min="1" max="1" width="3.25" style="6" customWidth="1"/>
    <col min="2" max="2" width="8.5" style="6" customWidth="1"/>
    <col min="3" max="3" width="9.5" style="6" bestFit="1" customWidth="1"/>
    <col min="4" max="4" width="12.5" style="6" customWidth="1"/>
    <col min="5" max="5" width="13.5" style="6" customWidth="1"/>
    <col min="6" max="6" width="13.375" style="6" bestFit="1" customWidth="1"/>
    <col min="7" max="7" width="9.5" style="6" bestFit="1" customWidth="1"/>
    <col min="8" max="8" width="13.5" style="6" customWidth="1"/>
    <col min="9" max="9" width="9.625" style="6" customWidth="1"/>
    <col min="10" max="10" width="9" style="6" bestFit="1" customWidth="1"/>
    <col min="11" max="11" width="9.375" style="6" bestFit="1" customWidth="1"/>
    <col min="12" max="12" width="9" style="6"/>
    <col min="13" max="13" width="9.375" style="6" bestFit="1" customWidth="1"/>
    <col min="14" max="15" width="9" style="6"/>
    <col min="16" max="16" width="13.25" style="6" hidden="1" customWidth="1"/>
    <col min="17" max="17" width="5" style="6" hidden="1" customWidth="1"/>
    <col min="18" max="18" width="53.5" style="6" hidden="1" customWidth="1"/>
    <col min="19" max="20" width="9" style="6" hidden="1" customWidth="1"/>
    <col min="21" max="16384" width="9" style="6"/>
  </cols>
  <sheetData>
    <row r="1" spans="2:19" ht="2.25" customHeight="1" x14ac:dyDescent="0.15"/>
    <row r="2" spans="2:19" x14ac:dyDescent="0.15">
      <c r="B2" s="12"/>
      <c r="C2" s="12"/>
    </row>
    <row r="3" spans="2:19" x14ac:dyDescent="0.15">
      <c r="B3" s="12"/>
      <c r="C3" s="12"/>
    </row>
    <row r="4" spans="2:19" ht="15" customHeight="1" x14ac:dyDescent="0.15">
      <c r="B4" s="12"/>
      <c r="C4" s="12"/>
    </row>
    <row r="5" spans="2:19" ht="12.75" x14ac:dyDescent="0.15">
      <c r="B5" s="99" t="s">
        <v>152</v>
      </c>
      <c r="C5" s="100" t="s">
        <v>151</v>
      </c>
      <c r="D5" s="14" t="s">
        <v>92</v>
      </c>
      <c r="E5" s="24" t="str">
        <f>[1]!b_info_name(C5)</f>
        <v>22附息国债10</v>
      </c>
      <c r="F5" s="14" t="s">
        <v>95</v>
      </c>
      <c r="G5" s="41">
        <f>[1]!b_info_couponrate2(C5)</f>
        <v>2.76</v>
      </c>
      <c r="H5" s="14" t="s">
        <v>97</v>
      </c>
      <c r="I5" s="31">
        <f>[1]!b_info_interestfrequency(C5)</f>
        <v>2</v>
      </c>
      <c r="J5" s="16" t="s">
        <v>90</v>
      </c>
      <c r="Q5" s="7" t="s">
        <v>76</v>
      </c>
      <c r="R5" s="7" t="s">
        <v>77</v>
      </c>
    </row>
    <row r="6" spans="2:19" ht="13.5" x14ac:dyDescent="0.15">
      <c r="B6" s="14" t="s">
        <v>93</v>
      </c>
      <c r="C6" s="24">
        <f>[1]!b_rate_latestcredit(C5)</f>
        <v>0</v>
      </c>
      <c r="D6" s="14" t="s">
        <v>94</v>
      </c>
      <c r="E6" s="24" t="str">
        <f>[1]!b_info_issuer(C5)</f>
        <v>中华人民共和国财政部</v>
      </c>
      <c r="F6" s="14" t="s">
        <v>96</v>
      </c>
      <c r="G6" s="25">
        <f ca="1">[1]!b_anal_ptmyear(C5,TODAY())</f>
        <v>8.0765027322404368</v>
      </c>
      <c r="H6" s="14" t="s">
        <v>98</v>
      </c>
      <c r="I6" s="26">
        <f>[1]!b_info_issueamount(C5)/100000000</f>
        <v>1981.6</v>
      </c>
      <c r="J6" s="16" t="s">
        <v>89</v>
      </c>
      <c r="Q6" s="38">
        <v>1882</v>
      </c>
      <c r="R6" s="38" t="s">
        <v>17</v>
      </c>
      <c r="S6" s="6" t="s">
        <v>126</v>
      </c>
    </row>
    <row r="7" spans="2:19" ht="13.5" x14ac:dyDescent="0.15">
      <c r="B7" s="17"/>
      <c r="C7" s="16"/>
      <c r="D7" s="18"/>
      <c r="E7" s="16"/>
      <c r="F7" s="18"/>
      <c r="G7" s="16"/>
      <c r="H7" s="18"/>
      <c r="I7" s="16"/>
      <c r="J7" s="16"/>
      <c r="Q7" s="38">
        <v>1802</v>
      </c>
      <c r="R7" s="38" t="s">
        <v>75</v>
      </c>
      <c r="S7" s="6" t="s">
        <v>127</v>
      </c>
    </row>
    <row r="8" spans="2:19" ht="13.5" x14ac:dyDescent="0.15">
      <c r="B8" s="14" t="s">
        <v>99</v>
      </c>
      <c r="C8" s="15">
        <f ca="1">TODAY()-1</f>
        <v>45398</v>
      </c>
      <c r="D8" s="14" t="s">
        <v>101</v>
      </c>
      <c r="E8" s="15" t="s">
        <v>142</v>
      </c>
      <c r="F8" s="14" t="s">
        <v>102</v>
      </c>
      <c r="G8" s="29">
        <f ca="1">[1]!b_calc_accrint(C5,I8)</f>
        <v>1.1601098901098901</v>
      </c>
      <c r="H8" s="14" t="s">
        <v>103</v>
      </c>
      <c r="I8" s="27">
        <f ca="1">IF(E8="T+1",C8+1,C8)</f>
        <v>45398</v>
      </c>
      <c r="J8" s="14" t="s">
        <v>140</v>
      </c>
      <c r="K8" s="28">
        <f ca="1">[1]!b_dq_originclose(C5,I8,1)</f>
        <v>103.221</v>
      </c>
      <c r="Q8" s="38">
        <v>1802</v>
      </c>
      <c r="R8" s="38" t="s">
        <v>75</v>
      </c>
    </row>
    <row r="9" spans="2:19" ht="13.5" x14ac:dyDescent="0.15">
      <c r="B9" s="14" t="s">
        <v>100</v>
      </c>
      <c r="C9" s="30">
        <v>100.0149</v>
      </c>
      <c r="D9" s="14" t="s">
        <v>105</v>
      </c>
      <c r="E9" s="19">
        <v>500</v>
      </c>
      <c r="F9" s="14" t="s">
        <v>104</v>
      </c>
      <c r="G9" s="28">
        <f ca="1">G8+C9</f>
        <v>101.17500989010989</v>
      </c>
      <c r="H9" s="14" t="s">
        <v>106</v>
      </c>
      <c r="I9" s="28">
        <f ca="1">E9*G9/100</f>
        <v>505.87504945054951</v>
      </c>
      <c r="J9" s="14" t="s">
        <v>146</v>
      </c>
      <c r="K9" s="40">
        <f>[1]!b_info_clause(C5)</f>
        <v>0</v>
      </c>
      <c r="Q9" s="38">
        <v>1012</v>
      </c>
      <c r="R9" s="38" t="s">
        <v>48</v>
      </c>
      <c r="S9" s="6" t="s">
        <v>129</v>
      </c>
    </row>
    <row r="10" spans="2:19" ht="13.5" x14ac:dyDescent="0.15">
      <c r="B10" s="17"/>
      <c r="C10" s="16"/>
      <c r="D10" s="18"/>
      <c r="E10" s="18"/>
      <c r="F10" s="18"/>
      <c r="G10" s="16"/>
      <c r="H10" s="16"/>
      <c r="I10" s="16"/>
      <c r="Q10" s="38">
        <v>1022</v>
      </c>
      <c r="R10" s="38" t="s">
        <v>49</v>
      </c>
      <c r="S10" s="6" t="s">
        <v>130</v>
      </c>
    </row>
    <row r="11" spans="2:19" ht="13.5" x14ac:dyDescent="0.15">
      <c r="B11" s="14" t="s">
        <v>108</v>
      </c>
      <c r="C11" s="20">
        <v>0.1</v>
      </c>
      <c r="D11" s="14" t="s">
        <v>107</v>
      </c>
      <c r="E11" s="20">
        <v>0.15</v>
      </c>
      <c r="F11" s="14" t="s">
        <v>110</v>
      </c>
      <c r="G11" s="15">
        <f ca="1">TODAY()-1</f>
        <v>45398</v>
      </c>
      <c r="H11" s="14" t="s">
        <v>132</v>
      </c>
      <c r="I11" s="15" t="s">
        <v>143</v>
      </c>
      <c r="J11" s="14" t="s">
        <v>141</v>
      </c>
      <c r="K11" s="40" t="str">
        <f>IF(LEFT(K9,2)="赎回",[1]!b_info_redemptionprice(C5),IF(LEFT(K9,2)="回售",[1]!b_info_repurchaseprice(C5),""))</f>
        <v/>
      </c>
      <c r="L11" s="11"/>
      <c r="Q11" s="38">
        <v>1032</v>
      </c>
      <c r="R11" s="38" t="s">
        <v>47</v>
      </c>
    </row>
    <row r="12" spans="2:19" ht="13.5" x14ac:dyDescent="0.15">
      <c r="B12" s="14" t="s">
        <v>109</v>
      </c>
      <c r="C12" s="102" t="s">
        <v>75</v>
      </c>
      <c r="D12" s="102"/>
      <c r="E12" s="102"/>
      <c r="F12" s="14" t="s">
        <v>111</v>
      </c>
      <c r="G12" s="36">
        <v>4</v>
      </c>
      <c r="H12" s="14" t="s">
        <v>136</v>
      </c>
      <c r="I12" s="37" t="s">
        <v>153</v>
      </c>
      <c r="J12" s="14" t="s">
        <v>147</v>
      </c>
      <c r="K12" s="27" t="str">
        <f>IF(LEFT(K9,2)="赎回",[1]!b_info_redemptiondate(C5),IF(LEFT(K9,2)="回售",[1]!b_info_repurchasedate(C5),""))</f>
        <v/>
      </c>
      <c r="Q12" s="38">
        <v>1112</v>
      </c>
      <c r="R12" s="38" t="s">
        <v>51</v>
      </c>
    </row>
    <row r="13" spans="2:19" ht="13.5" x14ac:dyDescent="0.15">
      <c r="Q13" s="38">
        <v>1472</v>
      </c>
      <c r="R13" s="38" t="s">
        <v>53</v>
      </c>
      <c r="S13" s="6" t="s">
        <v>137</v>
      </c>
    </row>
    <row r="14" spans="2:19" ht="13.5" customHeight="1" thickBot="1" x14ac:dyDescent="0.2">
      <c r="B14" s="105" t="s">
        <v>150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7"/>
      <c r="Q14" s="38">
        <v>1122</v>
      </c>
      <c r="R14" s="38" t="s">
        <v>52</v>
      </c>
      <c r="S14" s="6" t="s">
        <v>138</v>
      </c>
    </row>
    <row r="15" spans="2:19" s="8" customFormat="1" ht="13.5" x14ac:dyDescent="0.15">
      <c r="B15" s="94"/>
      <c r="C15" s="49" t="s">
        <v>4</v>
      </c>
      <c r="D15" s="50" t="s">
        <v>5</v>
      </c>
      <c r="E15" s="50" t="s">
        <v>11</v>
      </c>
      <c r="F15" s="50" t="s">
        <v>6</v>
      </c>
      <c r="G15" s="50" t="s">
        <v>12</v>
      </c>
      <c r="H15" s="50" t="s">
        <v>80</v>
      </c>
      <c r="I15" s="50" t="s">
        <v>81</v>
      </c>
      <c r="J15" s="50" t="s">
        <v>7</v>
      </c>
      <c r="K15" s="51" t="s">
        <v>8</v>
      </c>
      <c r="L15" s="46">
        <v>365</v>
      </c>
      <c r="M15" s="33" t="s">
        <v>131</v>
      </c>
      <c r="Q15" s="38">
        <v>1132</v>
      </c>
      <c r="R15" s="38" t="s">
        <v>54</v>
      </c>
    </row>
    <row r="16" spans="2:19" s="10" customFormat="1" ht="13.5" x14ac:dyDescent="0.15">
      <c r="B16" s="95"/>
      <c r="C16" s="52">
        <v>1</v>
      </c>
      <c r="D16" s="13">
        <v>7</v>
      </c>
      <c r="E16" s="13">
        <v>14</v>
      </c>
      <c r="F16" s="13">
        <v>21</v>
      </c>
      <c r="G16" s="13">
        <v>30</v>
      </c>
      <c r="H16" s="13">
        <v>60</v>
      </c>
      <c r="I16" s="13">
        <v>90</v>
      </c>
      <c r="J16" s="13">
        <v>150</v>
      </c>
      <c r="K16" s="53">
        <v>365</v>
      </c>
      <c r="L16" s="47">
        <f>L15</f>
        <v>365</v>
      </c>
      <c r="Q16" s="38">
        <v>1412</v>
      </c>
      <c r="R16" s="38" t="s">
        <v>55</v>
      </c>
    </row>
    <row r="17" spans="1:19" ht="13.5" x14ac:dyDescent="0.15">
      <c r="A17" s="11">
        <v>5.0000000000000001E-3</v>
      </c>
      <c r="B17" s="96" t="s">
        <v>82</v>
      </c>
      <c r="C17" s="54">
        <f ca="1">IF(C$16/365&gt;$G$6,"",SUMPRODUCT(CASH,(1/(1+RATE_1d/100+$A17)^(DUR-C$16/365))*((DUR-C$16/365)&gt;0)))</f>
        <v>101.15485864627838</v>
      </c>
      <c r="D17" s="21">
        <f t="shared" ref="D17:D30" ca="1" si="0">IF(D$16/365&gt;$G$6,"",SUMPRODUCT(CASH,(1/(1+RATE_7d/100+$A17)^(DUR-D$16/365))*((DUR-D$16/365)&gt;0)))</f>
        <v>101.18714935978015</v>
      </c>
      <c r="E17" s="21">
        <f t="shared" ref="E17:E30" ca="1" si="1">IF(E$16/365&gt;$G$6,"",SUMPRODUCT(CASH,(1/(1+RATE_2W/100+$A17)^(DUR-E$16/365))*((DUR-E$16/365)&gt;0)))</f>
        <v>101.22578165392144</v>
      </c>
      <c r="F17" s="21">
        <f t="shared" ref="F17:F30" ca="1" si="2">IF(F$16/365&gt;$G$6,"",SUMPRODUCT(CASH,(1/(1+RATE_3W/100+$A17)^(DUR-F$16/365))*((DUR-F$16/365)&gt;0)))</f>
        <v>101.26544830751908</v>
      </c>
      <c r="G17" s="21">
        <f t="shared" ref="G17:G30" ca="1" si="3">IF(G$16/365&gt;$G$6,"",SUMPRODUCT(CASH,(1/(1+RATE_1M/100+$A17)^(DUR-G$16/365))*((DUR-G$16/365)&gt;0)))</f>
        <v>99.937678553899104</v>
      </c>
      <c r="H17" s="21">
        <f t="shared" ref="H17:H30" ca="1" si="4">IF(H$16/365&gt;$G$6,"",SUMPRODUCT(CASH,(1/(1+RATE_2M/100+$A17)^(DUR-H$16/365))*((DUR-H$16/365)&gt;0)))</f>
        <v>100.10808409344644</v>
      </c>
      <c r="I17" s="21">
        <f t="shared" ref="I17:I30" ca="1" si="5">IF(I$16/365&gt;$G$6,"",SUMPRODUCT(CASH,(1/(1+RATE_3M/100+$A17)^(DUR-I$16/365))*((DUR-I$16/365)&gt;0)))</f>
        <v>100.27722842810621</v>
      </c>
      <c r="J17" s="21">
        <f t="shared" ref="J17:J30" ca="1" si="6">IF(J$16/365&gt;$G$6,"",SUMPRODUCT(CASH,(1/(1+RATE_5M/100+$A17)^(DUR-J$16/365))*((DUR-J$16/365)&gt;0)))</f>
        <v>100.63359073805384</v>
      </c>
      <c r="K17" s="55">
        <f t="shared" ref="K17:K30" ca="1" si="7">IF(K$16/365&gt;$G$6,"",SUMPRODUCT(CASH,(1/(1+RATE_1Y/100+$A17)^(DUR-K$16/365))*((DUR-K$16/365)&gt;0)))</f>
        <v>100.62623665493675</v>
      </c>
      <c r="L17" s="48">
        <f t="shared" ref="L17:L30" ca="1" si="8">IF(L$16/365&gt;$G$6,"",SUMPRODUCT(CASH,(1/(1+RATE_XD/100+$A17)^(DUR-L$16/365))*((DUR-L$16/365)&gt;0)))</f>
        <v>100.62623665493675</v>
      </c>
      <c r="Q17" s="38">
        <v>1862</v>
      </c>
      <c r="R17" s="38" t="s">
        <v>56</v>
      </c>
      <c r="S17" s="6" t="s">
        <v>144</v>
      </c>
    </row>
    <row r="18" spans="1:19" ht="13.5" x14ac:dyDescent="0.15">
      <c r="A18" s="11">
        <v>3.0000000000000001E-3</v>
      </c>
      <c r="B18" s="96" t="s">
        <v>115</v>
      </c>
      <c r="C18" s="54">
        <f ca="1">IF(C$16/365&gt;$G$6,"",SUMPRODUCT(CASH,(1/(1+RATE_1d/100+$A18)^(DUR-C$16/365))*((DUR-C$16/365)&gt;0)))</f>
        <v>102.5860842335527</v>
      </c>
      <c r="D18" s="21">
        <f t="shared" ca="1" si="0"/>
        <v>102.61551983089095</v>
      </c>
      <c r="E18" s="21">
        <f t="shared" ca="1" si="1"/>
        <v>102.65083400476625</v>
      </c>
      <c r="F18" s="21">
        <f t="shared" ca="1" si="2"/>
        <v>102.68719627389001</v>
      </c>
      <c r="G18" s="21">
        <f t="shared" ca="1" si="3"/>
        <v>101.35521076041894</v>
      </c>
      <c r="H18" s="21">
        <f t="shared" ca="1" si="4"/>
        <v>101.5116718423745</v>
      </c>
      <c r="I18" s="21">
        <f t="shared" ca="1" si="5"/>
        <v>101.66679812282688</v>
      </c>
      <c r="J18" s="21">
        <f t="shared" ca="1" si="6"/>
        <v>101.99524499539667</v>
      </c>
      <c r="K18" s="55">
        <f t="shared" ca="1" si="7"/>
        <v>101.88872595938795</v>
      </c>
      <c r="L18" s="48">
        <f t="shared" ca="1" si="8"/>
        <v>101.88872595938795</v>
      </c>
      <c r="Q18" s="38">
        <v>1142</v>
      </c>
      <c r="R18" s="38" t="s">
        <v>57</v>
      </c>
      <c r="S18" s="6" t="s">
        <v>145</v>
      </c>
    </row>
    <row r="19" spans="1:19" ht="13.5" x14ac:dyDescent="0.15">
      <c r="A19" s="11">
        <v>2E-3</v>
      </c>
      <c r="B19" s="96" t="s">
        <v>121</v>
      </c>
      <c r="C19" s="54">
        <f t="shared" ref="C19:C30" ca="1" si="9">IF(C$16/365&gt;$G$6,"",SUMPRODUCT(CASH,(1/(1+RATE_1d/100+$A19)^(DUR-C$16/365))*((DUR-C$16/365)&gt;0)))</f>
        <v>103.31093547611199</v>
      </c>
      <c r="D19" s="21">
        <f t="shared" ca="1" si="0"/>
        <v>103.33890894339802</v>
      </c>
      <c r="E19" s="21">
        <f t="shared" ca="1" si="1"/>
        <v>103.37252390611299</v>
      </c>
      <c r="F19" s="21">
        <f t="shared" ca="1" si="2"/>
        <v>103.40719402773631</v>
      </c>
      <c r="G19" s="21">
        <f t="shared" ca="1" si="3"/>
        <v>102.07304954479602</v>
      </c>
      <c r="H19" s="21">
        <f t="shared" ca="1" si="4"/>
        <v>102.22236891610331</v>
      </c>
      <c r="I19" s="21">
        <f t="shared" ca="1" si="5"/>
        <v>102.37031794021505</v>
      </c>
      <c r="J19" s="21">
        <f t="shared" ca="1" si="6"/>
        <v>102.68447679000784</v>
      </c>
      <c r="K19" s="55">
        <f t="shared" ca="1" si="7"/>
        <v>102.52724851749177</v>
      </c>
      <c r="L19" s="48">
        <f ca="1">IF(L$16/365&gt;$G$6,"",SUMPRODUCT(CASH,(1/(1+RATE_XD/100+$A19)^(DUR-L$16/365))*((DUR-L$16/365)&gt;0)))</f>
        <v>102.52724851749177</v>
      </c>
      <c r="Q19" s="38">
        <v>1152</v>
      </c>
      <c r="R19" s="38" t="s">
        <v>58</v>
      </c>
    </row>
    <row r="20" spans="1:19" ht="13.5" x14ac:dyDescent="0.15">
      <c r="A20" s="11">
        <v>1.5E-3</v>
      </c>
      <c r="B20" s="96" t="s">
        <v>116</v>
      </c>
      <c r="C20" s="54">
        <f t="shared" ca="1" si="9"/>
        <v>103.67569686213345</v>
      </c>
      <c r="D20" s="21">
        <f t="shared" ca="1" si="0"/>
        <v>103.70293048145813</v>
      </c>
      <c r="E20" s="21">
        <f t="shared" ca="1" si="1"/>
        <v>103.73568563851325</v>
      </c>
      <c r="F20" s="21">
        <f t="shared" ca="1" si="2"/>
        <v>103.76949953625684</v>
      </c>
      <c r="G20" s="21">
        <f t="shared" ca="1" si="3"/>
        <v>102.43426259022421</v>
      </c>
      <c r="H20" s="21">
        <f t="shared" ca="1" si="4"/>
        <v>102.57996805615628</v>
      </c>
      <c r="I20" s="21">
        <f t="shared" ca="1" si="5"/>
        <v>102.72428572636346</v>
      </c>
      <c r="J20" s="21">
        <f t="shared" ca="1" si="6"/>
        <v>103.03121669218149</v>
      </c>
      <c r="K20" s="55">
        <f t="shared" ca="1" si="7"/>
        <v>102.84834785885144</v>
      </c>
      <c r="L20" s="48">
        <f t="shared" ca="1" si="8"/>
        <v>102.84834785885144</v>
      </c>
      <c r="Q20" s="38">
        <v>1922</v>
      </c>
      <c r="R20" s="38" t="s">
        <v>63</v>
      </c>
    </row>
    <row r="21" spans="1:19" ht="13.5" x14ac:dyDescent="0.15">
      <c r="A21" s="11">
        <v>1E-3</v>
      </c>
      <c r="B21" s="96" t="s">
        <v>3</v>
      </c>
      <c r="C21" s="54">
        <f t="shared" ca="1" si="9"/>
        <v>104.04202549450312</v>
      </c>
      <c r="D21" s="21">
        <f t="shared" ca="1" si="0"/>
        <v>104.06851335653445</v>
      </c>
      <c r="E21" s="21">
        <f t="shared" ca="1" si="1"/>
        <v>104.10040184519345</v>
      </c>
      <c r="F21" s="21">
        <f t="shared" ca="1" si="2"/>
        <v>104.13335269001209</v>
      </c>
      <c r="G21" s="21">
        <f t="shared" ca="1" si="3"/>
        <v>102.79701454911337</v>
      </c>
      <c r="H21" s="21">
        <f t="shared" ca="1" si="4"/>
        <v>102.9390771472336</v>
      </c>
      <c r="I21" s="21">
        <f t="shared" ca="1" si="5"/>
        <v>103.07973472164917</v>
      </c>
      <c r="J21" s="21">
        <f t="shared" ca="1" si="6"/>
        <v>103.37938138793523</v>
      </c>
      <c r="K21" s="55">
        <f t="shared" ca="1" si="7"/>
        <v>103.17067972461579</v>
      </c>
      <c r="L21" s="48">
        <f t="shared" ca="1" si="8"/>
        <v>103.17067972461579</v>
      </c>
      <c r="Q21" s="38">
        <v>1162</v>
      </c>
      <c r="R21" s="38" t="s">
        <v>59</v>
      </c>
    </row>
    <row r="22" spans="1:19" ht="13.5" x14ac:dyDescent="0.15">
      <c r="A22" s="11">
        <v>5.0000000000000001E-4</v>
      </c>
      <c r="B22" s="96" t="s">
        <v>10</v>
      </c>
      <c r="C22" s="54">
        <f t="shared" ca="1" si="9"/>
        <v>104.40992897629366</v>
      </c>
      <c r="D22" s="21">
        <f t="shared" ca="1" si="0"/>
        <v>104.43566513082169</v>
      </c>
      <c r="E22" s="21">
        <f t="shared" ca="1" si="1"/>
        <v>104.46668004093432</v>
      </c>
      <c r="F22" s="21">
        <f t="shared" ca="1" si="2"/>
        <v>104.49876095666521</v>
      </c>
      <c r="G22" s="21">
        <f t="shared" ca="1" si="3"/>
        <v>103.1613128289672</v>
      </c>
      <c r="H22" s="21">
        <f t="shared" ca="1" si="4"/>
        <v>103.29970339837047</v>
      </c>
      <c r="I22" s="21">
        <f ca="1">IF(I$16/365&gt;$G$6,"",SUMPRODUCT(CASH,(1/(1+RATE_3M/100+$A22)^(DUR-I$16/365))*((DUR-I$16/365)&gt;0)))</f>
        <v>103.43667193993312</v>
      </c>
      <c r="J22" s="21">
        <f t="shared" ca="1" si="6"/>
        <v>103.72897751263729</v>
      </c>
      <c r="K22" s="55">
        <f t="shared" ca="1" si="7"/>
        <v>103.49424950969259</v>
      </c>
      <c r="L22" s="48">
        <f t="shared" ca="1" si="8"/>
        <v>103.49424950969259</v>
      </c>
      <c r="Q22" s="38">
        <v>1172</v>
      </c>
      <c r="R22" s="38" t="s">
        <v>60</v>
      </c>
    </row>
    <row r="23" spans="1:19" ht="13.5" x14ac:dyDescent="0.15">
      <c r="A23" s="11">
        <v>0</v>
      </c>
      <c r="B23" s="97" t="s">
        <v>113</v>
      </c>
      <c r="C23" s="54">
        <f t="shared" ca="1" si="9"/>
        <v>104.77941495141042</v>
      </c>
      <c r="D23" s="21">
        <f t="shared" ca="1" si="0"/>
        <v>104.80439340706747</v>
      </c>
      <c r="E23" s="21">
        <f t="shared" ca="1" si="1"/>
        <v>104.8345277807456</v>
      </c>
      <c r="F23" s="21">
        <f t="shared" ca="1" si="2"/>
        <v>104.8657318437869</v>
      </c>
      <c r="G23" s="21">
        <f t="shared" ca="1" si="3"/>
        <v>103.52716487678742</v>
      </c>
      <c r="H23" s="21">
        <f t="shared" ca="1" si="4"/>
        <v>103.66185405675532</v>
      </c>
      <c r="I23" s="21">
        <f t="shared" ca="1" si="5"/>
        <v>103.79510443191781</v>
      </c>
      <c r="J23" s="21">
        <f t="shared" ca="1" si="6"/>
        <v>104.08001173598274</v>
      </c>
      <c r="K23" s="55">
        <f t="shared" ca="1" si="7"/>
        <v>103.81906263536634</v>
      </c>
      <c r="L23" s="48">
        <f t="shared" ca="1" si="8"/>
        <v>103.81906263536634</v>
      </c>
      <c r="Q23" s="38">
        <v>1702</v>
      </c>
      <c r="R23" s="38" t="s">
        <v>62</v>
      </c>
    </row>
    <row r="24" spans="1:19" ht="13.5" x14ac:dyDescent="0.15">
      <c r="A24" s="11">
        <v>-5.0000000000000001E-4</v>
      </c>
      <c r="B24" s="95" t="s">
        <v>83</v>
      </c>
      <c r="C24" s="54">
        <f t="shared" ca="1" si="9"/>
        <v>105.15049110483071</v>
      </c>
      <c r="D24" s="21">
        <f t="shared" ca="1" si="0"/>
        <v>105.17470582880976</v>
      </c>
      <c r="E24" s="21">
        <f t="shared" ca="1" si="1"/>
        <v>105.20395266010121</v>
      </c>
      <c r="F24" s="21">
        <f t="shared" ca="1" si="2"/>
        <v>105.23427289908838</v>
      </c>
      <c r="G24" s="21">
        <f t="shared" ca="1" si="3"/>
        <v>103.89457817930355</v>
      </c>
      <c r="H24" s="21">
        <f t="shared" ca="1" si="4"/>
        <v>104.02553640795051</v>
      </c>
      <c r="I24" s="21">
        <f t="shared" ca="1" si="5"/>
        <v>104.15503928535892</v>
      </c>
      <c r="J24" s="21">
        <f t="shared" ca="1" si="6"/>
        <v>104.43249076218768</v>
      </c>
      <c r="K24" s="55">
        <f t="shared" ca="1" si="7"/>
        <v>104.14512454943988</v>
      </c>
      <c r="L24" s="48">
        <f t="shared" ca="1" si="8"/>
        <v>104.14512454943988</v>
      </c>
      <c r="Q24" s="38">
        <v>1402</v>
      </c>
      <c r="R24" s="38" t="s">
        <v>61</v>
      </c>
    </row>
    <row r="25" spans="1:19" ht="13.5" x14ac:dyDescent="0.15">
      <c r="A25" s="11">
        <v>-1E-3</v>
      </c>
      <c r="B25" s="95" t="s">
        <v>84</v>
      </c>
      <c r="C25" s="54">
        <f t="shared" ca="1" si="9"/>
        <v>105.52316516284563</v>
      </c>
      <c r="D25" s="21">
        <f t="shared" ca="1" si="0"/>
        <v>105.54661008061667</v>
      </c>
      <c r="E25" s="21">
        <f t="shared" ca="1" si="1"/>
        <v>105.57496231517658</v>
      </c>
      <c r="F25" s="21">
        <f t="shared" ca="1" si="2"/>
        <v>105.60439171065634</v>
      </c>
      <c r="G25" s="21">
        <f t="shared" ca="1" si="3"/>
        <v>104.26356026320526</v>
      </c>
      <c r="H25" s="21">
        <f t="shared" ca="1" si="4"/>
        <v>104.39075777611504</v>
      </c>
      <c r="I25" s="21">
        <f t="shared" ca="1" si="5"/>
        <v>104.51648362527892</v>
      </c>
      <c r="J25" s="21">
        <f t="shared" ca="1" si="6"/>
        <v>104.78642133018568</v>
      </c>
      <c r="K25" s="55">
        <f t="shared" ca="1" si="7"/>
        <v>104.47244072637774</v>
      </c>
      <c r="L25" s="48">
        <f t="shared" ca="1" si="8"/>
        <v>104.47244072637774</v>
      </c>
      <c r="Q25" s="38">
        <v>1182</v>
      </c>
      <c r="R25" s="38" t="s">
        <v>68</v>
      </c>
    </row>
    <row r="26" spans="1:19" ht="13.5" x14ac:dyDescent="0.15">
      <c r="A26" s="11">
        <v>-1.5E-3</v>
      </c>
      <c r="B26" s="95" t="s">
        <v>85</v>
      </c>
      <c r="C26" s="54">
        <f t="shared" ca="1" si="9"/>
        <v>105.89744489330307</v>
      </c>
      <c r="D26" s="21">
        <f t="shared" ca="1" si="0"/>
        <v>105.92011388832753</v>
      </c>
      <c r="E26" s="21">
        <f t="shared" ca="1" si="1"/>
        <v>105.94756442308756</v>
      </c>
      <c r="F26" s="21">
        <f t="shared" ca="1" si="2"/>
        <v>105.97609590718974</v>
      </c>
      <c r="G26" s="21">
        <f t="shared" ca="1" si="3"/>
        <v>104.63411869537603</v>
      </c>
      <c r="H26" s="21">
        <f t="shared" ca="1" si="4"/>
        <v>104.75752552422878</v>
      </c>
      <c r="I26" s="21">
        <f t="shared" ca="1" si="5"/>
        <v>104.87944461418209</v>
      </c>
      <c r="J26" s="21">
        <f t="shared" ca="1" si="6"/>
        <v>105.1418102138252</v>
      </c>
      <c r="K26" s="55">
        <f t="shared" ca="1" si="7"/>
        <v>104.80101666744997</v>
      </c>
      <c r="L26" s="48">
        <f t="shared" ca="1" si="8"/>
        <v>104.80101666744997</v>
      </c>
      <c r="Q26" s="38">
        <v>1192</v>
      </c>
      <c r="R26" s="38" t="s">
        <v>69</v>
      </c>
    </row>
    <row r="27" spans="1:19" ht="13.5" x14ac:dyDescent="0.15">
      <c r="A27" s="11">
        <v>-2E-3</v>
      </c>
      <c r="B27" s="95" t="s">
        <v>86</v>
      </c>
      <c r="C27" s="54">
        <f t="shared" ca="1" si="9"/>
        <v>106.27333810585191</v>
      </c>
      <c r="D27" s="21">
        <f t="shared" ca="1" si="0"/>
        <v>106.2952250192949</v>
      </c>
      <c r="E27" s="21">
        <f t="shared" ca="1" si="1"/>
        <v>106.32176670213013</v>
      </c>
      <c r="F27" s="21">
        <f t="shared" ca="1" si="2"/>
        <v>106.34939315823706</v>
      </c>
      <c r="G27" s="21">
        <f t="shared" ca="1" si="3"/>
        <v>105.00626108312748</v>
      </c>
      <c r="H27" s="21">
        <f t="shared" ca="1" si="4"/>
        <v>105.12584705431729</v>
      </c>
      <c r="I27" s="21">
        <f t="shared" ca="1" si="5"/>
        <v>105.24392945227</v>
      </c>
      <c r="J27" s="21">
        <f t="shared" ca="1" si="6"/>
        <v>105.49866422206736</v>
      </c>
      <c r="K27" s="55">
        <f t="shared" ca="1" si="7"/>
        <v>105.13085790087651</v>
      </c>
      <c r="L27" s="48">
        <f t="shared" ca="1" si="8"/>
        <v>105.13085790087651</v>
      </c>
      <c r="Q27" s="38">
        <v>1202</v>
      </c>
      <c r="R27" s="38" t="s">
        <v>70</v>
      </c>
    </row>
    <row r="28" spans="1:19" ht="13.5" x14ac:dyDescent="0.15">
      <c r="A28" s="11">
        <v>-3.0000000000000001E-3</v>
      </c>
      <c r="B28" s="95" t="s">
        <v>112</v>
      </c>
      <c r="C28" s="54">
        <f t="shared" ca="1" si="9"/>
        <v>107.02999642630647</v>
      </c>
      <c r="D28" s="21">
        <f t="shared" ca="1" si="0"/>
        <v>107.05030052944642</v>
      </c>
      <c r="E28" s="21">
        <f t="shared" ca="1" si="1"/>
        <v>107.07500285415098</v>
      </c>
      <c r="F28" s="21">
        <f t="shared" ca="1" si="2"/>
        <v>107.10079770775732</v>
      </c>
      <c r="G28" s="21">
        <f t="shared" ca="1" si="3"/>
        <v>105.75532835818521</v>
      </c>
      <c r="H28" s="21">
        <f t="shared" ca="1" si="4"/>
        <v>105.86718126511619</v>
      </c>
      <c r="I28" s="21">
        <f t="shared" ca="1" si="5"/>
        <v>105.97749966660331</v>
      </c>
      <c r="J28" s="21">
        <f t="shared" ca="1" si="6"/>
        <v>106.21679502497288</v>
      </c>
      <c r="K28" s="55">
        <f t="shared" ca="1" si="7"/>
        <v>105.79435849329934</v>
      </c>
      <c r="L28" s="48">
        <f t="shared" ca="1" si="8"/>
        <v>105.79435849329934</v>
      </c>
      <c r="Q28" s="38">
        <v>1212</v>
      </c>
      <c r="R28" s="38" t="s">
        <v>71</v>
      </c>
    </row>
    <row r="29" spans="1:19" ht="13.5" x14ac:dyDescent="0.15">
      <c r="A29" s="11">
        <v>-5.0000000000000001E-3</v>
      </c>
      <c r="B29" s="98" t="s">
        <v>88</v>
      </c>
      <c r="C29" s="56">
        <f t="shared" ca="1" si="9"/>
        <v>108.5630231747636</v>
      </c>
      <c r="D29" s="57">
        <f t="shared" ca="1" si="0"/>
        <v>108.58008585783718</v>
      </c>
      <c r="E29" s="57">
        <f t="shared" ca="1" si="1"/>
        <v>108.60102144475709</v>
      </c>
      <c r="F29" s="57">
        <f t="shared" ca="1" si="2"/>
        <v>108.62306551181912</v>
      </c>
      <c r="G29" s="57">
        <f t="shared" ca="1" si="3"/>
        <v>107.27280964024403</v>
      </c>
      <c r="H29" s="57">
        <f t="shared" ca="1" si="4"/>
        <v>107.36882514706113</v>
      </c>
      <c r="I29" s="57">
        <f t="shared" ca="1" si="5"/>
        <v>107.46324733000769</v>
      </c>
      <c r="J29" s="57">
        <f t="shared" ca="1" si="6"/>
        <v>107.67094166490865</v>
      </c>
      <c r="K29" s="45">
        <f t="shared" ca="1" si="7"/>
        <v>107.13678945381403</v>
      </c>
      <c r="L29" s="59">
        <f t="shared" ca="1" si="8"/>
        <v>107.13678945381403</v>
      </c>
      <c r="Q29" s="38">
        <v>1422</v>
      </c>
      <c r="R29" s="38" t="s">
        <v>66</v>
      </c>
    </row>
    <row r="30" spans="1:19" ht="13.5" x14ac:dyDescent="0.15">
      <c r="A30" s="11">
        <f>B30/10000</f>
        <v>1E-3</v>
      </c>
      <c r="B30" s="42">
        <v>10</v>
      </c>
      <c r="C30" s="60">
        <f t="shared" ca="1" si="9"/>
        <v>104.04202549450312</v>
      </c>
      <c r="D30" s="44">
        <f t="shared" ca="1" si="0"/>
        <v>104.06851335653445</v>
      </c>
      <c r="E30" s="44">
        <f t="shared" ca="1" si="1"/>
        <v>104.10040184519345</v>
      </c>
      <c r="F30" s="44">
        <f t="shared" ca="1" si="2"/>
        <v>104.13335269001209</v>
      </c>
      <c r="G30" s="44">
        <f t="shared" ca="1" si="3"/>
        <v>102.79701454911337</v>
      </c>
      <c r="H30" s="44">
        <f t="shared" ca="1" si="4"/>
        <v>102.9390771472336</v>
      </c>
      <c r="I30" s="44">
        <f t="shared" ca="1" si="5"/>
        <v>103.07973472164917</v>
      </c>
      <c r="J30" s="44">
        <f t="shared" ca="1" si="6"/>
        <v>103.37938138793523</v>
      </c>
      <c r="K30" s="58">
        <f t="shared" ca="1" si="7"/>
        <v>103.17067972461579</v>
      </c>
      <c r="L30" s="43">
        <f t="shared" ca="1" si="8"/>
        <v>103.17067972461579</v>
      </c>
      <c r="Q30" s="38">
        <v>1812</v>
      </c>
      <c r="R30" s="38" t="s">
        <v>65</v>
      </c>
    </row>
    <row r="31" spans="1:19" ht="13.5" x14ac:dyDescent="0.15">
      <c r="Q31" s="38">
        <v>1222</v>
      </c>
      <c r="R31" s="38" t="s">
        <v>64</v>
      </c>
    </row>
    <row r="32" spans="1:19" ht="13.5" customHeight="1" x14ac:dyDescent="0.15">
      <c r="B32" s="34" t="s">
        <v>128</v>
      </c>
      <c r="C32" s="103" t="s">
        <v>134</v>
      </c>
      <c r="D32" s="104"/>
      <c r="Q32" s="38">
        <v>1432</v>
      </c>
      <c r="R32" s="38" t="s">
        <v>67</v>
      </c>
    </row>
    <row r="33" spans="2:18" ht="13.5" customHeight="1" x14ac:dyDescent="0.15">
      <c r="B33" s="108" t="s">
        <v>135</v>
      </c>
      <c r="C33" s="109"/>
      <c r="D33" s="109"/>
      <c r="E33" s="109"/>
      <c r="F33" s="109"/>
      <c r="G33" s="109"/>
      <c r="H33" s="109"/>
      <c r="I33" s="109"/>
      <c r="J33" s="109"/>
      <c r="K33" s="109"/>
      <c r="L33" s="110"/>
      <c r="Q33" s="38">
        <v>1232</v>
      </c>
      <c r="R33" s="38" t="s">
        <v>15</v>
      </c>
    </row>
    <row r="34" spans="2:18" ht="13.5" x14ac:dyDescent="0.15">
      <c r="B34" s="68"/>
      <c r="C34" s="49" t="s">
        <v>4</v>
      </c>
      <c r="D34" s="50" t="s">
        <v>5</v>
      </c>
      <c r="E34" s="50" t="s">
        <v>11</v>
      </c>
      <c r="F34" s="50" t="s">
        <v>6</v>
      </c>
      <c r="G34" s="50" t="s">
        <v>12</v>
      </c>
      <c r="H34" s="50" t="s">
        <v>80</v>
      </c>
      <c r="I34" s="50" t="s">
        <v>81</v>
      </c>
      <c r="J34" s="50" t="s">
        <v>7</v>
      </c>
      <c r="K34" s="51" t="s">
        <v>8</v>
      </c>
      <c r="L34" s="71" t="str">
        <f>L15&amp;"d"</f>
        <v>365d</v>
      </c>
      <c r="M34" s="32"/>
      <c r="Q34" s="38">
        <v>1242</v>
      </c>
      <c r="R34" s="38" t="s">
        <v>50</v>
      </c>
    </row>
    <row r="35" spans="2:18" ht="13.5" x14ac:dyDescent="0.15">
      <c r="B35" s="61" t="s">
        <v>82</v>
      </c>
      <c r="C35" s="74">
        <f ca="1">IF(C17="","",IF($C$32="年化收益率",((SUMPRODUCT(((DUR-C$16/365)&lt;0)*CASH)+C17-$G$9*(1+C$16*$C$11/365))/$G$9)*365/C$16,((SUMPRODUCT(((DUR-C$16/365)&lt;0)*CASH)+C17-$G$9*(1+C$16*$C$11/365))/$G$9)))</f>
        <v>-0.17269783325434529</v>
      </c>
      <c r="D35" s="22">
        <f t="shared" ref="D35:L35" ca="1" si="10">IF(D17="","",IF($C$32="年化收益率",((SUMPRODUCT(((DUR-D$16/365)&lt;0)*CASH)+D17-$G$9*(1+D$16*$C$11/365))/$G$9)*365/D$16,((SUMPRODUCT(((DUR-D$16/365)&lt;0)*CASH)+D17-$G$9*(1+D$16*$C$11/365))/$G$9)))</f>
        <v>-9.3743646444964135E-2</v>
      </c>
      <c r="E35" s="22">
        <f t="shared" ca="1" si="10"/>
        <v>-8.6916804702108788E-2</v>
      </c>
      <c r="F35" s="22">
        <f t="shared" ca="1" si="10"/>
        <v>-8.4463497180724212E-2</v>
      </c>
      <c r="G35" s="22">
        <f t="shared" ca="1" si="10"/>
        <v>-8.2843569000019518E-2</v>
      </c>
      <c r="H35" s="22">
        <f t="shared" ca="1" si="10"/>
        <v>-8.117583839099593E-2</v>
      </c>
      <c r="I35" s="22">
        <f t="shared" ca="1" si="10"/>
        <v>-8.0670483028497483E-2</v>
      </c>
      <c r="J35" s="22">
        <f t="shared" ca="1" si="10"/>
        <v>-7.983151440051002E-2</v>
      </c>
      <c r="K35" s="75">
        <f t="shared" ca="1" si="10"/>
        <v>-7.8144536212760865E-2</v>
      </c>
      <c r="L35" s="72">
        <f t="shared" ca="1" si="10"/>
        <v>-7.8144536212760865E-2</v>
      </c>
      <c r="Q35" s="38">
        <v>1902</v>
      </c>
      <c r="R35" s="38" t="s">
        <v>35</v>
      </c>
    </row>
    <row r="36" spans="2:18" ht="13.5" x14ac:dyDescent="0.15">
      <c r="B36" s="61" t="s">
        <v>115</v>
      </c>
      <c r="C36" s="74">
        <f t="shared" ref="C36:L48" ca="1" si="11">IF(C18="","",IF($C$32="年化收益率",((SUMPRODUCT(((DUR-C$16/365)&lt;0)*CASH)+C18-$G$9*(1+C$16*$C$11/365))/$G$9)*365/C$16,((SUMPRODUCT(((DUR-C$16/365)&lt;0)*CASH)+C18-$G$9*(1+C$16*$C$11/365))/$G$9)))</f>
        <v>4.9906062269332452</v>
      </c>
      <c r="D36" s="22">
        <f t="shared" ca="1" si="11"/>
        <v>0.64239976983046454</v>
      </c>
      <c r="E36" s="22">
        <f t="shared" ca="1" si="11"/>
        <v>0.2802998688218204</v>
      </c>
      <c r="F36" s="22">
        <f t="shared" ca="1" si="11"/>
        <v>0.15977995511099247</v>
      </c>
      <c r="G36" s="22">
        <f t="shared" ca="1" si="11"/>
        <v>8.7619886992953464E-2</v>
      </c>
      <c r="H36" s="22">
        <f t="shared" ca="1" si="11"/>
        <v>3.2174534761000889E-3</v>
      </c>
      <c r="I36" s="22">
        <f t="shared" ca="1" si="11"/>
        <v>-2.497019595783713E-2</v>
      </c>
      <c r="J36" s="22">
        <f t="shared" ca="1" si="11"/>
        <v>-4.7082728939887561E-2</v>
      </c>
      <c r="K36" s="75">
        <f t="shared" ca="1" si="11"/>
        <v>-6.5666264099692159E-2</v>
      </c>
      <c r="L36" s="72">
        <f t="shared" ca="1" si="11"/>
        <v>-6.5666264099692159E-2</v>
      </c>
      <c r="Q36" s="38">
        <v>1852</v>
      </c>
      <c r="R36" s="38" t="s">
        <v>34</v>
      </c>
    </row>
    <row r="37" spans="2:18" ht="13.5" x14ac:dyDescent="0.15">
      <c r="B37" s="61" t="s">
        <v>9</v>
      </c>
      <c r="C37" s="74">
        <f t="shared" ca="1" si="11"/>
        <v>7.6055869798039746</v>
      </c>
      <c r="D37" s="22">
        <f t="shared" ca="1" si="11"/>
        <v>1.0152149066228751</v>
      </c>
      <c r="E37" s="22">
        <f t="shared" ca="1" si="11"/>
        <v>0.46626957353565218</v>
      </c>
      <c r="F37" s="22">
        <f t="shared" ca="1" si="11"/>
        <v>0.28346906260490257</v>
      </c>
      <c r="G37" s="22">
        <f t="shared" ca="1" si="11"/>
        <v>0.17394263822774106</v>
      </c>
      <c r="H37" s="22">
        <f t="shared" ca="1" si="11"/>
        <v>4.5949420621077333E-2</v>
      </c>
      <c r="I37" s="22">
        <f t="shared" ca="1" si="11"/>
        <v>3.230084990501334E-3</v>
      </c>
      <c r="J37" s="22">
        <f t="shared" ca="1" si="11"/>
        <v>-3.0506197817804274E-2</v>
      </c>
      <c r="K37" s="75">
        <f t="shared" ca="1" si="11"/>
        <v>-5.9355194213982831E-2</v>
      </c>
      <c r="L37" s="72">
        <f t="shared" ca="1" si="11"/>
        <v>-5.9355194213982831E-2</v>
      </c>
      <c r="Q37" s="38">
        <v>1872</v>
      </c>
      <c r="R37" s="38" t="s">
        <v>31</v>
      </c>
    </row>
    <row r="38" spans="2:18" ht="13.5" x14ac:dyDescent="0.15">
      <c r="B38" s="61" t="s">
        <v>116</v>
      </c>
      <c r="C38" s="74">
        <f t="shared" ca="1" si="11"/>
        <v>8.9215038850006021</v>
      </c>
      <c r="D38" s="22">
        <f t="shared" ca="1" si="11"/>
        <v>1.2028217383554056</v>
      </c>
      <c r="E38" s="22">
        <f t="shared" ca="1" si="11"/>
        <v>0.55985142913846653</v>
      </c>
      <c r="F38" s="22">
        <f t="shared" ca="1" si="11"/>
        <v>0.3457098748152676</v>
      </c>
      <c r="G38" s="22">
        <f t="shared" ca="1" si="11"/>
        <v>0.21737983407432007</v>
      </c>
      <c r="H38" s="22">
        <f t="shared" ca="1" si="11"/>
        <v>6.7450725844752049E-2</v>
      </c>
      <c r="I38" s="22">
        <f t="shared" ca="1" si="11"/>
        <v>1.7418727256621226E-2</v>
      </c>
      <c r="J38" s="22">
        <f t="shared" ca="1" si="11"/>
        <v>-2.2166848378923076E-2</v>
      </c>
      <c r="K38" s="75">
        <f t="shared" ca="1" si="11"/>
        <v>-5.6181492113944222E-2</v>
      </c>
      <c r="L38" s="72">
        <f t="shared" ca="1" si="11"/>
        <v>-5.6181492113944222E-2</v>
      </c>
      <c r="Q38" s="38">
        <v>1822</v>
      </c>
      <c r="R38" s="38" t="s">
        <v>33</v>
      </c>
    </row>
    <row r="39" spans="2:18" ht="13.5" x14ac:dyDescent="0.15">
      <c r="B39" s="61" t="s">
        <v>122</v>
      </c>
      <c r="C39" s="74">
        <f t="shared" ca="1" si="11"/>
        <v>10.243074804145142</v>
      </c>
      <c r="D39" s="22">
        <f t="shared" ca="1" si="11"/>
        <v>1.3912332408567101</v>
      </c>
      <c r="E39" s="22">
        <f t="shared" ca="1" si="11"/>
        <v>0.65383385169155495</v>
      </c>
      <c r="F39" s="22">
        <f t="shared" ca="1" si="11"/>
        <v>0.40821655849089178</v>
      </c>
      <c r="G39" s="22">
        <f t="shared" ca="1" si="11"/>
        <v>0.26100208991870766</v>
      </c>
      <c r="H39" s="22">
        <f t="shared" ca="1" si="11"/>
        <v>8.9042819647624005E-2</v>
      </c>
      <c r="I39" s="22">
        <f t="shared" ca="1" si="11"/>
        <v>3.1666743136365916E-2</v>
      </c>
      <c r="J39" s="22">
        <f t="shared" ca="1" si="11"/>
        <v>-1.3793231607473224E-2</v>
      </c>
      <c r="K39" s="75">
        <f t="shared" ca="1" si="11"/>
        <v>-5.2995607910775358E-2</v>
      </c>
      <c r="L39" s="72">
        <f t="shared" ca="1" si="11"/>
        <v>-5.2995607910775358E-2</v>
      </c>
      <c r="Q39" s="38">
        <v>1252</v>
      </c>
      <c r="R39" s="38" t="s">
        <v>30</v>
      </c>
    </row>
    <row r="40" spans="2:18" ht="13.5" x14ac:dyDescent="0.15">
      <c r="B40" s="61" t="s">
        <v>10</v>
      </c>
      <c r="C40" s="74">
        <f t="shared" ca="1" si="11"/>
        <v>11.570327166160199</v>
      </c>
      <c r="D40" s="22">
        <f t="shared" ca="1" si="11"/>
        <v>1.580453311476909</v>
      </c>
      <c r="E40" s="22">
        <f t="shared" ca="1" si="11"/>
        <v>0.74821877765204581</v>
      </c>
      <c r="F40" s="22">
        <f t="shared" ca="1" si="11"/>
        <v>0.47099039650882168</v>
      </c>
      <c r="G40" s="22">
        <f t="shared" ca="1" si="11"/>
        <v>0.30481029654043817</v>
      </c>
      <c r="H40" s="22">
        <f t="shared" ca="1" si="11"/>
        <v>0.11072613548617648</v>
      </c>
      <c r="I40" s="22">
        <f t="shared" ca="1" si="11"/>
        <v>4.5974413777251193E-2</v>
      </c>
      <c r="J40" s="22">
        <f t="shared" ca="1" si="11"/>
        <v>-5.3851879179728146E-3</v>
      </c>
      <c r="K40" s="75">
        <f t="shared" ca="1" si="11"/>
        <v>-4.9797488281943685E-2</v>
      </c>
      <c r="L40" s="72">
        <f t="shared" ca="1" si="11"/>
        <v>-4.9797488281943685E-2</v>
      </c>
      <c r="Q40" s="38">
        <v>1482</v>
      </c>
      <c r="R40" s="38" t="s">
        <v>32</v>
      </c>
    </row>
    <row r="41" spans="2:18" ht="13.5" x14ac:dyDescent="0.15">
      <c r="B41" s="61" t="s">
        <v>113</v>
      </c>
      <c r="C41" s="74">
        <f t="shared" ca="1" si="11"/>
        <v>12.903288547276906</v>
      </c>
      <c r="D41" s="22">
        <f t="shared" ca="1" si="11"/>
        <v>1.7704858684660125</v>
      </c>
      <c r="E41" s="22">
        <f t="shared" ca="1" si="11"/>
        <v>0.84300815384353522</v>
      </c>
      <c r="F41" s="22">
        <f t="shared" ca="1" si="11"/>
        <v>0.53403267860185788</v>
      </c>
      <c r="G41" s="22">
        <f t="shared" ca="1" si="11"/>
        <v>0.34880534946883135</v>
      </c>
      <c r="H41" s="22">
        <f t="shared" ca="1" si="11"/>
        <v>0.13250110911092844</v>
      </c>
      <c r="I41" s="22">
        <f t="shared" ca="1" si="11"/>
        <v>6.0342021803570886E-2</v>
      </c>
      <c r="J41" s="22">
        <f t="shared" ca="1" si="11"/>
        <v>3.0574431006455717E-3</v>
      </c>
      <c r="K41" s="75">
        <f t="shared" ca="1" si="11"/>
        <v>-4.6587079644212548E-2</v>
      </c>
      <c r="L41" s="72">
        <f t="shared" ca="1" si="11"/>
        <v>-4.6587079644212548E-2</v>
      </c>
      <c r="M41" s="12"/>
      <c r="N41" s="12"/>
      <c r="O41" s="12"/>
      <c r="P41" s="12"/>
      <c r="Q41" s="38">
        <v>1832</v>
      </c>
      <c r="R41" s="38" t="s">
        <v>29</v>
      </c>
    </row>
    <row r="42" spans="2:18" ht="13.5" x14ac:dyDescent="0.15">
      <c r="B42" s="62" t="s">
        <v>83</v>
      </c>
      <c r="C42" s="74">
        <f t="shared" ca="1" si="11"/>
        <v>14.241986671897951</v>
      </c>
      <c r="D42" s="22">
        <f t="shared" ca="1" si="11"/>
        <v>1.961334851096274</v>
      </c>
      <c r="E42" s="22">
        <f t="shared" ca="1" si="11"/>
        <v>0.93820393751669084</v>
      </c>
      <c r="F42" s="22">
        <f t="shared" ca="1" si="11"/>
        <v>0.59734470139857709</v>
      </c>
      <c r="G42" s="22">
        <f t="shared" ca="1" si="11"/>
        <v>0.39298814901061668</v>
      </c>
      <c r="H42" s="22">
        <f t="shared" ca="1" si="11"/>
        <v>0.15436817857970081</v>
      </c>
      <c r="I42" s="22">
        <f t="shared" ca="1" si="11"/>
        <v>7.4769851324879316E-2</v>
      </c>
      <c r="J42" s="22">
        <f t="shared" ca="1" si="11"/>
        <v>1.1534822689705654E-2</v>
      </c>
      <c r="K42" s="75">
        <f t="shared" ca="1" si="11"/>
        <v>-4.3364328152241387E-2</v>
      </c>
      <c r="L42" s="72">
        <f t="shared" ca="1" si="11"/>
        <v>-4.3364328152241387E-2</v>
      </c>
      <c r="M42" s="12"/>
      <c r="N42" s="12"/>
      <c r="O42" s="12"/>
      <c r="P42" s="12"/>
      <c r="Q42" s="38">
        <v>1442</v>
      </c>
      <c r="R42" s="38" t="s">
        <v>28</v>
      </c>
    </row>
    <row r="43" spans="2:18" ht="13.5" x14ac:dyDescent="0.15">
      <c r="B43" s="63" t="s">
        <v>84</v>
      </c>
      <c r="C43" s="74">
        <f t="shared" ca="1" si="11"/>
        <v>15.586449413470106</v>
      </c>
      <c r="D43" s="22">
        <f t="shared" ca="1" si="11"/>
        <v>2.1530042197857506</v>
      </c>
      <c r="E43" s="22">
        <f t="shared" ca="1" si="11"/>
        <v>1.0338080964104115</v>
      </c>
      <c r="F43" s="22">
        <f t="shared" ca="1" si="11"/>
        <v>0.66092776846370127</v>
      </c>
      <c r="G43" s="22">
        <f t="shared" ca="1" si="11"/>
        <v>0.43735960027788273</v>
      </c>
      <c r="H43" s="22">
        <f t="shared" ca="1" si="11"/>
        <v>0.17632778427100754</v>
      </c>
      <c r="I43" s="22">
        <f t="shared" ca="1" si="11"/>
        <v>8.9258187944552342E-2</v>
      </c>
      <c r="J43" s="22">
        <f t="shared" ca="1" si="11"/>
        <v>2.0047112925511215E-2</v>
      </c>
      <c r="K43" s="75">
        <f t="shared" ca="1" si="11"/>
        <v>-4.0129179697169656E-2</v>
      </c>
      <c r="L43" s="72">
        <f t="shared" ca="1" si="11"/>
        <v>-4.0129179697169656E-2</v>
      </c>
      <c r="M43" s="12"/>
      <c r="N43" s="12"/>
      <c r="O43" s="12"/>
      <c r="P43" s="12"/>
      <c r="Q43" s="38">
        <v>1842</v>
      </c>
      <c r="R43" s="38" t="s">
        <v>27</v>
      </c>
    </row>
    <row r="44" spans="2:18" ht="13.5" x14ac:dyDescent="0.15">
      <c r="B44" s="63" t="s">
        <v>85</v>
      </c>
      <c r="C44" s="74">
        <f t="shared" ca="1" si="11"/>
        <v>16.936704795360821</v>
      </c>
      <c r="D44" s="22">
        <f t="shared" ca="1" si="11"/>
        <v>2.3454979562225815</v>
      </c>
      <c r="E44" s="22">
        <f t="shared" ca="1" si="11"/>
        <v>1.129822608813384</v>
      </c>
      <c r="F44" s="22">
        <f t="shared" ca="1" si="11"/>
        <v>0.7247831903387697</v>
      </c>
      <c r="G44" s="22">
        <f t="shared" ca="1" si="11"/>
        <v>0.48192061321616819</v>
      </c>
      <c r="H44" s="22">
        <f t="shared" ca="1" si="11"/>
        <v>0.19838036889754038</v>
      </c>
      <c r="I44" s="22">
        <f t="shared" ca="1" si="11"/>
        <v>0.10380731876840885</v>
      </c>
      <c r="J44" s="22">
        <f t="shared" ca="1" si="11"/>
        <v>2.8594476724095833E-2</v>
      </c>
      <c r="K44" s="75">
        <f t="shared" ca="1" si="11"/>
        <v>-3.6881579905194251E-2</v>
      </c>
      <c r="L44" s="72">
        <f t="shared" ca="1" si="11"/>
        <v>-3.6881579905194251E-2</v>
      </c>
      <c r="M44" s="12"/>
      <c r="N44" s="12"/>
      <c r="O44" s="12"/>
      <c r="P44" s="12"/>
      <c r="Q44" s="38">
        <v>1262</v>
      </c>
      <c r="R44" s="38" t="s">
        <v>26</v>
      </c>
    </row>
    <row r="45" spans="2:18" ht="13.5" x14ac:dyDescent="0.15">
      <c r="B45" s="63" t="s">
        <v>86</v>
      </c>
      <c r="C45" s="74">
        <f t="shared" ca="1" si="11"/>
        <v>18.292780991739185</v>
      </c>
      <c r="D45" s="22">
        <f t="shared" ca="1" si="11"/>
        <v>2.5388200634896951</v>
      </c>
      <c r="E45" s="22">
        <f t="shared" ca="1" si="11"/>
        <v>1.226249463625859</v>
      </c>
      <c r="F45" s="22">
        <f t="shared" ca="1" si="11"/>
        <v>0.78891228458290197</v>
      </c>
      <c r="G45" s="22">
        <f t="shared" ca="1" si="11"/>
        <v>0.52667210263264641</v>
      </c>
      <c r="H45" s="22">
        <f t="shared" ca="1" si="11"/>
        <v>0.22052637751968321</v>
      </c>
      <c r="I45" s="22">
        <f t="shared" ca="1" si="11"/>
        <v>0.11841753241334629</v>
      </c>
      <c r="J45" s="22">
        <f t="shared" ca="1" si="11"/>
        <v>3.7177077845977756E-2</v>
      </c>
      <c r="K45" s="75">
        <f t="shared" ca="1" si="11"/>
        <v>-3.362147413614329E-2</v>
      </c>
      <c r="L45" s="72">
        <f t="shared" ca="1" si="11"/>
        <v>-3.362147413614329E-2</v>
      </c>
      <c r="M45" s="12"/>
      <c r="N45" s="12"/>
      <c r="O45" s="12"/>
      <c r="P45" s="12"/>
      <c r="Q45" s="38">
        <v>1912</v>
      </c>
      <c r="R45" s="38" t="s">
        <v>43</v>
      </c>
    </row>
    <row r="46" spans="2:18" ht="13.5" x14ac:dyDescent="0.15">
      <c r="B46" s="63" t="s">
        <v>87</v>
      </c>
      <c r="C46" s="74">
        <f t="shared" ca="1" si="11"/>
        <v>21.022509283991248</v>
      </c>
      <c r="D46" s="22">
        <f t="shared" ca="1" si="11"/>
        <v>2.9279655105784932</v>
      </c>
      <c r="E46" s="22">
        <f t="shared" ca="1" si="11"/>
        <v>1.4203482095133935</v>
      </c>
      <c r="F46" s="22">
        <f t="shared" ca="1" si="11"/>
        <v>0.91799679575050874</v>
      </c>
      <c r="G46" s="22">
        <f t="shared" ca="1" si="11"/>
        <v>0.61675019460846492</v>
      </c>
      <c r="H46" s="22">
        <f t="shared" ca="1" si="11"/>
        <v>0.26510045881299404</v>
      </c>
      <c r="I46" s="22">
        <f t="shared" ca="1" si="11"/>
        <v>0.14782237024198447</v>
      </c>
      <c r="J46" s="22">
        <f t="shared" ca="1" si="11"/>
        <v>5.4448651353125495E-2</v>
      </c>
      <c r="K46" s="75">
        <f t="shared" ca="1" si="11"/>
        <v>-2.7063524765607135E-2</v>
      </c>
      <c r="L46" s="72">
        <f t="shared" ca="1" si="11"/>
        <v>-2.7063524765607135E-2</v>
      </c>
      <c r="M46" s="12"/>
      <c r="N46" s="12"/>
      <c r="O46" s="12"/>
      <c r="P46" s="12"/>
      <c r="Q46" s="38">
        <v>1492</v>
      </c>
      <c r="R46" s="38" t="s">
        <v>41</v>
      </c>
    </row>
    <row r="47" spans="2:18" ht="13.5" x14ac:dyDescent="0.15">
      <c r="B47" s="69" t="s">
        <v>123</v>
      </c>
      <c r="C47" s="76">
        <f t="shared" ca="1" si="11"/>
        <v>26.553072253983615</v>
      </c>
      <c r="D47" s="70">
        <f t="shared" ca="1" si="11"/>
        <v>3.7163753948390097</v>
      </c>
      <c r="E47" s="70">
        <f t="shared" ca="1" si="11"/>
        <v>1.8135825143765405</v>
      </c>
      <c r="F47" s="70">
        <f t="shared" ca="1" si="11"/>
        <v>1.1795086477601366</v>
      </c>
      <c r="G47" s="70">
        <f t="shared" ca="1" si="11"/>
        <v>0.79923289415817333</v>
      </c>
      <c r="H47" s="70">
        <f t="shared" ca="1" si="11"/>
        <v>0.35538955581188358</v>
      </c>
      <c r="I47" s="70">
        <f t="shared" ca="1" si="11"/>
        <v>0.20737790867996328</v>
      </c>
      <c r="J47" s="70">
        <f t="shared" ca="1" si="11"/>
        <v>8.9421946580411332E-2</v>
      </c>
      <c r="K47" s="77">
        <f t="shared" ca="1" si="11"/>
        <v>-1.3795120226059707E-2</v>
      </c>
      <c r="L47" s="73">
        <f t="shared" ca="1" si="11"/>
        <v>-1.3795120226059707E-2</v>
      </c>
      <c r="M47" s="12"/>
      <c r="N47" s="12"/>
      <c r="O47" s="12"/>
      <c r="P47" s="12"/>
      <c r="Q47" s="38">
        <v>1272</v>
      </c>
      <c r="R47" s="38" t="s">
        <v>42</v>
      </c>
    </row>
    <row r="48" spans="2:18" ht="13.5" x14ac:dyDescent="0.15">
      <c r="B48" s="64" t="str">
        <f>B30&amp;"bp"</f>
        <v>10bp</v>
      </c>
      <c r="C48" s="65">
        <f t="shared" ca="1" si="11"/>
        <v>10.243074804145142</v>
      </c>
      <c r="D48" s="65">
        <f t="shared" ca="1" si="11"/>
        <v>1.3912332408567101</v>
      </c>
      <c r="E48" s="65">
        <f t="shared" ca="1" si="11"/>
        <v>0.65383385169155495</v>
      </c>
      <c r="F48" s="65">
        <f t="shared" ca="1" si="11"/>
        <v>0.40821655849089178</v>
      </c>
      <c r="G48" s="65">
        <f t="shared" ca="1" si="11"/>
        <v>0.26100208991870766</v>
      </c>
      <c r="H48" s="65">
        <f t="shared" ca="1" si="11"/>
        <v>8.9042819647624005E-2</v>
      </c>
      <c r="I48" s="65">
        <f t="shared" ca="1" si="11"/>
        <v>3.1666743136365916E-2</v>
      </c>
      <c r="J48" s="65">
        <f t="shared" ca="1" si="11"/>
        <v>-1.3793231607473224E-2</v>
      </c>
      <c r="K48" s="66">
        <f t="shared" ca="1" si="11"/>
        <v>-5.2995607910775358E-2</v>
      </c>
      <c r="L48" s="67">
        <f t="shared" ca="1" si="11"/>
        <v>-5.2995607910775358E-2</v>
      </c>
      <c r="M48" s="12"/>
      <c r="N48" s="12"/>
      <c r="O48" s="12"/>
      <c r="P48" s="12"/>
      <c r="Q48" s="38">
        <v>1452</v>
      </c>
      <c r="R48" s="38" t="s">
        <v>40</v>
      </c>
    </row>
    <row r="49" spans="2:18" ht="13.5" customHeight="1" x14ac:dyDescent="0.15">
      <c r="Q49" s="38">
        <v>1282</v>
      </c>
      <c r="R49" s="38" t="s">
        <v>38</v>
      </c>
    </row>
    <row r="50" spans="2:18" ht="14.25" customHeight="1" x14ac:dyDescent="0.15">
      <c r="B50" s="105" t="s">
        <v>125</v>
      </c>
      <c r="C50" s="106"/>
      <c r="D50" s="106"/>
      <c r="E50" s="106"/>
      <c r="F50" s="106"/>
      <c r="G50" s="106"/>
      <c r="H50" s="106"/>
      <c r="I50" s="106"/>
      <c r="J50" s="106"/>
      <c r="K50" s="106"/>
      <c r="L50" s="107"/>
      <c r="Q50" s="38">
        <v>1302</v>
      </c>
      <c r="R50" s="38" t="s">
        <v>39</v>
      </c>
    </row>
    <row r="51" spans="2:18" ht="13.5" x14ac:dyDescent="0.15">
      <c r="B51" s="89"/>
      <c r="C51" s="49" t="s">
        <v>4</v>
      </c>
      <c r="D51" s="50" t="s">
        <v>5</v>
      </c>
      <c r="E51" s="50" t="s">
        <v>11</v>
      </c>
      <c r="F51" s="50" t="s">
        <v>6</v>
      </c>
      <c r="G51" s="50" t="s">
        <v>12</v>
      </c>
      <c r="H51" s="50" t="s">
        <v>80</v>
      </c>
      <c r="I51" s="50" t="s">
        <v>81</v>
      </c>
      <c r="J51" s="50" t="s">
        <v>7</v>
      </c>
      <c r="K51" s="84" t="s">
        <v>8</v>
      </c>
      <c r="L51" s="85" t="str">
        <f>L34</f>
        <v>365d</v>
      </c>
      <c r="Q51" s="38">
        <v>1292</v>
      </c>
      <c r="R51" s="38" t="s">
        <v>37</v>
      </c>
    </row>
    <row r="52" spans="2:18" ht="13.5" x14ac:dyDescent="0.15">
      <c r="B52" s="90" t="s">
        <v>82</v>
      </c>
      <c r="C52" s="82">
        <f t="shared" ref="C52:L65" ca="1" si="12">IF(C17="","",(SUMPRODUCT(((DUR-C$16/365)&lt;0)*CASH)+C17-$G$9*(1+C$16*$C$11/365))*$I$9)</f>
        <v>-24.216453423536834</v>
      </c>
      <c r="D52" s="23">
        <f t="shared" ca="1" si="12"/>
        <v>-92.016038856752786</v>
      </c>
      <c r="E52" s="23">
        <f t="shared" ca="1" si="12"/>
        <v>-170.63001882414332</v>
      </c>
      <c r="F52" s="23">
        <f t="shared" ca="1" si="12"/>
        <v>-248.72074215040058</v>
      </c>
      <c r="G52" s="23">
        <f t="shared" ca="1" si="12"/>
        <v>-348.5007412641736</v>
      </c>
      <c r="H52" s="23">
        <f t="shared" ca="1" si="12"/>
        <v>-682.97008913259583</v>
      </c>
      <c r="I52" s="23">
        <f t="shared" ca="1" si="12"/>
        <v>-1018.0774490858918</v>
      </c>
      <c r="J52" s="23">
        <f t="shared" ca="1" si="12"/>
        <v>-1679.1491651459835</v>
      </c>
      <c r="K52" s="35">
        <f t="shared" ca="1" si="12"/>
        <v>-3999.586864128752</v>
      </c>
      <c r="L52" s="86">
        <f t="shared" ca="1" si="12"/>
        <v>-3999.586864128752</v>
      </c>
      <c r="Q52" s="38">
        <v>1312</v>
      </c>
      <c r="R52" s="38" t="s">
        <v>36</v>
      </c>
    </row>
    <row r="53" spans="2:18" ht="13.5" x14ac:dyDescent="0.15">
      <c r="B53" s="90" t="s">
        <v>115</v>
      </c>
      <c r="C53" s="82">
        <f t="shared" ca="1" si="12"/>
        <v>699.80486131374767</v>
      </c>
      <c r="D53" s="23">
        <f t="shared" ca="1" si="12"/>
        <v>630.5609438501258</v>
      </c>
      <c r="E53" s="23">
        <f t="shared" ca="1" si="12"/>
        <v>550.26840962909591</v>
      </c>
      <c r="F53" s="23">
        <f t="shared" ca="1" si="12"/>
        <v>470.50608064371175</v>
      </c>
      <c r="G53" s="23">
        <f t="shared" ca="1" si="12"/>
        <v>368.59343380679564</v>
      </c>
      <c r="H53" s="23">
        <f t="shared" ca="1" si="12"/>
        <v>27.069932764572439</v>
      </c>
      <c r="I53" s="23">
        <f t="shared" ca="1" si="12"/>
        <v>-315.12881105409133</v>
      </c>
      <c r="J53" s="23">
        <f t="shared" ca="1" si="12"/>
        <v>-990.32225037812566</v>
      </c>
      <c r="K53" s="35">
        <f t="shared" ca="1" si="12"/>
        <v>-3360.9250248087073</v>
      </c>
      <c r="L53" s="86">
        <f t="shared" ca="1" si="12"/>
        <v>-3360.9250248087073</v>
      </c>
      <c r="Q53" s="38">
        <v>1322</v>
      </c>
      <c r="R53" s="38" t="s">
        <v>16</v>
      </c>
    </row>
    <row r="54" spans="2:18" ht="13.5" x14ac:dyDescent="0.15">
      <c r="B54" s="90" t="s">
        <v>9</v>
      </c>
      <c r="C54" s="82">
        <f t="shared" ca="1" si="12"/>
        <v>1066.4890194877239</v>
      </c>
      <c r="D54" s="23">
        <f t="shared" ca="1" si="12"/>
        <v>996.50544691163316</v>
      </c>
      <c r="E54" s="23">
        <f t="shared" ca="1" si="12"/>
        <v>915.35332416083793</v>
      </c>
      <c r="F54" s="23">
        <f t="shared" ca="1" si="12"/>
        <v>834.73497997499351</v>
      </c>
      <c r="G54" s="23">
        <f t="shared" ca="1" si="12"/>
        <v>731.73016435107297</v>
      </c>
      <c r="H54" s="23">
        <f t="shared" ca="1" si="12"/>
        <v>386.59385008149474</v>
      </c>
      <c r="I54" s="23">
        <f t="shared" ca="1" si="12"/>
        <v>40.76431135659054</v>
      </c>
      <c r="J54" s="23">
        <f t="shared" ca="1" si="12"/>
        <v>-641.65708219631392</v>
      </c>
      <c r="K54" s="35">
        <f t="shared" ca="1" si="12"/>
        <v>-3037.9123941526482</v>
      </c>
      <c r="L54" s="86">
        <f t="shared" ca="1" si="12"/>
        <v>-3037.9123941526482</v>
      </c>
      <c r="Q54" s="38">
        <v>1892</v>
      </c>
      <c r="R54" s="38" t="s">
        <v>46</v>
      </c>
    </row>
    <row r="55" spans="2:18" ht="13.5" x14ac:dyDescent="0.15">
      <c r="B55" s="90" t="s">
        <v>116</v>
      </c>
      <c r="C55" s="82">
        <f t="shared" ca="1" si="12"/>
        <v>1251.0127036789791</v>
      </c>
      <c r="D55" s="23">
        <f t="shared" ca="1" si="12"/>
        <v>1180.6548604788516</v>
      </c>
      <c r="E55" s="23">
        <f t="shared" ca="1" si="12"/>
        <v>1099.0677834973656</v>
      </c>
      <c r="F55" s="23">
        <f t="shared" ca="1" si="12"/>
        <v>1018.0162970140257</v>
      </c>
      <c r="G55" s="23">
        <f t="shared" ca="1" si="12"/>
        <v>914.45883156924049</v>
      </c>
      <c r="H55" s="23">
        <f t="shared" ca="1" si="12"/>
        <v>567.49433273926434</v>
      </c>
      <c r="I55" s="23">
        <f t="shared" ca="1" si="12"/>
        <v>219.82778267832228</v>
      </c>
      <c r="J55" s="23">
        <f t="shared" ca="1" si="12"/>
        <v>-466.2500170377387</v>
      </c>
      <c r="K55" s="35">
        <f t="shared" ca="1" si="12"/>
        <v>-2875.4762489637865</v>
      </c>
      <c r="L55" s="86">
        <f t="shared" ca="1" si="12"/>
        <v>-2875.4762489637865</v>
      </c>
      <c r="Q55" s="38">
        <v>1332</v>
      </c>
      <c r="R55" s="38" t="s">
        <v>45</v>
      </c>
    </row>
    <row r="56" spans="2:18" ht="13.5" x14ac:dyDescent="0.15">
      <c r="B56" s="90" t="s">
        <v>122</v>
      </c>
      <c r="C56" s="82">
        <f t="shared" ca="1" si="12"/>
        <v>1436.3292186941394</v>
      </c>
      <c r="D56" s="23">
        <f t="shared" ca="1" si="12"/>
        <v>1365.5941154863631</v>
      </c>
      <c r="E56" s="23">
        <f t="shared" ca="1" si="12"/>
        <v>1283.5686125871284</v>
      </c>
      <c r="F56" s="23">
        <f t="shared" ca="1" si="12"/>
        <v>1202.080529162698</v>
      </c>
      <c r="G56" s="23">
        <f t="shared" ca="1" si="12"/>
        <v>1097.9659967105795</v>
      </c>
      <c r="H56" s="23">
        <f t="shared" ca="1" si="12"/>
        <v>749.15866194614989</v>
      </c>
      <c r="I56" s="23">
        <f t="shared" ca="1" si="12"/>
        <v>399.64056074563024</v>
      </c>
      <c r="J56" s="23">
        <f t="shared" ca="1" si="12"/>
        <v>-290.12218435638101</v>
      </c>
      <c r="K56" s="35">
        <f t="shared" ca="1" si="12"/>
        <v>-2712.4166004307558</v>
      </c>
      <c r="L56" s="86">
        <f t="shared" ca="1" si="12"/>
        <v>-2712.4166004307558</v>
      </c>
      <c r="Q56" s="38">
        <v>1602</v>
      </c>
      <c r="R56" s="38" t="s">
        <v>44</v>
      </c>
    </row>
    <row r="57" spans="2:18" ht="13.5" x14ac:dyDescent="0.15">
      <c r="B57" s="90" t="s">
        <v>10</v>
      </c>
      <c r="C57" s="82">
        <f t="shared" ca="1" si="12"/>
        <v>1622.4424107379555</v>
      </c>
      <c r="D57" s="23">
        <f t="shared" ca="1" si="12"/>
        <v>1551.327037459776</v>
      </c>
      <c r="E57" s="23">
        <f t="shared" ca="1" si="12"/>
        <v>1468.8596129702016</v>
      </c>
      <c r="F57" s="23">
        <f t="shared" ca="1" si="12"/>
        <v>1386.9314541254844</v>
      </c>
      <c r="G57" s="23">
        <f t="shared" ca="1" si="12"/>
        <v>1282.2554070463843</v>
      </c>
      <c r="H57" s="23">
        <f t="shared" ca="1" si="12"/>
        <v>931.59048457317738</v>
      </c>
      <c r="I57" s="23">
        <f t="shared" ca="1" si="12"/>
        <v>580.20619369576298</v>
      </c>
      <c r="J57" s="23">
        <f t="shared" ca="1" si="12"/>
        <v>-113.27022748500583</v>
      </c>
      <c r="K57" s="35">
        <f t="shared" ca="1" si="12"/>
        <v>-2548.7307194043265</v>
      </c>
      <c r="L57" s="86">
        <f t="shared" ca="1" si="12"/>
        <v>-2548.7307194043265</v>
      </c>
      <c r="Q57" s="38">
        <v>1342</v>
      </c>
      <c r="R57" s="38" t="s">
        <v>72</v>
      </c>
    </row>
    <row r="58" spans="2:18" ht="13.5" x14ac:dyDescent="0.15">
      <c r="B58" s="90" t="s">
        <v>113</v>
      </c>
      <c r="C58" s="82">
        <f t="shared" ca="1" si="12"/>
        <v>1809.3561466714307</v>
      </c>
      <c r="D58" s="23">
        <f t="shared" ca="1" si="12"/>
        <v>1737.8574724394234</v>
      </c>
      <c r="E58" s="23">
        <f t="shared" ca="1" si="12"/>
        <v>1654.9446065375068</v>
      </c>
      <c r="F58" s="23">
        <f t="shared" ca="1" si="12"/>
        <v>1572.5728697950842</v>
      </c>
      <c r="G58" s="23">
        <f t="shared" ca="1" si="12"/>
        <v>1467.3308298290262</v>
      </c>
      <c r="H58" s="23">
        <f t="shared" ca="1" si="12"/>
        <v>1114.7934667921618</v>
      </c>
      <c r="I58" s="23">
        <f t="shared" ca="1" si="12"/>
        <v>761.5282483031998</v>
      </c>
      <c r="J58" s="23">
        <f t="shared" ca="1" si="12"/>
        <v>64.309227608709378</v>
      </c>
      <c r="K58" s="35">
        <f t="shared" ca="1" si="12"/>
        <v>-2384.4158633919346</v>
      </c>
      <c r="L58" s="86">
        <f t="shared" ca="1" si="12"/>
        <v>-2384.4158633919346</v>
      </c>
      <c r="Q58" s="38">
        <v>1342</v>
      </c>
      <c r="R58" s="38" t="s">
        <v>72</v>
      </c>
    </row>
    <row r="59" spans="2:18" ht="13.5" x14ac:dyDescent="0.15">
      <c r="B59" s="91" t="s">
        <v>83</v>
      </c>
      <c r="C59" s="82">
        <f t="shared" ca="1" si="12"/>
        <v>1997.0743141328398</v>
      </c>
      <c r="D59" s="23">
        <f t="shared" ca="1" si="12"/>
        <v>1925.1892871004613</v>
      </c>
      <c r="E59" s="23">
        <f t="shared" ca="1" si="12"/>
        <v>1841.827435649787</v>
      </c>
      <c r="F59" s="23">
        <f t="shared" ca="1" si="12"/>
        <v>1759.0085943702768</v>
      </c>
      <c r="G59" s="23">
        <f t="shared" ca="1" si="12"/>
        <v>1653.1960524081617</v>
      </c>
      <c r="H59" s="23">
        <f t="shared" ca="1" si="12"/>
        <v>1298.7712941873228</v>
      </c>
      <c r="I59" s="23">
        <f t="shared" ca="1" si="12"/>
        <v>943.61031008670159</v>
      </c>
      <c r="J59" s="23">
        <f t="shared" ca="1" si="12"/>
        <v>242.61957242041819</v>
      </c>
      <c r="K59" s="35">
        <f t="shared" ca="1" si="12"/>
        <v>-2219.4692764860374</v>
      </c>
      <c r="L59" s="86">
        <f t="shared" ca="1" si="12"/>
        <v>-2219.4692764860374</v>
      </c>
      <c r="Q59" s="38">
        <v>1352</v>
      </c>
      <c r="R59" s="38" t="s">
        <v>73</v>
      </c>
    </row>
    <row r="60" spans="2:18" ht="13.5" x14ac:dyDescent="0.15">
      <c r="B60" s="92" t="s">
        <v>84</v>
      </c>
      <c r="C60" s="82">
        <f t="shared" ca="1" si="12"/>
        <v>2185.6008216600758</v>
      </c>
      <c r="D60" s="23">
        <f t="shared" ca="1" si="12"/>
        <v>2113.3263688741517</v>
      </c>
      <c r="E60" s="23">
        <f t="shared" ca="1" si="12"/>
        <v>2029.5119632576707</v>
      </c>
      <c r="F60" s="23">
        <f t="shared" ca="1" si="12"/>
        <v>1946.2424664747987</v>
      </c>
      <c r="G60" s="23">
        <f t="shared" ca="1" si="12"/>
        <v>1839.8548823483075</v>
      </c>
      <c r="H60" s="23">
        <f t="shared" ca="1" si="12"/>
        <v>1483.5276718679499</v>
      </c>
      <c r="I60" s="23">
        <f t="shared" ca="1" si="12"/>
        <v>1126.4559834173519</v>
      </c>
      <c r="J60" s="23">
        <f t="shared" ca="1" si="12"/>
        <v>421.66421600846337</v>
      </c>
      <c r="K60" s="35">
        <f t="shared" ca="1" si="12"/>
        <v>-2053.8881892916343</v>
      </c>
      <c r="L60" s="86">
        <f t="shared" ca="1" si="12"/>
        <v>-2053.8881892916343</v>
      </c>
      <c r="Q60" s="38">
        <v>1352</v>
      </c>
      <c r="R60" s="38" t="s">
        <v>73</v>
      </c>
    </row>
    <row r="61" spans="2:18" ht="13.5" x14ac:dyDescent="0.15">
      <c r="B61" s="92" t="s">
        <v>85</v>
      </c>
      <c r="C61" s="82">
        <f t="shared" ca="1" si="12"/>
        <v>2374.9395988135743</v>
      </c>
      <c r="D61" s="23">
        <f t="shared" ca="1" si="12"/>
        <v>2302.2726260698519</v>
      </c>
      <c r="E61" s="23">
        <f t="shared" ca="1" si="12"/>
        <v>2218.002073022516</v>
      </c>
      <c r="F61" s="23">
        <f t="shared" ca="1" si="12"/>
        <v>2134.2783452771096</v>
      </c>
      <c r="G61" s="23">
        <f t="shared" ca="1" si="12"/>
        <v>2027.3111475470125</v>
      </c>
      <c r="H61" s="23">
        <f t="shared" ca="1" si="12"/>
        <v>1669.0663245818573</v>
      </c>
      <c r="I61" s="23">
        <f t="shared" ca="1" si="12"/>
        <v>1310.0688916273627</v>
      </c>
      <c r="J61" s="23">
        <f t="shared" ca="1" si="12"/>
        <v>601.44658509378132</v>
      </c>
      <c r="K61" s="35">
        <f t="shared" ca="1" si="12"/>
        <v>-1887.669818853459</v>
      </c>
      <c r="L61" s="86">
        <f t="shared" ca="1" si="12"/>
        <v>-1887.669818853459</v>
      </c>
      <c r="Q61" s="38">
        <v>1382</v>
      </c>
      <c r="R61" s="38" t="s">
        <v>74</v>
      </c>
    </row>
    <row r="62" spans="2:18" ht="13.5" x14ac:dyDescent="0.15">
      <c r="B62" s="92" t="s">
        <v>86</v>
      </c>
      <c r="C62" s="82">
        <f t="shared" ca="1" si="12"/>
        <v>2565.0945962998403</v>
      </c>
      <c r="D62" s="23">
        <f t="shared" ca="1" si="12"/>
        <v>2492.0319879974213</v>
      </c>
      <c r="E62" s="23">
        <f t="shared" ca="1" si="12"/>
        <v>2407.3016694376884</v>
      </c>
      <c r="F62" s="23">
        <f t="shared" ca="1" si="12"/>
        <v>2323.1201106104259</v>
      </c>
      <c r="G62" s="23">
        <f t="shared" ca="1" si="12"/>
        <v>2215.568696353424</v>
      </c>
      <c r="H62" s="23">
        <f t="shared" ca="1" si="12"/>
        <v>1855.3909968290834</v>
      </c>
      <c r="I62" s="23">
        <f t="shared" ca="1" si="12"/>
        <v>1494.4526771190567</v>
      </c>
      <c r="J62" s="23">
        <f t="shared" ca="1" si="12"/>
        <v>781.97012415991389</v>
      </c>
      <c r="K62" s="35">
        <f t="shared" ca="1" si="12"/>
        <v>-1720.8113685829803</v>
      </c>
      <c r="L62" s="86">
        <f t="shared" ca="1" si="12"/>
        <v>-1720.8113685829803</v>
      </c>
      <c r="Q62" s="38">
        <v>1382</v>
      </c>
      <c r="R62" s="38" t="s">
        <v>74</v>
      </c>
    </row>
    <row r="63" spans="2:18" ht="13.5" x14ac:dyDescent="0.15">
      <c r="B63" s="92" t="s">
        <v>87</v>
      </c>
      <c r="C63" s="82">
        <f t="shared" ca="1" si="12"/>
        <v>2947.8691615769617</v>
      </c>
      <c r="D63" s="23">
        <f t="shared" ca="1" si="12"/>
        <v>2874.0058490342171</v>
      </c>
      <c r="E63" s="23">
        <f t="shared" ca="1" si="12"/>
        <v>2788.345045089176</v>
      </c>
      <c r="F63" s="23">
        <f t="shared" ca="1" si="12"/>
        <v>2703.236924256355</v>
      </c>
      <c r="G63" s="23">
        <f t="shared" ca="1" si="12"/>
        <v>2594.5031411650398</v>
      </c>
      <c r="H63" s="23">
        <f t="shared" ca="1" si="12"/>
        <v>2230.4134773763594</v>
      </c>
      <c r="I63" s="23">
        <f t="shared" ca="1" si="12"/>
        <v>1865.5475455703713</v>
      </c>
      <c r="J63" s="23">
        <f t="shared" ca="1" si="12"/>
        <v>1145.2545795917067</v>
      </c>
      <c r="K63" s="35">
        <f t="shared" ca="1" si="12"/>
        <v>-1385.1629735806096</v>
      </c>
      <c r="L63" s="86">
        <f t="shared" ca="1" si="12"/>
        <v>-1385.1629735806096</v>
      </c>
      <c r="Q63" s="38">
        <v>1042</v>
      </c>
      <c r="R63" s="38" t="s">
        <v>24</v>
      </c>
    </row>
    <row r="64" spans="2:18" ht="13.5" x14ac:dyDescent="0.15">
      <c r="B64" s="93" t="s">
        <v>123</v>
      </c>
      <c r="C64" s="83">
        <f t="shared" ca="1" si="12"/>
        <v>3723.3891437617285</v>
      </c>
      <c r="D64" s="78">
        <f t="shared" ca="1" si="12"/>
        <v>3647.8860776826173</v>
      </c>
      <c r="E64" s="78">
        <f t="shared" ca="1" si="12"/>
        <v>3560.3197750745016</v>
      </c>
      <c r="F64" s="78">
        <f t="shared" ca="1" si="12"/>
        <v>3473.3142249130965</v>
      </c>
      <c r="G64" s="78">
        <f t="shared" ca="1" si="12"/>
        <v>3362.159059766831</v>
      </c>
      <c r="H64" s="78">
        <f t="shared" ca="1" si="12"/>
        <v>2990.0576504123728</v>
      </c>
      <c r="I64" s="78">
        <f t="shared" ca="1" si="12"/>
        <v>2617.1502182661015</v>
      </c>
      <c r="J64" s="78">
        <f t="shared" ca="1" si="12"/>
        <v>1880.8710829775657</v>
      </c>
      <c r="K64" s="79">
        <f t="shared" ca="1" si="12"/>
        <v>-706.06064504629205</v>
      </c>
      <c r="L64" s="87">
        <f t="shared" ca="1" si="12"/>
        <v>-706.06064504629205</v>
      </c>
      <c r="Q64" s="38">
        <v>1062</v>
      </c>
      <c r="R64" s="38" t="s">
        <v>25</v>
      </c>
    </row>
    <row r="65" spans="2:18" ht="13.5" x14ac:dyDescent="0.15">
      <c r="B65" s="64" t="str">
        <f>B48</f>
        <v>10bp</v>
      </c>
      <c r="C65" s="80">
        <f t="shared" ca="1" si="12"/>
        <v>1436.3292186941394</v>
      </c>
      <c r="D65" s="80">
        <f t="shared" ca="1" si="12"/>
        <v>1365.5941154863631</v>
      </c>
      <c r="E65" s="80">
        <f t="shared" ca="1" si="12"/>
        <v>1283.5686125871284</v>
      </c>
      <c r="F65" s="80">
        <f t="shared" ca="1" si="12"/>
        <v>1202.080529162698</v>
      </c>
      <c r="G65" s="80">
        <f t="shared" ca="1" si="12"/>
        <v>1097.9659967105795</v>
      </c>
      <c r="H65" s="80">
        <f t="shared" ca="1" si="12"/>
        <v>749.15866194614989</v>
      </c>
      <c r="I65" s="80">
        <f t="shared" ca="1" si="12"/>
        <v>399.64056074563024</v>
      </c>
      <c r="J65" s="80">
        <f t="shared" ca="1" si="12"/>
        <v>-290.12218435638101</v>
      </c>
      <c r="K65" s="81">
        <f t="shared" ca="1" si="12"/>
        <v>-2712.4166004307558</v>
      </c>
      <c r="L65" s="88">
        <f t="shared" ca="1" si="12"/>
        <v>-2712.4166004307558</v>
      </c>
      <c r="Q65" s="38">
        <v>1052</v>
      </c>
      <c r="R65" s="38" t="s">
        <v>23</v>
      </c>
    </row>
    <row r="66" spans="2:18" ht="13.5" x14ac:dyDescent="0.15">
      <c r="Q66" s="38">
        <v>1072</v>
      </c>
      <c r="R66" s="38" t="s">
        <v>21</v>
      </c>
    </row>
    <row r="67" spans="2:18" ht="13.5" x14ac:dyDescent="0.15">
      <c r="Q67" s="38">
        <v>1092</v>
      </c>
      <c r="R67" s="38" t="s">
        <v>22</v>
      </c>
    </row>
    <row r="68" spans="2:18" ht="13.5" x14ac:dyDescent="0.15">
      <c r="Q68" s="39">
        <v>1082</v>
      </c>
      <c r="R68" s="39" t="s">
        <v>20</v>
      </c>
    </row>
    <row r="69" spans="2:18" ht="13.5" x14ac:dyDescent="0.15">
      <c r="Q69" s="39">
        <v>1102</v>
      </c>
      <c r="R69" s="39" t="s">
        <v>18</v>
      </c>
    </row>
    <row r="70" spans="2:18" ht="13.5" x14ac:dyDescent="0.15">
      <c r="Q70" s="39">
        <v>1502</v>
      </c>
      <c r="R70" s="39" t="s">
        <v>19</v>
      </c>
    </row>
    <row r="71" spans="2:18" ht="13.5" x14ac:dyDescent="0.15">
      <c r="Q71" s="39">
        <v>2022</v>
      </c>
      <c r="R71" s="39" t="s">
        <v>148</v>
      </c>
    </row>
    <row r="72" spans="2:18" ht="13.5" x14ac:dyDescent="0.15">
      <c r="Q72" s="39">
        <v>1362</v>
      </c>
      <c r="R72" s="39" t="s">
        <v>14</v>
      </c>
    </row>
  </sheetData>
  <sheetProtection selectLockedCells="1"/>
  <protectedRanges>
    <protectedRange password="EA3D" sqref="B5:L66" name="区域1"/>
  </protectedRanges>
  <mergeCells count="5">
    <mergeCell ref="C12:E12"/>
    <mergeCell ref="B14:L14"/>
    <mergeCell ref="C32:D32"/>
    <mergeCell ref="B33:L33"/>
    <mergeCell ref="B50:L50"/>
  </mergeCells>
  <phoneticPr fontId="1" type="noConversion"/>
  <conditionalFormatting sqref="C17:L30">
    <cfRule type="cellIs" dxfId="10" priority="10" operator="greaterThan">
      <formula>$G$9</formula>
    </cfRule>
    <cfRule type="cellIs" dxfId="9" priority="11" operator="greaterThan">
      <formula>$G$9</formula>
    </cfRule>
  </conditionalFormatting>
  <conditionalFormatting sqref="C52:L65">
    <cfRule type="cellIs" dxfId="8" priority="7" operator="greaterThan">
      <formula>0</formula>
    </cfRule>
    <cfRule type="cellIs" dxfId="7" priority="8" operator="greaterThan">
      <formula>$E$11</formula>
    </cfRule>
    <cfRule type="cellIs" dxfId="6" priority="9" operator="greaterThan">
      <formula>$E$11</formula>
    </cfRule>
  </conditionalFormatting>
  <conditionalFormatting sqref="C35:L48">
    <cfRule type="cellIs" dxfId="5" priority="1" operator="greaterThan">
      <formula>0</formula>
    </cfRule>
    <cfRule type="cellIs" dxfId="4" priority="2" operator="greaterThan">
      <formula>$E$11</formula>
    </cfRule>
    <cfRule type="cellIs" dxfId="3" priority="5" operator="greaterThan">
      <formula>0</formula>
    </cfRule>
    <cfRule type="cellIs" dxfId="2" priority="6" operator="greaterThan">
      <formula>0</formula>
    </cfRule>
  </conditionalFormatting>
  <conditionalFormatting sqref="C52:L65">
    <cfRule type="cellIs" dxfId="1" priority="3" operator="greaterThan">
      <formula>0</formula>
    </cfRule>
    <cfRule type="cellIs" dxfId="0" priority="4" operator="greaterThan">
      <formula>0</formula>
    </cfRule>
  </conditionalFormatting>
  <dataValidations count="5">
    <dataValidation type="list" allowBlank="1" showInputMessage="1" showErrorMessage="1" sqref="I12">
      <formula1>S13:S14</formula1>
    </dataValidation>
    <dataValidation type="list" allowBlank="1" showInputMessage="1" showErrorMessage="1" sqref="I11">
      <formula1>$S$17:$S$18</formula1>
    </dataValidation>
    <dataValidation type="list" allowBlank="1" showInputMessage="1" showErrorMessage="1" sqref="E8">
      <formula1>$S$9:$S$10</formula1>
    </dataValidation>
    <dataValidation type="list" allowBlank="1" showInputMessage="1" showErrorMessage="1" sqref="C12:E12">
      <formula1>$R$6:$R$67</formula1>
    </dataValidation>
    <dataValidation type="list" allowBlank="1" showInputMessage="1" showErrorMessage="1" sqref="C32">
      <formula1>$S$6:$S$7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RowHeight="13.5" x14ac:dyDescent="0.15"/>
  <sheetData>
    <row r="1" spans="1:1" ht="17.25" x14ac:dyDescent="0.15">
      <c r="A1" s="101" t="s">
        <v>154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13</vt:i4>
      </vt:variant>
    </vt:vector>
  </HeadingPairs>
  <TitlesOfParts>
    <vt:vector size="16" baseType="lpstr">
      <vt:lpstr>模拟分析</vt:lpstr>
      <vt:lpstr>现金流</vt:lpstr>
      <vt:lpstr>使用说明</vt:lpstr>
      <vt:lpstr>CASH</vt:lpstr>
      <vt:lpstr>DAT</vt:lpstr>
      <vt:lpstr>DUR</vt:lpstr>
      <vt:lpstr>RATE_1d</vt:lpstr>
      <vt:lpstr>RATE_1M</vt:lpstr>
      <vt:lpstr>RATE_1Y</vt:lpstr>
      <vt:lpstr>RATE_2M</vt:lpstr>
      <vt:lpstr>RATE_2W</vt:lpstr>
      <vt:lpstr>RATE_3M</vt:lpstr>
      <vt:lpstr>RATE_3W</vt:lpstr>
      <vt:lpstr>RATE_5M</vt:lpstr>
      <vt:lpstr>RATE_7d</vt:lpstr>
      <vt:lpstr>RATE_XD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Cui YongQiang</cp:lastModifiedBy>
  <cp:lastPrinted>2011-09-28T04:32:45Z</cp:lastPrinted>
  <dcterms:created xsi:type="dcterms:W3CDTF">2011-09-25T00:49:10Z</dcterms:created>
  <dcterms:modified xsi:type="dcterms:W3CDTF">2024-04-17T08:03:13Z</dcterms:modified>
</cp:coreProperties>
</file>