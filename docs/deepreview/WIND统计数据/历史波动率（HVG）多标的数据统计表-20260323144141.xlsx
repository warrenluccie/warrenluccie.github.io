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zs资料\zs资料\衍生品模板\"/>
    </mc:Choice>
  </mc:AlternateContent>
  <bookViews>
    <workbookView xWindow="0" yWindow="0" windowWidth="28800" windowHeight="11580"/>
  </bookViews>
  <sheets>
    <sheet name="统计区域" sheetId="3" r:id="rId1"/>
    <sheet name="原始数据" sheetId="6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C2" i="6"/>
  <c r="D2" i="6"/>
  <c r="E2" i="6"/>
  <c r="E4" i="6" s="1"/>
  <c r="E7" i="6" s="1"/>
  <c r="F2" i="6"/>
  <c r="G2" i="6"/>
  <c r="H2" i="6"/>
  <c r="I2" i="6"/>
  <c r="I4" i="6" s="1"/>
  <c r="J2" i="6"/>
  <c r="K2" i="6"/>
  <c r="K4" i="6" s="1"/>
  <c r="K7" i="6" s="1"/>
  <c r="L2" i="6"/>
  <c r="M2" i="6"/>
  <c r="M4" i="6" s="1"/>
  <c r="M7" i="6" s="1"/>
  <c r="N2" i="6"/>
  <c r="N4" i="6" s="1"/>
  <c r="N7" i="6" s="1"/>
  <c r="O2" i="6"/>
  <c r="P2" i="6"/>
  <c r="Q2" i="6"/>
  <c r="Q4" i="6" s="1"/>
  <c r="Q7" i="6" s="1"/>
  <c r="R2" i="6"/>
  <c r="S2" i="6"/>
  <c r="T2" i="6"/>
  <c r="U2" i="6"/>
  <c r="U4" i="6" s="1"/>
  <c r="V2" i="6"/>
  <c r="W2" i="6"/>
  <c r="W4" i="6" s="1"/>
  <c r="W7" i="6" s="1"/>
  <c r="X2" i="6"/>
  <c r="Y2" i="6"/>
  <c r="Y4" i="6" s="1"/>
  <c r="Y7" i="6" s="1"/>
  <c r="Z2" i="6"/>
  <c r="AA2" i="6"/>
  <c r="AB2" i="6"/>
  <c r="AC2" i="6"/>
  <c r="AC4" i="6" s="1"/>
  <c r="AC7" i="6" s="1"/>
  <c r="AD2" i="6"/>
  <c r="AE2" i="6"/>
  <c r="AF2" i="6"/>
  <c r="AG2" i="6"/>
  <c r="AG4" i="6" s="1"/>
  <c r="AH2" i="6"/>
  <c r="AI2" i="6"/>
  <c r="AI4" i="6" s="1"/>
  <c r="AI7" i="6" s="1"/>
  <c r="AJ2" i="6"/>
  <c r="AK2" i="6"/>
  <c r="AK4" i="6" s="1"/>
  <c r="AK7" i="6" s="1"/>
  <c r="AL2" i="6"/>
  <c r="AM2" i="6"/>
  <c r="AN2" i="6"/>
  <c r="AO2" i="6"/>
  <c r="AP2" i="6"/>
  <c r="AQ2" i="6"/>
  <c r="AR2" i="6"/>
  <c r="AS2" i="6"/>
  <c r="AS4" i="6" s="1"/>
  <c r="AT2" i="6"/>
  <c r="AU2" i="6"/>
  <c r="AU4" i="6" s="1"/>
  <c r="AU7" i="6" s="1"/>
  <c r="AV2" i="6"/>
  <c r="AW2" i="6"/>
  <c r="AW4" i="6" s="1"/>
  <c r="AW7" i="6" s="1"/>
  <c r="AX2" i="6"/>
  <c r="AY2" i="6"/>
  <c r="B1" i="6" a="1"/>
  <c r="C1" i="6" s="1"/>
  <c r="B14" i="6"/>
  <c r="D59" i="3"/>
  <c r="D29" i="3"/>
  <c r="D41" i="3"/>
  <c r="D53" i="3"/>
  <c r="D40" i="3"/>
  <c r="D30" i="3"/>
  <c r="D42" i="3"/>
  <c r="D54" i="3"/>
  <c r="D31" i="3"/>
  <c r="D43" i="3"/>
  <c r="D55" i="3"/>
  <c r="D32" i="3"/>
  <c r="D44" i="3"/>
  <c r="D56" i="3"/>
  <c r="D33" i="3"/>
  <c r="D45" i="3"/>
  <c r="D57" i="3"/>
  <c r="D34" i="3"/>
  <c r="D46" i="3"/>
  <c r="D58" i="3"/>
  <c r="D35" i="3"/>
  <c r="D47" i="3"/>
  <c r="D50" i="3"/>
  <c r="D52" i="3"/>
  <c r="D36" i="3"/>
  <c r="D48" i="3"/>
  <c r="D39" i="3"/>
  <c r="D37" i="3"/>
  <c r="D49" i="3"/>
  <c r="D51" i="3"/>
  <c r="D38" i="3"/>
  <c r="D11" i="3"/>
  <c r="D23" i="3"/>
  <c r="D13" i="3"/>
  <c r="D14" i="3"/>
  <c r="D27" i="3"/>
  <c r="D12" i="3"/>
  <c r="D24" i="3"/>
  <c r="D25" i="3"/>
  <c r="D26" i="3"/>
  <c r="D15" i="3"/>
  <c r="D28" i="3"/>
  <c r="D17" i="3"/>
  <c r="D18" i="3"/>
  <c r="D20" i="3"/>
  <c r="D21" i="3"/>
  <c r="D16" i="3"/>
  <c r="D22" i="3"/>
  <c r="D19" i="3"/>
  <c r="D10" i="3"/>
  <c r="AB4" i="6" l="1"/>
  <c r="AB7" i="6" s="1"/>
  <c r="P4" i="6"/>
  <c r="P7" i="6" s="1"/>
  <c r="D4" i="6"/>
  <c r="D7" i="6" s="1"/>
  <c r="AX4" i="6"/>
  <c r="AX7" i="6" s="1"/>
  <c r="AL4" i="6"/>
  <c r="AL7" i="6" s="1"/>
  <c r="Z4" i="6"/>
  <c r="Z7" i="6" s="1"/>
  <c r="AS7" i="6"/>
  <c r="I7" i="6"/>
  <c r="AG7" i="6"/>
  <c r="U7" i="6"/>
  <c r="AR4" i="6"/>
  <c r="AR7" i="6" s="1"/>
  <c r="AF4" i="6"/>
  <c r="AF7" i="6" s="1"/>
  <c r="T4" i="6"/>
  <c r="T7" i="6" s="1"/>
  <c r="H4" i="6"/>
  <c r="H7" i="6" s="1"/>
  <c r="AQ4" i="6"/>
  <c r="AQ7" i="6" s="1"/>
  <c r="AE4" i="6"/>
  <c r="AE7" i="6" s="1"/>
  <c r="S4" i="6"/>
  <c r="S7" i="6" s="1"/>
  <c r="G4" i="6"/>
  <c r="G7" i="6" s="1"/>
  <c r="AV4" i="6"/>
  <c r="AV7" i="6" s="1"/>
  <c r="AJ4" i="6"/>
  <c r="AJ7" i="6" s="1"/>
  <c r="X4" i="6"/>
  <c r="X7" i="6" s="1"/>
  <c r="L4" i="6"/>
  <c r="L7" i="6" s="1"/>
  <c r="AT4" i="6"/>
  <c r="AT7" i="6" s="1"/>
  <c r="AH4" i="6"/>
  <c r="AH7" i="6" s="1"/>
  <c r="V4" i="6"/>
  <c r="V7" i="6" s="1"/>
  <c r="J4" i="6"/>
  <c r="J7" i="6" s="1"/>
  <c r="AO4" i="6"/>
  <c r="AO7" i="6" s="1"/>
  <c r="AP4" i="6"/>
  <c r="AP7" i="6" s="1"/>
  <c r="AD4" i="6"/>
  <c r="AD7" i="6" s="1"/>
  <c r="R4" i="6"/>
  <c r="R7" i="6" s="1"/>
  <c r="F4" i="6"/>
  <c r="F7" i="6" s="1"/>
  <c r="AN4" i="6"/>
  <c r="AN7" i="6" s="1"/>
  <c r="AY4" i="6"/>
  <c r="AY7" i="6" s="1"/>
  <c r="AM4" i="6"/>
  <c r="AM7" i="6" s="1"/>
  <c r="AA4" i="6"/>
  <c r="AA7" i="6" s="1"/>
  <c r="O4" i="6"/>
  <c r="O7" i="6" s="1"/>
  <c r="C4" i="6"/>
  <c r="C7" i="6" s="1"/>
  <c r="I1" i="6"/>
  <c r="L1" i="6"/>
  <c r="AL1" i="6"/>
  <c r="AW1" i="6"/>
  <c r="M1" i="6"/>
  <c r="AU1" i="6"/>
  <c r="K1" i="6"/>
  <c r="AS1" i="6"/>
  <c r="U1" i="6"/>
  <c r="AR1" i="6"/>
  <c r="H1" i="6"/>
  <c r="AQ1" i="6"/>
  <c r="AE1" i="6"/>
  <c r="S1" i="6"/>
  <c r="G1" i="6"/>
  <c r="AX1" i="6"/>
  <c r="N1" i="6"/>
  <c r="AK1" i="6"/>
  <c r="AJ1" i="6"/>
  <c r="W1" i="6"/>
  <c r="AH1" i="6"/>
  <c r="J1" i="6"/>
  <c r="AG1" i="6"/>
  <c r="AF1" i="6"/>
  <c r="T1" i="6"/>
  <c r="AP1" i="6"/>
  <c r="AD1" i="6"/>
  <c r="R1" i="6"/>
  <c r="F1" i="6"/>
  <c r="Z1" i="6"/>
  <c r="Y1" i="6"/>
  <c r="AI1" i="6"/>
  <c r="AT1" i="6"/>
  <c r="AO1" i="6"/>
  <c r="Q1" i="6"/>
  <c r="E1" i="6"/>
  <c r="AN1" i="6"/>
  <c r="AB1" i="6"/>
  <c r="P1" i="6"/>
  <c r="D1" i="6"/>
  <c r="B1" i="6"/>
  <c r="AV1" i="6"/>
  <c r="X1" i="6"/>
  <c r="V1" i="6"/>
  <c r="AC1" i="6"/>
  <c r="AY1" i="6"/>
  <c r="AM1" i="6"/>
  <c r="AA1" i="6"/>
  <c r="O1" i="6"/>
  <c r="B8" i="6" l="1"/>
  <c r="B10" i="6"/>
  <c r="B9" i="6"/>
  <c r="B6" i="6"/>
  <c r="B5" i="6"/>
  <c r="B3" i="6"/>
  <c r="B2" i="6"/>
  <c r="C5" i="3"/>
  <c r="M1" i="3"/>
  <c r="E10" i="3" l="1" a="1"/>
  <c r="B4" i="6"/>
  <c r="B7" i="6" s="1"/>
  <c r="E10" i="3" l="1"/>
  <c r="H11" i="3"/>
  <c r="K12" i="3"/>
  <c r="E14" i="3"/>
  <c r="H15" i="3"/>
  <c r="K16" i="3"/>
  <c r="E18" i="3"/>
  <c r="H19" i="3"/>
  <c r="K20" i="3"/>
  <c r="E22" i="3"/>
  <c r="H23" i="3"/>
  <c r="K24" i="3"/>
  <c r="E26" i="3"/>
  <c r="H27" i="3"/>
  <c r="K28" i="3"/>
  <c r="E30" i="3"/>
  <c r="H31" i="3"/>
  <c r="K32" i="3"/>
  <c r="E34" i="3"/>
  <c r="H35" i="3"/>
  <c r="K36" i="3"/>
  <c r="E38" i="3"/>
  <c r="H39" i="3"/>
  <c r="K40" i="3"/>
  <c r="E42" i="3"/>
  <c r="H43" i="3"/>
  <c r="K44" i="3"/>
  <c r="E46" i="3"/>
  <c r="H47" i="3"/>
  <c r="K48" i="3"/>
  <c r="E50" i="3"/>
  <c r="H51" i="3"/>
  <c r="K52" i="3"/>
  <c r="E54" i="3"/>
  <c r="H55" i="3"/>
  <c r="K56" i="3"/>
  <c r="E58" i="3"/>
  <c r="H59" i="3"/>
  <c r="F10" i="3"/>
  <c r="I11" i="3"/>
  <c r="L12" i="3"/>
  <c r="F14" i="3"/>
  <c r="I15" i="3"/>
  <c r="L16" i="3"/>
  <c r="F18" i="3"/>
  <c r="I19" i="3"/>
  <c r="L20" i="3"/>
  <c r="F22" i="3"/>
  <c r="I23" i="3"/>
  <c r="L24" i="3"/>
  <c r="F26" i="3"/>
  <c r="I27" i="3"/>
  <c r="L28" i="3"/>
  <c r="F30" i="3"/>
  <c r="I31" i="3"/>
  <c r="L32" i="3"/>
  <c r="F34" i="3"/>
  <c r="I35" i="3"/>
  <c r="L36" i="3"/>
  <c r="F38" i="3"/>
  <c r="I39" i="3"/>
  <c r="L40" i="3"/>
  <c r="F42" i="3"/>
  <c r="I43" i="3"/>
  <c r="L44" i="3"/>
  <c r="F46" i="3"/>
  <c r="I47" i="3"/>
  <c r="L48" i="3"/>
  <c r="F50" i="3"/>
  <c r="I51" i="3"/>
  <c r="L52" i="3"/>
  <c r="F54" i="3"/>
  <c r="I55" i="3"/>
  <c r="L56" i="3"/>
  <c r="F58" i="3"/>
  <c r="I59" i="3"/>
  <c r="G10" i="3"/>
  <c r="J11" i="3"/>
  <c r="M12" i="3"/>
  <c r="G14" i="3"/>
  <c r="J15" i="3"/>
  <c r="M16" i="3"/>
  <c r="G18" i="3"/>
  <c r="J19" i="3"/>
  <c r="M20" i="3"/>
  <c r="H10" i="3"/>
  <c r="K11" i="3"/>
  <c r="E13" i="3"/>
  <c r="H14" i="3"/>
  <c r="K15" i="3"/>
  <c r="E17" i="3"/>
  <c r="H18" i="3"/>
  <c r="K19" i="3"/>
  <c r="E21" i="3"/>
  <c r="H22" i="3"/>
  <c r="K23" i="3"/>
  <c r="E25" i="3"/>
  <c r="H26" i="3"/>
  <c r="K27" i="3"/>
  <c r="E29" i="3"/>
  <c r="H30" i="3"/>
  <c r="K31" i="3"/>
  <c r="E33" i="3"/>
  <c r="H34" i="3"/>
  <c r="K35" i="3"/>
  <c r="E37" i="3"/>
  <c r="H38" i="3"/>
  <c r="K39" i="3"/>
  <c r="E41" i="3"/>
  <c r="H42" i="3"/>
  <c r="K43" i="3"/>
  <c r="E45" i="3"/>
  <c r="H46" i="3"/>
  <c r="K47" i="3"/>
  <c r="E49" i="3"/>
  <c r="H50" i="3"/>
  <c r="K51" i="3"/>
  <c r="E53" i="3"/>
  <c r="H54" i="3"/>
  <c r="K55" i="3"/>
  <c r="E57" i="3"/>
  <c r="H58" i="3"/>
  <c r="K59" i="3"/>
  <c r="J42" i="3"/>
  <c r="H49" i="3"/>
  <c r="E11" i="3"/>
  <c r="E23" i="3"/>
  <c r="H28" i="3"/>
  <c r="K33" i="3"/>
  <c r="E39" i="3"/>
  <c r="E43" i="3"/>
  <c r="I10" i="3"/>
  <c r="L11" i="3"/>
  <c r="F13" i="3"/>
  <c r="I14" i="3"/>
  <c r="L15" i="3"/>
  <c r="F17" i="3"/>
  <c r="I18" i="3"/>
  <c r="L19" i="3"/>
  <c r="F21" i="3"/>
  <c r="I22" i="3"/>
  <c r="L23" i="3"/>
  <c r="F25" i="3"/>
  <c r="I26" i="3"/>
  <c r="L27" i="3"/>
  <c r="F29" i="3"/>
  <c r="I30" i="3"/>
  <c r="L31" i="3"/>
  <c r="F33" i="3"/>
  <c r="I34" i="3"/>
  <c r="L35" i="3"/>
  <c r="F37" i="3"/>
  <c r="I38" i="3"/>
  <c r="L39" i="3"/>
  <c r="F41" i="3"/>
  <c r="I42" i="3"/>
  <c r="L43" i="3"/>
  <c r="F45" i="3"/>
  <c r="I46" i="3"/>
  <c r="L47" i="3"/>
  <c r="F49" i="3"/>
  <c r="I50" i="3"/>
  <c r="L51" i="3"/>
  <c r="F53" i="3"/>
  <c r="I54" i="3"/>
  <c r="L55" i="3"/>
  <c r="F57" i="3"/>
  <c r="I58" i="3"/>
  <c r="L59" i="3"/>
  <c r="M43" i="3"/>
  <c r="K50" i="3"/>
  <c r="H12" i="3"/>
  <c r="H32" i="3"/>
  <c r="J10" i="3"/>
  <c r="M11" i="3"/>
  <c r="G13" i="3"/>
  <c r="J14" i="3"/>
  <c r="M15" i="3"/>
  <c r="G17" i="3"/>
  <c r="J18" i="3"/>
  <c r="M19" i="3"/>
  <c r="G21" i="3"/>
  <c r="J22" i="3"/>
  <c r="M23" i="3"/>
  <c r="G25" i="3"/>
  <c r="J26" i="3"/>
  <c r="M27" i="3"/>
  <c r="G29" i="3"/>
  <c r="J30" i="3"/>
  <c r="M31" i="3"/>
  <c r="G33" i="3"/>
  <c r="J34" i="3"/>
  <c r="M35" i="3"/>
  <c r="G37" i="3"/>
  <c r="J38" i="3"/>
  <c r="M39" i="3"/>
  <c r="G41" i="3"/>
  <c r="G45" i="3"/>
  <c r="J46" i="3"/>
  <c r="M47" i="3"/>
  <c r="G49" i="3"/>
  <c r="J50" i="3"/>
  <c r="M51" i="3"/>
  <c r="G53" i="3"/>
  <c r="J54" i="3"/>
  <c r="M55" i="3"/>
  <c r="G57" i="3"/>
  <c r="J58" i="3"/>
  <c r="M59" i="3"/>
  <c r="K54" i="3"/>
  <c r="K13" i="3"/>
  <c r="K10" i="3"/>
  <c r="E12" i="3"/>
  <c r="H13" i="3"/>
  <c r="K14" i="3"/>
  <c r="E16" i="3"/>
  <c r="H17" i="3"/>
  <c r="K18" i="3"/>
  <c r="E20" i="3"/>
  <c r="H21" i="3"/>
  <c r="K22" i="3"/>
  <c r="E24" i="3"/>
  <c r="H25" i="3"/>
  <c r="K26" i="3"/>
  <c r="E28" i="3"/>
  <c r="H29" i="3"/>
  <c r="K30" i="3"/>
  <c r="E32" i="3"/>
  <c r="H33" i="3"/>
  <c r="K34" i="3"/>
  <c r="E36" i="3"/>
  <c r="H37" i="3"/>
  <c r="K38" i="3"/>
  <c r="E40" i="3"/>
  <c r="H41" i="3"/>
  <c r="K42" i="3"/>
  <c r="E44" i="3"/>
  <c r="H45" i="3"/>
  <c r="K46" i="3"/>
  <c r="E48" i="3"/>
  <c r="E52" i="3"/>
  <c r="H53" i="3"/>
  <c r="E56" i="3"/>
  <c r="H57" i="3"/>
  <c r="K58" i="3"/>
  <c r="H16" i="3"/>
  <c r="K17" i="3"/>
  <c r="E19" i="3"/>
  <c r="K21" i="3"/>
  <c r="K25" i="3"/>
  <c r="K29" i="3"/>
  <c r="E35" i="3"/>
  <c r="H40" i="3"/>
  <c r="L10" i="3"/>
  <c r="F12" i="3"/>
  <c r="I13" i="3"/>
  <c r="L14" i="3"/>
  <c r="F16" i="3"/>
  <c r="I17" i="3"/>
  <c r="L18" i="3"/>
  <c r="F20" i="3"/>
  <c r="I21" i="3"/>
  <c r="L22" i="3"/>
  <c r="F24" i="3"/>
  <c r="I25" i="3"/>
  <c r="L26" i="3"/>
  <c r="F28" i="3"/>
  <c r="I29" i="3"/>
  <c r="L30" i="3"/>
  <c r="F32" i="3"/>
  <c r="I33" i="3"/>
  <c r="L34" i="3"/>
  <c r="F36" i="3"/>
  <c r="I37" i="3"/>
  <c r="L38" i="3"/>
  <c r="F40" i="3"/>
  <c r="I41" i="3"/>
  <c r="L42" i="3"/>
  <c r="F44" i="3"/>
  <c r="I45" i="3"/>
  <c r="L46" i="3"/>
  <c r="F48" i="3"/>
  <c r="I49" i="3"/>
  <c r="L50" i="3"/>
  <c r="F52" i="3"/>
  <c r="I53" i="3"/>
  <c r="L54" i="3"/>
  <c r="F56" i="3"/>
  <c r="I57" i="3"/>
  <c r="L58" i="3"/>
  <c r="M10" i="3"/>
  <c r="G12" i="3"/>
  <c r="J13" i="3"/>
  <c r="M14" i="3"/>
  <c r="G16" i="3"/>
  <c r="J17" i="3"/>
  <c r="M18" i="3"/>
  <c r="G20" i="3"/>
  <c r="J21" i="3"/>
  <c r="M22" i="3"/>
  <c r="G24" i="3"/>
  <c r="J25" i="3"/>
  <c r="M26" i="3"/>
  <c r="G28" i="3"/>
  <c r="J29" i="3"/>
  <c r="M30" i="3"/>
  <c r="G32" i="3"/>
  <c r="J33" i="3"/>
  <c r="M34" i="3"/>
  <c r="G36" i="3"/>
  <c r="J37" i="3"/>
  <c r="M38" i="3"/>
  <c r="G40" i="3"/>
  <c r="J41" i="3"/>
  <c r="M42" i="3"/>
  <c r="G44" i="3"/>
  <c r="J45" i="3"/>
  <c r="M46" i="3"/>
  <c r="G48" i="3"/>
  <c r="J49" i="3"/>
  <c r="M50" i="3"/>
  <c r="G52" i="3"/>
  <c r="J53" i="3"/>
  <c r="M54" i="3"/>
  <c r="G56" i="3"/>
  <c r="J57" i="3"/>
  <c r="M58" i="3"/>
  <c r="E15" i="3"/>
  <c r="H20" i="3"/>
  <c r="H24" i="3"/>
  <c r="E27" i="3"/>
  <c r="E31" i="3"/>
  <c r="H36" i="3"/>
  <c r="K41" i="3"/>
  <c r="F11" i="3"/>
  <c r="F19" i="3"/>
  <c r="M24" i="3"/>
  <c r="G30" i="3"/>
  <c r="J35" i="3"/>
  <c r="J40" i="3"/>
  <c r="K45" i="3"/>
  <c r="K49" i="3"/>
  <c r="K53" i="3"/>
  <c r="K57" i="3"/>
  <c r="I20" i="3"/>
  <c r="J36" i="3"/>
  <c r="M45" i="3"/>
  <c r="M53" i="3"/>
  <c r="J12" i="3"/>
  <c r="G26" i="3"/>
  <c r="M36" i="3"/>
  <c r="G46" i="3"/>
  <c r="G58" i="3"/>
  <c r="M44" i="3"/>
  <c r="G11" i="3"/>
  <c r="G19" i="3"/>
  <c r="L25" i="3"/>
  <c r="F31" i="3"/>
  <c r="I36" i="3"/>
  <c r="M40" i="3"/>
  <c r="L45" i="3"/>
  <c r="L49" i="3"/>
  <c r="L53" i="3"/>
  <c r="L57" i="3"/>
  <c r="I12" i="3"/>
  <c r="M25" i="3"/>
  <c r="G31" i="3"/>
  <c r="L41" i="3"/>
  <c r="M49" i="3"/>
  <c r="M57" i="3"/>
  <c r="J20" i="3"/>
  <c r="J31" i="3"/>
  <c r="M41" i="3"/>
  <c r="G50" i="3"/>
  <c r="G54" i="3"/>
  <c r="M48" i="3"/>
  <c r="L13" i="3"/>
  <c r="L21" i="3"/>
  <c r="F27" i="3"/>
  <c r="I32" i="3"/>
  <c r="K37" i="3"/>
  <c r="G42" i="3"/>
  <c r="E47" i="3"/>
  <c r="E51" i="3"/>
  <c r="E55" i="3"/>
  <c r="E59" i="3"/>
  <c r="M28" i="3"/>
  <c r="J24" i="3"/>
  <c r="M52" i="3"/>
  <c r="M13" i="3"/>
  <c r="M21" i="3"/>
  <c r="G27" i="3"/>
  <c r="J32" i="3"/>
  <c r="L37" i="3"/>
  <c r="F43" i="3"/>
  <c r="F47" i="3"/>
  <c r="F51" i="3"/>
  <c r="F55" i="3"/>
  <c r="F59" i="3"/>
  <c r="J23" i="3"/>
  <c r="I40" i="3"/>
  <c r="F15" i="3"/>
  <c r="G22" i="3"/>
  <c r="J27" i="3"/>
  <c r="M32" i="3"/>
  <c r="M37" i="3"/>
  <c r="G43" i="3"/>
  <c r="G47" i="3"/>
  <c r="G51" i="3"/>
  <c r="G55" i="3"/>
  <c r="G59" i="3"/>
  <c r="I16" i="3"/>
  <c r="F39" i="3"/>
  <c r="H48" i="3"/>
  <c r="H56" i="3"/>
  <c r="G34" i="3"/>
  <c r="G39" i="3"/>
  <c r="I48" i="3"/>
  <c r="I52" i="3"/>
  <c r="G35" i="3"/>
  <c r="G15" i="3"/>
  <c r="F23" i="3"/>
  <c r="I28" i="3"/>
  <c r="L33" i="3"/>
  <c r="G38" i="3"/>
  <c r="J43" i="3"/>
  <c r="J47" i="3"/>
  <c r="J51" i="3"/>
  <c r="J55" i="3"/>
  <c r="J59" i="3"/>
  <c r="G23" i="3"/>
  <c r="J28" i="3"/>
  <c r="M33" i="3"/>
  <c r="H44" i="3"/>
  <c r="H52" i="3"/>
  <c r="J16" i="3"/>
  <c r="I44" i="3"/>
  <c r="I56" i="3"/>
  <c r="M29" i="3"/>
  <c r="L17" i="3"/>
  <c r="I24" i="3"/>
  <c r="L29" i="3"/>
  <c r="F35" i="3"/>
  <c r="J39" i="3"/>
  <c r="J44" i="3"/>
  <c r="J48" i="3"/>
  <c r="J52" i="3"/>
  <c r="J56" i="3"/>
  <c r="M17" i="3"/>
  <c r="M56" i="3"/>
</calcChain>
</file>

<file path=xl/comments1.xml><?xml version="1.0" encoding="utf-8"?>
<comments xmlns="http://schemas.openxmlformats.org/spreadsheetml/2006/main">
  <authors>
    <author>Zhai Shuai</author>
  </authors>
  <commentList>
    <comment ref="B14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<sst xmlns="http://schemas.openxmlformats.org/spreadsheetml/2006/main" count="80" uniqueCount="80">
  <si>
    <t>最近更新：</t>
    <phoneticPr fontId="1" type="noConversion"/>
  </si>
  <si>
    <t>开始日期</t>
    <phoneticPr fontId="1" type="noConversion"/>
  </si>
  <si>
    <t>截止日期</t>
    <phoneticPr fontId="1" type="noConversion"/>
  </si>
  <si>
    <t>计算周期</t>
    <phoneticPr fontId="1" type="noConversion"/>
  </si>
  <si>
    <t>年化系数</t>
    <phoneticPr fontId="1" type="noConversion"/>
  </si>
  <si>
    <t>HV</t>
    <phoneticPr fontId="1" type="noConversion"/>
  </si>
  <si>
    <t>601398.SH</t>
  </si>
  <si>
    <t>600519.SH</t>
  </si>
  <si>
    <t>601288.SH</t>
  </si>
  <si>
    <t>600941.SH</t>
  </si>
  <si>
    <t>601939.SH</t>
  </si>
  <si>
    <t>601988.SH</t>
  </si>
  <si>
    <t>601857.SH</t>
  </si>
  <si>
    <t>300750.SZ</t>
  </si>
  <si>
    <t>600036.SH</t>
  </si>
  <si>
    <t>002594.SZ</t>
  </si>
  <si>
    <t>601628.SH</t>
  </si>
  <si>
    <t>601318.SH</t>
  </si>
  <si>
    <t>600938.SH</t>
  </si>
  <si>
    <t>601088.SH</t>
  </si>
  <si>
    <t>601728.SH</t>
  </si>
  <si>
    <t>600900.SH</t>
  </si>
  <si>
    <t>600028.SH</t>
  </si>
  <si>
    <t>000333.SZ</t>
  </si>
  <si>
    <t>000858.SZ</t>
  </si>
  <si>
    <t>601658.SH</t>
  </si>
  <si>
    <t>601328.SH</t>
  </si>
  <si>
    <t>688981.SH</t>
  </si>
  <si>
    <t>601166.SH</t>
  </si>
  <si>
    <t>601899.SH</t>
  </si>
  <si>
    <t>601138.SH</t>
  </si>
  <si>
    <t>600030.SH</t>
  </si>
  <si>
    <t>688041.SH</t>
  </si>
  <si>
    <t>601998.SH</t>
  </si>
  <si>
    <t>300059.SZ</t>
  </si>
  <si>
    <t>688256.SH</t>
  </si>
  <si>
    <t>002415.SZ</t>
  </si>
  <si>
    <t>600000.SH</t>
  </si>
  <si>
    <t>300760.SZ</t>
  </si>
  <si>
    <t>002475.SZ</t>
  </si>
  <si>
    <t>600276.SH</t>
  </si>
  <si>
    <t>601816.SH</t>
  </si>
  <si>
    <t>601601.SH</t>
  </si>
  <si>
    <t>601319.SH</t>
  </si>
  <si>
    <t>600809.SH</t>
  </si>
  <si>
    <t>002371.SZ</t>
  </si>
  <si>
    <t>600690.SH</t>
  </si>
  <si>
    <t>000651.SZ</t>
  </si>
  <si>
    <t>000001.SZ</t>
  </si>
  <si>
    <t>603288.SH</t>
  </si>
  <si>
    <t>601668.SH</t>
  </si>
  <si>
    <t>600309.SH</t>
  </si>
  <si>
    <t>601919.SH</t>
  </si>
  <si>
    <t>300124.SZ</t>
  </si>
  <si>
    <t>601818.SH</t>
  </si>
  <si>
    <t>volatilityratio</t>
  </si>
  <si>
    <t>002352.SZ</t>
    <phoneticPr fontId="1" type="noConversion"/>
  </si>
  <si>
    <t>最新</t>
    <phoneticPr fontId="1" type="noConversion"/>
  </si>
  <si>
    <t>均值</t>
    <phoneticPr fontId="1" type="noConversion"/>
  </si>
  <si>
    <t>距均值</t>
    <phoneticPr fontId="1" type="noConversion"/>
  </si>
  <si>
    <t>中值</t>
    <phoneticPr fontId="1" type="noConversion"/>
  </si>
  <si>
    <t>标准差</t>
    <phoneticPr fontId="1" type="noConversion"/>
  </si>
  <si>
    <t>距均值/标准差</t>
    <phoneticPr fontId="1" type="noConversion"/>
  </si>
  <si>
    <t>百分位</t>
    <phoneticPr fontId="1" type="noConversion"/>
  </si>
  <si>
    <t>最高</t>
    <phoneticPr fontId="1" type="noConversion"/>
  </si>
  <si>
    <t>最低</t>
    <phoneticPr fontId="1" type="noConversion"/>
  </si>
  <si>
    <t>标的代码</t>
    <phoneticPr fontId="1" type="noConversion"/>
  </si>
  <si>
    <t>历史波动率（HVG）多标的数据统计表（日线）（模型：收益率标准差模型，复权方式：前复权）</t>
    <phoneticPr fontId="3" type="noConversion"/>
  </si>
  <si>
    <t>历史波动率统计数据</t>
    <phoneticPr fontId="1" type="noConversion"/>
  </si>
  <si>
    <t>代码</t>
    <phoneticPr fontId="1" type="noConversion"/>
  </si>
  <si>
    <t>名称</t>
    <phoneticPr fontId="1" type="noConversion"/>
  </si>
  <si>
    <t>最新(%)</t>
    <phoneticPr fontId="1" type="noConversion"/>
  </si>
  <si>
    <t>均值(%)</t>
    <phoneticPr fontId="1" type="noConversion"/>
  </si>
  <si>
    <t>距均值(%)</t>
    <phoneticPr fontId="1" type="noConversion"/>
  </si>
  <si>
    <t>中值(%)</t>
    <phoneticPr fontId="1" type="noConversion"/>
  </si>
  <si>
    <t>标准差(%)</t>
    <phoneticPr fontId="1" type="noConversion"/>
  </si>
  <si>
    <t>距均值/标准差(%)</t>
    <phoneticPr fontId="1" type="noConversion"/>
  </si>
  <si>
    <t>百分位(%)</t>
    <phoneticPr fontId="1" type="noConversion"/>
  </si>
  <si>
    <t>最高(%)</t>
    <phoneticPr fontId="1" type="noConversion"/>
  </si>
  <si>
    <t>最低(%)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</si>
</sst>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"/>
    <numFmt numFmtId="177" formatCode="0.0000"/>
    <numFmt numFmtId="178" formatCode="0.0000_ "/>
  </numFmts>
  <fonts count="1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</font>
    <font>
      <sz val="14"/>
      <color theme="0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1"/>
      <color theme="6" tint="0.79998168889431442"/>
      <name val="等线"/>
      <family val="2"/>
      <charset val="134"/>
      <scheme val="minor"/>
    </font>
    <font>
      <b/>
      <sz val="10"/>
      <color rgb="FF212121"/>
      <name val="微软雅黑"/>
      <family val="2"/>
      <charset val="134"/>
    </font>
    <font>
      <sz val="10"/>
      <color rgb="FF212121"/>
      <name val="Arial"/>
      <family val="2"/>
    </font>
    <font>
      <sz val="11"/>
      <color theme="2"/>
      <name val="等线"/>
      <family val="2"/>
      <charset val="134"/>
      <scheme val="minor"/>
    </font>
    <font>
      <b/>
      <sz val="12"/>
      <name val="微软雅黑"/>
      <family val="2"/>
      <charset val="134"/>
    </font>
    <font>
      <sz val="10"/>
      <color rgb="FF212121"/>
      <name val="微软雅黑"/>
      <family val="2"/>
      <charset val="134"/>
    </font>
    <font>
      <sz val="11"/>
      <color theme="2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8D0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2" borderId="0" xfId="0" applyFill="1" applyAlignment="1"/>
    <xf numFmtId="0" fontId="0" fillId="3" borderId="0" xfId="0" applyFill="1" applyAlignment="1"/>
    <xf numFmtId="0" fontId="4" fillId="3" borderId="0" xfId="0" applyFont="1" applyFill="1" applyAlignment="1">
      <alignment vertical="center"/>
    </xf>
    <xf numFmtId="0" fontId="0" fillId="3" borderId="0" xfId="0" applyFill="1" applyAlignment="1">
      <alignment horizontal="right"/>
    </xf>
    <xf numFmtId="0" fontId="5" fillId="3" borderId="0" xfId="0" applyFont="1" applyFill="1" applyAlignment="1">
      <alignment horizontal="right" vertical="center"/>
    </xf>
    <xf numFmtId="14" fontId="5" fillId="3" borderId="0" xfId="0" applyNumberFormat="1" applyFont="1" applyFill="1" applyAlignment="1">
      <alignment horizontal="left" vertical="center"/>
    </xf>
    <xf numFmtId="0" fontId="0" fillId="4" borderId="0" xfId="0" applyFill="1" applyAlignment="1"/>
    <xf numFmtId="0" fontId="0" fillId="4" borderId="0" xfId="0" applyFill="1" applyAlignment="1">
      <alignment horizontal="right"/>
    </xf>
    <xf numFmtId="14" fontId="6" fillId="4" borderId="0" xfId="0" applyNumberFormat="1" applyFont="1" applyFill="1" applyAlignment="1"/>
    <xf numFmtId="0" fontId="7" fillId="5" borderId="0" xfId="0" applyFont="1" applyFill="1" applyAlignment="1"/>
    <xf numFmtId="176" fontId="8" fillId="6" borderId="0" xfId="0" applyNumberFormat="1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0" fontId="10" fillId="2" borderId="1" xfId="0" applyFont="1" applyFill="1" applyBorder="1" applyAlignment="1">
      <alignment vertical="top"/>
    </xf>
    <xf numFmtId="0" fontId="0" fillId="2" borderId="1" xfId="0" applyFill="1" applyBorder="1" applyAlignment="1"/>
    <xf numFmtId="0" fontId="0" fillId="2" borderId="1" xfId="0" applyFill="1" applyBorder="1" applyAlignment="1">
      <alignment horizontal="right"/>
    </xf>
    <xf numFmtId="0" fontId="0" fillId="2" borderId="0" xfId="0" applyFill="1" applyBorder="1" applyAlignment="1"/>
    <xf numFmtId="0" fontId="0" fillId="2" borderId="0" xfId="0" applyFill="1" applyBorder="1" applyAlignment="1">
      <alignment horizontal="right"/>
    </xf>
    <xf numFmtId="0" fontId="8" fillId="6" borderId="0" xfId="0" applyNumberFormat="1" applyFont="1" applyFill="1" applyBorder="1" applyAlignment="1">
      <alignment horizontal="center"/>
    </xf>
    <xf numFmtId="0" fontId="9" fillId="4" borderId="0" xfId="0" applyFont="1" applyFill="1" applyAlignment="1"/>
    <xf numFmtId="0" fontId="12" fillId="4" borderId="0" xfId="0" applyFont="1" applyFill="1" applyAlignment="1"/>
    <xf numFmtId="0" fontId="0" fillId="2" borderId="0" xfId="0" applyFill="1" applyBorder="1" applyAlignment="1">
      <alignment horizontal="left"/>
    </xf>
    <xf numFmtId="0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49" fontId="0" fillId="0" borderId="0" xfId="0" applyNumberFormat="1" applyBorder="1" applyAlignment="1">
      <alignment vertical="top"/>
    </xf>
    <xf numFmtId="0" fontId="0" fillId="0" borderId="0" xfId="0" applyNumberFormat="1" applyBorder="1" applyAlignment="1">
      <alignment horizontal="right" vertical="top" wrapText="1"/>
    </xf>
    <xf numFmtId="0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78" fontId="0" fillId="0" borderId="0" xfId="0" applyNumberFormat="1">
      <alignment vertical="center"/>
    </xf>
    <xf numFmtId="178" fontId="0" fillId="2" borderId="0" xfId="0" applyNumberFormat="1" applyFill="1" applyBorder="1" applyAlignment="1">
      <alignment horizontal="right"/>
    </xf>
    <xf numFmtId="178" fontId="0" fillId="2" borderId="0" xfId="0" applyNumberFormat="1" applyFill="1" applyBorder="1" applyAlignment="1"/>
    <xf numFmtId="178" fontId="11" fillId="2" borderId="0" xfId="0" applyNumberFormat="1" applyFont="1" applyFill="1" applyBorder="1" applyAlignment="1">
      <alignment horizontal="right"/>
    </xf>
    <xf numFmtId="178" fontId="0" fillId="2" borderId="0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05D5D"/>
      <color rgb="FF5FBEBF"/>
      <color rgb="FFF68717"/>
      <color rgb="FF2277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38100</xdr:rowOff>
    </xdr:from>
    <xdr:to>
      <xdr:col>0</xdr:col>
      <xdr:colOff>638175</xdr:colOff>
      <xdr:row>0</xdr:row>
      <xdr:rowOff>276225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8100"/>
          <a:ext cx="542925" cy="238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tabSelected="1" zoomScale="85" zoomScaleNormal="85" workbookViewId="0">
      <selection activeCell="P18" sqref="P18"/>
    </sheetView>
  </sheetViews>
  <sheetFormatPr defaultRowHeight="14.25" x14ac:dyDescent="0.2"/>
  <cols>
    <col min="1" max="1" width="9" customWidth="1"/>
    <col min="2" max="2" width="10" customWidth="1"/>
    <col min="3" max="3" width="12.125" customWidth="1"/>
    <col min="4" max="4" width="10.75" customWidth="1"/>
    <col min="5" max="5" width="13.25" customWidth="1"/>
    <col min="6" max="6" width="10.375" customWidth="1"/>
    <col min="7" max="7" width="10.5" customWidth="1"/>
    <col min="8" max="8" width="10.75" customWidth="1"/>
    <col min="9" max="9" width="11.375" customWidth="1"/>
    <col min="10" max="10" width="17.625" customWidth="1"/>
    <col min="11" max="11" width="12.125" customWidth="1"/>
    <col min="12" max="12" width="10.125" customWidth="1"/>
    <col min="13" max="13" width="11.375" customWidth="1"/>
    <col min="14" max="14" width="5.5" customWidth="1"/>
  </cols>
  <sheetData>
    <row r="1" spans="1:15" ht="24.75" customHeight="1" x14ac:dyDescent="0.2">
      <c r="A1" s="2"/>
      <c r="B1" s="2"/>
      <c r="C1" s="3" t="s">
        <v>67</v>
      </c>
      <c r="D1" s="3"/>
      <c r="E1" s="4"/>
      <c r="F1" s="4"/>
      <c r="G1" s="4"/>
      <c r="H1" s="4"/>
      <c r="I1" s="4"/>
      <c r="J1" s="4"/>
      <c r="K1" s="5"/>
      <c r="L1" s="5" t="s">
        <v>0</v>
      </c>
      <c r="M1" s="6">
        <f ca="1">TODAY()</f>
        <v>45727</v>
      </c>
      <c r="N1" s="2"/>
      <c r="O1" s="2"/>
    </row>
    <row r="2" spans="1:15" x14ac:dyDescent="0.2">
      <c r="A2" s="7"/>
      <c r="B2" s="7"/>
      <c r="C2" s="7"/>
      <c r="D2" s="7"/>
      <c r="E2" s="8"/>
      <c r="F2" s="8"/>
      <c r="G2" s="8"/>
      <c r="H2" s="8"/>
      <c r="I2" s="8"/>
      <c r="J2" s="8"/>
      <c r="K2" s="8"/>
      <c r="L2" s="9"/>
      <c r="M2" s="7"/>
      <c r="N2" s="7"/>
      <c r="O2" s="7"/>
    </row>
    <row r="3" spans="1:15" ht="16.5" x14ac:dyDescent="0.35">
      <c r="A3" s="7"/>
      <c r="B3" s="10" t="s">
        <v>1</v>
      </c>
      <c r="C3" s="11">
        <v>45294</v>
      </c>
      <c r="D3" s="10" t="s">
        <v>2</v>
      </c>
      <c r="E3" s="11">
        <f ca="1">TODAY()-1</f>
        <v>45726</v>
      </c>
      <c r="F3" s="8"/>
      <c r="G3" s="10" t="s">
        <v>3</v>
      </c>
      <c r="H3" s="18">
        <v>20</v>
      </c>
      <c r="I3" s="8"/>
      <c r="J3" s="10" t="s">
        <v>4</v>
      </c>
      <c r="K3" s="18">
        <v>245</v>
      </c>
      <c r="L3" s="8"/>
      <c r="M3" s="8"/>
      <c r="N3" s="7"/>
      <c r="O3" s="7"/>
    </row>
    <row r="4" spans="1:15" ht="12.75" customHeight="1" x14ac:dyDescent="0.2">
      <c r="A4" s="7"/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7"/>
      <c r="N4" s="7"/>
      <c r="O4" s="7"/>
    </row>
    <row r="5" spans="1:15" ht="12.75" customHeight="1" x14ac:dyDescent="0.2">
      <c r="A5" s="7"/>
      <c r="B5" s="19" t="s">
        <v>5</v>
      </c>
      <c r="C5" s="20" t="str">
        <f>B5&amp;H3</f>
        <v>HV20</v>
      </c>
      <c r="D5" s="20"/>
      <c r="E5" s="20"/>
      <c r="F5" s="20"/>
      <c r="G5" s="8"/>
      <c r="H5" s="8"/>
      <c r="I5" s="8"/>
      <c r="J5" s="8"/>
      <c r="K5" s="8"/>
      <c r="L5" s="8"/>
      <c r="M5" s="7"/>
      <c r="N5" s="7"/>
      <c r="O5" s="7"/>
    </row>
    <row r="6" spans="1:15" x14ac:dyDescent="0.2">
      <c r="A6" s="7"/>
      <c r="B6" s="1"/>
      <c r="C6" s="1"/>
      <c r="D6" s="1"/>
      <c r="E6" s="12"/>
      <c r="F6" s="12"/>
      <c r="G6" s="12"/>
      <c r="H6" s="12"/>
      <c r="I6" s="12"/>
      <c r="J6" s="12"/>
      <c r="K6" s="12"/>
      <c r="L6" s="12"/>
      <c r="M6" s="1"/>
      <c r="N6" s="1"/>
      <c r="O6" s="7"/>
    </row>
    <row r="7" spans="1:15" ht="18" x14ac:dyDescent="0.2">
      <c r="A7" s="7"/>
      <c r="B7" s="1"/>
      <c r="C7" s="13" t="s">
        <v>68</v>
      </c>
      <c r="D7" s="14"/>
      <c r="E7" s="15"/>
      <c r="F7" s="14"/>
      <c r="G7" s="15"/>
      <c r="H7" s="14"/>
      <c r="I7" s="15"/>
      <c r="J7" s="14"/>
      <c r="K7" s="15"/>
      <c r="L7" s="15"/>
      <c r="M7" s="15"/>
      <c r="N7" s="1"/>
      <c r="O7" s="7"/>
    </row>
    <row r="8" spans="1:15" x14ac:dyDescent="0.2">
      <c r="A8" s="7"/>
      <c r="B8" s="1"/>
      <c r="C8" s="17"/>
      <c r="D8" s="17"/>
      <c r="E8" s="17"/>
      <c r="F8" s="16"/>
      <c r="G8" s="17"/>
      <c r="H8" s="16"/>
      <c r="I8" s="17"/>
      <c r="J8" s="16"/>
      <c r="K8" s="17"/>
      <c r="L8" s="17"/>
      <c r="M8" s="1"/>
      <c r="N8" s="1"/>
      <c r="O8" s="7"/>
    </row>
    <row r="9" spans="1:15" ht="18" x14ac:dyDescent="0.2">
      <c r="A9" s="7"/>
      <c r="B9" s="1"/>
      <c r="C9" s="13" t="s">
        <v>69</v>
      </c>
      <c r="D9" s="13" t="s">
        <v>70</v>
      </c>
      <c r="E9" s="13" t="s">
        <v>71</v>
      </c>
      <c r="F9" s="13" t="s">
        <v>72</v>
      </c>
      <c r="G9" s="13" t="s">
        <v>73</v>
      </c>
      <c r="H9" s="13" t="s">
        <v>74</v>
      </c>
      <c r="I9" s="13" t="s">
        <v>75</v>
      </c>
      <c r="J9" s="13" t="s">
        <v>76</v>
      </c>
      <c r="K9" s="13" t="s">
        <v>77</v>
      </c>
      <c r="L9" s="13" t="s">
        <v>78</v>
      </c>
      <c r="M9" s="13" t="s">
        <v>79</v>
      </c>
      <c r="N9" s="1"/>
      <c r="O9" s="7"/>
    </row>
    <row r="10" spans="1:15" x14ac:dyDescent="0.2">
      <c r="A10" s="7"/>
      <c r="B10" s="1"/>
      <c r="C10" s="18" t="s">
        <v>6</v>
      </c>
      <c r="D10" s="21" t="str">
        <f>[1]!s_info_name(C10)</f>
        <v>工商银行</v>
      </c>
      <c r="E10" s="30">
        <f t="array" ref="E10:M59" ca="1">TRANSPOSE(原始数据!B2:AY10)</f>
        <v>16.832148987895422</v>
      </c>
      <c r="F10" s="30">
        <f ca="1"/>
        <v>18.731716720761458</v>
      </c>
      <c r="G10" s="30">
        <f ca="1"/>
        <v>-1.8995677328660356</v>
      </c>
      <c r="H10" s="30">
        <f ca="1"/>
        <v>18.224620834240426</v>
      </c>
      <c r="I10" s="30">
        <f ca="1"/>
        <v>6.3773318650616453</v>
      </c>
      <c r="J10" s="30">
        <f ca="1"/>
        <v>-0.29786245612728102</v>
      </c>
      <c r="K10" s="30">
        <f ca="1"/>
        <v>42.756183745583037</v>
      </c>
      <c r="L10" s="30">
        <f ca="1"/>
        <v>35.263932757132025</v>
      </c>
      <c r="M10" s="31">
        <f ca="1"/>
        <v>8.1505894952545432</v>
      </c>
      <c r="N10" s="1"/>
      <c r="O10" s="7"/>
    </row>
    <row r="11" spans="1:15" x14ac:dyDescent="0.2">
      <c r="A11" s="7"/>
      <c r="B11" s="1"/>
      <c r="C11" s="18" t="s">
        <v>7</v>
      </c>
      <c r="D11" s="21" t="str">
        <f>[1]!s_info_name(C11)</f>
        <v>贵州茅台</v>
      </c>
      <c r="E11" s="30">
        <v>18.363617771669659</v>
      </c>
      <c r="F11" s="30">
        <v>23.097991946015796</v>
      </c>
      <c r="G11" s="30">
        <v>-4.7343741743461365</v>
      </c>
      <c r="H11" s="30">
        <v>19.280842588009609</v>
      </c>
      <c r="I11" s="30">
        <v>12.250334647613908</v>
      </c>
      <c r="J11" s="30">
        <v>-0.38646896681049336</v>
      </c>
      <c r="K11" s="30">
        <v>39.222614840989401</v>
      </c>
      <c r="L11" s="30">
        <v>68.392019320481282</v>
      </c>
      <c r="M11" s="31">
        <v>9.936733659132269</v>
      </c>
      <c r="N11" s="1"/>
      <c r="O11" s="7"/>
    </row>
    <row r="12" spans="1:15" x14ac:dyDescent="0.2">
      <c r="A12" s="7"/>
      <c r="B12" s="1"/>
      <c r="C12" s="18" t="s">
        <v>8</v>
      </c>
      <c r="D12" s="21" t="str">
        <f>[1]!s_info_name(C12)</f>
        <v>农业银行</v>
      </c>
      <c r="E12" s="30">
        <v>14.338316619019119</v>
      </c>
      <c r="F12" s="30">
        <v>19.682840273311324</v>
      </c>
      <c r="G12" s="30">
        <v>-5.344523654292205</v>
      </c>
      <c r="H12" s="30">
        <v>17.443548472352266</v>
      </c>
      <c r="I12" s="30">
        <v>6.3390305390549946</v>
      </c>
      <c r="J12" s="30">
        <v>-0.84311372557118991</v>
      </c>
      <c r="K12" s="30">
        <v>10.247349823321555</v>
      </c>
      <c r="L12" s="30">
        <v>40.224379865420651</v>
      </c>
      <c r="M12" s="31">
        <v>9.1457921639401292</v>
      </c>
      <c r="N12" s="1"/>
      <c r="O12" s="7"/>
    </row>
    <row r="13" spans="1:15" x14ac:dyDescent="0.2">
      <c r="A13" s="7"/>
      <c r="B13" s="1"/>
      <c r="C13" s="18" t="s">
        <v>9</v>
      </c>
      <c r="D13" s="21" t="str">
        <f>[1]!s_info_name(C13)</f>
        <v>中国移动</v>
      </c>
      <c r="E13" s="30">
        <v>23.225463803441475</v>
      </c>
      <c r="F13" s="30">
        <v>20.944264531282744</v>
      </c>
      <c r="G13" s="30">
        <v>2.2811992721587302</v>
      </c>
      <c r="H13" s="30">
        <v>20.358694660468739</v>
      </c>
      <c r="I13" s="30">
        <v>4.704036211151962</v>
      </c>
      <c r="J13" s="30">
        <v>0.48494509178110512</v>
      </c>
      <c r="K13" s="30">
        <v>68.551236749116612</v>
      </c>
      <c r="L13" s="30">
        <v>31.936842994999484</v>
      </c>
      <c r="M13" s="31">
        <v>10.198689220078579</v>
      </c>
      <c r="N13" s="1"/>
      <c r="O13" s="7"/>
    </row>
    <row r="14" spans="1:15" x14ac:dyDescent="0.2">
      <c r="A14" s="7"/>
      <c r="B14" s="1"/>
      <c r="C14" s="18" t="s">
        <v>10</v>
      </c>
      <c r="D14" s="21" t="str">
        <f>[1]!s_info_name(C14)</f>
        <v>建设银行</v>
      </c>
      <c r="E14" s="30">
        <v>18.835159390819161</v>
      </c>
      <c r="F14" s="30">
        <v>19.092021360846463</v>
      </c>
      <c r="G14" s="30">
        <v>-0.25686197002730182</v>
      </c>
      <c r="H14" s="30">
        <v>17.345546390718162</v>
      </c>
      <c r="I14" s="30">
        <v>7.4452120113856068</v>
      </c>
      <c r="J14" s="30">
        <v>-3.4500289532990475E-2</v>
      </c>
      <c r="K14" s="30">
        <v>57.950530035335689</v>
      </c>
      <c r="L14" s="30">
        <v>39.618472415283428</v>
      </c>
      <c r="M14" s="31">
        <v>9.0536906484801829</v>
      </c>
      <c r="N14" s="1"/>
      <c r="O14" s="7"/>
    </row>
    <row r="15" spans="1:15" x14ac:dyDescent="0.2">
      <c r="A15" s="7"/>
      <c r="B15" s="1"/>
      <c r="C15" s="18" t="s">
        <v>11</v>
      </c>
      <c r="D15" s="21" t="str">
        <f>[1]!s_info_name(C15)</f>
        <v>中国银行</v>
      </c>
      <c r="E15" s="30">
        <v>16.073433082157742</v>
      </c>
      <c r="F15" s="30">
        <v>19.586399001036192</v>
      </c>
      <c r="G15" s="30">
        <v>-3.5129659188784501</v>
      </c>
      <c r="H15" s="30">
        <v>17.825573634466327</v>
      </c>
      <c r="I15" s="30">
        <v>5.9299956341562652</v>
      </c>
      <c r="J15" s="30">
        <v>-0.59240615602548985</v>
      </c>
      <c r="K15" s="30">
        <v>34.275618374558306</v>
      </c>
      <c r="L15" s="30">
        <v>35.596519571731804</v>
      </c>
      <c r="M15" s="31">
        <v>9.0871829405306652</v>
      </c>
      <c r="N15" s="1"/>
      <c r="O15" s="7"/>
    </row>
    <row r="16" spans="1:15" x14ac:dyDescent="0.2">
      <c r="A16" s="7"/>
      <c r="B16" s="1"/>
      <c r="C16" s="18" t="s">
        <v>12</v>
      </c>
      <c r="D16" s="21" t="str">
        <f>[1]!s_info_name(C16)</f>
        <v>中国石油</v>
      </c>
      <c r="E16" s="30">
        <v>13.679399108489712</v>
      </c>
      <c r="F16" s="30">
        <v>29.892310429170884</v>
      </c>
      <c r="G16" s="30">
        <v>-16.212911320681172</v>
      </c>
      <c r="H16" s="30">
        <v>28.937183820283593</v>
      </c>
      <c r="I16" s="30">
        <v>10.308770550377799</v>
      </c>
      <c r="J16" s="30">
        <v>-1.5727298654529658</v>
      </c>
      <c r="K16" s="30">
        <v>1.4134275618374559</v>
      </c>
      <c r="L16" s="30">
        <v>56.708239652666627</v>
      </c>
      <c r="M16" s="31">
        <v>13.196431292143494</v>
      </c>
      <c r="N16" s="1"/>
      <c r="O16" s="7"/>
    </row>
    <row r="17" spans="1:15" x14ac:dyDescent="0.2">
      <c r="A17" s="7"/>
      <c r="B17" s="1"/>
      <c r="C17" s="18" t="s">
        <v>13</v>
      </c>
      <c r="D17" s="21" t="str">
        <f>[1]!s_info_name(C17)</f>
        <v>宁德时代</v>
      </c>
      <c r="E17" s="30">
        <v>30.536361937298114</v>
      </c>
      <c r="F17" s="30">
        <v>38.492738809384093</v>
      </c>
      <c r="G17" s="30">
        <v>-7.9563768720859791</v>
      </c>
      <c r="H17" s="30">
        <v>32.260607885541525</v>
      </c>
      <c r="I17" s="30">
        <v>20.420071976513267</v>
      </c>
      <c r="J17" s="30">
        <v>-0.38963510418754815</v>
      </c>
      <c r="K17" s="30">
        <v>40.282685512367493</v>
      </c>
      <c r="L17" s="30">
        <v>108.37562920485645</v>
      </c>
      <c r="M17" s="31">
        <v>18.705752669574064</v>
      </c>
      <c r="N17" s="1"/>
      <c r="O17" s="7"/>
    </row>
    <row r="18" spans="1:15" x14ac:dyDescent="0.2">
      <c r="A18" s="7"/>
      <c r="B18" s="1"/>
      <c r="C18" s="18" t="s">
        <v>14</v>
      </c>
      <c r="D18" s="21" t="str">
        <f>[1]!s_info_name(C18)</f>
        <v>招商银行</v>
      </c>
      <c r="E18" s="30">
        <v>16.763960476460735</v>
      </c>
      <c r="F18" s="30">
        <v>21.834954789250705</v>
      </c>
      <c r="G18" s="30">
        <v>-5.0709943127899706</v>
      </c>
      <c r="H18" s="30">
        <v>19.292985255446556</v>
      </c>
      <c r="I18" s="30">
        <v>8.4907625634737727</v>
      </c>
      <c r="J18" s="30">
        <v>-0.59723661742759959</v>
      </c>
      <c r="K18" s="30">
        <v>19.434628975265017</v>
      </c>
      <c r="L18" s="30">
        <v>52.067341862894892</v>
      </c>
      <c r="M18" s="31">
        <v>14.11863183032715</v>
      </c>
      <c r="N18" s="1"/>
      <c r="O18" s="7"/>
    </row>
    <row r="19" spans="1:15" x14ac:dyDescent="0.2">
      <c r="A19" s="7"/>
      <c r="B19" s="1"/>
      <c r="C19" s="18" t="s">
        <v>15</v>
      </c>
      <c r="D19" s="21" t="str">
        <f>[1]!s_info_name(C19)</f>
        <v>比亚迪</v>
      </c>
      <c r="E19" s="30">
        <v>40.560222409319309</v>
      </c>
      <c r="F19" s="30">
        <v>33.006258112602531</v>
      </c>
      <c r="G19" s="30">
        <v>7.5539642967167779</v>
      </c>
      <c r="H19" s="30">
        <v>30.313760328166872</v>
      </c>
      <c r="I19" s="30">
        <v>9.3473834522093799</v>
      </c>
      <c r="J19" s="30">
        <v>0.80813677274909446</v>
      </c>
      <c r="K19" s="30">
        <v>84.098939929328623</v>
      </c>
      <c r="L19" s="30">
        <v>59.531655682030511</v>
      </c>
      <c r="M19" s="31">
        <v>17.965294040280444</v>
      </c>
      <c r="N19" s="1"/>
      <c r="O19" s="7"/>
    </row>
    <row r="20" spans="1:15" x14ac:dyDescent="0.2">
      <c r="A20" s="7"/>
      <c r="B20" s="1"/>
      <c r="C20" s="18" t="s">
        <v>16</v>
      </c>
      <c r="D20" s="21" t="str">
        <f>[1]!s_info_name(C20)</f>
        <v>中国人寿</v>
      </c>
      <c r="E20" s="30">
        <v>25.126446344067897</v>
      </c>
      <c r="F20" s="30">
        <v>31.541959450059853</v>
      </c>
      <c r="G20" s="30">
        <v>-6.4155131059919555</v>
      </c>
      <c r="H20" s="30">
        <v>28.482867276123383</v>
      </c>
      <c r="I20" s="30">
        <v>12.548246554030138</v>
      </c>
      <c r="J20" s="30">
        <v>-0.51126769611738909</v>
      </c>
      <c r="K20" s="30">
        <v>28.621908127208481</v>
      </c>
      <c r="L20" s="30">
        <v>67.77245334826911</v>
      </c>
      <c r="M20" s="31">
        <v>14.018037244644503</v>
      </c>
      <c r="N20" s="1"/>
      <c r="O20" s="7"/>
    </row>
    <row r="21" spans="1:15" x14ac:dyDescent="0.2">
      <c r="A21" s="7"/>
      <c r="B21" s="1"/>
      <c r="C21" s="18" t="s">
        <v>17</v>
      </c>
      <c r="D21" s="21" t="str">
        <f>[1]!s_info_name(C21)</f>
        <v>中国平安</v>
      </c>
      <c r="E21" s="30">
        <v>18.982414936117998</v>
      </c>
      <c r="F21" s="30">
        <v>25.042761819753149</v>
      </c>
      <c r="G21" s="30">
        <v>-6.0603468836351517</v>
      </c>
      <c r="H21" s="30">
        <v>21.703716291187227</v>
      </c>
      <c r="I21" s="30">
        <v>11.925158887387386</v>
      </c>
      <c r="J21" s="30">
        <v>-0.50819841822358125</v>
      </c>
      <c r="K21" s="30">
        <v>18.021201413427562</v>
      </c>
      <c r="L21" s="30">
        <v>66.627784444477669</v>
      </c>
      <c r="M21" s="31">
        <v>10.840094733793418</v>
      </c>
      <c r="N21" s="1"/>
      <c r="O21" s="7"/>
    </row>
    <row r="22" spans="1:15" x14ac:dyDescent="0.2">
      <c r="A22" s="7"/>
      <c r="B22" s="1"/>
      <c r="C22" s="18" t="s">
        <v>18</v>
      </c>
      <c r="D22" s="21" t="str">
        <f>[1]!s_info_name(C22)</f>
        <v>中国海油</v>
      </c>
      <c r="E22" s="30">
        <v>17.667834203314431</v>
      </c>
      <c r="F22" s="30">
        <v>31.453710812655338</v>
      </c>
      <c r="G22" s="30">
        <v>-13.785876609340907</v>
      </c>
      <c r="H22" s="30">
        <v>29.367420441894524</v>
      </c>
      <c r="I22" s="30">
        <v>11.444466115317045</v>
      </c>
      <c r="J22" s="30">
        <v>-1.2045888790644559</v>
      </c>
      <c r="K22" s="30">
        <v>7.4204946996466434</v>
      </c>
      <c r="L22" s="30">
        <v>58.549027695794507</v>
      </c>
      <c r="M22" s="31">
        <v>14.984957922441868</v>
      </c>
      <c r="N22" s="1"/>
      <c r="O22" s="7"/>
    </row>
    <row r="23" spans="1:15" x14ac:dyDescent="0.2">
      <c r="A23" s="7"/>
      <c r="B23" s="1"/>
      <c r="C23" s="18" t="s">
        <v>19</v>
      </c>
      <c r="D23" s="21" t="str">
        <f>[1]!s_info_name(C23)</f>
        <v>中国神华</v>
      </c>
      <c r="E23" s="30">
        <v>16.17217894080316</v>
      </c>
      <c r="F23" s="30">
        <v>25.649376784878513</v>
      </c>
      <c r="G23" s="30">
        <v>-9.4771978440753522</v>
      </c>
      <c r="H23" s="30">
        <v>24.746281002725464</v>
      </c>
      <c r="I23" s="30">
        <v>5.8459991559842024</v>
      </c>
      <c r="J23" s="30">
        <v>-1.6211425269150281</v>
      </c>
      <c r="K23" s="30">
        <v>1.4134275618374559</v>
      </c>
      <c r="L23" s="30">
        <v>45.028960580710645</v>
      </c>
      <c r="M23" s="31">
        <v>14.895616609604248</v>
      </c>
      <c r="N23" s="1"/>
      <c r="O23" s="7"/>
    </row>
    <row r="24" spans="1:15" ht="16.5" x14ac:dyDescent="0.35">
      <c r="A24" s="7"/>
      <c r="B24" s="1"/>
      <c r="C24" s="18" t="s">
        <v>20</v>
      </c>
      <c r="D24" s="21" t="str">
        <f>[1]!s_info_name(C24)</f>
        <v>中国电信</v>
      </c>
      <c r="E24" s="32">
        <v>48.020375561578511</v>
      </c>
      <c r="F24" s="32">
        <v>24.386504917375952</v>
      </c>
      <c r="G24" s="32">
        <v>23.63387064420256</v>
      </c>
      <c r="H24" s="32">
        <v>21.749924344943686</v>
      </c>
      <c r="I24" s="32">
        <v>9.2330798433130852</v>
      </c>
      <c r="J24" s="32">
        <v>2.5596952528596431</v>
      </c>
      <c r="K24" s="30">
        <v>97.173144876325082</v>
      </c>
      <c r="L24" s="30">
        <v>50.809039066819722</v>
      </c>
      <c r="M24" s="31">
        <v>12.486302701868356</v>
      </c>
      <c r="N24" s="1"/>
      <c r="O24" s="7"/>
    </row>
    <row r="25" spans="1:15" ht="16.5" x14ac:dyDescent="0.35">
      <c r="A25" s="7"/>
      <c r="B25" s="1"/>
      <c r="C25" s="18" t="s">
        <v>21</v>
      </c>
      <c r="D25" s="21" t="str">
        <f>[1]!s_info_name(C25)</f>
        <v>长江电力</v>
      </c>
      <c r="E25" s="32">
        <v>10.989232785288856</v>
      </c>
      <c r="F25" s="32">
        <v>16.302652000960247</v>
      </c>
      <c r="G25" s="32">
        <v>-5.3134192156713915</v>
      </c>
      <c r="H25" s="32">
        <v>15.40844930065683</v>
      </c>
      <c r="I25" s="32">
        <v>3.9887370169407519</v>
      </c>
      <c r="J25" s="32">
        <v>-1.3321056748300326</v>
      </c>
      <c r="K25" s="30">
        <v>7.4204946996466434</v>
      </c>
      <c r="L25" s="30">
        <v>29.186801987146652</v>
      </c>
      <c r="M25" s="31">
        <v>7.9100602856159332</v>
      </c>
      <c r="N25" s="1"/>
      <c r="O25" s="7"/>
    </row>
    <row r="26" spans="1:15" x14ac:dyDescent="0.2">
      <c r="A26" s="7"/>
      <c r="B26" s="1"/>
      <c r="C26" s="18" t="s">
        <v>22</v>
      </c>
      <c r="D26" s="21" t="str">
        <f>[1]!s_info_name(C26)</f>
        <v>中国石化</v>
      </c>
      <c r="E26" s="30">
        <v>9.8377034711738727</v>
      </c>
      <c r="F26" s="30">
        <v>22.978518444601875</v>
      </c>
      <c r="G26" s="30">
        <v>-13.140814973428002</v>
      </c>
      <c r="H26" s="30">
        <v>20.411230392721702</v>
      </c>
      <c r="I26" s="30">
        <v>8.1906281363143894</v>
      </c>
      <c r="J26" s="30">
        <v>-1.604372064599809</v>
      </c>
      <c r="K26" s="30">
        <v>1.0600706713780919</v>
      </c>
      <c r="L26" s="30">
        <v>44.649109104404786</v>
      </c>
      <c r="M26" s="31">
        <v>9.4049041759878964</v>
      </c>
      <c r="N26" s="1"/>
      <c r="O26" s="7"/>
    </row>
    <row r="27" spans="1:15" x14ac:dyDescent="0.2">
      <c r="A27" s="7"/>
      <c r="B27" s="1"/>
      <c r="C27" s="18" t="s">
        <v>23</v>
      </c>
      <c r="D27" s="21" t="str">
        <f>[1]!s_info_name(C27)</f>
        <v>美的集团</v>
      </c>
      <c r="E27" s="30">
        <v>22.051676533366972</v>
      </c>
      <c r="F27" s="31">
        <v>24.058198448022061</v>
      </c>
      <c r="G27" s="30">
        <v>-2.0065219146550888</v>
      </c>
      <c r="H27" s="31">
        <v>22.357773034637624</v>
      </c>
      <c r="I27" s="30">
        <v>8.2057681135932921</v>
      </c>
      <c r="J27" s="31">
        <v>-0.24452578806500494</v>
      </c>
      <c r="K27" s="30">
        <v>47.349823321554773</v>
      </c>
      <c r="L27" s="30">
        <v>50.116978640644241</v>
      </c>
      <c r="M27" s="31">
        <v>13.410562440696452</v>
      </c>
      <c r="N27" s="1"/>
      <c r="O27" s="7"/>
    </row>
    <row r="28" spans="1:15" x14ac:dyDescent="0.2">
      <c r="A28" s="7"/>
      <c r="B28" s="1"/>
      <c r="C28" s="18" t="s">
        <v>24</v>
      </c>
      <c r="D28" s="21" t="str">
        <f>[1]!s_info_name(C28)</f>
        <v>五粮液</v>
      </c>
      <c r="E28" s="30">
        <v>22.785485335856606</v>
      </c>
      <c r="F28" s="31">
        <v>29.323187117478678</v>
      </c>
      <c r="G28" s="30">
        <v>-6.5377017816220722</v>
      </c>
      <c r="H28" s="31">
        <v>25.88126258912591</v>
      </c>
      <c r="I28" s="30">
        <v>14.33743028155498</v>
      </c>
      <c r="J28" s="31">
        <v>-0.45598839214812348</v>
      </c>
      <c r="K28" s="30">
        <v>39.57597173144876</v>
      </c>
      <c r="L28" s="30">
        <v>79.838469677151451</v>
      </c>
      <c r="M28" s="31">
        <v>16.007436326691231</v>
      </c>
      <c r="N28" s="1"/>
      <c r="O28" s="7"/>
    </row>
    <row r="29" spans="1:15" x14ac:dyDescent="0.2">
      <c r="A29" s="7"/>
      <c r="B29" s="1"/>
      <c r="C29" s="18" t="s">
        <v>25</v>
      </c>
      <c r="D29" s="21" t="str">
        <f>[1]!s_info_name(C29)</f>
        <v>邮储银行</v>
      </c>
      <c r="E29" s="30">
        <v>15.913278582065322</v>
      </c>
      <c r="F29" s="30">
        <v>20.919460496553796</v>
      </c>
      <c r="G29" s="30">
        <v>-5.006181914488474</v>
      </c>
      <c r="H29" s="30">
        <v>19.109700534201419</v>
      </c>
      <c r="I29" s="30">
        <v>6.8379930469570196</v>
      </c>
      <c r="J29" s="30">
        <v>-0.73211275298331557</v>
      </c>
      <c r="K29" s="30">
        <v>18.374558303886925</v>
      </c>
      <c r="L29" s="30">
        <v>42.75073705626145</v>
      </c>
      <c r="M29" s="31">
        <v>12.602673253266888</v>
      </c>
      <c r="N29" s="1"/>
      <c r="O29" s="7"/>
    </row>
    <row r="30" spans="1:15" x14ac:dyDescent="0.2">
      <c r="A30" s="8"/>
      <c r="B30" s="1"/>
      <c r="C30" s="18" t="s">
        <v>26</v>
      </c>
      <c r="D30" s="21" t="str">
        <f>[1]!s_info_name(C30)</f>
        <v>交通银行</v>
      </c>
      <c r="E30" s="30">
        <v>13.898524780383546</v>
      </c>
      <c r="F30" s="30">
        <v>20.668059611459533</v>
      </c>
      <c r="G30" s="30">
        <v>-6.7695348310759869</v>
      </c>
      <c r="H30" s="30">
        <v>18.812573240961825</v>
      </c>
      <c r="I30" s="30">
        <v>7.9033494888503837</v>
      </c>
      <c r="J30" s="30">
        <v>-0.85653998227284256</v>
      </c>
      <c r="K30" s="30">
        <v>15.547703180212014</v>
      </c>
      <c r="L30" s="30">
        <v>44.586851046040067</v>
      </c>
      <c r="M30" s="31">
        <v>10.676123773098089</v>
      </c>
      <c r="N30" s="1"/>
      <c r="O30" s="7"/>
    </row>
    <row r="31" spans="1:15" x14ac:dyDescent="0.2">
      <c r="A31" s="7"/>
      <c r="B31" s="1"/>
      <c r="C31" s="18" t="s">
        <v>27</v>
      </c>
      <c r="D31" s="21" t="str">
        <f>[1]!s_info_name(C31)</f>
        <v>中芯国际</v>
      </c>
      <c r="E31" s="33">
        <v>41.139113808669038</v>
      </c>
      <c r="F31" s="33">
        <v>44.685357129456406</v>
      </c>
      <c r="G31" s="33">
        <v>-3.5462433207873687</v>
      </c>
      <c r="H31" s="33">
        <v>36.222553081665779</v>
      </c>
      <c r="I31" s="33">
        <v>26.686275067378123</v>
      </c>
      <c r="J31" s="33">
        <v>-0.13288641115456284</v>
      </c>
      <c r="K31" s="33">
        <v>61.837455830388691</v>
      </c>
      <c r="L31" s="33">
        <v>139.06891498387742</v>
      </c>
      <c r="M31" s="33">
        <v>20.896182940766682</v>
      </c>
      <c r="N31" s="1"/>
      <c r="O31" s="7"/>
    </row>
    <row r="32" spans="1:15" x14ac:dyDescent="0.2">
      <c r="A32" s="7"/>
      <c r="B32" s="1"/>
      <c r="C32" s="18" t="s">
        <v>28</v>
      </c>
      <c r="D32" s="21" t="str">
        <f>[1]!s_info_name(C32)</f>
        <v>兴业银行</v>
      </c>
      <c r="E32" s="33">
        <v>17.72343602067372</v>
      </c>
      <c r="F32" s="33">
        <v>21.523857977735517</v>
      </c>
      <c r="G32" s="33">
        <v>-3.800421957061797</v>
      </c>
      <c r="H32" s="33">
        <v>18.019233794368859</v>
      </c>
      <c r="I32" s="33">
        <v>10.649052669155825</v>
      </c>
      <c r="J32" s="33">
        <v>-0.35687887694174258</v>
      </c>
      <c r="K32" s="33">
        <v>49.823321554770317</v>
      </c>
      <c r="L32" s="33">
        <v>48.95086586901143</v>
      </c>
      <c r="M32" s="33">
        <v>9.6606278792429112</v>
      </c>
      <c r="N32" s="1"/>
      <c r="O32" s="7"/>
    </row>
    <row r="33" spans="1:15" x14ac:dyDescent="0.2">
      <c r="A33" s="7"/>
      <c r="B33" s="1"/>
      <c r="C33" s="18" t="s">
        <v>29</v>
      </c>
      <c r="D33" s="21" t="str">
        <f>[1]!s_info_name(C33)</f>
        <v>紫金矿业</v>
      </c>
      <c r="E33" s="33">
        <v>25.92845466691783</v>
      </c>
      <c r="F33" s="33">
        <v>31.382892252128791</v>
      </c>
      <c r="G33" s="33">
        <v>-5.454437585210961</v>
      </c>
      <c r="H33" s="33">
        <v>30.200070139551887</v>
      </c>
      <c r="I33" s="33">
        <v>7.7436605530572455</v>
      </c>
      <c r="J33" s="33">
        <v>-0.70437457166914619</v>
      </c>
      <c r="K33" s="33">
        <v>25.795053003533567</v>
      </c>
      <c r="L33" s="33">
        <v>48.028454377302339</v>
      </c>
      <c r="M33" s="33">
        <v>14.224907006159849</v>
      </c>
      <c r="N33" s="1"/>
      <c r="O33" s="7"/>
    </row>
    <row r="34" spans="1:15" x14ac:dyDescent="0.2">
      <c r="A34" s="7"/>
      <c r="B34" s="1"/>
      <c r="C34" s="18" t="s">
        <v>30</v>
      </c>
      <c r="D34" s="21" t="str">
        <f>[1]!s_info_name(C34)</f>
        <v>工业富联</v>
      </c>
      <c r="E34" s="33">
        <v>31.240063252029156</v>
      </c>
      <c r="F34" s="33">
        <v>54.170269953661581</v>
      </c>
      <c r="G34" s="33">
        <v>-22.930206701632425</v>
      </c>
      <c r="H34" s="33">
        <v>52.219331947718345</v>
      </c>
      <c r="I34" s="33">
        <v>13.198267088941849</v>
      </c>
      <c r="J34" s="33">
        <v>-1.7373649545889602</v>
      </c>
      <c r="K34" s="33">
        <v>1.7667844522968197</v>
      </c>
      <c r="L34" s="33">
        <v>85.550830457277044</v>
      </c>
      <c r="M34" s="33">
        <v>30.576489838303058</v>
      </c>
      <c r="N34" s="1"/>
      <c r="O34" s="7"/>
    </row>
    <row r="35" spans="1:15" x14ac:dyDescent="0.2">
      <c r="A35" s="7"/>
      <c r="B35" s="1"/>
      <c r="C35" s="18" t="s">
        <v>31</v>
      </c>
      <c r="D35" s="21" t="str">
        <f>[1]!s_info_name(C35)</f>
        <v>中信证券</v>
      </c>
      <c r="E35" s="33">
        <v>24.038414256639314</v>
      </c>
      <c r="F35" s="33">
        <v>29.305661972754152</v>
      </c>
      <c r="G35" s="33">
        <v>-5.2672477161148379</v>
      </c>
      <c r="H35" s="33">
        <v>24.308882738863407</v>
      </c>
      <c r="I35" s="33">
        <v>14.940745638196423</v>
      </c>
      <c r="J35" s="33">
        <v>-0.35254249310348845</v>
      </c>
      <c r="K35" s="33">
        <v>45.229681978798588</v>
      </c>
      <c r="L35" s="33">
        <v>76.720124618561954</v>
      </c>
      <c r="M35" s="33">
        <v>10.903648468424683</v>
      </c>
      <c r="N35" s="1"/>
      <c r="O35" s="7"/>
    </row>
    <row r="36" spans="1:15" x14ac:dyDescent="0.2">
      <c r="A36" s="8"/>
      <c r="B36" s="1"/>
      <c r="C36" s="18" t="s">
        <v>32</v>
      </c>
      <c r="D36" s="21" t="str">
        <f>[1]!s_info_name(C36)</f>
        <v>海光信息</v>
      </c>
      <c r="E36" s="33">
        <v>72.049377521038679</v>
      </c>
      <c r="F36" s="33">
        <v>52.639522230694936</v>
      </c>
      <c r="G36" s="33">
        <v>19.409855290343742</v>
      </c>
      <c r="H36" s="33">
        <v>46.531771072195326</v>
      </c>
      <c r="I36" s="33">
        <v>18.62065237063047</v>
      </c>
      <c r="J36" s="33">
        <v>1.0423832046270327</v>
      </c>
      <c r="K36" s="33">
        <v>89.045936395759711</v>
      </c>
      <c r="L36" s="33">
        <v>110.1937675457484</v>
      </c>
      <c r="M36" s="33">
        <v>30.201474482041405</v>
      </c>
      <c r="N36" s="1"/>
      <c r="O36" s="7"/>
    </row>
    <row r="37" spans="1:15" x14ac:dyDescent="0.2">
      <c r="A37" s="7"/>
      <c r="B37" s="1"/>
      <c r="C37" s="18" t="s">
        <v>33</v>
      </c>
      <c r="D37" s="21" t="str">
        <f>[1]!s_info_name(C37)</f>
        <v>中信银行</v>
      </c>
      <c r="E37" s="33">
        <v>21.955962965279387</v>
      </c>
      <c r="F37" s="33">
        <v>27.60780838201892</v>
      </c>
      <c r="G37" s="33">
        <v>-5.6518454167395333</v>
      </c>
      <c r="H37" s="33">
        <v>23.520166783420059</v>
      </c>
      <c r="I37" s="33">
        <v>11.369186363077231</v>
      </c>
      <c r="J37" s="33">
        <v>-0.49711960348319784</v>
      </c>
      <c r="K37" s="33">
        <v>32.155477031802121</v>
      </c>
      <c r="L37" s="33">
        <v>61.838059396525665</v>
      </c>
      <c r="M37" s="33">
        <v>12.453450119080262</v>
      </c>
      <c r="N37" s="1"/>
      <c r="O37" s="7"/>
    </row>
    <row r="38" spans="1:15" x14ac:dyDescent="0.2">
      <c r="A38" s="7"/>
      <c r="B38" s="1"/>
      <c r="C38" s="18" t="s">
        <v>34</v>
      </c>
      <c r="D38" s="21" t="str">
        <f>[1]!s_info_name(C38)</f>
        <v>东方财富</v>
      </c>
      <c r="E38" s="33">
        <v>35.370966363991464</v>
      </c>
      <c r="F38" s="33">
        <v>43.75579702885608</v>
      </c>
      <c r="G38" s="33">
        <v>-8.3848306648646158</v>
      </c>
      <c r="H38" s="33">
        <v>33.690483852052544</v>
      </c>
      <c r="I38" s="33">
        <v>31.099077294746948</v>
      </c>
      <c r="J38" s="33">
        <v>-0.26961670230264118</v>
      </c>
      <c r="K38" s="33">
        <v>61.130742049469966</v>
      </c>
      <c r="L38" s="33">
        <v>145.81386142805715</v>
      </c>
      <c r="M38" s="33">
        <v>13.516431714866808</v>
      </c>
      <c r="N38" s="1"/>
      <c r="O38" s="7"/>
    </row>
    <row r="39" spans="1:15" x14ac:dyDescent="0.2">
      <c r="A39" s="7"/>
      <c r="B39" s="1"/>
      <c r="C39" s="18" t="s">
        <v>35</v>
      </c>
      <c r="D39" s="21" t="str">
        <f>[1]!s_info_name(C39)</f>
        <v>寒武纪-U</v>
      </c>
      <c r="E39" s="33">
        <v>90.260063169916933</v>
      </c>
      <c r="F39" s="33">
        <v>73.731126175214271</v>
      </c>
      <c r="G39" s="33">
        <v>16.528936994702661</v>
      </c>
      <c r="H39" s="33">
        <v>70.588713142600213</v>
      </c>
      <c r="I39" s="33">
        <v>19.999166541312661</v>
      </c>
      <c r="J39" s="33">
        <v>0.8264812916357549</v>
      </c>
      <c r="K39" s="33">
        <v>82.332155477031804</v>
      </c>
      <c r="L39" s="33">
        <v>130.42474853203404</v>
      </c>
      <c r="M39" s="33">
        <v>41.021974228498912</v>
      </c>
      <c r="N39" s="1"/>
      <c r="O39" s="7"/>
    </row>
    <row r="40" spans="1:15" x14ac:dyDescent="0.2">
      <c r="A40" s="7"/>
      <c r="B40" s="1"/>
      <c r="C40" s="18" t="s">
        <v>36</v>
      </c>
      <c r="D40" s="21" t="str">
        <f>[1]!s_info_name(C40)</f>
        <v>海康威视</v>
      </c>
      <c r="E40" s="33">
        <v>35.721551969039453</v>
      </c>
      <c r="F40" s="33">
        <v>24.829818778502581</v>
      </c>
      <c r="G40" s="33">
        <v>10.891733190536872</v>
      </c>
      <c r="H40" s="33">
        <v>21.699800806792286</v>
      </c>
      <c r="I40" s="33">
        <v>10.804090536576247</v>
      </c>
      <c r="J40" s="33">
        <v>1.0081119881089406</v>
      </c>
      <c r="K40" s="33">
        <v>90.10600706713781</v>
      </c>
      <c r="L40" s="33">
        <v>63.265181744199424</v>
      </c>
      <c r="M40" s="33">
        <v>12.122354407679595</v>
      </c>
      <c r="N40" s="1"/>
      <c r="O40" s="7"/>
    </row>
    <row r="41" spans="1:15" x14ac:dyDescent="0.2">
      <c r="A41" s="7"/>
      <c r="B41" s="1"/>
      <c r="C41" s="18" t="s">
        <v>37</v>
      </c>
      <c r="D41" s="21" t="str">
        <f>[1]!s_info_name(C41)</f>
        <v>浦发银行</v>
      </c>
      <c r="E41" s="33">
        <v>15.403452982069226</v>
      </c>
      <c r="F41" s="33">
        <v>19.965602387653757</v>
      </c>
      <c r="G41" s="33">
        <v>-4.5621494055845311</v>
      </c>
      <c r="H41" s="33">
        <v>19.408396162062754</v>
      </c>
      <c r="I41" s="33">
        <v>7.2350458966687752</v>
      </c>
      <c r="J41" s="33">
        <v>-0.6305626074445605</v>
      </c>
      <c r="K41" s="33">
        <v>27.208480565371026</v>
      </c>
      <c r="L41" s="33">
        <v>43.675379134581895</v>
      </c>
      <c r="M41" s="33">
        <v>9.9097958757052655</v>
      </c>
      <c r="N41" s="1"/>
      <c r="O41" s="7"/>
    </row>
    <row r="42" spans="1:15" x14ac:dyDescent="0.2">
      <c r="A42" s="8"/>
      <c r="B42" s="1"/>
      <c r="C42" s="18" t="s">
        <v>38</v>
      </c>
      <c r="D42" s="21" t="str">
        <f>[1]!s_info_name(C42)</f>
        <v>迈瑞医疗</v>
      </c>
      <c r="E42" s="33">
        <v>22.157184183323572</v>
      </c>
      <c r="F42" s="33">
        <v>30.629406182165141</v>
      </c>
      <c r="G42" s="33">
        <v>-8.4722219988415688</v>
      </c>
      <c r="H42" s="33">
        <v>26.989617038587689</v>
      </c>
      <c r="I42" s="33">
        <v>15.124133012444599</v>
      </c>
      <c r="J42" s="33">
        <v>-0.56017901931108149</v>
      </c>
      <c r="K42" s="33">
        <v>29.681978798586574</v>
      </c>
      <c r="L42" s="33">
        <v>82.041926508738527</v>
      </c>
      <c r="M42" s="33">
        <v>11.17742258280256</v>
      </c>
      <c r="N42" s="1"/>
      <c r="O42" s="7"/>
    </row>
    <row r="43" spans="1:15" x14ac:dyDescent="0.2">
      <c r="A43" s="7"/>
      <c r="B43" s="1"/>
      <c r="C43" s="18" t="s">
        <v>39</v>
      </c>
      <c r="D43" s="21" t="str">
        <f>[1]!s_info_name(C43)</f>
        <v>立讯精密</v>
      </c>
      <c r="E43" s="33">
        <v>33.70418255402771</v>
      </c>
      <c r="F43" s="33">
        <v>39.32744549202593</v>
      </c>
      <c r="G43" s="33">
        <v>-5.62326293799822</v>
      </c>
      <c r="H43" s="33">
        <v>38.28810982281297</v>
      </c>
      <c r="I43" s="33">
        <v>7.9620781368413951</v>
      </c>
      <c r="J43" s="33">
        <v>-0.70625568367368508</v>
      </c>
      <c r="K43" s="33">
        <v>17.667844522968199</v>
      </c>
      <c r="L43" s="33">
        <v>65.657883673581409</v>
      </c>
      <c r="M43" s="33">
        <v>26.579709780697144</v>
      </c>
      <c r="N43" s="1"/>
      <c r="O43" s="7"/>
    </row>
    <row r="44" spans="1:15" x14ac:dyDescent="0.2">
      <c r="A44" s="7"/>
      <c r="B44" s="1"/>
      <c r="C44" s="18" t="s">
        <v>40</v>
      </c>
      <c r="D44" s="21" t="str">
        <f>[1]!s_info_name(C44)</f>
        <v>恒瑞医药</v>
      </c>
      <c r="E44" s="33">
        <v>28.42198924255073</v>
      </c>
      <c r="F44" s="33">
        <v>30.269149620625353</v>
      </c>
      <c r="G44" s="33">
        <v>-1.8471603780746229</v>
      </c>
      <c r="H44" s="33">
        <v>28.302545102138922</v>
      </c>
      <c r="I44" s="33">
        <v>10.315040532236237</v>
      </c>
      <c r="J44" s="33">
        <v>-0.17907446629045576</v>
      </c>
      <c r="K44" s="33">
        <v>51.236749116607776</v>
      </c>
      <c r="L44" s="33">
        <v>63.343888717972412</v>
      </c>
      <c r="M44" s="33">
        <v>15.42404773954682</v>
      </c>
      <c r="N44" s="1"/>
      <c r="O44" s="7"/>
    </row>
    <row r="45" spans="1:15" x14ac:dyDescent="0.2">
      <c r="A45" s="7"/>
      <c r="B45" s="1"/>
      <c r="C45" s="18" t="s">
        <v>41</v>
      </c>
      <c r="D45" s="21" t="str">
        <f>[1]!s_info_name(C45)</f>
        <v>京沪高铁</v>
      </c>
      <c r="E45" s="33">
        <v>14.036364966634292</v>
      </c>
      <c r="F45" s="33">
        <v>18.817367168705601</v>
      </c>
      <c r="G45" s="33">
        <v>-4.7810022020713099</v>
      </c>
      <c r="H45" s="33">
        <v>16.051327605046374</v>
      </c>
      <c r="I45" s="33">
        <v>7.0883347307478326</v>
      </c>
      <c r="J45" s="33">
        <v>-0.67448877397567608</v>
      </c>
      <c r="K45" s="33">
        <v>25.795053003533567</v>
      </c>
      <c r="L45" s="33">
        <v>42.428182009519787</v>
      </c>
      <c r="M45" s="33">
        <v>9.4921822416307204</v>
      </c>
      <c r="N45" s="1"/>
      <c r="O45" s="7"/>
    </row>
    <row r="46" spans="1:15" x14ac:dyDescent="0.2">
      <c r="A46" s="7"/>
      <c r="B46" s="1"/>
      <c r="C46" s="18" t="s">
        <v>42</v>
      </c>
      <c r="D46" s="21" t="str">
        <f>[1]!s_info_name(C46)</f>
        <v>中国太保</v>
      </c>
      <c r="E46" s="33">
        <v>26.845799905118191</v>
      </c>
      <c r="F46" s="33">
        <v>33.227980031002929</v>
      </c>
      <c r="G46" s="33">
        <v>-6.3821801258847373</v>
      </c>
      <c r="H46" s="33">
        <v>31.884514437593655</v>
      </c>
      <c r="I46" s="33">
        <v>10.477233751997716</v>
      </c>
      <c r="J46" s="33">
        <v>-0.6091474407228753</v>
      </c>
      <c r="K46" s="33">
        <v>22.968197879858657</v>
      </c>
      <c r="L46" s="33">
        <v>65.473531374822755</v>
      </c>
      <c r="M46" s="33">
        <v>12.699032527876783</v>
      </c>
      <c r="N46" s="1"/>
      <c r="O46" s="7"/>
    </row>
    <row r="47" spans="1:15" x14ac:dyDescent="0.2">
      <c r="A47" s="7"/>
      <c r="B47" s="1"/>
      <c r="C47" s="18" t="s">
        <v>43</v>
      </c>
      <c r="D47" s="21" t="str">
        <f>[1]!s_info_name(C47)</f>
        <v>中国人保</v>
      </c>
      <c r="E47" s="33">
        <v>21.849194212072522</v>
      </c>
      <c r="F47" s="33">
        <v>25.67311323858226</v>
      </c>
      <c r="G47" s="33">
        <v>-3.8239190265097385</v>
      </c>
      <c r="H47" s="33">
        <v>22.455454894340438</v>
      </c>
      <c r="I47" s="33">
        <v>12.857804702631588</v>
      </c>
      <c r="J47" s="33">
        <v>-0.29740061503089266</v>
      </c>
      <c r="K47" s="33">
        <v>45.229681978798588</v>
      </c>
      <c r="L47" s="33">
        <v>67.222105116239021</v>
      </c>
      <c r="M47" s="33">
        <v>10.891525137593428</v>
      </c>
      <c r="N47" s="1"/>
      <c r="O47" s="7"/>
    </row>
    <row r="48" spans="1:15" x14ac:dyDescent="0.2">
      <c r="A48" s="8"/>
      <c r="B48" s="1"/>
      <c r="C48" s="18" t="s">
        <v>44</v>
      </c>
      <c r="D48" s="21" t="str">
        <f>[1]!s_info_name(C48)</f>
        <v>山西汾酒</v>
      </c>
      <c r="E48" s="33">
        <v>36.33353893027374</v>
      </c>
      <c r="F48" s="33">
        <v>34.141757985965242</v>
      </c>
      <c r="G48" s="33">
        <v>2.1917809443084977</v>
      </c>
      <c r="H48" s="33">
        <v>30.330243384567186</v>
      </c>
      <c r="I48" s="33">
        <v>15.280327652751005</v>
      </c>
      <c r="J48" s="33">
        <v>0.14343808549903042</v>
      </c>
      <c r="K48" s="33">
        <v>73.4982332155477</v>
      </c>
      <c r="L48" s="33">
        <v>84.263588194429218</v>
      </c>
      <c r="M48" s="33">
        <v>13.777106379926227</v>
      </c>
      <c r="N48" s="1"/>
      <c r="O48" s="7"/>
    </row>
    <row r="49" spans="1:15" x14ac:dyDescent="0.2">
      <c r="A49" s="7"/>
      <c r="B49" s="1"/>
      <c r="C49" s="18" t="s">
        <v>45</v>
      </c>
      <c r="D49" s="21" t="str">
        <f>[1]!s_info_name(C49)</f>
        <v>北方华创</v>
      </c>
      <c r="E49" s="33">
        <v>40.823799423701423</v>
      </c>
      <c r="F49" s="33">
        <v>38.373799291381175</v>
      </c>
      <c r="G49" s="33">
        <v>2.4500001323202483</v>
      </c>
      <c r="H49" s="33">
        <v>36.081367723051798</v>
      </c>
      <c r="I49" s="33">
        <v>11.525079814312633</v>
      </c>
      <c r="J49" s="33">
        <v>0.21257988419981877</v>
      </c>
      <c r="K49" s="33">
        <v>74.204946996466433</v>
      </c>
      <c r="L49" s="33">
        <v>74.352103044598351</v>
      </c>
      <c r="M49" s="33">
        <v>20.099874942447023</v>
      </c>
      <c r="N49" s="1"/>
      <c r="O49" s="7"/>
    </row>
    <row r="50" spans="1:15" x14ac:dyDescent="0.2">
      <c r="A50" s="7"/>
      <c r="B50" s="1"/>
      <c r="C50" s="18" t="s">
        <v>46</v>
      </c>
      <c r="D50" s="21" t="str">
        <f>[1]!s_info_name(C50)</f>
        <v>海尔智家</v>
      </c>
      <c r="E50" s="33">
        <v>19.411490187785255</v>
      </c>
      <c r="F50" s="33">
        <v>27.858502048788459</v>
      </c>
      <c r="G50" s="33">
        <v>-8.4470118610032046</v>
      </c>
      <c r="H50" s="33">
        <v>26.673098642415283</v>
      </c>
      <c r="I50" s="33">
        <v>8.2997776445183362</v>
      </c>
      <c r="J50" s="33">
        <v>-1.0177395374660561</v>
      </c>
      <c r="K50" s="33">
        <v>15.19434628975265</v>
      </c>
      <c r="L50" s="33">
        <v>47.011861319497378</v>
      </c>
      <c r="M50" s="33">
        <v>13.771851773329905</v>
      </c>
      <c r="N50" s="1"/>
      <c r="O50" s="7"/>
    </row>
    <row r="51" spans="1:15" x14ac:dyDescent="0.2">
      <c r="A51" s="7"/>
      <c r="B51" s="1"/>
      <c r="C51" s="18" t="s">
        <v>47</v>
      </c>
      <c r="D51" s="21" t="str">
        <f>[1]!s_info_name(C51)</f>
        <v>格力电器</v>
      </c>
      <c r="E51" s="33">
        <v>19.24918305403347</v>
      </c>
      <c r="F51" s="33">
        <v>24.108090824832853</v>
      </c>
      <c r="G51" s="33">
        <v>-4.8589077707993837</v>
      </c>
      <c r="H51" s="33">
        <v>21.903159157840079</v>
      </c>
      <c r="I51" s="33">
        <v>9.3129897579546626</v>
      </c>
      <c r="J51" s="33">
        <v>-0.52173446949720548</v>
      </c>
      <c r="K51" s="33">
        <v>36.042402826855124</v>
      </c>
      <c r="L51" s="33">
        <v>55.315960816508422</v>
      </c>
      <c r="M51" s="33">
        <v>13.466996777126232</v>
      </c>
      <c r="N51" s="1"/>
      <c r="O51" s="7"/>
    </row>
    <row r="52" spans="1:15" x14ac:dyDescent="0.2">
      <c r="A52" s="7"/>
      <c r="B52" s="1"/>
      <c r="C52" s="18" t="s">
        <v>48</v>
      </c>
      <c r="D52" s="21" t="str">
        <f>[1]!s_info_name(C52)</f>
        <v>平安银行</v>
      </c>
      <c r="E52" s="33">
        <v>11.717759894457609</v>
      </c>
      <c r="F52" s="33">
        <v>22.031096964169166</v>
      </c>
      <c r="G52" s="33">
        <v>-10.313337069711556</v>
      </c>
      <c r="H52" s="33">
        <v>19.08950714813875</v>
      </c>
      <c r="I52" s="33">
        <v>11.159682162553834</v>
      </c>
      <c r="J52" s="33">
        <v>-0.92416046617508718</v>
      </c>
      <c r="K52" s="33">
        <v>2.8268551236749118</v>
      </c>
      <c r="L52" s="33">
        <v>57.463577639569436</v>
      </c>
      <c r="M52" s="33">
        <v>11.011035473110077</v>
      </c>
      <c r="N52" s="1"/>
      <c r="O52" s="7"/>
    </row>
    <row r="53" spans="1:15" x14ac:dyDescent="0.2">
      <c r="A53" s="7"/>
      <c r="B53" s="1"/>
      <c r="C53" s="18" t="s">
        <v>49</v>
      </c>
      <c r="D53" s="21" t="str">
        <f>[1]!s_info_name(C53)</f>
        <v>海天味业</v>
      </c>
      <c r="E53" s="33">
        <v>17.617908474447123</v>
      </c>
      <c r="F53" s="33">
        <v>28.769582973534444</v>
      </c>
      <c r="G53" s="33">
        <v>-11.151674499087321</v>
      </c>
      <c r="H53" s="33">
        <v>26.363360268076043</v>
      </c>
      <c r="I53" s="33">
        <v>12.866368504752794</v>
      </c>
      <c r="J53" s="33">
        <v>-0.86673053822202661</v>
      </c>
      <c r="K53" s="33">
        <v>12.014134275618375</v>
      </c>
      <c r="L53" s="33">
        <v>71.39718116872406</v>
      </c>
      <c r="M53" s="33">
        <v>15.168118465958553</v>
      </c>
      <c r="N53" s="1"/>
      <c r="O53" s="7"/>
    </row>
    <row r="54" spans="1:15" x14ac:dyDescent="0.2">
      <c r="A54" s="8"/>
      <c r="B54" s="1"/>
      <c r="C54" s="18" t="s">
        <v>50</v>
      </c>
      <c r="D54" s="21" t="str">
        <f>[1]!s_info_name(C54)</f>
        <v>中国建筑</v>
      </c>
      <c r="E54" s="33">
        <v>14.876875977642467</v>
      </c>
      <c r="F54" s="33">
        <v>24.76658185287803</v>
      </c>
      <c r="G54" s="33">
        <v>-9.8897058752355633</v>
      </c>
      <c r="H54" s="33">
        <v>20.79142221244177</v>
      </c>
      <c r="I54" s="33">
        <v>13.051380970535027</v>
      </c>
      <c r="J54" s="33">
        <v>-0.75775168141690874</v>
      </c>
      <c r="K54" s="33">
        <v>12.367491166077739</v>
      </c>
      <c r="L54" s="33">
        <v>69.653300276069018</v>
      </c>
      <c r="M54" s="33">
        <v>10.654931092657328</v>
      </c>
      <c r="N54" s="1"/>
      <c r="O54" s="7"/>
    </row>
    <row r="55" spans="1:15" x14ac:dyDescent="0.2">
      <c r="A55" s="7"/>
      <c r="B55" s="1"/>
      <c r="C55" s="18" t="s">
        <v>51</v>
      </c>
      <c r="D55" s="21" t="str">
        <f>[1]!s_info_name(C55)</f>
        <v>万华化学</v>
      </c>
      <c r="E55" s="33">
        <v>21.184715646831108</v>
      </c>
      <c r="F55" s="33">
        <v>27.426632083954964</v>
      </c>
      <c r="G55" s="33">
        <v>-6.2419164371238551</v>
      </c>
      <c r="H55" s="33">
        <v>25.253683697065362</v>
      </c>
      <c r="I55" s="33">
        <v>9.2410916989226504</v>
      </c>
      <c r="J55" s="33">
        <v>-0.67545227777055317</v>
      </c>
      <c r="K55" s="33">
        <v>21.201413427561839</v>
      </c>
      <c r="L55" s="33">
        <v>59.656537622578973</v>
      </c>
      <c r="M55" s="33">
        <v>15.620666911096492</v>
      </c>
      <c r="N55" s="1"/>
      <c r="O55" s="7"/>
    </row>
    <row r="56" spans="1:15" x14ac:dyDescent="0.2">
      <c r="A56" s="7"/>
      <c r="B56" s="1"/>
      <c r="C56" s="18" t="s">
        <v>52</v>
      </c>
      <c r="D56" s="21" t="str">
        <f>[1]!s_info_name(C56)</f>
        <v>中远海控</v>
      </c>
      <c r="E56" s="33">
        <v>15.901705025407246</v>
      </c>
      <c r="F56" s="33">
        <v>30.307881197435549</v>
      </c>
      <c r="G56" s="33">
        <v>-14.406176172028303</v>
      </c>
      <c r="H56" s="33">
        <v>26.704700211069014</v>
      </c>
      <c r="I56" s="33">
        <v>12.417602608288197</v>
      </c>
      <c r="J56" s="33">
        <v>-1.1601415044811325</v>
      </c>
      <c r="K56" s="33">
        <v>4.946996466431095</v>
      </c>
      <c r="L56" s="33">
        <v>59.314767688257611</v>
      </c>
      <c r="M56" s="33">
        <v>12.215649129377274</v>
      </c>
      <c r="N56" s="1"/>
      <c r="O56" s="7"/>
    </row>
    <row r="57" spans="1:15" x14ac:dyDescent="0.2">
      <c r="A57" s="7"/>
      <c r="B57" s="1"/>
      <c r="C57" s="18" t="s">
        <v>53</v>
      </c>
      <c r="D57" s="21" t="str">
        <f>[1]!s_info_name(C57)</f>
        <v>汇川技术</v>
      </c>
      <c r="E57" s="33">
        <v>49.612499039783621</v>
      </c>
      <c r="F57" s="33">
        <v>37.922924204149915</v>
      </c>
      <c r="G57" s="33">
        <v>11.689574835633707</v>
      </c>
      <c r="H57" s="33">
        <v>29.972254148934123</v>
      </c>
      <c r="I57" s="33">
        <v>21.867118014918056</v>
      </c>
      <c r="J57" s="33">
        <v>0.53457318095868478</v>
      </c>
      <c r="K57" s="33">
        <v>83.745583038869256</v>
      </c>
      <c r="L57" s="33">
        <v>112.55612584651966</v>
      </c>
      <c r="M57" s="33">
        <v>15.240363191984946</v>
      </c>
      <c r="N57" s="1"/>
      <c r="O57" s="7"/>
    </row>
    <row r="58" spans="1:15" x14ac:dyDescent="0.2">
      <c r="A58" s="7"/>
      <c r="B58" s="1"/>
      <c r="C58" s="18" t="s">
        <v>54</v>
      </c>
      <c r="D58" s="21" t="str">
        <f>[1]!s_info_name(C58)</f>
        <v>光大银行</v>
      </c>
      <c r="E58" s="33">
        <v>15.327954222180709</v>
      </c>
      <c r="F58" s="33">
        <v>20.342112196670953</v>
      </c>
      <c r="G58" s="33">
        <v>-5.014157974490244</v>
      </c>
      <c r="H58" s="33">
        <v>17.715283182799883</v>
      </c>
      <c r="I58" s="33">
        <v>8.2454197414715811</v>
      </c>
      <c r="J58" s="33">
        <v>-0.60811433883356847</v>
      </c>
      <c r="K58" s="33">
        <v>30.3886925795053</v>
      </c>
      <c r="L58" s="33">
        <v>44.524272204415908</v>
      </c>
      <c r="M58" s="33">
        <v>8.7505325892507457</v>
      </c>
      <c r="N58" s="1"/>
      <c r="O58" s="7"/>
    </row>
    <row r="59" spans="1:15" x14ac:dyDescent="0.2">
      <c r="A59" s="7"/>
      <c r="B59" s="1"/>
      <c r="C59" s="18" t="s">
        <v>56</v>
      </c>
      <c r="D59" s="21" t="str">
        <f>[1]!s_info_name(C59)</f>
        <v>顺丰控股</v>
      </c>
      <c r="E59" s="33">
        <v>16.782570085576133</v>
      </c>
      <c r="F59" s="33">
        <v>25.116385608131726</v>
      </c>
      <c r="G59" s="33">
        <v>-8.333815522555593</v>
      </c>
      <c r="H59" s="33">
        <v>22.961895506413285</v>
      </c>
      <c r="I59" s="33">
        <v>8.0387320456695424</v>
      </c>
      <c r="J59" s="33">
        <v>-1.0367077140038536</v>
      </c>
      <c r="K59" s="33">
        <v>6.3604240282685511</v>
      </c>
      <c r="L59" s="33">
        <v>48.576212774279128</v>
      </c>
      <c r="M59" s="33">
        <v>13.873634357658592</v>
      </c>
      <c r="N59" s="1"/>
      <c r="O59" s="7"/>
    </row>
    <row r="60" spans="1:15" x14ac:dyDescent="0.2">
      <c r="A60" s="8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7"/>
    </row>
    <row r="61" spans="1:15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298"/>
  <sheetViews>
    <sheetView workbookViewId="0">
      <selection activeCell="B14" sqref="B14"/>
    </sheetView>
  </sheetViews>
  <sheetFormatPr defaultRowHeight="14.25" x14ac:dyDescent="0.2"/>
  <cols>
    <col min="1" max="1" width="12.875" customWidth="1"/>
    <col min="2" max="2" width="20.375" customWidth="1"/>
    <col min="3" max="3" width="19.25" customWidth="1"/>
    <col min="4" max="4" width="14.75" customWidth="1"/>
    <col min="5" max="10" width="9.125" bestFit="1" customWidth="1"/>
    <col min="11" max="19" width="11.125" bestFit="1" customWidth="1"/>
    <col min="20" max="22" width="9.125" bestFit="1" customWidth="1"/>
    <col min="23" max="23" width="9.375" bestFit="1" customWidth="1"/>
    <col min="24" max="24" width="9.125" bestFit="1" customWidth="1"/>
    <col min="25" max="26" width="9.375" bestFit="1" customWidth="1"/>
    <col min="27" max="34" width="9.125" bestFit="1" customWidth="1"/>
    <col min="35" max="36" width="9.375" bestFit="1" customWidth="1"/>
    <col min="37" max="39" width="9.125" bestFit="1" customWidth="1"/>
    <col min="40" max="40" width="9.375" bestFit="1" customWidth="1"/>
    <col min="41" max="41" width="9.125" bestFit="1" customWidth="1"/>
    <col min="42" max="42" width="9.375" bestFit="1" customWidth="1"/>
    <col min="43" max="45" width="9.125" bestFit="1" customWidth="1"/>
    <col min="46" max="49" width="9.375" bestFit="1" customWidth="1"/>
    <col min="50" max="50" width="9.125" bestFit="1" customWidth="1"/>
    <col min="51" max="51" width="9.375" bestFit="1" customWidth="1"/>
  </cols>
  <sheetData>
    <row r="1" spans="1:51" x14ac:dyDescent="0.2">
      <c r="A1" s="27" t="s">
        <v>66</v>
      </c>
      <c r="B1" s="22" t="str">
        <f t="array" ref="B1:AY1">TRANSPOSE(统计区域!C10:C59)</f>
        <v>601398.SH</v>
      </c>
      <c r="C1" s="22" t="str">
        <v>600519.SH</v>
      </c>
      <c r="D1" s="22" t="str">
        <v>601288.SH</v>
      </c>
      <c r="E1" s="22" t="str">
        <v>600941.SH</v>
      </c>
      <c r="F1" s="22" t="str">
        <v>601939.SH</v>
      </c>
      <c r="G1" s="22" t="str">
        <v>601988.SH</v>
      </c>
      <c r="H1" t="str">
        <v>601857.SH</v>
      </c>
      <c r="I1" t="str">
        <v>300750.SZ</v>
      </c>
      <c r="J1" t="str">
        <v>600036.SH</v>
      </c>
      <c r="K1" t="str">
        <v>002594.SZ</v>
      </c>
      <c r="L1" t="str">
        <v>601628.SH</v>
      </c>
      <c r="M1" t="str">
        <v>601318.SH</v>
      </c>
      <c r="N1" t="str">
        <v>600938.SH</v>
      </c>
      <c r="O1" t="str">
        <v>601088.SH</v>
      </c>
      <c r="P1" t="str">
        <v>601728.SH</v>
      </c>
      <c r="Q1" t="str">
        <v>600900.SH</v>
      </c>
      <c r="R1" t="str">
        <v>600028.SH</v>
      </c>
      <c r="S1" t="str">
        <v>000333.SZ</v>
      </c>
      <c r="T1" t="str">
        <v>000858.SZ</v>
      </c>
      <c r="U1" t="str">
        <v>601658.SH</v>
      </c>
      <c r="V1" t="str">
        <v>601328.SH</v>
      </c>
      <c r="W1" t="str">
        <v>688981.SH</v>
      </c>
      <c r="X1" t="str">
        <v>601166.SH</v>
      </c>
      <c r="Y1" t="str">
        <v>601899.SH</v>
      </c>
      <c r="Z1" t="str">
        <v>601138.SH</v>
      </c>
      <c r="AA1" t="str">
        <v>600030.SH</v>
      </c>
      <c r="AB1" t="str">
        <v>688041.SH</v>
      </c>
      <c r="AC1" t="str">
        <v>601998.SH</v>
      </c>
      <c r="AD1" t="str">
        <v>300059.SZ</v>
      </c>
      <c r="AE1" t="str">
        <v>688256.SH</v>
      </c>
      <c r="AF1" t="str">
        <v>002415.SZ</v>
      </c>
      <c r="AG1" t="str">
        <v>600000.SH</v>
      </c>
      <c r="AH1" t="str">
        <v>300760.SZ</v>
      </c>
      <c r="AI1" t="str">
        <v>002475.SZ</v>
      </c>
      <c r="AJ1" t="str">
        <v>600276.SH</v>
      </c>
      <c r="AK1" t="str">
        <v>601816.SH</v>
      </c>
      <c r="AL1" t="str">
        <v>601601.SH</v>
      </c>
      <c r="AM1" t="str">
        <v>601319.SH</v>
      </c>
      <c r="AN1" t="str">
        <v>600809.SH</v>
      </c>
      <c r="AO1" t="str">
        <v>002371.SZ</v>
      </c>
      <c r="AP1" t="str">
        <v>600690.SH</v>
      </c>
      <c r="AQ1" t="str">
        <v>000651.SZ</v>
      </c>
      <c r="AR1" t="str">
        <v>000001.SZ</v>
      </c>
      <c r="AS1" t="str">
        <v>603288.SH</v>
      </c>
      <c r="AT1" t="str">
        <v>601668.SH</v>
      </c>
      <c r="AU1" t="str">
        <v>600309.SH</v>
      </c>
      <c r="AV1" t="str">
        <v>601919.SH</v>
      </c>
      <c r="AW1" t="str">
        <v>300124.SZ</v>
      </c>
      <c r="AX1" t="str">
        <v>601818.SH</v>
      </c>
      <c r="AY1" t="str">
        <v>002352.SZ</v>
      </c>
    </row>
    <row r="2" spans="1:51" x14ac:dyDescent="0.2">
      <c r="A2" s="28" t="s">
        <v>57</v>
      </c>
      <c r="B2" s="29">
        <f ca="1">B14</f>
        <v>16.832148987895422</v>
      </c>
      <c r="C2" s="29">
        <f t="shared" ref="C2:AY2" si="0">C14</f>
        <v>18.363617771669659</v>
      </c>
      <c r="D2" s="29">
        <f t="shared" si="0"/>
        <v>14.338316619019119</v>
      </c>
      <c r="E2" s="29">
        <f t="shared" si="0"/>
        <v>23.225463803441475</v>
      </c>
      <c r="F2" s="29">
        <f t="shared" si="0"/>
        <v>18.835159390819161</v>
      </c>
      <c r="G2" s="29">
        <f t="shared" si="0"/>
        <v>16.073433082157742</v>
      </c>
      <c r="H2" s="29">
        <f t="shared" si="0"/>
        <v>13.679399108489712</v>
      </c>
      <c r="I2" s="29">
        <f t="shared" si="0"/>
        <v>30.536361937298114</v>
      </c>
      <c r="J2" s="29">
        <f t="shared" si="0"/>
        <v>16.763960476460735</v>
      </c>
      <c r="K2" s="29">
        <f t="shared" si="0"/>
        <v>40.560222409319309</v>
      </c>
      <c r="L2" s="29">
        <f t="shared" si="0"/>
        <v>25.126446344067897</v>
      </c>
      <c r="M2" s="29">
        <f t="shared" si="0"/>
        <v>18.982414936117998</v>
      </c>
      <c r="N2" s="29">
        <f t="shared" si="0"/>
        <v>17.667834203314431</v>
      </c>
      <c r="O2" s="29">
        <f t="shared" si="0"/>
        <v>16.17217894080316</v>
      </c>
      <c r="P2" s="29">
        <f t="shared" si="0"/>
        <v>48.020375561578511</v>
      </c>
      <c r="Q2" s="29">
        <f t="shared" si="0"/>
        <v>10.989232785288856</v>
      </c>
      <c r="R2" s="29">
        <f t="shared" si="0"/>
        <v>9.8377034711738727</v>
      </c>
      <c r="S2" s="29">
        <f t="shared" si="0"/>
        <v>22.051676533366972</v>
      </c>
      <c r="T2" s="29">
        <f t="shared" si="0"/>
        <v>22.785485335856606</v>
      </c>
      <c r="U2" s="29">
        <f t="shared" si="0"/>
        <v>15.913278582065322</v>
      </c>
      <c r="V2" s="29">
        <f t="shared" si="0"/>
        <v>13.898524780383546</v>
      </c>
      <c r="W2" s="29">
        <f t="shared" si="0"/>
        <v>41.139113808669038</v>
      </c>
      <c r="X2" s="29">
        <f t="shared" si="0"/>
        <v>17.72343602067372</v>
      </c>
      <c r="Y2" s="29">
        <f t="shared" si="0"/>
        <v>25.92845466691783</v>
      </c>
      <c r="Z2" s="29">
        <f t="shared" si="0"/>
        <v>31.240063252029156</v>
      </c>
      <c r="AA2" s="29">
        <f t="shared" si="0"/>
        <v>24.038414256639314</v>
      </c>
      <c r="AB2" s="29">
        <f t="shared" si="0"/>
        <v>72.049377521038679</v>
      </c>
      <c r="AC2" s="29">
        <f t="shared" si="0"/>
        <v>21.955962965279387</v>
      </c>
      <c r="AD2" s="29">
        <f t="shared" si="0"/>
        <v>35.370966363991464</v>
      </c>
      <c r="AE2" s="29">
        <f t="shared" si="0"/>
        <v>90.260063169916933</v>
      </c>
      <c r="AF2" s="29">
        <f t="shared" si="0"/>
        <v>35.721551969039453</v>
      </c>
      <c r="AG2" s="29">
        <f t="shared" si="0"/>
        <v>15.403452982069226</v>
      </c>
      <c r="AH2" s="29">
        <f t="shared" si="0"/>
        <v>22.157184183323572</v>
      </c>
      <c r="AI2" s="29">
        <f t="shared" si="0"/>
        <v>33.70418255402771</v>
      </c>
      <c r="AJ2" s="29">
        <f t="shared" si="0"/>
        <v>28.42198924255073</v>
      </c>
      <c r="AK2" s="29">
        <f t="shared" si="0"/>
        <v>14.036364966634292</v>
      </c>
      <c r="AL2" s="29">
        <f t="shared" si="0"/>
        <v>26.845799905118191</v>
      </c>
      <c r="AM2" s="29">
        <f t="shared" si="0"/>
        <v>21.849194212072522</v>
      </c>
      <c r="AN2" s="29">
        <f t="shared" si="0"/>
        <v>36.33353893027374</v>
      </c>
      <c r="AO2" s="29">
        <f t="shared" si="0"/>
        <v>40.823799423701423</v>
      </c>
      <c r="AP2" s="29">
        <f t="shared" si="0"/>
        <v>19.411490187785255</v>
      </c>
      <c r="AQ2" s="29">
        <f t="shared" si="0"/>
        <v>19.24918305403347</v>
      </c>
      <c r="AR2" s="29">
        <f t="shared" si="0"/>
        <v>11.717759894457609</v>
      </c>
      <c r="AS2" s="29">
        <f t="shared" si="0"/>
        <v>17.617908474447123</v>
      </c>
      <c r="AT2" s="29">
        <f t="shared" si="0"/>
        <v>14.876875977642467</v>
      </c>
      <c r="AU2" s="29">
        <f t="shared" si="0"/>
        <v>21.184715646831108</v>
      </c>
      <c r="AV2" s="29">
        <f t="shared" si="0"/>
        <v>15.901705025407246</v>
      </c>
      <c r="AW2" s="29">
        <f t="shared" si="0"/>
        <v>49.612499039783621</v>
      </c>
      <c r="AX2" s="29">
        <f t="shared" si="0"/>
        <v>15.327954222180709</v>
      </c>
      <c r="AY2" s="29">
        <f t="shared" si="0"/>
        <v>16.782570085576133</v>
      </c>
    </row>
    <row r="3" spans="1:51" x14ac:dyDescent="0.2">
      <c r="A3" s="28" t="s">
        <v>58</v>
      </c>
      <c r="B3" s="29">
        <f ca="1">SUM(B14:B1500)/COUNT(B14:B1500)</f>
        <v>18.731716720761458</v>
      </c>
      <c r="C3" s="29">
        <f t="shared" ref="C3:AY3" si="1">SUM(C14:C1500)/COUNT(C14:C1500)</f>
        <v>23.097991946015796</v>
      </c>
      <c r="D3" s="29">
        <f t="shared" si="1"/>
        <v>19.682840273311324</v>
      </c>
      <c r="E3" s="29">
        <f t="shared" si="1"/>
        <v>20.944264531282744</v>
      </c>
      <c r="F3" s="29">
        <f t="shared" si="1"/>
        <v>19.092021360846463</v>
      </c>
      <c r="G3" s="29">
        <f t="shared" si="1"/>
        <v>19.586399001036192</v>
      </c>
      <c r="H3" s="29">
        <f t="shared" si="1"/>
        <v>29.892310429170884</v>
      </c>
      <c r="I3" s="29">
        <f t="shared" si="1"/>
        <v>38.492738809384093</v>
      </c>
      <c r="J3" s="29">
        <f t="shared" si="1"/>
        <v>21.834954789250705</v>
      </c>
      <c r="K3" s="29">
        <f t="shared" si="1"/>
        <v>33.006258112602531</v>
      </c>
      <c r="L3" s="29">
        <f t="shared" si="1"/>
        <v>31.541959450059853</v>
      </c>
      <c r="M3" s="29">
        <f t="shared" si="1"/>
        <v>25.042761819753149</v>
      </c>
      <c r="N3" s="29">
        <f t="shared" si="1"/>
        <v>31.453710812655338</v>
      </c>
      <c r="O3" s="29">
        <f t="shared" si="1"/>
        <v>25.649376784878513</v>
      </c>
      <c r="P3" s="29">
        <f t="shared" si="1"/>
        <v>24.386504917375952</v>
      </c>
      <c r="Q3" s="29">
        <f t="shared" si="1"/>
        <v>16.302652000960247</v>
      </c>
      <c r="R3" s="29">
        <f t="shared" si="1"/>
        <v>22.978518444601875</v>
      </c>
      <c r="S3" s="29">
        <f t="shared" si="1"/>
        <v>24.058198448022061</v>
      </c>
      <c r="T3" s="29">
        <f t="shared" si="1"/>
        <v>29.323187117478678</v>
      </c>
      <c r="U3" s="29">
        <f t="shared" si="1"/>
        <v>20.919460496553796</v>
      </c>
      <c r="V3" s="29">
        <f t="shared" si="1"/>
        <v>20.668059611459533</v>
      </c>
      <c r="W3" s="29">
        <f t="shared" si="1"/>
        <v>44.685357129456406</v>
      </c>
      <c r="X3" s="29">
        <f t="shared" si="1"/>
        <v>21.523857977735517</v>
      </c>
      <c r="Y3" s="29">
        <f t="shared" si="1"/>
        <v>31.382892252128791</v>
      </c>
      <c r="Z3" s="29">
        <f t="shared" si="1"/>
        <v>54.170269953661581</v>
      </c>
      <c r="AA3" s="29">
        <f t="shared" si="1"/>
        <v>29.305661972754152</v>
      </c>
      <c r="AB3" s="29">
        <f t="shared" si="1"/>
        <v>52.639522230694936</v>
      </c>
      <c r="AC3" s="29">
        <f t="shared" si="1"/>
        <v>27.60780838201892</v>
      </c>
      <c r="AD3" s="29">
        <f t="shared" si="1"/>
        <v>43.75579702885608</v>
      </c>
      <c r="AE3" s="29">
        <f t="shared" si="1"/>
        <v>73.731126175214271</v>
      </c>
      <c r="AF3" s="29">
        <f t="shared" si="1"/>
        <v>24.829818778502581</v>
      </c>
      <c r="AG3" s="29">
        <f t="shared" si="1"/>
        <v>19.965602387653757</v>
      </c>
      <c r="AH3" s="29">
        <f t="shared" si="1"/>
        <v>30.629406182165141</v>
      </c>
      <c r="AI3" s="29">
        <f t="shared" si="1"/>
        <v>39.32744549202593</v>
      </c>
      <c r="AJ3" s="29">
        <f t="shared" si="1"/>
        <v>30.269149620625353</v>
      </c>
      <c r="AK3" s="29">
        <f t="shared" si="1"/>
        <v>18.817367168705601</v>
      </c>
      <c r="AL3" s="29">
        <f t="shared" si="1"/>
        <v>33.227980031002929</v>
      </c>
      <c r="AM3" s="29">
        <f t="shared" si="1"/>
        <v>25.67311323858226</v>
      </c>
      <c r="AN3" s="29">
        <f t="shared" si="1"/>
        <v>34.141757985965242</v>
      </c>
      <c r="AO3" s="29">
        <f t="shared" si="1"/>
        <v>38.373799291381175</v>
      </c>
      <c r="AP3" s="29">
        <f t="shared" si="1"/>
        <v>27.858502048788459</v>
      </c>
      <c r="AQ3" s="29">
        <f t="shared" si="1"/>
        <v>24.108090824832853</v>
      </c>
      <c r="AR3" s="29">
        <f t="shared" si="1"/>
        <v>22.031096964169166</v>
      </c>
      <c r="AS3" s="29">
        <f t="shared" si="1"/>
        <v>28.769582973534444</v>
      </c>
      <c r="AT3" s="29">
        <f t="shared" si="1"/>
        <v>24.76658185287803</v>
      </c>
      <c r="AU3" s="29">
        <f t="shared" si="1"/>
        <v>27.426632083954964</v>
      </c>
      <c r="AV3" s="29">
        <f t="shared" si="1"/>
        <v>30.307881197435549</v>
      </c>
      <c r="AW3" s="29">
        <f t="shared" si="1"/>
        <v>37.922924204149915</v>
      </c>
      <c r="AX3" s="29">
        <f t="shared" si="1"/>
        <v>20.342112196670953</v>
      </c>
      <c r="AY3" s="29">
        <f t="shared" si="1"/>
        <v>25.116385608131726</v>
      </c>
    </row>
    <row r="4" spans="1:51" x14ac:dyDescent="0.2">
      <c r="A4" s="28" t="s">
        <v>59</v>
      </c>
      <c r="B4" s="29">
        <f ca="1">B2-B3</f>
        <v>-1.8995677328660356</v>
      </c>
      <c r="C4" s="29">
        <f t="shared" ref="C4:AY4" si="2">C2-C3</f>
        <v>-4.7343741743461365</v>
      </c>
      <c r="D4" s="29">
        <f t="shared" si="2"/>
        <v>-5.344523654292205</v>
      </c>
      <c r="E4" s="29">
        <f t="shared" si="2"/>
        <v>2.2811992721587302</v>
      </c>
      <c r="F4" s="29">
        <f t="shared" si="2"/>
        <v>-0.25686197002730182</v>
      </c>
      <c r="G4" s="29">
        <f t="shared" si="2"/>
        <v>-3.5129659188784501</v>
      </c>
      <c r="H4" s="29">
        <f t="shared" si="2"/>
        <v>-16.212911320681172</v>
      </c>
      <c r="I4" s="29">
        <f t="shared" si="2"/>
        <v>-7.9563768720859791</v>
      </c>
      <c r="J4" s="29">
        <f t="shared" si="2"/>
        <v>-5.0709943127899706</v>
      </c>
      <c r="K4" s="29">
        <f t="shared" si="2"/>
        <v>7.5539642967167779</v>
      </c>
      <c r="L4" s="29">
        <f t="shared" si="2"/>
        <v>-6.4155131059919555</v>
      </c>
      <c r="M4" s="29">
        <f t="shared" si="2"/>
        <v>-6.0603468836351517</v>
      </c>
      <c r="N4" s="29">
        <f t="shared" si="2"/>
        <v>-13.785876609340907</v>
      </c>
      <c r="O4" s="29">
        <f t="shared" si="2"/>
        <v>-9.4771978440753522</v>
      </c>
      <c r="P4" s="29">
        <f t="shared" si="2"/>
        <v>23.63387064420256</v>
      </c>
      <c r="Q4" s="29">
        <f t="shared" si="2"/>
        <v>-5.3134192156713915</v>
      </c>
      <c r="R4" s="29">
        <f t="shared" si="2"/>
        <v>-13.140814973428002</v>
      </c>
      <c r="S4" s="29">
        <f t="shared" si="2"/>
        <v>-2.0065219146550888</v>
      </c>
      <c r="T4" s="29">
        <f t="shared" si="2"/>
        <v>-6.5377017816220722</v>
      </c>
      <c r="U4" s="29">
        <f t="shared" si="2"/>
        <v>-5.006181914488474</v>
      </c>
      <c r="V4" s="29">
        <f t="shared" si="2"/>
        <v>-6.7695348310759869</v>
      </c>
      <c r="W4" s="29">
        <f t="shared" si="2"/>
        <v>-3.5462433207873687</v>
      </c>
      <c r="X4" s="29">
        <f t="shared" si="2"/>
        <v>-3.800421957061797</v>
      </c>
      <c r="Y4" s="29">
        <f t="shared" si="2"/>
        <v>-5.454437585210961</v>
      </c>
      <c r="Z4" s="29">
        <f t="shared" si="2"/>
        <v>-22.930206701632425</v>
      </c>
      <c r="AA4" s="29">
        <f t="shared" si="2"/>
        <v>-5.2672477161148379</v>
      </c>
      <c r="AB4" s="29">
        <f t="shared" si="2"/>
        <v>19.409855290343742</v>
      </c>
      <c r="AC4" s="29">
        <f t="shared" si="2"/>
        <v>-5.6518454167395333</v>
      </c>
      <c r="AD4" s="29">
        <f t="shared" si="2"/>
        <v>-8.3848306648646158</v>
      </c>
      <c r="AE4" s="29">
        <f t="shared" si="2"/>
        <v>16.528936994702661</v>
      </c>
      <c r="AF4" s="29">
        <f t="shared" si="2"/>
        <v>10.891733190536872</v>
      </c>
      <c r="AG4" s="29">
        <f t="shared" si="2"/>
        <v>-4.5621494055845311</v>
      </c>
      <c r="AH4" s="29">
        <f t="shared" si="2"/>
        <v>-8.4722219988415688</v>
      </c>
      <c r="AI4" s="29">
        <f t="shared" si="2"/>
        <v>-5.62326293799822</v>
      </c>
      <c r="AJ4" s="29">
        <f t="shared" si="2"/>
        <v>-1.8471603780746229</v>
      </c>
      <c r="AK4" s="29">
        <f t="shared" si="2"/>
        <v>-4.7810022020713099</v>
      </c>
      <c r="AL4" s="29">
        <f t="shared" si="2"/>
        <v>-6.3821801258847373</v>
      </c>
      <c r="AM4" s="29">
        <f t="shared" si="2"/>
        <v>-3.8239190265097385</v>
      </c>
      <c r="AN4" s="29">
        <f t="shared" si="2"/>
        <v>2.1917809443084977</v>
      </c>
      <c r="AO4" s="29">
        <f t="shared" si="2"/>
        <v>2.4500001323202483</v>
      </c>
      <c r="AP4" s="29">
        <f t="shared" si="2"/>
        <v>-8.4470118610032046</v>
      </c>
      <c r="AQ4" s="29">
        <f t="shared" si="2"/>
        <v>-4.8589077707993837</v>
      </c>
      <c r="AR4" s="29">
        <f t="shared" si="2"/>
        <v>-10.313337069711556</v>
      </c>
      <c r="AS4" s="29">
        <f t="shared" si="2"/>
        <v>-11.151674499087321</v>
      </c>
      <c r="AT4" s="29">
        <f t="shared" si="2"/>
        <v>-9.8897058752355633</v>
      </c>
      <c r="AU4" s="29">
        <f t="shared" si="2"/>
        <v>-6.2419164371238551</v>
      </c>
      <c r="AV4" s="29">
        <f t="shared" si="2"/>
        <v>-14.406176172028303</v>
      </c>
      <c r="AW4" s="29">
        <f t="shared" si="2"/>
        <v>11.689574835633707</v>
      </c>
      <c r="AX4" s="29">
        <f t="shared" si="2"/>
        <v>-5.014157974490244</v>
      </c>
      <c r="AY4" s="29">
        <f t="shared" si="2"/>
        <v>-8.333815522555593</v>
      </c>
    </row>
    <row r="5" spans="1:51" x14ac:dyDescent="0.2">
      <c r="A5" s="28" t="s">
        <v>60</v>
      </c>
      <c r="B5" s="29">
        <f ca="1">MEDIAN(B14:B1500)</f>
        <v>18.224620834240426</v>
      </c>
      <c r="C5" s="29">
        <f t="shared" ref="C5:AY5" si="3">MEDIAN(C14:C1500)</f>
        <v>19.280842588009609</v>
      </c>
      <c r="D5" s="29">
        <f t="shared" si="3"/>
        <v>17.443548472352266</v>
      </c>
      <c r="E5" s="29">
        <f t="shared" si="3"/>
        <v>20.358694660468739</v>
      </c>
      <c r="F5" s="29">
        <f t="shared" si="3"/>
        <v>17.345546390718162</v>
      </c>
      <c r="G5" s="29">
        <f t="shared" si="3"/>
        <v>17.825573634466327</v>
      </c>
      <c r="H5" s="29">
        <f t="shared" si="3"/>
        <v>28.937183820283593</v>
      </c>
      <c r="I5" s="29">
        <f t="shared" si="3"/>
        <v>32.260607885541525</v>
      </c>
      <c r="J5" s="29">
        <f t="shared" si="3"/>
        <v>19.292985255446556</v>
      </c>
      <c r="K5" s="29">
        <f t="shared" si="3"/>
        <v>30.313760328166872</v>
      </c>
      <c r="L5" s="29">
        <f t="shared" si="3"/>
        <v>28.482867276123383</v>
      </c>
      <c r="M5" s="29">
        <f t="shared" si="3"/>
        <v>21.703716291187227</v>
      </c>
      <c r="N5" s="29">
        <f t="shared" si="3"/>
        <v>29.367420441894524</v>
      </c>
      <c r="O5" s="29">
        <f t="shared" si="3"/>
        <v>24.746281002725464</v>
      </c>
      <c r="P5" s="29">
        <f t="shared" si="3"/>
        <v>21.749924344943686</v>
      </c>
      <c r="Q5" s="29">
        <f t="shared" si="3"/>
        <v>15.40844930065683</v>
      </c>
      <c r="R5" s="29">
        <f t="shared" si="3"/>
        <v>20.411230392721702</v>
      </c>
      <c r="S5" s="29">
        <f t="shared" si="3"/>
        <v>22.357773034637624</v>
      </c>
      <c r="T5" s="29">
        <f t="shared" si="3"/>
        <v>25.88126258912591</v>
      </c>
      <c r="U5" s="29">
        <f t="shared" si="3"/>
        <v>19.109700534201419</v>
      </c>
      <c r="V5" s="29">
        <f t="shared" si="3"/>
        <v>18.812573240961825</v>
      </c>
      <c r="W5" s="29">
        <f t="shared" si="3"/>
        <v>36.222553081665779</v>
      </c>
      <c r="X5" s="29">
        <f t="shared" si="3"/>
        <v>18.019233794368859</v>
      </c>
      <c r="Y5" s="29">
        <f t="shared" si="3"/>
        <v>30.200070139551887</v>
      </c>
      <c r="Z5" s="29">
        <f t="shared" si="3"/>
        <v>52.219331947718345</v>
      </c>
      <c r="AA5" s="29">
        <f t="shared" si="3"/>
        <v>24.308882738863407</v>
      </c>
      <c r="AB5" s="29">
        <f t="shared" si="3"/>
        <v>46.531771072195326</v>
      </c>
      <c r="AC5" s="29">
        <f t="shared" si="3"/>
        <v>23.520166783420059</v>
      </c>
      <c r="AD5" s="29">
        <f t="shared" si="3"/>
        <v>33.690483852052544</v>
      </c>
      <c r="AE5" s="29">
        <f t="shared" si="3"/>
        <v>70.588713142600213</v>
      </c>
      <c r="AF5" s="29">
        <f t="shared" si="3"/>
        <v>21.699800806792286</v>
      </c>
      <c r="AG5" s="29">
        <f t="shared" si="3"/>
        <v>19.408396162062754</v>
      </c>
      <c r="AH5" s="29">
        <f t="shared" si="3"/>
        <v>26.989617038587689</v>
      </c>
      <c r="AI5" s="29">
        <f t="shared" si="3"/>
        <v>38.28810982281297</v>
      </c>
      <c r="AJ5" s="29">
        <f t="shared" si="3"/>
        <v>28.302545102138922</v>
      </c>
      <c r="AK5" s="29">
        <f t="shared" si="3"/>
        <v>16.051327605046374</v>
      </c>
      <c r="AL5" s="29">
        <f t="shared" si="3"/>
        <v>31.884514437593655</v>
      </c>
      <c r="AM5" s="29">
        <f t="shared" si="3"/>
        <v>22.455454894340438</v>
      </c>
      <c r="AN5" s="29">
        <f t="shared" si="3"/>
        <v>30.330243384567186</v>
      </c>
      <c r="AO5" s="29">
        <f t="shared" si="3"/>
        <v>36.081367723051798</v>
      </c>
      <c r="AP5" s="29">
        <f t="shared" si="3"/>
        <v>26.673098642415283</v>
      </c>
      <c r="AQ5" s="29">
        <f t="shared" si="3"/>
        <v>21.903159157840079</v>
      </c>
      <c r="AR5" s="29">
        <f t="shared" si="3"/>
        <v>19.08950714813875</v>
      </c>
      <c r="AS5" s="29">
        <f t="shared" si="3"/>
        <v>26.363360268076043</v>
      </c>
      <c r="AT5" s="29">
        <f t="shared" si="3"/>
        <v>20.79142221244177</v>
      </c>
      <c r="AU5" s="29">
        <f t="shared" si="3"/>
        <v>25.253683697065362</v>
      </c>
      <c r="AV5" s="29">
        <f t="shared" si="3"/>
        <v>26.704700211069014</v>
      </c>
      <c r="AW5" s="29">
        <f t="shared" si="3"/>
        <v>29.972254148934123</v>
      </c>
      <c r="AX5" s="29">
        <f t="shared" si="3"/>
        <v>17.715283182799883</v>
      </c>
      <c r="AY5" s="29">
        <f t="shared" si="3"/>
        <v>22.961895506413285</v>
      </c>
    </row>
    <row r="6" spans="1:51" x14ac:dyDescent="0.2">
      <c r="A6" s="28" t="s">
        <v>61</v>
      </c>
      <c r="B6" s="29">
        <f ca="1">_xlfn.STDEV.S(B14:B1500)</f>
        <v>6.3773318650616453</v>
      </c>
      <c r="C6" s="29">
        <f t="shared" ref="C6:AY6" si="4">_xlfn.STDEV.S(C14:C1500)</f>
        <v>12.250334647613908</v>
      </c>
      <c r="D6" s="29">
        <f t="shared" si="4"/>
        <v>6.3390305390549946</v>
      </c>
      <c r="E6" s="29">
        <f t="shared" si="4"/>
        <v>4.704036211151962</v>
      </c>
      <c r="F6" s="29">
        <f t="shared" si="4"/>
        <v>7.4452120113856068</v>
      </c>
      <c r="G6" s="29">
        <f t="shared" si="4"/>
        <v>5.9299956341562652</v>
      </c>
      <c r="H6" s="29">
        <f t="shared" si="4"/>
        <v>10.308770550377799</v>
      </c>
      <c r="I6" s="29">
        <f t="shared" si="4"/>
        <v>20.420071976513267</v>
      </c>
      <c r="J6" s="29">
        <f t="shared" si="4"/>
        <v>8.4907625634737727</v>
      </c>
      <c r="K6" s="29">
        <f t="shared" si="4"/>
        <v>9.3473834522093799</v>
      </c>
      <c r="L6" s="29">
        <f t="shared" si="4"/>
        <v>12.548246554030138</v>
      </c>
      <c r="M6" s="29">
        <f t="shared" si="4"/>
        <v>11.925158887387386</v>
      </c>
      <c r="N6" s="29">
        <f t="shared" si="4"/>
        <v>11.444466115317045</v>
      </c>
      <c r="O6" s="29">
        <f t="shared" si="4"/>
        <v>5.8459991559842024</v>
      </c>
      <c r="P6" s="29">
        <f t="shared" si="4"/>
        <v>9.2330798433130852</v>
      </c>
      <c r="Q6" s="29">
        <f t="shared" si="4"/>
        <v>3.9887370169407519</v>
      </c>
      <c r="R6" s="29">
        <f t="shared" si="4"/>
        <v>8.1906281363143894</v>
      </c>
      <c r="S6" s="29">
        <f t="shared" si="4"/>
        <v>8.2057681135932921</v>
      </c>
      <c r="T6" s="29">
        <f t="shared" si="4"/>
        <v>14.33743028155498</v>
      </c>
      <c r="U6" s="29">
        <f t="shared" si="4"/>
        <v>6.8379930469570196</v>
      </c>
      <c r="V6" s="29">
        <f t="shared" si="4"/>
        <v>7.9033494888503837</v>
      </c>
      <c r="W6" s="29">
        <f t="shared" si="4"/>
        <v>26.686275067378123</v>
      </c>
      <c r="X6" s="29">
        <f t="shared" si="4"/>
        <v>10.649052669155825</v>
      </c>
      <c r="Y6" s="29">
        <f t="shared" si="4"/>
        <v>7.7436605530572455</v>
      </c>
      <c r="Z6" s="29">
        <f t="shared" si="4"/>
        <v>13.198267088941849</v>
      </c>
      <c r="AA6" s="29">
        <f t="shared" si="4"/>
        <v>14.940745638196423</v>
      </c>
      <c r="AB6" s="29">
        <f t="shared" si="4"/>
        <v>18.62065237063047</v>
      </c>
      <c r="AC6" s="29">
        <f t="shared" si="4"/>
        <v>11.369186363077231</v>
      </c>
      <c r="AD6" s="29">
        <f t="shared" si="4"/>
        <v>31.099077294746948</v>
      </c>
      <c r="AE6" s="29">
        <f t="shared" si="4"/>
        <v>19.999166541312661</v>
      </c>
      <c r="AF6" s="29">
        <f t="shared" si="4"/>
        <v>10.804090536576247</v>
      </c>
      <c r="AG6" s="29">
        <f t="shared" si="4"/>
        <v>7.2350458966687752</v>
      </c>
      <c r="AH6" s="29">
        <f t="shared" si="4"/>
        <v>15.124133012444599</v>
      </c>
      <c r="AI6" s="29">
        <f t="shared" si="4"/>
        <v>7.9620781368413951</v>
      </c>
      <c r="AJ6" s="29">
        <f t="shared" si="4"/>
        <v>10.315040532236237</v>
      </c>
      <c r="AK6" s="29">
        <f t="shared" si="4"/>
        <v>7.0883347307478326</v>
      </c>
      <c r="AL6" s="29">
        <f t="shared" si="4"/>
        <v>10.477233751997716</v>
      </c>
      <c r="AM6" s="29">
        <f t="shared" si="4"/>
        <v>12.857804702631588</v>
      </c>
      <c r="AN6" s="29">
        <f t="shared" si="4"/>
        <v>15.280327652751005</v>
      </c>
      <c r="AO6" s="29">
        <f t="shared" si="4"/>
        <v>11.525079814312633</v>
      </c>
      <c r="AP6" s="29">
        <f t="shared" si="4"/>
        <v>8.2997776445183362</v>
      </c>
      <c r="AQ6" s="29">
        <f t="shared" si="4"/>
        <v>9.3129897579546626</v>
      </c>
      <c r="AR6" s="29">
        <f t="shared" si="4"/>
        <v>11.159682162553834</v>
      </c>
      <c r="AS6" s="29">
        <f t="shared" si="4"/>
        <v>12.866368504752794</v>
      </c>
      <c r="AT6" s="29">
        <f t="shared" si="4"/>
        <v>13.051380970535027</v>
      </c>
      <c r="AU6" s="29">
        <f t="shared" si="4"/>
        <v>9.2410916989226504</v>
      </c>
      <c r="AV6" s="29">
        <f t="shared" si="4"/>
        <v>12.417602608288197</v>
      </c>
      <c r="AW6" s="29">
        <f t="shared" si="4"/>
        <v>21.867118014918056</v>
      </c>
      <c r="AX6" s="29">
        <f t="shared" si="4"/>
        <v>8.2454197414715811</v>
      </c>
      <c r="AY6" s="29">
        <f t="shared" si="4"/>
        <v>8.0387320456695424</v>
      </c>
    </row>
    <row r="7" spans="1:51" x14ac:dyDescent="0.2">
      <c r="A7" s="28" t="s">
        <v>62</v>
      </c>
      <c r="B7" s="29">
        <f ca="1">B4/B6</f>
        <v>-0.29786245612728102</v>
      </c>
      <c r="C7" s="29">
        <f t="shared" ref="C7:AY7" si="5">C4/C6</f>
        <v>-0.38646896681049336</v>
      </c>
      <c r="D7" s="29">
        <f t="shared" si="5"/>
        <v>-0.84311372557118991</v>
      </c>
      <c r="E7" s="29">
        <f t="shared" si="5"/>
        <v>0.48494509178110512</v>
      </c>
      <c r="F7" s="29">
        <f t="shared" si="5"/>
        <v>-3.4500289532990475E-2</v>
      </c>
      <c r="G7" s="29">
        <f t="shared" si="5"/>
        <v>-0.59240615602548985</v>
      </c>
      <c r="H7" s="29">
        <f t="shared" si="5"/>
        <v>-1.5727298654529658</v>
      </c>
      <c r="I7" s="29">
        <f t="shared" si="5"/>
        <v>-0.38963510418754815</v>
      </c>
      <c r="J7" s="29">
        <f t="shared" si="5"/>
        <v>-0.59723661742759959</v>
      </c>
      <c r="K7" s="29">
        <f t="shared" si="5"/>
        <v>0.80813677274909446</v>
      </c>
      <c r="L7" s="29">
        <f t="shared" si="5"/>
        <v>-0.51126769611738909</v>
      </c>
      <c r="M7" s="29">
        <f t="shared" si="5"/>
        <v>-0.50819841822358125</v>
      </c>
      <c r="N7" s="29">
        <f t="shared" si="5"/>
        <v>-1.2045888790644559</v>
      </c>
      <c r="O7" s="29">
        <f t="shared" si="5"/>
        <v>-1.6211425269150281</v>
      </c>
      <c r="P7" s="29">
        <f t="shared" si="5"/>
        <v>2.5596952528596431</v>
      </c>
      <c r="Q7" s="29">
        <f t="shared" si="5"/>
        <v>-1.3321056748300326</v>
      </c>
      <c r="R7" s="29">
        <f t="shared" si="5"/>
        <v>-1.604372064599809</v>
      </c>
      <c r="S7" s="29">
        <f t="shared" si="5"/>
        <v>-0.24452578806500494</v>
      </c>
      <c r="T7" s="29">
        <f t="shared" si="5"/>
        <v>-0.45598839214812348</v>
      </c>
      <c r="U7" s="29">
        <f t="shared" si="5"/>
        <v>-0.73211275298331557</v>
      </c>
      <c r="V7" s="29">
        <f t="shared" si="5"/>
        <v>-0.85653998227284256</v>
      </c>
      <c r="W7" s="29">
        <f t="shared" si="5"/>
        <v>-0.13288641115456284</v>
      </c>
      <c r="X7" s="29">
        <f t="shared" si="5"/>
        <v>-0.35687887694174258</v>
      </c>
      <c r="Y7" s="29">
        <f t="shared" si="5"/>
        <v>-0.70437457166914619</v>
      </c>
      <c r="Z7" s="29">
        <f t="shared" si="5"/>
        <v>-1.7373649545889602</v>
      </c>
      <c r="AA7" s="29">
        <f t="shared" si="5"/>
        <v>-0.35254249310348845</v>
      </c>
      <c r="AB7" s="29">
        <f t="shared" si="5"/>
        <v>1.0423832046270327</v>
      </c>
      <c r="AC7" s="29">
        <f t="shared" si="5"/>
        <v>-0.49711960348319784</v>
      </c>
      <c r="AD7" s="29">
        <f t="shared" si="5"/>
        <v>-0.26961670230264118</v>
      </c>
      <c r="AE7" s="29">
        <f t="shared" si="5"/>
        <v>0.8264812916357549</v>
      </c>
      <c r="AF7" s="29">
        <f t="shared" si="5"/>
        <v>1.0081119881089406</v>
      </c>
      <c r="AG7" s="29">
        <f t="shared" si="5"/>
        <v>-0.6305626074445605</v>
      </c>
      <c r="AH7" s="29">
        <f t="shared" si="5"/>
        <v>-0.56017901931108149</v>
      </c>
      <c r="AI7" s="29">
        <f t="shared" si="5"/>
        <v>-0.70625568367368508</v>
      </c>
      <c r="AJ7" s="29">
        <f t="shared" si="5"/>
        <v>-0.17907446629045576</v>
      </c>
      <c r="AK7" s="29">
        <f t="shared" si="5"/>
        <v>-0.67448877397567608</v>
      </c>
      <c r="AL7" s="29">
        <f t="shared" si="5"/>
        <v>-0.6091474407228753</v>
      </c>
      <c r="AM7" s="29">
        <f t="shared" si="5"/>
        <v>-0.29740061503089266</v>
      </c>
      <c r="AN7" s="29">
        <f t="shared" si="5"/>
        <v>0.14343808549903042</v>
      </c>
      <c r="AO7" s="29">
        <f t="shared" si="5"/>
        <v>0.21257988419981877</v>
      </c>
      <c r="AP7" s="29">
        <f t="shared" si="5"/>
        <v>-1.0177395374660561</v>
      </c>
      <c r="AQ7" s="29">
        <f t="shared" si="5"/>
        <v>-0.52173446949720548</v>
      </c>
      <c r="AR7" s="29">
        <f t="shared" si="5"/>
        <v>-0.92416046617508718</v>
      </c>
      <c r="AS7" s="29">
        <f t="shared" si="5"/>
        <v>-0.86673053822202661</v>
      </c>
      <c r="AT7" s="29">
        <f t="shared" si="5"/>
        <v>-0.75775168141690874</v>
      </c>
      <c r="AU7" s="29">
        <f t="shared" si="5"/>
        <v>-0.67545227777055317</v>
      </c>
      <c r="AV7" s="29">
        <f t="shared" si="5"/>
        <v>-1.1601415044811325</v>
      </c>
      <c r="AW7" s="29">
        <f t="shared" si="5"/>
        <v>0.53457318095868478</v>
      </c>
      <c r="AX7" s="29">
        <f t="shared" si="5"/>
        <v>-0.60811433883356847</v>
      </c>
      <c r="AY7" s="29">
        <f t="shared" si="5"/>
        <v>-1.0367077140038536</v>
      </c>
    </row>
    <row r="8" spans="1:51" x14ac:dyDescent="0.2">
      <c r="A8" s="28" t="s">
        <v>63</v>
      </c>
      <c r="B8" s="29">
        <f ca="1">100*RANK(B14,B14:B1500,1)/COUNT(B14:B1500)</f>
        <v>42.756183745583037</v>
      </c>
      <c r="C8" s="29">
        <f t="shared" ref="C8:AY8" si="6">100*RANK(C14,C14:C1500,1)/COUNT(C14:C1500)</f>
        <v>39.222614840989401</v>
      </c>
      <c r="D8" s="29">
        <f t="shared" si="6"/>
        <v>10.247349823321555</v>
      </c>
      <c r="E8" s="29">
        <f t="shared" si="6"/>
        <v>68.551236749116612</v>
      </c>
      <c r="F8" s="29">
        <f t="shared" si="6"/>
        <v>57.950530035335689</v>
      </c>
      <c r="G8" s="29">
        <f t="shared" si="6"/>
        <v>34.275618374558306</v>
      </c>
      <c r="H8" s="29">
        <f t="shared" si="6"/>
        <v>1.4134275618374559</v>
      </c>
      <c r="I8" s="29">
        <f t="shared" si="6"/>
        <v>40.282685512367493</v>
      </c>
      <c r="J8" s="29">
        <f t="shared" si="6"/>
        <v>19.434628975265017</v>
      </c>
      <c r="K8" s="29">
        <f t="shared" si="6"/>
        <v>84.098939929328623</v>
      </c>
      <c r="L8" s="29">
        <f t="shared" si="6"/>
        <v>28.621908127208481</v>
      </c>
      <c r="M8" s="29">
        <f t="shared" si="6"/>
        <v>18.021201413427562</v>
      </c>
      <c r="N8" s="29">
        <f t="shared" si="6"/>
        <v>7.4204946996466434</v>
      </c>
      <c r="O8" s="29">
        <f t="shared" si="6"/>
        <v>1.4134275618374559</v>
      </c>
      <c r="P8" s="29">
        <f t="shared" si="6"/>
        <v>97.173144876325082</v>
      </c>
      <c r="Q8" s="29">
        <f t="shared" si="6"/>
        <v>7.4204946996466434</v>
      </c>
      <c r="R8" s="29">
        <f t="shared" si="6"/>
        <v>1.0600706713780919</v>
      </c>
      <c r="S8" s="29">
        <f t="shared" si="6"/>
        <v>47.349823321554773</v>
      </c>
      <c r="T8" s="29">
        <f t="shared" si="6"/>
        <v>39.57597173144876</v>
      </c>
      <c r="U8" s="29">
        <f t="shared" si="6"/>
        <v>18.374558303886925</v>
      </c>
      <c r="V8" s="29">
        <f t="shared" si="6"/>
        <v>15.547703180212014</v>
      </c>
      <c r="W8" s="29">
        <f t="shared" si="6"/>
        <v>61.837455830388691</v>
      </c>
      <c r="X8" s="29">
        <f t="shared" si="6"/>
        <v>49.823321554770317</v>
      </c>
      <c r="Y8" s="29">
        <f t="shared" si="6"/>
        <v>25.795053003533567</v>
      </c>
      <c r="Z8" s="29">
        <f t="shared" si="6"/>
        <v>1.7667844522968197</v>
      </c>
      <c r="AA8" s="29">
        <f t="shared" si="6"/>
        <v>45.229681978798588</v>
      </c>
      <c r="AB8" s="29">
        <f t="shared" si="6"/>
        <v>89.045936395759711</v>
      </c>
      <c r="AC8" s="29">
        <f t="shared" si="6"/>
        <v>32.155477031802121</v>
      </c>
      <c r="AD8" s="29">
        <f t="shared" si="6"/>
        <v>61.130742049469966</v>
      </c>
      <c r="AE8" s="29">
        <f t="shared" si="6"/>
        <v>82.332155477031804</v>
      </c>
      <c r="AF8" s="29">
        <f t="shared" si="6"/>
        <v>90.10600706713781</v>
      </c>
      <c r="AG8" s="29">
        <f t="shared" si="6"/>
        <v>27.208480565371026</v>
      </c>
      <c r="AH8" s="29">
        <f t="shared" si="6"/>
        <v>29.681978798586574</v>
      </c>
      <c r="AI8" s="29">
        <f t="shared" si="6"/>
        <v>17.667844522968199</v>
      </c>
      <c r="AJ8" s="29">
        <f t="shared" si="6"/>
        <v>51.236749116607776</v>
      </c>
      <c r="AK8" s="29">
        <f t="shared" si="6"/>
        <v>25.795053003533567</v>
      </c>
      <c r="AL8" s="29">
        <f t="shared" si="6"/>
        <v>22.968197879858657</v>
      </c>
      <c r="AM8" s="29">
        <f t="shared" si="6"/>
        <v>45.229681978798588</v>
      </c>
      <c r="AN8" s="29">
        <f t="shared" si="6"/>
        <v>73.4982332155477</v>
      </c>
      <c r="AO8" s="29">
        <f t="shared" si="6"/>
        <v>74.204946996466433</v>
      </c>
      <c r="AP8" s="29">
        <f t="shared" si="6"/>
        <v>15.19434628975265</v>
      </c>
      <c r="AQ8" s="29">
        <f t="shared" si="6"/>
        <v>36.042402826855124</v>
      </c>
      <c r="AR8" s="29">
        <f t="shared" si="6"/>
        <v>2.8268551236749118</v>
      </c>
      <c r="AS8" s="29">
        <f t="shared" si="6"/>
        <v>12.014134275618375</v>
      </c>
      <c r="AT8" s="29">
        <f t="shared" si="6"/>
        <v>12.367491166077739</v>
      </c>
      <c r="AU8" s="29">
        <f t="shared" si="6"/>
        <v>21.201413427561839</v>
      </c>
      <c r="AV8" s="29">
        <f t="shared" si="6"/>
        <v>4.946996466431095</v>
      </c>
      <c r="AW8" s="29">
        <f t="shared" si="6"/>
        <v>83.745583038869256</v>
      </c>
      <c r="AX8" s="29">
        <f t="shared" si="6"/>
        <v>30.3886925795053</v>
      </c>
      <c r="AY8" s="29">
        <f t="shared" si="6"/>
        <v>6.3604240282685511</v>
      </c>
    </row>
    <row r="9" spans="1:51" x14ac:dyDescent="0.2">
      <c r="A9" s="28" t="s">
        <v>64</v>
      </c>
      <c r="B9" s="29">
        <f ca="1">MAX(B14:B1500)</f>
        <v>35.263932757132025</v>
      </c>
      <c r="C9" s="29">
        <f t="shared" ref="C9:AY9" si="7">MAX(C14:C1500)</f>
        <v>68.392019320481282</v>
      </c>
      <c r="D9" s="29">
        <f t="shared" si="7"/>
        <v>40.224379865420651</v>
      </c>
      <c r="E9" s="29">
        <f t="shared" si="7"/>
        <v>31.936842994999484</v>
      </c>
      <c r="F9" s="29">
        <f t="shared" si="7"/>
        <v>39.618472415283428</v>
      </c>
      <c r="G9" s="29">
        <f t="shared" si="7"/>
        <v>35.596519571731804</v>
      </c>
      <c r="H9" s="29">
        <f t="shared" si="7"/>
        <v>56.708239652666627</v>
      </c>
      <c r="I9" s="29">
        <f t="shared" si="7"/>
        <v>108.37562920485645</v>
      </c>
      <c r="J9" s="29">
        <f t="shared" si="7"/>
        <v>52.067341862894892</v>
      </c>
      <c r="K9" s="29">
        <f t="shared" si="7"/>
        <v>59.531655682030511</v>
      </c>
      <c r="L9" s="29">
        <f t="shared" si="7"/>
        <v>67.77245334826911</v>
      </c>
      <c r="M9" s="29">
        <f t="shared" si="7"/>
        <v>66.627784444477669</v>
      </c>
      <c r="N9" s="29">
        <f t="shared" si="7"/>
        <v>58.549027695794507</v>
      </c>
      <c r="O9" s="29">
        <f t="shared" si="7"/>
        <v>45.028960580710645</v>
      </c>
      <c r="P9" s="29">
        <f t="shared" si="7"/>
        <v>50.809039066819722</v>
      </c>
      <c r="Q9" s="29">
        <f t="shared" si="7"/>
        <v>29.186801987146652</v>
      </c>
      <c r="R9" s="29">
        <f t="shared" si="7"/>
        <v>44.649109104404786</v>
      </c>
      <c r="S9" s="29">
        <f t="shared" si="7"/>
        <v>50.116978640644241</v>
      </c>
      <c r="T9" s="29">
        <f t="shared" si="7"/>
        <v>79.838469677151451</v>
      </c>
      <c r="U9" s="29">
        <f t="shared" si="7"/>
        <v>42.75073705626145</v>
      </c>
      <c r="V9" s="29">
        <f t="shared" si="7"/>
        <v>44.586851046040067</v>
      </c>
      <c r="W9" s="29">
        <f t="shared" si="7"/>
        <v>139.06891498387742</v>
      </c>
      <c r="X9" s="29">
        <f t="shared" si="7"/>
        <v>48.95086586901143</v>
      </c>
      <c r="Y9" s="29">
        <f t="shared" si="7"/>
        <v>48.028454377302339</v>
      </c>
      <c r="Z9" s="29">
        <f t="shared" si="7"/>
        <v>85.550830457277044</v>
      </c>
      <c r="AA9" s="29">
        <f t="shared" si="7"/>
        <v>76.720124618561954</v>
      </c>
      <c r="AB9" s="29">
        <f t="shared" si="7"/>
        <v>110.1937675457484</v>
      </c>
      <c r="AC9" s="29">
        <f t="shared" si="7"/>
        <v>61.838059396525665</v>
      </c>
      <c r="AD9" s="29">
        <f t="shared" si="7"/>
        <v>145.81386142805715</v>
      </c>
      <c r="AE9" s="29">
        <f t="shared" si="7"/>
        <v>130.42474853203404</v>
      </c>
      <c r="AF9" s="29">
        <f t="shared" si="7"/>
        <v>63.265181744199424</v>
      </c>
      <c r="AG9" s="29">
        <f t="shared" si="7"/>
        <v>43.675379134581895</v>
      </c>
      <c r="AH9" s="29">
        <f t="shared" si="7"/>
        <v>82.041926508738527</v>
      </c>
      <c r="AI9" s="29">
        <f t="shared" si="7"/>
        <v>65.657883673581409</v>
      </c>
      <c r="AJ9" s="29">
        <f t="shared" si="7"/>
        <v>63.343888717972412</v>
      </c>
      <c r="AK9" s="29">
        <f t="shared" si="7"/>
        <v>42.428182009519787</v>
      </c>
      <c r="AL9" s="29">
        <f t="shared" si="7"/>
        <v>65.473531374822755</v>
      </c>
      <c r="AM9" s="29">
        <f t="shared" si="7"/>
        <v>67.222105116239021</v>
      </c>
      <c r="AN9" s="29">
        <f t="shared" si="7"/>
        <v>84.263588194429218</v>
      </c>
      <c r="AO9" s="29">
        <f t="shared" si="7"/>
        <v>74.352103044598351</v>
      </c>
      <c r="AP9" s="29">
        <f t="shared" si="7"/>
        <v>47.011861319497378</v>
      </c>
      <c r="AQ9" s="29">
        <f t="shared" si="7"/>
        <v>55.315960816508422</v>
      </c>
      <c r="AR9" s="29">
        <f t="shared" si="7"/>
        <v>57.463577639569436</v>
      </c>
      <c r="AS9" s="29">
        <f t="shared" si="7"/>
        <v>71.39718116872406</v>
      </c>
      <c r="AT9" s="29">
        <f t="shared" si="7"/>
        <v>69.653300276069018</v>
      </c>
      <c r="AU9" s="29">
        <f t="shared" si="7"/>
        <v>59.656537622578973</v>
      </c>
      <c r="AV9" s="29">
        <f t="shared" si="7"/>
        <v>59.314767688257611</v>
      </c>
      <c r="AW9" s="29">
        <f t="shared" si="7"/>
        <v>112.55612584651966</v>
      </c>
      <c r="AX9" s="29">
        <f t="shared" si="7"/>
        <v>44.524272204415908</v>
      </c>
      <c r="AY9" s="29">
        <f t="shared" si="7"/>
        <v>48.576212774279128</v>
      </c>
    </row>
    <row r="10" spans="1:51" x14ac:dyDescent="0.2">
      <c r="A10" s="28" t="s">
        <v>65</v>
      </c>
      <c r="B10" s="29">
        <f ca="1">MIN(B14:B1500)</f>
        <v>8.1505894952545432</v>
      </c>
      <c r="C10" s="29">
        <f t="shared" ref="C10:AY10" si="8">MIN(C14:C1500)</f>
        <v>9.936733659132269</v>
      </c>
      <c r="D10" s="29">
        <f t="shared" si="8"/>
        <v>9.1457921639401292</v>
      </c>
      <c r="E10" s="29">
        <f t="shared" si="8"/>
        <v>10.198689220078579</v>
      </c>
      <c r="F10" s="29">
        <f t="shared" si="8"/>
        <v>9.0536906484801829</v>
      </c>
      <c r="G10" s="29">
        <f t="shared" si="8"/>
        <v>9.0871829405306652</v>
      </c>
      <c r="H10" s="29">
        <f t="shared" si="8"/>
        <v>13.196431292143494</v>
      </c>
      <c r="I10" s="29">
        <f t="shared" si="8"/>
        <v>18.705752669574064</v>
      </c>
      <c r="J10" s="29">
        <f t="shared" si="8"/>
        <v>14.11863183032715</v>
      </c>
      <c r="K10" s="29">
        <f t="shared" si="8"/>
        <v>17.965294040280444</v>
      </c>
      <c r="L10" s="29">
        <f t="shared" si="8"/>
        <v>14.018037244644503</v>
      </c>
      <c r="M10" s="29">
        <f t="shared" si="8"/>
        <v>10.840094733793418</v>
      </c>
      <c r="N10" s="29">
        <f t="shared" si="8"/>
        <v>14.984957922441868</v>
      </c>
      <c r="O10" s="29">
        <f t="shared" si="8"/>
        <v>14.895616609604248</v>
      </c>
      <c r="P10" s="29">
        <f t="shared" si="8"/>
        <v>12.486302701868356</v>
      </c>
      <c r="Q10" s="29">
        <f t="shared" si="8"/>
        <v>7.9100602856159332</v>
      </c>
      <c r="R10" s="29">
        <f t="shared" si="8"/>
        <v>9.4049041759878964</v>
      </c>
      <c r="S10" s="29">
        <f t="shared" si="8"/>
        <v>13.410562440696452</v>
      </c>
      <c r="T10" s="29">
        <f t="shared" si="8"/>
        <v>16.007436326691231</v>
      </c>
      <c r="U10" s="29">
        <f t="shared" si="8"/>
        <v>12.602673253266888</v>
      </c>
      <c r="V10" s="29">
        <f t="shared" si="8"/>
        <v>10.676123773098089</v>
      </c>
      <c r="W10" s="29">
        <f t="shared" si="8"/>
        <v>20.896182940766682</v>
      </c>
      <c r="X10" s="29">
        <f t="shared" si="8"/>
        <v>9.6606278792429112</v>
      </c>
      <c r="Y10" s="29">
        <f t="shared" si="8"/>
        <v>14.224907006159849</v>
      </c>
      <c r="Z10" s="29">
        <f t="shared" si="8"/>
        <v>30.576489838303058</v>
      </c>
      <c r="AA10" s="29">
        <f t="shared" si="8"/>
        <v>10.903648468424683</v>
      </c>
      <c r="AB10" s="29">
        <f t="shared" si="8"/>
        <v>30.201474482041405</v>
      </c>
      <c r="AC10" s="29">
        <f t="shared" si="8"/>
        <v>12.453450119080262</v>
      </c>
      <c r="AD10" s="29">
        <f t="shared" si="8"/>
        <v>13.516431714866808</v>
      </c>
      <c r="AE10" s="29">
        <f t="shared" si="8"/>
        <v>41.021974228498912</v>
      </c>
      <c r="AF10" s="29">
        <f t="shared" si="8"/>
        <v>12.122354407679595</v>
      </c>
      <c r="AG10" s="29">
        <f t="shared" si="8"/>
        <v>9.9097958757052655</v>
      </c>
      <c r="AH10" s="29">
        <f t="shared" si="8"/>
        <v>11.17742258280256</v>
      </c>
      <c r="AI10" s="29">
        <f t="shared" si="8"/>
        <v>26.579709780697144</v>
      </c>
      <c r="AJ10" s="29">
        <f t="shared" si="8"/>
        <v>15.42404773954682</v>
      </c>
      <c r="AK10" s="29">
        <f t="shared" si="8"/>
        <v>9.4921822416307204</v>
      </c>
      <c r="AL10" s="29">
        <f t="shared" si="8"/>
        <v>12.699032527876783</v>
      </c>
      <c r="AM10" s="29">
        <f t="shared" si="8"/>
        <v>10.891525137593428</v>
      </c>
      <c r="AN10" s="29">
        <f t="shared" si="8"/>
        <v>13.777106379926227</v>
      </c>
      <c r="AO10" s="29">
        <f t="shared" si="8"/>
        <v>20.099874942447023</v>
      </c>
      <c r="AP10" s="29">
        <f t="shared" si="8"/>
        <v>13.771851773329905</v>
      </c>
      <c r="AQ10" s="29">
        <f t="shared" si="8"/>
        <v>13.466996777126232</v>
      </c>
      <c r="AR10" s="29">
        <f t="shared" si="8"/>
        <v>11.011035473110077</v>
      </c>
      <c r="AS10" s="29">
        <f t="shared" si="8"/>
        <v>15.168118465958553</v>
      </c>
      <c r="AT10" s="29">
        <f t="shared" si="8"/>
        <v>10.654931092657328</v>
      </c>
      <c r="AU10" s="29">
        <f t="shared" si="8"/>
        <v>15.620666911096492</v>
      </c>
      <c r="AV10" s="29">
        <f t="shared" si="8"/>
        <v>12.215649129377274</v>
      </c>
      <c r="AW10" s="29">
        <f t="shared" si="8"/>
        <v>15.240363191984946</v>
      </c>
      <c r="AX10" s="29">
        <f t="shared" si="8"/>
        <v>8.7505325892507457</v>
      </c>
      <c r="AY10" s="29">
        <f t="shared" si="8"/>
        <v>13.873634357658592</v>
      </c>
    </row>
    <row r="12" spans="1:51" x14ac:dyDescent="0.2">
      <c r="A12" s="25"/>
      <c r="B12" s="26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</row>
    <row r="13" spans="1:51" x14ac:dyDescent="0.2">
      <c r="B13" s="22" t="s">
        <v>55</v>
      </c>
    </row>
    <row r="14" spans="1:51" x14ac:dyDescent="0.2">
      <c r="A14" s="23">
        <v>45726</v>
      </c>
      <c r="B14" s="24">
        <f ca="1">[1]!WSD(B1:AY1,B13,统计区域!C3,统计区域!E3,"CalculationTime="&amp;TEXT(统计区域!H3,"@"),"AnnualCoefficient="&amp;TEXT(统计区域!K3,"@"),"TradingCalendar=SSE","PriceAdj=F","Sort=D","rptType=1","ShowParams=Y","cols=50;rows=283")</f>
        <v>16.832148987895422</v>
      </c>
      <c r="C14" s="24">
        <v>18.363617771669659</v>
      </c>
      <c r="D14" s="24">
        <v>14.338316619019119</v>
      </c>
      <c r="E14" s="24">
        <v>23.225463803441475</v>
      </c>
      <c r="F14" s="24">
        <v>18.835159390819161</v>
      </c>
      <c r="G14" s="24">
        <v>16.073433082157742</v>
      </c>
      <c r="H14" s="24">
        <v>13.679399108489712</v>
      </c>
      <c r="I14" s="24">
        <v>30.536361937298114</v>
      </c>
      <c r="J14" s="24">
        <v>16.763960476460735</v>
      </c>
      <c r="K14" s="24">
        <v>40.560222409319309</v>
      </c>
      <c r="L14" s="24">
        <v>25.126446344067897</v>
      </c>
      <c r="M14" s="24">
        <v>18.982414936117998</v>
      </c>
      <c r="N14" s="24">
        <v>17.667834203314431</v>
      </c>
      <c r="O14" s="24">
        <v>16.17217894080316</v>
      </c>
      <c r="P14" s="24">
        <v>48.020375561578511</v>
      </c>
      <c r="Q14" s="24">
        <v>10.989232785288856</v>
      </c>
      <c r="R14" s="24">
        <v>9.8377034711738727</v>
      </c>
      <c r="S14" s="24">
        <v>22.051676533366972</v>
      </c>
      <c r="T14" s="24">
        <v>22.785485335856606</v>
      </c>
      <c r="U14" s="24">
        <v>15.913278582065322</v>
      </c>
      <c r="V14" s="24">
        <v>13.898524780383546</v>
      </c>
      <c r="W14" s="24">
        <v>41.139113808669038</v>
      </c>
      <c r="X14" s="24">
        <v>17.72343602067372</v>
      </c>
      <c r="Y14" s="24">
        <v>25.92845466691783</v>
      </c>
      <c r="Z14" s="24">
        <v>31.240063252029156</v>
      </c>
      <c r="AA14" s="24">
        <v>24.038414256639314</v>
      </c>
      <c r="AB14" s="24">
        <v>72.049377521038679</v>
      </c>
      <c r="AC14" s="24">
        <v>21.955962965279387</v>
      </c>
      <c r="AD14" s="24">
        <v>35.370966363991464</v>
      </c>
      <c r="AE14" s="24">
        <v>90.260063169916933</v>
      </c>
      <c r="AF14" s="24">
        <v>35.721551969039453</v>
      </c>
      <c r="AG14" s="24">
        <v>15.403452982069226</v>
      </c>
      <c r="AH14" s="24">
        <v>22.157184183323572</v>
      </c>
      <c r="AI14" s="24">
        <v>33.70418255402771</v>
      </c>
      <c r="AJ14" s="24">
        <v>28.42198924255073</v>
      </c>
      <c r="AK14" s="24">
        <v>14.036364966634292</v>
      </c>
      <c r="AL14" s="24">
        <v>26.845799905118191</v>
      </c>
      <c r="AM14" s="24">
        <v>21.849194212072522</v>
      </c>
      <c r="AN14" s="24">
        <v>36.33353893027374</v>
      </c>
      <c r="AO14" s="24">
        <v>40.823799423701423</v>
      </c>
      <c r="AP14" s="24">
        <v>19.411490187785255</v>
      </c>
      <c r="AQ14" s="24">
        <v>19.24918305403347</v>
      </c>
      <c r="AR14" s="24">
        <v>11.717759894457609</v>
      </c>
      <c r="AS14" s="24">
        <v>17.617908474447123</v>
      </c>
      <c r="AT14" s="24">
        <v>14.876875977642467</v>
      </c>
      <c r="AU14" s="24">
        <v>21.184715646831108</v>
      </c>
      <c r="AV14" s="24">
        <v>15.901705025407246</v>
      </c>
      <c r="AW14" s="24">
        <v>49.612499039783621</v>
      </c>
      <c r="AX14" s="24">
        <v>15.327954222180709</v>
      </c>
      <c r="AY14" s="24">
        <v>16.782570085576133</v>
      </c>
    </row>
    <row r="15" spans="1:51" x14ac:dyDescent="0.2">
      <c r="A15" s="23">
        <v>45723</v>
      </c>
      <c r="B15" s="24">
        <v>16.532893685002488</v>
      </c>
      <c r="C15" s="24">
        <v>18.483985763637861</v>
      </c>
      <c r="D15" s="24">
        <v>14.013811670327586</v>
      </c>
      <c r="E15" s="24">
        <v>23.252445428111251</v>
      </c>
      <c r="F15" s="24">
        <v>18.6731893944322</v>
      </c>
      <c r="G15" s="24">
        <v>15.817106780769992</v>
      </c>
      <c r="H15" s="24">
        <v>13.678910686141029</v>
      </c>
      <c r="I15" s="24">
        <v>30.217890228438389</v>
      </c>
      <c r="J15" s="24">
        <v>16.037399468135842</v>
      </c>
      <c r="K15" s="24">
        <v>40.045455578425674</v>
      </c>
      <c r="L15" s="24">
        <v>23.794164381090891</v>
      </c>
      <c r="M15" s="24">
        <v>18.885324846805055</v>
      </c>
      <c r="N15" s="24">
        <v>17.493862760456935</v>
      </c>
      <c r="O15" s="24">
        <v>15.875018125115274</v>
      </c>
      <c r="P15" s="24">
        <v>50.809039066819722</v>
      </c>
      <c r="Q15" s="24">
        <v>11.111838597478142</v>
      </c>
      <c r="R15" s="24">
        <v>9.8269593446086514</v>
      </c>
      <c r="S15" s="24">
        <v>22.01549011670112</v>
      </c>
      <c r="T15" s="24">
        <v>21.864238504012118</v>
      </c>
      <c r="U15" s="24">
        <v>15.520358329633765</v>
      </c>
      <c r="V15" s="24">
        <v>13.434756350122585</v>
      </c>
      <c r="W15" s="24">
        <v>41.419942051276166</v>
      </c>
      <c r="X15" s="24">
        <v>16.638453148664713</v>
      </c>
      <c r="Y15" s="24">
        <v>26.047511706293477</v>
      </c>
      <c r="Z15" s="24">
        <v>31.248574027834003</v>
      </c>
      <c r="AA15" s="24">
        <v>23.714502865994817</v>
      </c>
      <c r="AB15" s="24">
        <v>72.018646965846244</v>
      </c>
      <c r="AC15" s="24">
        <v>22.23004167767434</v>
      </c>
      <c r="AD15" s="24">
        <v>35.379331427862311</v>
      </c>
      <c r="AE15" s="24">
        <v>93.641951002472581</v>
      </c>
      <c r="AF15" s="24">
        <v>35.717994611117874</v>
      </c>
      <c r="AG15" s="24">
        <v>15.509303358567314</v>
      </c>
      <c r="AH15" s="24">
        <v>22.423676496814732</v>
      </c>
      <c r="AI15" s="24">
        <v>33.554927893453566</v>
      </c>
      <c r="AJ15" s="24">
        <v>28.582065097452613</v>
      </c>
      <c r="AK15" s="24">
        <v>14.067382349748843</v>
      </c>
      <c r="AL15" s="24">
        <v>26.423674955450526</v>
      </c>
      <c r="AM15" s="24">
        <v>21.794792692062249</v>
      </c>
      <c r="AN15" s="24">
        <v>36.338408996293197</v>
      </c>
      <c r="AO15" s="24">
        <v>39.922246604046684</v>
      </c>
      <c r="AP15" s="24">
        <v>19.212209461063317</v>
      </c>
      <c r="AQ15" s="24">
        <v>18.833223231509695</v>
      </c>
      <c r="AR15" s="24">
        <v>11.438793979373939</v>
      </c>
      <c r="AS15" s="24">
        <v>16.82109108147181</v>
      </c>
      <c r="AT15" s="24">
        <v>14.603963627843749</v>
      </c>
      <c r="AU15" s="24">
        <v>24.663918539821207</v>
      </c>
      <c r="AV15" s="24">
        <v>16.488055261516106</v>
      </c>
      <c r="AW15" s="24">
        <v>49.914217711351711</v>
      </c>
      <c r="AX15" s="24">
        <v>14.184444314831435</v>
      </c>
      <c r="AY15" s="24">
        <v>16.799557291834702</v>
      </c>
    </row>
    <row r="16" spans="1:51" x14ac:dyDescent="0.2">
      <c r="A16" s="23">
        <v>45722</v>
      </c>
      <c r="B16" s="24">
        <v>16.4251981727169</v>
      </c>
      <c r="C16" s="24">
        <v>18.923307105075878</v>
      </c>
      <c r="D16" s="24">
        <v>14.082463823722795</v>
      </c>
      <c r="E16" s="24">
        <v>23.171631681330776</v>
      </c>
      <c r="F16" s="24">
        <v>18.720353173122632</v>
      </c>
      <c r="G16" s="24">
        <v>15.732526287281912</v>
      </c>
      <c r="H16" s="24">
        <v>13.868844346232301</v>
      </c>
      <c r="I16" s="24">
        <v>31.747773684483594</v>
      </c>
      <c r="J16" s="24">
        <v>15.64987400840818</v>
      </c>
      <c r="K16" s="24">
        <v>42.785688626905717</v>
      </c>
      <c r="L16" s="24">
        <v>23.877055678454859</v>
      </c>
      <c r="M16" s="24">
        <v>19.28387947479337</v>
      </c>
      <c r="N16" s="24">
        <v>17.36141715214351</v>
      </c>
      <c r="O16" s="24">
        <v>14.895616609604248</v>
      </c>
      <c r="P16" s="24">
        <v>50.622801162290934</v>
      </c>
      <c r="Q16" s="24">
        <v>11.113064741582855</v>
      </c>
      <c r="R16" s="24">
        <v>9.4049041759878964</v>
      </c>
      <c r="S16" s="24">
        <v>22.845329223650396</v>
      </c>
      <c r="T16" s="24">
        <v>20.919379084702314</v>
      </c>
      <c r="U16" s="24">
        <v>15.545083782536645</v>
      </c>
      <c r="V16" s="24">
        <v>13.436974200257085</v>
      </c>
      <c r="W16" s="24">
        <v>41.427397388326334</v>
      </c>
      <c r="X16" s="24">
        <v>16.655489025061648</v>
      </c>
      <c r="Y16" s="24">
        <v>26.774959824888064</v>
      </c>
      <c r="Z16" s="24">
        <v>35.333185365270587</v>
      </c>
      <c r="AA16" s="24">
        <v>25.128624028281365</v>
      </c>
      <c r="AB16" s="24">
        <v>71.562651474182616</v>
      </c>
      <c r="AC16" s="24">
        <v>22.037395524779534</v>
      </c>
      <c r="AD16" s="24">
        <v>35.713048656195404</v>
      </c>
      <c r="AE16" s="24">
        <v>93.649014007924251</v>
      </c>
      <c r="AF16" s="24">
        <v>35.918665783390942</v>
      </c>
      <c r="AG16" s="24">
        <v>15.718325374298921</v>
      </c>
      <c r="AH16" s="24">
        <v>27.338068477486551</v>
      </c>
      <c r="AI16" s="24">
        <v>33.938931769645656</v>
      </c>
      <c r="AJ16" s="24">
        <v>28.557476853027516</v>
      </c>
      <c r="AK16" s="24">
        <v>13.986038875954975</v>
      </c>
      <c r="AL16" s="24">
        <v>27.469608943540504</v>
      </c>
      <c r="AM16" s="24">
        <v>21.901864399911052</v>
      </c>
      <c r="AN16" s="24">
        <v>36.045349611365772</v>
      </c>
      <c r="AO16" s="24">
        <v>40.298357323097804</v>
      </c>
      <c r="AP16" s="24">
        <v>19.346741980163003</v>
      </c>
      <c r="AQ16" s="24">
        <v>19.369121866085223</v>
      </c>
      <c r="AR16" s="24">
        <v>11.412717215520157</v>
      </c>
      <c r="AS16" s="24">
        <v>18.436095926824979</v>
      </c>
      <c r="AT16" s="24">
        <v>14.548290200076041</v>
      </c>
      <c r="AU16" s="24">
        <v>26.154854378557889</v>
      </c>
      <c r="AV16" s="24">
        <v>20.41108032932409</v>
      </c>
      <c r="AW16" s="24">
        <v>49.86836169730433</v>
      </c>
      <c r="AX16" s="24">
        <v>14.337813327606364</v>
      </c>
      <c r="AY16" s="24">
        <v>16.721364734010887</v>
      </c>
    </row>
    <row r="17" spans="1:51" x14ac:dyDescent="0.2">
      <c r="A17" s="23">
        <v>45721</v>
      </c>
      <c r="B17" s="24">
        <v>16.236096598548944</v>
      </c>
      <c r="C17" s="24">
        <v>16.906052219926316</v>
      </c>
      <c r="D17" s="24">
        <v>13.595202128897453</v>
      </c>
      <c r="E17" s="24">
        <v>23.133561560626926</v>
      </c>
      <c r="F17" s="24">
        <v>18.151739330584725</v>
      </c>
      <c r="G17" s="24">
        <v>15.647352462169676</v>
      </c>
      <c r="H17" s="24">
        <v>14.22684011373285</v>
      </c>
      <c r="I17" s="24">
        <v>31.522360929067048</v>
      </c>
      <c r="J17" s="24">
        <v>15.64724912761425</v>
      </c>
      <c r="K17" s="24">
        <v>52.764617851039851</v>
      </c>
      <c r="L17" s="24">
        <v>23.139284315805408</v>
      </c>
      <c r="M17" s="24">
        <v>17.64540854369665</v>
      </c>
      <c r="N17" s="24">
        <v>17.081202909454625</v>
      </c>
      <c r="O17" s="24">
        <v>15.129541935091314</v>
      </c>
      <c r="P17" s="24">
        <v>50.251206110495787</v>
      </c>
      <c r="Q17" s="24">
        <v>10.763331919437412</v>
      </c>
      <c r="R17" s="24">
        <v>10.642121077689101</v>
      </c>
      <c r="S17" s="24">
        <v>22.670152711028745</v>
      </c>
      <c r="T17" s="24">
        <v>19.497303424111571</v>
      </c>
      <c r="U17" s="24">
        <v>15.164781469504151</v>
      </c>
      <c r="V17" s="24">
        <v>13.077565173975968</v>
      </c>
      <c r="W17" s="24">
        <v>42.729135259156898</v>
      </c>
      <c r="X17" s="24">
        <v>16.692342101916296</v>
      </c>
      <c r="Y17" s="24">
        <v>26.123963940703973</v>
      </c>
      <c r="Z17" s="24">
        <v>35.94824040630531</v>
      </c>
      <c r="AA17" s="24">
        <v>24.308882738863407</v>
      </c>
      <c r="AB17" s="24">
        <v>69.194927447347624</v>
      </c>
      <c r="AC17" s="24">
        <v>21.343652153662685</v>
      </c>
      <c r="AD17" s="24">
        <v>34.358163141135599</v>
      </c>
      <c r="AE17" s="24">
        <v>90.806424766058029</v>
      </c>
      <c r="AF17" s="24">
        <v>25.163455799275319</v>
      </c>
      <c r="AG17" s="24">
        <v>15.284068678630556</v>
      </c>
      <c r="AH17" s="24">
        <v>27.128345545050202</v>
      </c>
      <c r="AI17" s="24">
        <v>35.121983653308199</v>
      </c>
      <c r="AJ17" s="24">
        <v>28.429785816784193</v>
      </c>
      <c r="AK17" s="24">
        <v>13.412618649232215</v>
      </c>
      <c r="AL17" s="24">
        <v>26.350180325861945</v>
      </c>
      <c r="AM17" s="24">
        <v>21.52389061639035</v>
      </c>
      <c r="AN17" s="24">
        <v>35.709433922519509</v>
      </c>
      <c r="AO17" s="24">
        <v>43.967483711043741</v>
      </c>
      <c r="AP17" s="24">
        <v>19.213785673127976</v>
      </c>
      <c r="AQ17" s="24">
        <v>19.356425025809443</v>
      </c>
      <c r="AR17" s="24">
        <v>11.356134266075157</v>
      </c>
      <c r="AS17" s="24">
        <v>17.655398193183046</v>
      </c>
      <c r="AT17" s="24">
        <v>14.545907993048687</v>
      </c>
      <c r="AU17" s="24">
        <v>26.289185453728535</v>
      </c>
      <c r="AV17" s="24">
        <v>20.378646694987705</v>
      </c>
      <c r="AW17" s="24">
        <v>58.98873720353982</v>
      </c>
      <c r="AX17" s="24">
        <v>13.515826932984714</v>
      </c>
      <c r="AY17" s="24">
        <v>17.927412125289827</v>
      </c>
    </row>
    <row r="18" spans="1:51" x14ac:dyDescent="0.2">
      <c r="A18" s="23">
        <v>45720</v>
      </c>
      <c r="B18" s="24">
        <v>17.125134169014071</v>
      </c>
      <c r="C18" s="24">
        <v>18.861009393393545</v>
      </c>
      <c r="D18" s="24">
        <v>14.650623390250344</v>
      </c>
      <c r="E18" s="24">
        <v>23.966275560216019</v>
      </c>
      <c r="F18" s="24">
        <v>17.808671018746097</v>
      </c>
      <c r="G18" s="24">
        <v>16.982726556170768</v>
      </c>
      <c r="H18" s="24">
        <v>15.382575779884025</v>
      </c>
      <c r="I18" s="24">
        <v>32.213898740752015</v>
      </c>
      <c r="J18" s="24">
        <v>14.807069743223087</v>
      </c>
      <c r="K18" s="24">
        <v>52.914194581732524</v>
      </c>
      <c r="L18" s="24">
        <v>24.670670593560033</v>
      </c>
      <c r="M18" s="24">
        <v>19.274413826167265</v>
      </c>
      <c r="N18" s="24">
        <v>17.647513457325282</v>
      </c>
      <c r="O18" s="24">
        <v>16.603341120156539</v>
      </c>
      <c r="P18" s="24">
        <v>49.954190389104866</v>
      </c>
      <c r="Q18" s="24">
        <v>11.213491039044921</v>
      </c>
      <c r="R18" s="24">
        <v>10.634319455097618</v>
      </c>
      <c r="S18" s="24">
        <v>23.999454516633268</v>
      </c>
      <c r="T18" s="24">
        <v>20.289183104295848</v>
      </c>
      <c r="U18" s="24">
        <v>16.248512991815918</v>
      </c>
      <c r="V18" s="24">
        <v>12.026926961555231</v>
      </c>
      <c r="W18" s="24">
        <v>50.728199753028242</v>
      </c>
      <c r="X18" s="24">
        <v>16.617911272226841</v>
      </c>
      <c r="Y18" s="24">
        <v>26.598997518292837</v>
      </c>
      <c r="Z18" s="24">
        <v>44.024395414610069</v>
      </c>
      <c r="AA18" s="24">
        <v>24.303021960120184</v>
      </c>
      <c r="AB18" s="24">
        <v>74.45001409288281</v>
      </c>
      <c r="AC18" s="24">
        <v>20.130484562371887</v>
      </c>
      <c r="AD18" s="24">
        <v>34.366790332279585</v>
      </c>
      <c r="AE18" s="24">
        <v>90.285611412788413</v>
      </c>
      <c r="AF18" s="24">
        <v>27.29557465935148</v>
      </c>
      <c r="AG18" s="24">
        <v>15.999635370320481</v>
      </c>
      <c r="AH18" s="24">
        <v>27.364495112437183</v>
      </c>
      <c r="AI18" s="24">
        <v>35.147907454493797</v>
      </c>
      <c r="AJ18" s="24">
        <v>29.017291046942425</v>
      </c>
      <c r="AK18" s="24">
        <v>13.757001078069493</v>
      </c>
      <c r="AL18" s="24">
        <v>27.799120956677772</v>
      </c>
      <c r="AM18" s="24">
        <v>23.779105319650665</v>
      </c>
      <c r="AN18" s="24">
        <v>36.412219404395394</v>
      </c>
      <c r="AO18" s="24">
        <v>43.982293943514755</v>
      </c>
      <c r="AP18" s="24">
        <v>23.837455793922736</v>
      </c>
      <c r="AQ18" s="24">
        <v>20.345325947049542</v>
      </c>
      <c r="AR18" s="24">
        <v>11.011035473110077</v>
      </c>
      <c r="AS18" s="24">
        <v>18.105573193538451</v>
      </c>
      <c r="AT18" s="24">
        <v>16.530165109334991</v>
      </c>
      <c r="AU18" s="24">
        <v>26.495049152635641</v>
      </c>
      <c r="AV18" s="24">
        <v>20.477224728747558</v>
      </c>
      <c r="AW18" s="24">
        <v>60.043564702632992</v>
      </c>
      <c r="AX18" s="24">
        <v>13.3691749581654</v>
      </c>
      <c r="AY18" s="24">
        <v>17.849046645430132</v>
      </c>
    </row>
    <row r="19" spans="1:51" x14ac:dyDescent="0.2">
      <c r="A19" s="23">
        <v>45719</v>
      </c>
      <c r="B19" s="24">
        <v>18.414515620773017</v>
      </c>
      <c r="C19" s="24">
        <v>18.298787457775546</v>
      </c>
      <c r="D19" s="24">
        <v>16.790287249419158</v>
      </c>
      <c r="E19" s="24">
        <v>24.826262297647659</v>
      </c>
      <c r="F19" s="24">
        <v>18.520128178740485</v>
      </c>
      <c r="G19" s="24">
        <v>19.158090168971803</v>
      </c>
      <c r="H19" s="24">
        <v>14.143659468640749</v>
      </c>
      <c r="I19" s="24">
        <v>29.199333333243242</v>
      </c>
      <c r="J19" s="24">
        <v>14.814367933645764</v>
      </c>
      <c r="K19" s="24">
        <v>50.056965742508908</v>
      </c>
      <c r="L19" s="24">
        <v>24.676983715641938</v>
      </c>
      <c r="M19" s="24">
        <v>19.212083594674546</v>
      </c>
      <c r="N19" s="24">
        <v>15.967152153740168</v>
      </c>
      <c r="O19" s="24">
        <v>19.547860949797876</v>
      </c>
      <c r="P19" s="24">
        <v>49.688054740227791</v>
      </c>
      <c r="Q19" s="24">
        <v>14.74432974175312</v>
      </c>
      <c r="R19" s="24">
        <v>10.469349334825587</v>
      </c>
      <c r="S19" s="24">
        <v>24.07184379991962</v>
      </c>
      <c r="T19" s="24">
        <v>20.088738664509226</v>
      </c>
      <c r="U19" s="24">
        <v>16.678975762938226</v>
      </c>
      <c r="V19" s="24">
        <v>12.364762639979162</v>
      </c>
      <c r="W19" s="24">
        <v>52.637280658602513</v>
      </c>
      <c r="X19" s="24">
        <v>16.628701126071618</v>
      </c>
      <c r="Y19" s="24">
        <v>26.203987409479989</v>
      </c>
      <c r="Z19" s="24">
        <v>52.925146895372407</v>
      </c>
      <c r="AA19" s="24">
        <v>25.62557378833397</v>
      </c>
      <c r="AB19" s="24">
        <v>75.259869445224354</v>
      </c>
      <c r="AC19" s="24">
        <v>20.571772886645093</v>
      </c>
      <c r="AD19" s="24">
        <v>38.395948851541888</v>
      </c>
      <c r="AE19" s="24">
        <v>94.168860647735443</v>
      </c>
      <c r="AF19" s="24">
        <v>27.159037489485879</v>
      </c>
      <c r="AG19" s="24">
        <v>18.607037049873846</v>
      </c>
      <c r="AH19" s="24">
        <v>26.762413762874566</v>
      </c>
      <c r="AI19" s="24">
        <v>35.658002016593819</v>
      </c>
      <c r="AJ19" s="24">
        <v>29.004242050895186</v>
      </c>
      <c r="AK19" s="24">
        <v>13.151466257515297</v>
      </c>
      <c r="AL19" s="24">
        <v>27.675039894326137</v>
      </c>
      <c r="AM19" s="24">
        <v>23.821084847262568</v>
      </c>
      <c r="AN19" s="24">
        <v>36.647341724190895</v>
      </c>
      <c r="AO19" s="24">
        <v>43.765261870149999</v>
      </c>
      <c r="AP19" s="24">
        <v>24.077615351697293</v>
      </c>
      <c r="AQ19" s="24">
        <v>17.590637907785812</v>
      </c>
      <c r="AR19" s="24">
        <v>11.689631964007724</v>
      </c>
      <c r="AS19" s="24">
        <v>18.107475387073084</v>
      </c>
      <c r="AT19" s="24">
        <v>16.726284249312759</v>
      </c>
      <c r="AU19" s="24">
        <v>26.46624364932315</v>
      </c>
      <c r="AV19" s="24">
        <v>20.285311954630867</v>
      </c>
      <c r="AW19" s="24">
        <v>63.155273737733289</v>
      </c>
      <c r="AX19" s="24">
        <v>13.296028533969864</v>
      </c>
      <c r="AY19" s="24">
        <v>18.366473056245226</v>
      </c>
    </row>
    <row r="20" spans="1:51" x14ac:dyDescent="0.2">
      <c r="A20" s="23">
        <v>45716</v>
      </c>
      <c r="B20" s="24">
        <v>18.347932759731137</v>
      </c>
      <c r="C20" s="24">
        <v>18.023773474678478</v>
      </c>
      <c r="D20" s="24">
        <v>16.792208986831039</v>
      </c>
      <c r="E20" s="24">
        <v>24.789052002574252</v>
      </c>
      <c r="F20" s="24">
        <v>18.567244691046529</v>
      </c>
      <c r="G20" s="24">
        <v>19.268330278779622</v>
      </c>
      <c r="H20" s="24">
        <v>14.161336439240376</v>
      </c>
      <c r="I20" s="24">
        <v>27.3153195292522</v>
      </c>
      <c r="J20" s="24">
        <v>15.085325974612653</v>
      </c>
      <c r="K20" s="24">
        <v>49.706757199427713</v>
      </c>
      <c r="L20" s="24">
        <v>24.432766928869203</v>
      </c>
      <c r="M20" s="24">
        <v>19.538921214215975</v>
      </c>
      <c r="N20" s="24">
        <v>16.135172335039456</v>
      </c>
      <c r="O20" s="24">
        <v>20.892960532278302</v>
      </c>
      <c r="P20" s="24">
        <v>49.393744941183037</v>
      </c>
      <c r="Q20" s="24">
        <v>14.407944962497847</v>
      </c>
      <c r="R20" s="24">
        <v>10.436292981134965</v>
      </c>
      <c r="S20" s="24">
        <v>22.076004293538887</v>
      </c>
      <c r="T20" s="24">
        <v>20.167529952241097</v>
      </c>
      <c r="U20" s="24">
        <v>16.23343768289779</v>
      </c>
      <c r="V20" s="24">
        <v>12.608193261659061</v>
      </c>
      <c r="W20" s="24">
        <v>52.366883088911713</v>
      </c>
      <c r="X20" s="24">
        <v>16.658027562350068</v>
      </c>
      <c r="Y20" s="24">
        <v>25.449952824365884</v>
      </c>
      <c r="Z20" s="24">
        <v>53.395445528947178</v>
      </c>
      <c r="AA20" s="24">
        <v>25.652483995024408</v>
      </c>
      <c r="AB20" s="24">
        <v>71.335974906878363</v>
      </c>
      <c r="AC20" s="24">
        <v>20.809975050444343</v>
      </c>
      <c r="AD20" s="24">
        <v>38.687832784950842</v>
      </c>
      <c r="AE20" s="24">
        <v>91.369135238898849</v>
      </c>
      <c r="AF20" s="24">
        <v>27.208827248703948</v>
      </c>
      <c r="AG20" s="24">
        <v>18.861131356533367</v>
      </c>
      <c r="AH20" s="24">
        <v>26.171457491373815</v>
      </c>
      <c r="AI20" s="24">
        <v>36.416134302657049</v>
      </c>
      <c r="AJ20" s="24">
        <v>29.392556425423887</v>
      </c>
      <c r="AK20" s="24">
        <v>14.387168165784315</v>
      </c>
      <c r="AL20" s="24">
        <v>28.155627649780481</v>
      </c>
      <c r="AM20" s="24">
        <v>24.46341057947178</v>
      </c>
      <c r="AN20" s="24">
        <v>33.912178905156317</v>
      </c>
      <c r="AO20" s="24">
        <v>42.851678617337754</v>
      </c>
      <c r="AP20" s="24">
        <v>24.065074354329262</v>
      </c>
      <c r="AQ20" s="24">
        <v>17.830190151016897</v>
      </c>
      <c r="AR20" s="24">
        <v>11.658035358519198</v>
      </c>
      <c r="AS20" s="24">
        <v>17.358597307230831</v>
      </c>
      <c r="AT20" s="24">
        <v>16.874664070301929</v>
      </c>
      <c r="AU20" s="24">
        <v>26.467304363151545</v>
      </c>
      <c r="AV20" s="24">
        <v>20.214676651021744</v>
      </c>
      <c r="AW20" s="24">
        <v>63.363851200238663</v>
      </c>
      <c r="AX20" s="24">
        <v>13.30059395125668</v>
      </c>
      <c r="AY20" s="24">
        <v>18.448166978069658</v>
      </c>
    </row>
    <row r="21" spans="1:51" x14ac:dyDescent="0.2">
      <c r="A21" s="23">
        <v>45715</v>
      </c>
      <c r="B21" s="24">
        <v>21.069822192570097</v>
      </c>
      <c r="C21" s="24">
        <v>17.76656424304527</v>
      </c>
      <c r="D21" s="24">
        <v>18.781881013705572</v>
      </c>
      <c r="E21" s="24">
        <v>25.173452333352309</v>
      </c>
      <c r="F21" s="24">
        <v>21.386536395846825</v>
      </c>
      <c r="G21" s="24">
        <v>21.438728290675318</v>
      </c>
      <c r="H21" s="24">
        <v>14.322260848448382</v>
      </c>
      <c r="I21" s="24">
        <v>26.033875683689352</v>
      </c>
      <c r="J21" s="24">
        <v>14.744917124592773</v>
      </c>
      <c r="K21" s="24">
        <v>47.723989192537914</v>
      </c>
      <c r="L21" s="24">
        <v>27.064652510519679</v>
      </c>
      <c r="M21" s="24">
        <v>19.819066358739764</v>
      </c>
      <c r="N21" s="24">
        <v>15.946146926806465</v>
      </c>
      <c r="O21" s="24">
        <v>21.267341348924884</v>
      </c>
      <c r="P21" s="24">
        <v>48.544599226301884</v>
      </c>
      <c r="Q21" s="24">
        <v>14.465864832532672</v>
      </c>
      <c r="R21" s="24">
        <v>10.257750404736347</v>
      </c>
      <c r="S21" s="24">
        <v>21.984278059413057</v>
      </c>
      <c r="T21" s="24">
        <v>19.913370916796602</v>
      </c>
      <c r="U21" s="24">
        <v>20.246691510493662</v>
      </c>
      <c r="V21" s="24">
        <v>16.507553153567248</v>
      </c>
      <c r="W21" s="24">
        <v>51.138373492340428</v>
      </c>
      <c r="X21" s="24">
        <v>19.325933114914736</v>
      </c>
      <c r="Y21" s="24">
        <v>24.819436975711934</v>
      </c>
      <c r="Z21" s="24">
        <v>52.27490022051586</v>
      </c>
      <c r="AA21" s="24">
        <v>22.795393347002115</v>
      </c>
      <c r="AB21" s="24">
        <v>67.153549027035353</v>
      </c>
      <c r="AC21" s="24">
        <v>18.636510305275465</v>
      </c>
      <c r="AD21" s="24">
        <v>36.218767743974475</v>
      </c>
      <c r="AE21" s="24">
        <v>86.917037545657436</v>
      </c>
      <c r="AF21" s="24">
        <v>25.017632272522878</v>
      </c>
      <c r="AG21" s="24">
        <v>21.115577512780991</v>
      </c>
      <c r="AH21" s="24">
        <v>25.911932889983301</v>
      </c>
      <c r="AI21" s="24">
        <v>34.370173180906114</v>
      </c>
      <c r="AJ21" s="24">
        <v>25.138817363361927</v>
      </c>
      <c r="AK21" s="24">
        <v>14.424404586497227</v>
      </c>
      <c r="AL21" s="24">
        <v>23.734070080584797</v>
      </c>
      <c r="AM21" s="24">
        <v>24.067456713192026</v>
      </c>
      <c r="AN21" s="24">
        <v>33.627324725923181</v>
      </c>
      <c r="AO21" s="24">
        <v>40.782983058717406</v>
      </c>
      <c r="AP21" s="24">
        <v>23.133380018966371</v>
      </c>
      <c r="AQ21" s="24">
        <v>17.676399003739434</v>
      </c>
      <c r="AR21" s="24">
        <v>13.060453648248897</v>
      </c>
      <c r="AS21" s="24">
        <v>17.341639813602551</v>
      </c>
      <c r="AT21" s="24">
        <v>17.403422891585112</v>
      </c>
      <c r="AU21" s="24">
        <v>26.493484903866687</v>
      </c>
      <c r="AV21" s="24">
        <v>21.285997490410466</v>
      </c>
      <c r="AW21" s="24">
        <v>55.746454670125836</v>
      </c>
      <c r="AX21" s="24">
        <v>24.63111361163682</v>
      </c>
      <c r="AY21" s="24">
        <v>18.897794738790051</v>
      </c>
    </row>
    <row r="22" spans="1:51" x14ac:dyDescent="0.2">
      <c r="A22" s="23">
        <v>45714</v>
      </c>
      <c r="B22" s="24">
        <v>22.209396913460779</v>
      </c>
      <c r="C22" s="24">
        <v>18.098304032515124</v>
      </c>
      <c r="D22" s="24">
        <v>19.716116950899636</v>
      </c>
      <c r="E22" s="24">
        <v>25.357033602955159</v>
      </c>
      <c r="F22" s="24">
        <v>21.964888035008997</v>
      </c>
      <c r="G22" s="24">
        <v>22.639692761426055</v>
      </c>
      <c r="H22" s="24">
        <v>15.728472021439339</v>
      </c>
      <c r="I22" s="24">
        <v>27.567031000460481</v>
      </c>
      <c r="J22" s="24">
        <v>14.930085417669716</v>
      </c>
      <c r="K22" s="24">
        <v>48.612968485578094</v>
      </c>
      <c r="L22" s="24">
        <v>26.976274326238286</v>
      </c>
      <c r="M22" s="24">
        <v>21.241923270618027</v>
      </c>
      <c r="N22" s="24">
        <v>14.984957922441868</v>
      </c>
      <c r="O22" s="24">
        <v>21.019741239276996</v>
      </c>
      <c r="P22" s="24">
        <v>47.450149357705634</v>
      </c>
      <c r="Q22" s="24">
        <v>15.325608183021725</v>
      </c>
      <c r="R22" s="24">
        <v>10.166945369457105</v>
      </c>
      <c r="S22" s="24">
        <v>19.137406364770289</v>
      </c>
      <c r="T22" s="24">
        <v>20.224671984651462</v>
      </c>
      <c r="U22" s="24">
        <v>20.80323234212511</v>
      </c>
      <c r="V22" s="24">
        <v>17.523018129644981</v>
      </c>
      <c r="W22" s="24">
        <v>51.168480583397901</v>
      </c>
      <c r="X22" s="24">
        <v>19.970426755795408</v>
      </c>
      <c r="Y22" s="24">
        <v>24.744588831105574</v>
      </c>
      <c r="Z22" s="24">
        <v>61.032247178700224</v>
      </c>
      <c r="AA22" s="24">
        <v>22.772163192394245</v>
      </c>
      <c r="AB22" s="24">
        <v>67.077158681990852</v>
      </c>
      <c r="AC22" s="24">
        <v>17.589570212918595</v>
      </c>
      <c r="AD22" s="24">
        <v>36.086996182678142</v>
      </c>
      <c r="AE22" s="24">
        <v>86.986564926614562</v>
      </c>
      <c r="AF22" s="24">
        <v>24.600263393729406</v>
      </c>
      <c r="AG22" s="24">
        <v>24.192548613570079</v>
      </c>
      <c r="AH22" s="24">
        <v>28.13077568362343</v>
      </c>
      <c r="AI22" s="24">
        <v>38.234119997515769</v>
      </c>
      <c r="AJ22" s="24">
        <v>25.984750463479031</v>
      </c>
      <c r="AK22" s="24">
        <v>15.335696999773978</v>
      </c>
      <c r="AL22" s="24">
        <v>24.450427491493887</v>
      </c>
      <c r="AM22" s="24">
        <v>24.684137645717591</v>
      </c>
      <c r="AN22" s="24">
        <v>34.144583937881954</v>
      </c>
      <c r="AO22" s="24">
        <v>41.838915294747963</v>
      </c>
      <c r="AP22" s="24">
        <v>21.066580577759314</v>
      </c>
      <c r="AQ22" s="24">
        <v>17.241268635219381</v>
      </c>
      <c r="AR22" s="24">
        <v>15.242056276853727</v>
      </c>
      <c r="AS22" s="24">
        <v>18.816550611876817</v>
      </c>
      <c r="AT22" s="24">
        <v>18.507754241535899</v>
      </c>
      <c r="AU22" s="24">
        <v>26.369226970342091</v>
      </c>
      <c r="AV22" s="24">
        <v>21.268126821708215</v>
      </c>
      <c r="AW22" s="24">
        <v>56.175128933044284</v>
      </c>
      <c r="AX22" s="24">
        <v>24.650769408381059</v>
      </c>
      <c r="AY22" s="24">
        <v>17.673512629735391</v>
      </c>
    </row>
    <row r="23" spans="1:51" x14ac:dyDescent="0.2">
      <c r="A23" s="23">
        <v>45713</v>
      </c>
      <c r="B23" s="24">
        <v>22.291514042591341</v>
      </c>
      <c r="C23" s="24">
        <v>18.08000873941819</v>
      </c>
      <c r="D23" s="24">
        <v>19.716878143080507</v>
      </c>
      <c r="E23" s="24">
        <v>25.465467369870126</v>
      </c>
      <c r="F23" s="24">
        <v>21.976942913340263</v>
      </c>
      <c r="G23" s="24">
        <v>22.441471435230945</v>
      </c>
      <c r="H23" s="24">
        <v>16.100337266460205</v>
      </c>
      <c r="I23" s="24">
        <v>27.611910504400306</v>
      </c>
      <c r="J23" s="24">
        <v>14.53637662511089</v>
      </c>
      <c r="K23" s="24">
        <v>48.416254950088138</v>
      </c>
      <c r="L23" s="24">
        <v>26.502512775758273</v>
      </c>
      <c r="M23" s="24">
        <v>20.868592789695352</v>
      </c>
      <c r="N23" s="24">
        <v>16.477886520746495</v>
      </c>
      <c r="O23" s="24">
        <v>21.31088145728684</v>
      </c>
      <c r="P23" s="24">
        <v>48.774222818523917</v>
      </c>
      <c r="Q23" s="24">
        <v>14.908594985379651</v>
      </c>
      <c r="R23" s="24">
        <v>11.25805863569455</v>
      </c>
      <c r="S23" s="24">
        <v>17.887866806674065</v>
      </c>
      <c r="T23" s="24">
        <v>20.091115538085859</v>
      </c>
      <c r="U23" s="24">
        <v>20.856309438725692</v>
      </c>
      <c r="V23" s="24">
        <v>17.507435409254693</v>
      </c>
      <c r="W23" s="24">
        <v>50.38128230204368</v>
      </c>
      <c r="X23" s="24">
        <v>19.994928034053917</v>
      </c>
      <c r="Y23" s="24">
        <v>24.638552180043202</v>
      </c>
      <c r="Z23" s="24">
        <v>60.981922580139013</v>
      </c>
      <c r="AA23" s="24">
        <v>21.523072990914834</v>
      </c>
      <c r="AB23" s="24">
        <v>65.112856324345529</v>
      </c>
      <c r="AC23" s="24">
        <v>17.641281141805898</v>
      </c>
      <c r="AD23" s="24">
        <v>34.964758647014008</v>
      </c>
      <c r="AE23" s="24">
        <v>86.958034856780912</v>
      </c>
      <c r="AF23" s="24">
        <v>24.59835248011516</v>
      </c>
      <c r="AG23" s="24">
        <v>23.978540706922622</v>
      </c>
      <c r="AH23" s="24">
        <v>28.28286170222929</v>
      </c>
      <c r="AI23" s="24">
        <v>37.308425056320139</v>
      </c>
      <c r="AJ23" s="24">
        <v>26.267854830828288</v>
      </c>
      <c r="AK23" s="24">
        <v>15.212504962135691</v>
      </c>
      <c r="AL23" s="24">
        <v>23.33322150135001</v>
      </c>
      <c r="AM23" s="24">
        <v>24.423140707993284</v>
      </c>
      <c r="AN23" s="24">
        <v>33.943364058639389</v>
      </c>
      <c r="AO23" s="24">
        <v>41.730387756138853</v>
      </c>
      <c r="AP23" s="24">
        <v>21.03391432209256</v>
      </c>
      <c r="AQ23" s="24">
        <v>16.369082184432894</v>
      </c>
      <c r="AR23" s="24">
        <v>15.479439716287555</v>
      </c>
      <c r="AS23" s="24">
        <v>18.995734391029021</v>
      </c>
      <c r="AT23" s="24">
        <v>17.868153734620776</v>
      </c>
      <c r="AU23" s="24">
        <v>26.184856803715586</v>
      </c>
      <c r="AV23" s="24">
        <v>21.250842998055163</v>
      </c>
      <c r="AW23" s="24">
        <v>54.979710074454296</v>
      </c>
      <c r="AX23" s="24">
        <v>24.691802453708366</v>
      </c>
      <c r="AY23" s="24">
        <v>18.227258213573002</v>
      </c>
    </row>
    <row r="24" spans="1:51" x14ac:dyDescent="0.2">
      <c r="A24" s="23">
        <v>45712</v>
      </c>
      <c r="B24" s="24">
        <v>22.363777793460461</v>
      </c>
      <c r="C24" s="24">
        <v>17.688756611938693</v>
      </c>
      <c r="D24" s="24">
        <v>19.824173142226154</v>
      </c>
      <c r="E24" s="24">
        <v>23.951836063785834</v>
      </c>
      <c r="F24" s="24">
        <v>21.798584053739408</v>
      </c>
      <c r="G24" s="24">
        <v>22.341452921119323</v>
      </c>
      <c r="H24" s="24">
        <v>18.254222912970285</v>
      </c>
      <c r="I24" s="24">
        <v>33.083817506786431</v>
      </c>
      <c r="J24" s="24">
        <v>15.376661411408934</v>
      </c>
      <c r="K24" s="24">
        <v>47.851578192783542</v>
      </c>
      <c r="L24" s="24">
        <v>25.768841331872913</v>
      </c>
      <c r="M24" s="24">
        <v>19.514865442491043</v>
      </c>
      <c r="N24" s="24">
        <v>17.816851189004698</v>
      </c>
      <c r="O24" s="24">
        <v>22.221316559568692</v>
      </c>
      <c r="P24" s="24">
        <v>47.323463508028759</v>
      </c>
      <c r="Q24" s="24">
        <v>14.77476610745421</v>
      </c>
      <c r="R24" s="24">
        <v>11.09927851993301</v>
      </c>
      <c r="S24" s="24">
        <v>16.239869563081836</v>
      </c>
      <c r="T24" s="24">
        <v>18.938541087646378</v>
      </c>
      <c r="U24" s="24">
        <v>20.754677390825655</v>
      </c>
      <c r="V24" s="24">
        <v>16.693798797129187</v>
      </c>
      <c r="W24" s="24">
        <v>50.164712265889818</v>
      </c>
      <c r="X24" s="24">
        <v>19.922691167563734</v>
      </c>
      <c r="Y24" s="24">
        <v>23.814939551637238</v>
      </c>
      <c r="Z24" s="24">
        <v>60.850096037286683</v>
      </c>
      <c r="AA24" s="24">
        <v>20.322506779696496</v>
      </c>
      <c r="AB24" s="24">
        <v>65.163078051932985</v>
      </c>
      <c r="AC24" s="24">
        <v>17.382903824254811</v>
      </c>
      <c r="AD24" s="24">
        <v>34.337091752362305</v>
      </c>
      <c r="AE24" s="24">
        <v>87.635578139600184</v>
      </c>
      <c r="AF24" s="24">
        <v>22.262709296803489</v>
      </c>
      <c r="AG24" s="24">
        <v>24.004452574138771</v>
      </c>
      <c r="AH24" s="24">
        <v>26.621959012222824</v>
      </c>
      <c r="AI24" s="24">
        <v>38.511976073673637</v>
      </c>
      <c r="AJ24" s="24">
        <v>28.109019671387905</v>
      </c>
      <c r="AK24" s="24">
        <v>14.866059300374939</v>
      </c>
      <c r="AL24" s="24">
        <v>22.22384851513117</v>
      </c>
      <c r="AM24" s="24">
        <v>23.612464878122516</v>
      </c>
      <c r="AN24" s="24">
        <v>32.747481732582656</v>
      </c>
      <c r="AO24" s="24">
        <v>39.963200492058306</v>
      </c>
      <c r="AP24" s="24">
        <v>19.685173389858889</v>
      </c>
      <c r="AQ24" s="24">
        <v>16.520713992909791</v>
      </c>
      <c r="AR24" s="24">
        <v>15.023439162624726</v>
      </c>
      <c r="AS24" s="24">
        <v>17.837150597581164</v>
      </c>
      <c r="AT24" s="24">
        <v>17.396635470247897</v>
      </c>
      <c r="AU24" s="24">
        <v>25.669718176849312</v>
      </c>
      <c r="AV24" s="24">
        <v>20.934394716067722</v>
      </c>
      <c r="AW24" s="24">
        <v>55.479374089212683</v>
      </c>
      <c r="AX24" s="24">
        <v>24.813245687430477</v>
      </c>
      <c r="AY24" s="24">
        <v>17.248947146352894</v>
      </c>
    </row>
    <row r="25" spans="1:51" x14ac:dyDescent="0.2">
      <c r="A25" s="23">
        <v>45709</v>
      </c>
      <c r="B25" s="24">
        <v>22.638920855866218</v>
      </c>
      <c r="C25" s="24">
        <v>17.573365916043734</v>
      </c>
      <c r="D25" s="24">
        <v>19.95534000398473</v>
      </c>
      <c r="E25" s="24">
        <v>21.68702337648195</v>
      </c>
      <c r="F25" s="24">
        <v>22.306157385986392</v>
      </c>
      <c r="G25" s="24">
        <v>22.164904531091175</v>
      </c>
      <c r="H25" s="24">
        <v>18.76339385007801</v>
      </c>
      <c r="I25" s="24">
        <v>32.347685280801848</v>
      </c>
      <c r="J25" s="24">
        <v>15.549574994177341</v>
      </c>
      <c r="K25" s="24">
        <v>46.285757845803928</v>
      </c>
      <c r="L25" s="24">
        <v>26.256083455419869</v>
      </c>
      <c r="M25" s="24">
        <v>18.927239781012382</v>
      </c>
      <c r="N25" s="24">
        <v>16.382604719091649</v>
      </c>
      <c r="O25" s="24">
        <v>21.48427206385065</v>
      </c>
      <c r="P25" s="24">
        <v>45.46800271296955</v>
      </c>
      <c r="Q25" s="24">
        <v>14.808724949449399</v>
      </c>
      <c r="R25" s="24">
        <v>11.32860887398963</v>
      </c>
      <c r="S25" s="24">
        <v>16.203078819516428</v>
      </c>
      <c r="T25" s="24">
        <v>18.948708106910274</v>
      </c>
      <c r="U25" s="24">
        <v>20.987046844289988</v>
      </c>
      <c r="V25" s="24">
        <v>17.748332982270906</v>
      </c>
      <c r="W25" s="24">
        <v>54.417909525877612</v>
      </c>
      <c r="X25" s="24">
        <v>19.696803535523983</v>
      </c>
      <c r="Y25" s="24">
        <v>23.810484903659422</v>
      </c>
      <c r="Z25" s="24">
        <v>61.037237731510352</v>
      </c>
      <c r="AA25" s="24">
        <v>20.212132367099041</v>
      </c>
      <c r="AB25" s="24">
        <v>64.703598111351084</v>
      </c>
      <c r="AC25" s="24">
        <v>17.611848182527481</v>
      </c>
      <c r="AD25" s="24">
        <v>34.100603122623973</v>
      </c>
      <c r="AE25" s="24">
        <v>86.773339766405741</v>
      </c>
      <c r="AF25" s="24">
        <v>18.948406279115801</v>
      </c>
      <c r="AG25" s="24">
        <v>23.929362160667115</v>
      </c>
      <c r="AH25" s="24">
        <v>26.721104617510736</v>
      </c>
      <c r="AI25" s="24">
        <v>38.504883882721948</v>
      </c>
      <c r="AJ25" s="24">
        <v>28.009486997832685</v>
      </c>
      <c r="AK25" s="24">
        <v>14.909577954511217</v>
      </c>
      <c r="AL25" s="24">
        <v>22.247275497984354</v>
      </c>
      <c r="AM25" s="24">
        <v>23.504142371937519</v>
      </c>
      <c r="AN25" s="24">
        <v>31.682532867185582</v>
      </c>
      <c r="AO25" s="24">
        <v>40.504678109574968</v>
      </c>
      <c r="AP25" s="24">
        <v>19.20708433808452</v>
      </c>
      <c r="AQ25" s="24">
        <v>16.48038950728386</v>
      </c>
      <c r="AR25" s="24">
        <v>15.428807317270309</v>
      </c>
      <c r="AS25" s="24">
        <v>18.433522410080855</v>
      </c>
      <c r="AT25" s="24">
        <v>14.635184690511657</v>
      </c>
      <c r="AU25" s="24">
        <v>26.07911568614669</v>
      </c>
      <c r="AV25" s="24">
        <v>19.069441188543131</v>
      </c>
      <c r="AW25" s="24">
        <v>55.458424455026375</v>
      </c>
      <c r="AX25" s="24">
        <v>24.816560186795677</v>
      </c>
      <c r="AY25" s="24">
        <v>15.994452180641211</v>
      </c>
    </row>
    <row r="26" spans="1:51" x14ac:dyDescent="0.2">
      <c r="A26" s="23">
        <v>45708</v>
      </c>
      <c r="B26" s="24">
        <v>21.013540106738223</v>
      </c>
      <c r="C26" s="24">
        <v>18.431238772353616</v>
      </c>
      <c r="D26" s="24">
        <v>18.877358494530768</v>
      </c>
      <c r="E26" s="24">
        <v>17.804235952567332</v>
      </c>
      <c r="F26" s="24">
        <v>22.007749735664152</v>
      </c>
      <c r="G26" s="24">
        <v>21.26545617399093</v>
      </c>
      <c r="H26" s="24">
        <v>20.216932836182849</v>
      </c>
      <c r="I26" s="24">
        <v>32.030299437537842</v>
      </c>
      <c r="J26" s="24">
        <v>15.20821059351062</v>
      </c>
      <c r="K26" s="24">
        <v>44.871930541016141</v>
      </c>
      <c r="L26" s="24">
        <v>25.760722356716624</v>
      </c>
      <c r="M26" s="24">
        <v>18.789576985330523</v>
      </c>
      <c r="N26" s="24">
        <v>19.579409421620039</v>
      </c>
      <c r="O26" s="24">
        <v>21.374008730540975</v>
      </c>
      <c r="P26" s="24">
        <v>33.192237306749156</v>
      </c>
      <c r="Q26" s="24">
        <v>14.599728240056484</v>
      </c>
      <c r="R26" s="24">
        <v>11.492670318302592</v>
      </c>
      <c r="S26" s="24">
        <v>16.143989064558742</v>
      </c>
      <c r="T26" s="24">
        <v>19.243666552931408</v>
      </c>
      <c r="U26" s="24">
        <v>20.444641801716418</v>
      </c>
      <c r="V26" s="24">
        <v>17.534381704624373</v>
      </c>
      <c r="W26" s="24">
        <v>53.183668712163389</v>
      </c>
      <c r="X26" s="24">
        <v>19.529261534693262</v>
      </c>
      <c r="Y26" s="24">
        <v>24.550084160325056</v>
      </c>
      <c r="Z26" s="24">
        <v>61.487155126078328</v>
      </c>
      <c r="AA26" s="24">
        <v>19.186625570668536</v>
      </c>
      <c r="AB26" s="24">
        <v>55.526738807359514</v>
      </c>
      <c r="AC26" s="24">
        <v>17.598340392700528</v>
      </c>
      <c r="AD26" s="24">
        <v>32.202914896459859</v>
      </c>
      <c r="AE26" s="24">
        <v>81.911158215281517</v>
      </c>
      <c r="AF26" s="24">
        <v>18.622371835596383</v>
      </c>
      <c r="AG26" s="24">
        <v>23.642697295187578</v>
      </c>
      <c r="AH26" s="24">
        <v>26.823765870212593</v>
      </c>
      <c r="AI26" s="24">
        <v>38.040426340137167</v>
      </c>
      <c r="AJ26" s="24">
        <v>27.141555304345481</v>
      </c>
      <c r="AK26" s="24">
        <v>14.980541292947638</v>
      </c>
      <c r="AL26" s="24">
        <v>21.810689654501378</v>
      </c>
      <c r="AM26" s="24">
        <v>23.689596246231954</v>
      </c>
      <c r="AN26" s="24">
        <v>31.955890820013408</v>
      </c>
      <c r="AO26" s="24">
        <v>40.789468496490784</v>
      </c>
      <c r="AP26" s="24">
        <v>19.53277896624515</v>
      </c>
      <c r="AQ26" s="24">
        <v>16.685696776948035</v>
      </c>
      <c r="AR26" s="24">
        <v>15.627081163230013</v>
      </c>
      <c r="AS26" s="24">
        <v>18.667564889347862</v>
      </c>
      <c r="AT26" s="24">
        <v>13.320220426117542</v>
      </c>
      <c r="AU26" s="24">
        <v>26.085180757930416</v>
      </c>
      <c r="AV26" s="24">
        <v>19.212762113186955</v>
      </c>
      <c r="AW26" s="24">
        <v>55.573725127210871</v>
      </c>
      <c r="AX26" s="24">
        <v>24.081236005243415</v>
      </c>
      <c r="AY26" s="24">
        <v>19.76660930138193</v>
      </c>
    </row>
    <row r="27" spans="1:51" x14ac:dyDescent="0.2">
      <c r="A27" s="23">
        <v>45707</v>
      </c>
      <c r="B27" s="24">
        <v>21.010676371670353</v>
      </c>
      <c r="C27" s="24">
        <v>17.940497328301902</v>
      </c>
      <c r="D27" s="24">
        <v>18.879349146596898</v>
      </c>
      <c r="E27" s="24">
        <v>16.861178021366356</v>
      </c>
      <c r="F27" s="24">
        <v>22.007749735664152</v>
      </c>
      <c r="G27" s="24">
        <v>21.266095826409195</v>
      </c>
      <c r="H27" s="24">
        <v>19.958644798955497</v>
      </c>
      <c r="I27" s="24">
        <v>32.737328560599209</v>
      </c>
      <c r="J27" s="24">
        <v>16.364838725370088</v>
      </c>
      <c r="K27" s="24">
        <v>45.400851180511012</v>
      </c>
      <c r="L27" s="24">
        <v>24.932156444155268</v>
      </c>
      <c r="M27" s="24">
        <v>18.175235686700368</v>
      </c>
      <c r="N27" s="24">
        <v>19.475085250998127</v>
      </c>
      <c r="O27" s="24">
        <v>21.22376951875858</v>
      </c>
      <c r="P27" s="24">
        <v>30.517299165523557</v>
      </c>
      <c r="Q27" s="24">
        <v>14.60044092206201</v>
      </c>
      <c r="R27" s="24">
        <v>11.530339990629471</v>
      </c>
      <c r="S27" s="24">
        <v>16.445608740190252</v>
      </c>
      <c r="T27" s="24">
        <v>19.178693641081178</v>
      </c>
      <c r="U27" s="24">
        <v>20.421308293377852</v>
      </c>
      <c r="V27" s="24">
        <v>17.606478476132168</v>
      </c>
      <c r="W27" s="24">
        <v>52.298216653426479</v>
      </c>
      <c r="X27" s="24">
        <v>19.30017627266437</v>
      </c>
      <c r="Y27" s="24">
        <v>28.410823253275559</v>
      </c>
      <c r="Z27" s="24">
        <v>61.113440615017019</v>
      </c>
      <c r="AA27" s="24">
        <v>19.661660819639778</v>
      </c>
      <c r="AB27" s="24">
        <v>56.196267883076196</v>
      </c>
      <c r="AC27" s="24">
        <v>17.809342191857667</v>
      </c>
      <c r="AD27" s="24">
        <v>33.029722937894768</v>
      </c>
      <c r="AE27" s="24">
        <v>81.940443796471541</v>
      </c>
      <c r="AF27" s="24">
        <v>19.017854831153677</v>
      </c>
      <c r="AG27" s="24">
        <v>23.586369972132125</v>
      </c>
      <c r="AH27" s="24">
        <v>26.989617038587689</v>
      </c>
      <c r="AI27" s="24">
        <v>37.740433932923395</v>
      </c>
      <c r="AJ27" s="24">
        <v>23.879361524827054</v>
      </c>
      <c r="AK27" s="24">
        <v>14.86661879325009</v>
      </c>
      <c r="AL27" s="24">
        <v>20.584530561149588</v>
      </c>
      <c r="AM27" s="24">
        <v>23.720176849602016</v>
      </c>
      <c r="AN27" s="24">
        <v>32.042343808915469</v>
      </c>
      <c r="AO27" s="24">
        <v>42.178833859623623</v>
      </c>
      <c r="AP27" s="24">
        <v>20.548540446898109</v>
      </c>
      <c r="AQ27" s="24">
        <v>17.44107116738115</v>
      </c>
      <c r="AR27" s="24">
        <v>15.748237099160258</v>
      </c>
      <c r="AS27" s="24">
        <v>18.897944519930231</v>
      </c>
      <c r="AT27" s="24">
        <v>13.276222141032655</v>
      </c>
      <c r="AU27" s="24">
        <v>25.631992811085393</v>
      </c>
      <c r="AV27" s="24">
        <v>18.710482576593133</v>
      </c>
      <c r="AW27" s="24">
        <v>56.262407064380923</v>
      </c>
      <c r="AX27" s="24">
        <v>24.083482822400118</v>
      </c>
      <c r="AY27" s="24">
        <v>18.642085776328322</v>
      </c>
    </row>
    <row r="28" spans="1:51" x14ac:dyDescent="0.2">
      <c r="A28" s="23">
        <v>45706</v>
      </c>
      <c r="B28" s="24">
        <v>20.76837210469089</v>
      </c>
      <c r="C28" s="24">
        <v>18.822073846767232</v>
      </c>
      <c r="D28" s="24">
        <v>18.557517955908434</v>
      </c>
      <c r="E28" s="24">
        <v>16.870406353067441</v>
      </c>
      <c r="F28" s="24">
        <v>21.893644414019597</v>
      </c>
      <c r="G28" s="24">
        <v>21.529047367472199</v>
      </c>
      <c r="H28" s="24">
        <v>20.068786174274848</v>
      </c>
      <c r="I28" s="24">
        <v>34.718198848651774</v>
      </c>
      <c r="J28" s="24">
        <v>17.334457766984194</v>
      </c>
      <c r="K28" s="24">
        <v>46.146480632754489</v>
      </c>
      <c r="L28" s="24">
        <v>26.263629169511955</v>
      </c>
      <c r="M28" s="24">
        <v>18.794094177423776</v>
      </c>
      <c r="N28" s="24">
        <v>19.58741783714698</v>
      </c>
      <c r="O28" s="24">
        <v>21.545211255493673</v>
      </c>
      <c r="P28" s="24">
        <v>29.70828493246152</v>
      </c>
      <c r="Q28" s="24">
        <v>14.203325295495093</v>
      </c>
      <c r="R28" s="24">
        <v>11.18402351617487</v>
      </c>
      <c r="S28" s="24">
        <v>16.521373316520535</v>
      </c>
      <c r="T28" s="24">
        <v>21.593866803928663</v>
      </c>
      <c r="U28" s="24">
        <v>20.144374915331134</v>
      </c>
      <c r="V28" s="24">
        <v>17.94641871330743</v>
      </c>
      <c r="W28" s="24">
        <v>52.4880705319759</v>
      </c>
      <c r="X28" s="24">
        <v>19.691564419136281</v>
      </c>
      <c r="Y28" s="24">
        <v>28.382683749306423</v>
      </c>
      <c r="Z28" s="24">
        <v>62.110419993080875</v>
      </c>
      <c r="AA28" s="24">
        <v>24.344719167571679</v>
      </c>
      <c r="AB28" s="24">
        <v>56.246124286697139</v>
      </c>
      <c r="AC28" s="24">
        <v>18.063578245823187</v>
      </c>
      <c r="AD28" s="24">
        <v>41.908588712437194</v>
      </c>
      <c r="AE28" s="24">
        <v>82.615004156381104</v>
      </c>
      <c r="AF28" s="24">
        <v>20.035904625267275</v>
      </c>
      <c r="AG28" s="24">
        <v>23.958077081746527</v>
      </c>
      <c r="AH28" s="24">
        <v>27.424201676302893</v>
      </c>
      <c r="AI28" s="24">
        <v>40.26918315514871</v>
      </c>
      <c r="AJ28" s="24">
        <v>26.559318234542999</v>
      </c>
      <c r="AK28" s="24">
        <v>15.564672262424951</v>
      </c>
      <c r="AL28" s="24">
        <v>21.366287103946075</v>
      </c>
      <c r="AM28" s="24">
        <v>25.966980521725493</v>
      </c>
      <c r="AN28" s="24">
        <v>34.699156569073104</v>
      </c>
      <c r="AO28" s="24">
        <v>38.709648340763849</v>
      </c>
      <c r="AP28" s="24">
        <v>20.770362825235523</v>
      </c>
      <c r="AQ28" s="24">
        <v>16.97578480792895</v>
      </c>
      <c r="AR28" s="24">
        <v>16.080941902151274</v>
      </c>
      <c r="AS28" s="24">
        <v>19.993211616799343</v>
      </c>
      <c r="AT28" s="24">
        <v>14.236312911642491</v>
      </c>
      <c r="AU28" s="24">
        <v>26.078170495276016</v>
      </c>
      <c r="AV28" s="24">
        <v>19.861853846490639</v>
      </c>
      <c r="AW28" s="24">
        <v>52.309831065049302</v>
      </c>
      <c r="AX28" s="24">
        <v>24.386866305399629</v>
      </c>
      <c r="AY28" s="24">
        <v>19.729347464410449</v>
      </c>
    </row>
    <row r="29" spans="1:51" x14ac:dyDescent="0.2">
      <c r="A29" s="23">
        <v>45705</v>
      </c>
      <c r="B29" s="24">
        <v>20.564699039443298</v>
      </c>
      <c r="C29" s="24">
        <v>18.883690798596685</v>
      </c>
      <c r="D29" s="24">
        <v>19.210146929302738</v>
      </c>
      <c r="E29" s="24">
        <v>16.64834711875557</v>
      </c>
      <c r="F29" s="24">
        <v>23.125097143018472</v>
      </c>
      <c r="G29" s="24">
        <v>21.627766253608478</v>
      </c>
      <c r="H29" s="24">
        <v>20.990099051131587</v>
      </c>
      <c r="I29" s="24">
        <v>34.720427372270215</v>
      </c>
      <c r="J29" s="24">
        <v>17.269812577345107</v>
      </c>
      <c r="K29" s="24">
        <v>46.338702237476703</v>
      </c>
      <c r="L29" s="24">
        <v>25.981093596198495</v>
      </c>
      <c r="M29" s="24">
        <v>18.561776916581444</v>
      </c>
      <c r="N29" s="24">
        <v>21.179494786051009</v>
      </c>
      <c r="O29" s="24">
        <v>20.892685073478614</v>
      </c>
      <c r="P29" s="24">
        <v>31.46254881326367</v>
      </c>
      <c r="Q29" s="24">
        <v>13.964913009279321</v>
      </c>
      <c r="R29" s="24">
        <v>11.803259592982398</v>
      </c>
      <c r="S29" s="24">
        <v>18.836693817857931</v>
      </c>
      <c r="T29" s="24">
        <v>21.179615551868142</v>
      </c>
      <c r="U29" s="24">
        <v>19.816807944795293</v>
      </c>
      <c r="V29" s="24">
        <v>18.969060677346882</v>
      </c>
      <c r="W29" s="24">
        <v>51.707499441731912</v>
      </c>
      <c r="X29" s="24">
        <v>20.813669337831026</v>
      </c>
      <c r="Y29" s="24">
        <v>28.795580670010221</v>
      </c>
      <c r="Z29" s="24">
        <v>61.894202460027692</v>
      </c>
      <c r="AA29" s="24">
        <v>21.921837823130005</v>
      </c>
      <c r="AB29" s="24">
        <v>55.85975906892493</v>
      </c>
      <c r="AC29" s="24">
        <v>17.727933551199424</v>
      </c>
      <c r="AD29" s="24">
        <v>38.337968739130567</v>
      </c>
      <c r="AE29" s="24">
        <v>81.093765066770558</v>
      </c>
      <c r="AF29" s="24">
        <v>20.181135896735665</v>
      </c>
      <c r="AG29" s="24">
        <v>23.374781156105023</v>
      </c>
      <c r="AH29" s="24">
        <v>26.927587861196216</v>
      </c>
      <c r="AI29" s="24">
        <v>39.811848605293783</v>
      </c>
      <c r="AJ29" s="24">
        <v>26.185102851089155</v>
      </c>
      <c r="AK29" s="24">
        <v>15.641148500096625</v>
      </c>
      <c r="AL29" s="24">
        <v>22.720704291302489</v>
      </c>
      <c r="AM29" s="24">
        <v>26.075640966143986</v>
      </c>
      <c r="AN29" s="24">
        <v>33.077315489840757</v>
      </c>
      <c r="AO29" s="24">
        <v>38.816644569334997</v>
      </c>
      <c r="AP29" s="24">
        <v>25.356903438656261</v>
      </c>
      <c r="AQ29" s="24">
        <v>19.679435911067486</v>
      </c>
      <c r="AR29" s="24">
        <v>16.580904588637132</v>
      </c>
      <c r="AS29" s="24">
        <v>19.994789016669284</v>
      </c>
      <c r="AT29" s="24">
        <v>14.236572106867174</v>
      </c>
      <c r="AU29" s="24">
        <v>26.062298938443409</v>
      </c>
      <c r="AV29" s="24">
        <v>19.209680323977349</v>
      </c>
      <c r="AW29" s="24">
        <v>53.285376814074972</v>
      </c>
      <c r="AX29" s="24">
        <v>25.344507446256376</v>
      </c>
      <c r="AY29" s="24">
        <v>19.774536992339485</v>
      </c>
    </row>
    <row r="30" spans="1:51" x14ac:dyDescent="0.2">
      <c r="A30" s="23">
        <v>45702</v>
      </c>
      <c r="B30" s="24">
        <v>20.640589786864151</v>
      </c>
      <c r="C30" s="24">
        <v>18.996232685213698</v>
      </c>
      <c r="D30" s="24">
        <v>19.39582097285146</v>
      </c>
      <c r="E30" s="24">
        <v>16.866422948516348</v>
      </c>
      <c r="F30" s="24">
        <v>23.65522811277782</v>
      </c>
      <c r="G30" s="24">
        <v>21.584640287602372</v>
      </c>
      <c r="H30" s="24">
        <v>21.022124783237533</v>
      </c>
      <c r="I30" s="24">
        <v>34.845408528855053</v>
      </c>
      <c r="J30" s="24">
        <v>16.878148746472903</v>
      </c>
      <c r="K30" s="24">
        <v>45.575996345414985</v>
      </c>
      <c r="L30" s="24">
        <v>27.236494789992435</v>
      </c>
      <c r="M30" s="24">
        <v>19.874177041279577</v>
      </c>
      <c r="N30" s="24">
        <v>21.07213926008647</v>
      </c>
      <c r="O30" s="24">
        <v>19.765859077849623</v>
      </c>
      <c r="P30" s="24">
        <v>31.004671523007158</v>
      </c>
      <c r="Q30" s="24">
        <v>14.020203364208989</v>
      </c>
      <c r="R30" s="24">
        <v>13.177951530436941</v>
      </c>
      <c r="S30" s="24">
        <v>21.148536624289022</v>
      </c>
      <c r="T30" s="24">
        <v>22.037214039255389</v>
      </c>
      <c r="U30" s="24">
        <v>18.751543314082543</v>
      </c>
      <c r="V30" s="24">
        <v>18.960395779754322</v>
      </c>
      <c r="W30" s="24">
        <v>51.745295280852154</v>
      </c>
      <c r="X30" s="24">
        <v>20.318980264679446</v>
      </c>
      <c r="Y30" s="24">
        <v>24.981060532323529</v>
      </c>
      <c r="Z30" s="24">
        <v>63.030467970341107</v>
      </c>
      <c r="AA30" s="24">
        <v>22.957250659841886</v>
      </c>
      <c r="AB30" s="24">
        <v>53.609734310922036</v>
      </c>
      <c r="AC30" s="24">
        <v>16.629460353499283</v>
      </c>
      <c r="AD30" s="24">
        <v>40.023394976860637</v>
      </c>
      <c r="AE30" s="24">
        <v>78.936501197242947</v>
      </c>
      <c r="AF30" s="24">
        <v>21.104724119328459</v>
      </c>
      <c r="AG30" s="24">
        <v>22.924023811785773</v>
      </c>
      <c r="AH30" s="24">
        <v>28.105992365083889</v>
      </c>
      <c r="AI30" s="24">
        <v>40.173760709303863</v>
      </c>
      <c r="AJ30" s="24">
        <v>26.400276155054666</v>
      </c>
      <c r="AK30" s="24">
        <v>15.863893104363305</v>
      </c>
      <c r="AL30" s="24">
        <v>24.224858815951876</v>
      </c>
      <c r="AM30" s="24">
        <v>26.624566046819538</v>
      </c>
      <c r="AN30" s="24">
        <v>33.419020311263651</v>
      </c>
      <c r="AO30" s="24">
        <v>38.390321851789373</v>
      </c>
      <c r="AP30" s="24">
        <v>27.963274999360358</v>
      </c>
      <c r="AQ30" s="24">
        <v>20.902317554826052</v>
      </c>
      <c r="AR30" s="24">
        <v>15.647969150943927</v>
      </c>
      <c r="AS30" s="24">
        <v>20.091920370807699</v>
      </c>
      <c r="AT30" s="24">
        <v>15.624829448415325</v>
      </c>
      <c r="AU30" s="24">
        <v>28.142945653507628</v>
      </c>
      <c r="AV30" s="24">
        <v>18.86308877236138</v>
      </c>
      <c r="AW30" s="24">
        <v>55.192867234792331</v>
      </c>
      <c r="AX30" s="24">
        <v>25.344507446256376</v>
      </c>
      <c r="AY30" s="24">
        <v>20.487597508687394</v>
      </c>
    </row>
    <row r="31" spans="1:51" x14ac:dyDescent="0.2">
      <c r="A31" s="23">
        <v>45701</v>
      </c>
      <c r="B31" s="24">
        <v>20.881810306149088</v>
      </c>
      <c r="C31" s="24">
        <v>18.880060054732706</v>
      </c>
      <c r="D31" s="24">
        <v>19.314211432049007</v>
      </c>
      <c r="E31" s="24">
        <v>16.708007303556801</v>
      </c>
      <c r="F31" s="24">
        <v>23.916919637287904</v>
      </c>
      <c r="G31" s="24">
        <v>21.964824554494356</v>
      </c>
      <c r="H31" s="24">
        <v>22.063821968649773</v>
      </c>
      <c r="I31" s="24">
        <v>33.465529449157636</v>
      </c>
      <c r="J31" s="24">
        <v>17.227982925937955</v>
      </c>
      <c r="K31" s="24">
        <v>44.54957169646417</v>
      </c>
      <c r="L31" s="24">
        <v>27.586027096349852</v>
      </c>
      <c r="M31" s="24">
        <v>19.808471564665499</v>
      </c>
      <c r="N31" s="24">
        <v>21.748618756087215</v>
      </c>
      <c r="O31" s="24">
        <v>22.462377237058206</v>
      </c>
      <c r="P31" s="24">
        <v>31.279165898028108</v>
      </c>
      <c r="Q31" s="24">
        <v>14.18378393940948</v>
      </c>
      <c r="R31" s="24">
        <v>15.46591628804944</v>
      </c>
      <c r="S31" s="24">
        <v>21.955533613858123</v>
      </c>
      <c r="T31" s="24">
        <v>22.081148731540434</v>
      </c>
      <c r="U31" s="24">
        <v>19.345493012715927</v>
      </c>
      <c r="V31" s="24">
        <v>19.839867313309579</v>
      </c>
      <c r="W31" s="24">
        <v>51.560536190186312</v>
      </c>
      <c r="X31" s="24">
        <v>19.366495058300973</v>
      </c>
      <c r="Y31" s="24">
        <v>24.914331109148602</v>
      </c>
      <c r="Z31" s="24">
        <v>62.96687780921544</v>
      </c>
      <c r="AA31" s="24">
        <v>23.033991025908918</v>
      </c>
      <c r="AB31" s="24">
        <v>53.516621326841914</v>
      </c>
      <c r="AC31" s="24">
        <v>16.82267765269853</v>
      </c>
      <c r="AD31" s="24">
        <v>40.093175948499088</v>
      </c>
      <c r="AE31" s="24">
        <v>78.936441383916545</v>
      </c>
      <c r="AF31" s="24">
        <v>18.409875376682216</v>
      </c>
      <c r="AG31" s="24">
        <v>23.049895338647438</v>
      </c>
      <c r="AH31" s="24">
        <v>25.193279143865809</v>
      </c>
      <c r="AI31" s="24">
        <v>40.29033052649806</v>
      </c>
      <c r="AJ31" s="24">
        <v>26.086826621237826</v>
      </c>
      <c r="AK31" s="24">
        <v>16.486952351645648</v>
      </c>
      <c r="AL31" s="24">
        <v>22.98816148244428</v>
      </c>
      <c r="AM31" s="24">
        <v>27.264411829952866</v>
      </c>
      <c r="AN31" s="24">
        <v>32.806804229441241</v>
      </c>
      <c r="AO31" s="24">
        <v>37.974402399630037</v>
      </c>
      <c r="AP31" s="24">
        <v>27.990431005879771</v>
      </c>
      <c r="AQ31" s="24">
        <v>20.986706586990294</v>
      </c>
      <c r="AR31" s="24">
        <v>15.917581094743721</v>
      </c>
      <c r="AS31" s="24">
        <v>20.141999562559903</v>
      </c>
      <c r="AT31" s="24">
        <v>16.334395487677302</v>
      </c>
      <c r="AU31" s="24">
        <v>23.959761579085558</v>
      </c>
      <c r="AV31" s="24">
        <v>23.846102155131945</v>
      </c>
      <c r="AW31" s="24">
        <v>54.908830715713549</v>
      </c>
      <c r="AX31" s="24">
        <v>26.189637177038826</v>
      </c>
      <c r="AY31" s="24">
        <v>20.401030259308456</v>
      </c>
    </row>
    <row r="32" spans="1:51" x14ac:dyDescent="0.2">
      <c r="A32" s="23">
        <v>45700</v>
      </c>
      <c r="B32" s="24">
        <v>20.968474329849467</v>
      </c>
      <c r="C32" s="24">
        <v>18.128192044628868</v>
      </c>
      <c r="D32" s="24">
        <v>19.466363128176869</v>
      </c>
      <c r="E32" s="24">
        <v>16.855625854867629</v>
      </c>
      <c r="F32" s="24">
        <v>24.97796489295364</v>
      </c>
      <c r="G32" s="24">
        <v>22.283698509500503</v>
      </c>
      <c r="H32" s="24">
        <v>24.160024393681311</v>
      </c>
      <c r="I32" s="24">
        <v>33.298304124967345</v>
      </c>
      <c r="J32" s="24">
        <v>17.382938246912538</v>
      </c>
      <c r="K32" s="24">
        <v>45.069814702731044</v>
      </c>
      <c r="L32" s="24">
        <v>27.518739579371697</v>
      </c>
      <c r="M32" s="24">
        <v>19.806059667479154</v>
      </c>
      <c r="N32" s="24">
        <v>22.391512020260542</v>
      </c>
      <c r="O32" s="24">
        <v>22.470283907527733</v>
      </c>
      <c r="P32" s="24">
        <v>31.937915399307549</v>
      </c>
      <c r="Q32" s="24">
        <v>14.520160336375115</v>
      </c>
      <c r="R32" s="24">
        <v>15.987812602185453</v>
      </c>
      <c r="S32" s="24">
        <v>23.149093084196235</v>
      </c>
      <c r="T32" s="24">
        <v>19.835300959390167</v>
      </c>
      <c r="U32" s="24">
        <v>19.344125920278195</v>
      </c>
      <c r="V32" s="24">
        <v>19.82808993168868</v>
      </c>
      <c r="W32" s="24">
        <v>50.629932644354113</v>
      </c>
      <c r="X32" s="24">
        <v>19.405989396685396</v>
      </c>
      <c r="Y32" s="24">
        <v>25.403265822696618</v>
      </c>
      <c r="Z32" s="24">
        <v>63.651110416761533</v>
      </c>
      <c r="AA32" s="24">
        <v>23.093603625606104</v>
      </c>
      <c r="AB32" s="24">
        <v>52.014090404068362</v>
      </c>
      <c r="AC32" s="24">
        <v>17.125385212643625</v>
      </c>
      <c r="AD32" s="24">
        <v>40.372128014240047</v>
      </c>
      <c r="AE32" s="24">
        <v>78.753011705733854</v>
      </c>
      <c r="AF32" s="24">
        <v>18.133131450549559</v>
      </c>
      <c r="AG32" s="24">
        <v>22.786060045436134</v>
      </c>
      <c r="AH32" s="24">
        <v>25.339193055837551</v>
      </c>
      <c r="AI32" s="24">
        <v>41.452047424195648</v>
      </c>
      <c r="AJ32" s="24">
        <v>26.40980414791812</v>
      </c>
      <c r="AK32" s="24">
        <v>16.714612766232868</v>
      </c>
      <c r="AL32" s="24">
        <v>23.237375719561641</v>
      </c>
      <c r="AM32" s="24">
        <v>27.295241156525343</v>
      </c>
      <c r="AN32" s="24">
        <v>25.319972530032949</v>
      </c>
      <c r="AO32" s="24">
        <v>37.932990682575252</v>
      </c>
      <c r="AP32" s="24">
        <v>30.198088901756389</v>
      </c>
      <c r="AQ32" s="24">
        <v>24.824117077065129</v>
      </c>
      <c r="AR32" s="24">
        <v>15.709412385355636</v>
      </c>
      <c r="AS32" s="24">
        <v>20.163422668653322</v>
      </c>
      <c r="AT32" s="24">
        <v>16.446337172697547</v>
      </c>
      <c r="AU32" s="24">
        <v>23.725176266950594</v>
      </c>
      <c r="AV32" s="24">
        <v>23.801206063980167</v>
      </c>
      <c r="AW32" s="24">
        <v>51.471343152304485</v>
      </c>
      <c r="AX32" s="24">
        <v>26.189734458894524</v>
      </c>
      <c r="AY32" s="24">
        <v>20.601488842576046</v>
      </c>
    </row>
    <row r="33" spans="1:51" x14ac:dyDescent="0.2">
      <c r="A33" s="23">
        <v>45699</v>
      </c>
      <c r="B33" s="24">
        <v>20.991767457175239</v>
      </c>
      <c r="C33" s="24">
        <v>16.963025276482867</v>
      </c>
      <c r="D33" s="24">
        <v>19.932348401543415</v>
      </c>
      <c r="E33" s="24">
        <v>16.557875717612482</v>
      </c>
      <c r="F33" s="24">
        <v>25.367667029006562</v>
      </c>
      <c r="G33" s="24">
        <v>22.678462750460326</v>
      </c>
      <c r="H33" s="24">
        <v>24.199496642180513</v>
      </c>
      <c r="I33" s="24">
        <v>34.570844750315679</v>
      </c>
      <c r="J33" s="24">
        <v>16.957504230380714</v>
      </c>
      <c r="K33" s="24">
        <v>43.359983830750892</v>
      </c>
      <c r="L33" s="24">
        <v>27.40642020189933</v>
      </c>
      <c r="M33" s="24">
        <v>19.495812509443326</v>
      </c>
      <c r="N33" s="24">
        <v>22.346040546804016</v>
      </c>
      <c r="O33" s="24">
        <v>22.907407427155263</v>
      </c>
      <c r="P33" s="24">
        <v>31.653602210332046</v>
      </c>
      <c r="Q33" s="24">
        <v>14.568970842132661</v>
      </c>
      <c r="R33" s="24">
        <v>15.979050254131895</v>
      </c>
      <c r="S33" s="24">
        <v>23.309757949185045</v>
      </c>
      <c r="T33" s="24">
        <v>19.375766949759129</v>
      </c>
      <c r="U33" s="24">
        <v>19.581950203212607</v>
      </c>
      <c r="V33" s="24">
        <v>19.665361031484316</v>
      </c>
      <c r="W33" s="24">
        <v>51.204872287184571</v>
      </c>
      <c r="X33" s="24">
        <v>18.442591802734118</v>
      </c>
      <c r="Y33" s="24">
        <v>26.390577248835609</v>
      </c>
      <c r="Z33" s="24">
        <v>64.073100652265424</v>
      </c>
      <c r="AA33" s="24">
        <v>22.884127806347692</v>
      </c>
      <c r="AB33" s="24">
        <v>61.66322490504708</v>
      </c>
      <c r="AC33" s="24">
        <v>16.978920624162591</v>
      </c>
      <c r="AD33" s="24">
        <v>40.113878361816745</v>
      </c>
      <c r="AE33" s="24">
        <v>86.634761569156424</v>
      </c>
      <c r="AF33" s="24">
        <v>17.373805935099906</v>
      </c>
      <c r="AG33" s="24">
        <v>22.853016555042615</v>
      </c>
      <c r="AH33" s="24">
        <v>26.225463771772183</v>
      </c>
      <c r="AI33" s="24">
        <v>39.984484736022736</v>
      </c>
      <c r="AJ33" s="24">
        <v>27.439493473036872</v>
      </c>
      <c r="AK33" s="24">
        <v>16.23041009691795</v>
      </c>
      <c r="AL33" s="24">
        <v>23.229892372445764</v>
      </c>
      <c r="AM33" s="24">
        <v>27.300205797127383</v>
      </c>
      <c r="AN33" s="24">
        <v>23.280673939816793</v>
      </c>
      <c r="AO33" s="24">
        <v>38.536048404796368</v>
      </c>
      <c r="AP33" s="24">
        <v>32.193836502386162</v>
      </c>
      <c r="AQ33" s="24">
        <v>24.852040189103224</v>
      </c>
      <c r="AR33" s="24">
        <v>15.873301681385596</v>
      </c>
      <c r="AS33" s="24">
        <v>20.302256865889031</v>
      </c>
      <c r="AT33" s="24">
        <v>16.333221099224463</v>
      </c>
      <c r="AU33" s="24">
        <v>24.100145142285502</v>
      </c>
      <c r="AV33" s="24">
        <v>24.185610571247071</v>
      </c>
      <c r="AW33" s="24">
        <v>51.237527345482711</v>
      </c>
      <c r="AX33" s="24">
        <v>26.189832901352194</v>
      </c>
      <c r="AY33" s="24">
        <v>20.927610900784121</v>
      </c>
    </row>
    <row r="34" spans="1:51" x14ac:dyDescent="0.2">
      <c r="A34" s="23">
        <v>45698</v>
      </c>
      <c r="B34" s="24">
        <v>19.6543119084258</v>
      </c>
      <c r="C34" s="24">
        <v>18.608302321701458</v>
      </c>
      <c r="D34" s="24">
        <v>19.095253774258452</v>
      </c>
      <c r="E34" s="24">
        <v>18.79935820610493</v>
      </c>
      <c r="F34" s="24">
        <v>22.358604312715634</v>
      </c>
      <c r="G34" s="24">
        <v>21.653885116066697</v>
      </c>
      <c r="H34" s="24">
        <v>24.170754277829186</v>
      </c>
      <c r="I34" s="24">
        <v>33.316873403324074</v>
      </c>
      <c r="J34" s="24">
        <v>16.997206110770033</v>
      </c>
      <c r="K34" s="24">
        <v>43.285457145482617</v>
      </c>
      <c r="L34" s="24">
        <v>26.95905159134951</v>
      </c>
      <c r="M34" s="24">
        <v>19.2899663945622</v>
      </c>
      <c r="N34" s="24">
        <v>21.701025851783911</v>
      </c>
      <c r="O34" s="24">
        <v>22.890843284108247</v>
      </c>
      <c r="P34" s="24">
        <v>30.79943984632509</v>
      </c>
      <c r="Q34" s="24">
        <v>14.587835098758116</v>
      </c>
      <c r="R34" s="24">
        <v>15.944229819330294</v>
      </c>
      <c r="S34" s="24">
        <v>23.297599339046453</v>
      </c>
      <c r="T34" s="24">
        <v>22.490397226911732</v>
      </c>
      <c r="U34" s="24">
        <v>19.968487572515436</v>
      </c>
      <c r="V34" s="24">
        <v>19.324327406365235</v>
      </c>
      <c r="W34" s="24">
        <v>50.16189200966506</v>
      </c>
      <c r="X34" s="24">
        <v>18.898842275459614</v>
      </c>
      <c r="Y34" s="24">
        <v>25.713260744855184</v>
      </c>
      <c r="Z34" s="24">
        <v>64.082886839428454</v>
      </c>
      <c r="AA34" s="24">
        <v>22.694469532294789</v>
      </c>
      <c r="AB34" s="24">
        <v>61.407613977791669</v>
      </c>
      <c r="AC34" s="24">
        <v>16.941965195990363</v>
      </c>
      <c r="AD34" s="24">
        <v>39.967256777382445</v>
      </c>
      <c r="AE34" s="24">
        <v>87.635697499662683</v>
      </c>
      <c r="AF34" s="24">
        <v>19.101855482690759</v>
      </c>
      <c r="AG34" s="24">
        <v>23.022333530436754</v>
      </c>
      <c r="AH34" s="24">
        <v>26.179159655846455</v>
      </c>
      <c r="AI34" s="24">
        <v>39.826701379470656</v>
      </c>
      <c r="AJ34" s="24">
        <v>27.396359618905308</v>
      </c>
      <c r="AK34" s="24">
        <v>15.141435058721479</v>
      </c>
      <c r="AL34" s="24">
        <v>23.053011143080841</v>
      </c>
      <c r="AM34" s="24">
        <v>27.104003034068981</v>
      </c>
      <c r="AN34" s="24">
        <v>24.413825783110635</v>
      </c>
      <c r="AO34" s="24">
        <v>38.194721854146536</v>
      </c>
      <c r="AP34" s="24">
        <v>32.203398768581231</v>
      </c>
      <c r="AQ34" s="24">
        <v>25.018496170104946</v>
      </c>
      <c r="AR34" s="24">
        <v>15.978875085575821</v>
      </c>
      <c r="AS34" s="24">
        <v>19.663933247242849</v>
      </c>
      <c r="AT34" s="24">
        <v>16.321069006039679</v>
      </c>
      <c r="AU34" s="24">
        <v>24.08799032801867</v>
      </c>
      <c r="AV34" s="24">
        <v>23.154258006794574</v>
      </c>
      <c r="AW34" s="24">
        <v>51.393452653084289</v>
      </c>
      <c r="AX34" s="24">
        <v>26.183688499594169</v>
      </c>
      <c r="AY34" s="24">
        <v>21.003707258766926</v>
      </c>
    </row>
    <row r="35" spans="1:51" x14ac:dyDescent="0.2">
      <c r="A35" s="23">
        <v>45695</v>
      </c>
      <c r="B35" s="24">
        <v>20.232007655830579</v>
      </c>
      <c r="C35" s="24">
        <v>18.776316051484358</v>
      </c>
      <c r="D35" s="24">
        <v>19.384383339758799</v>
      </c>
      <c r="E35" s="24">
        <v>17.561187939881457</v>
      </c>
      <c r="F35" s="24">
        <v>22.905532910733179</v>
      </c>
      <c r="G35" s="24">
        <v>21.688369397214846</v>
      </c>
      <c r="H35" s="24">
        <v>24.576824227520273</v>
      </c>
      <c r="I35" s="24">
        <v>33.111183590274443</v>
      </c>
      <c r="J35" s="24">
        <v>16.786198754065289</v>
      </c>
      <c r="K35" s="24">
        <v>43.465388357306637</v>
      </c>
      <c r="L35" s="24">
        <v>27.303510808631088</v>
      </c>
      <c r="M35" s="24">
        <v>19.52985446047359</v>
      </c>
      <c r="N35" s="24">
        <v>21.968427844562886</v>
      </c>
      <c r="O35" s="24">
        <v>23.033219387374825</v>
      </c>
      <c r="P35" s="24">
        <v>22.159596542010416</v>
      </c>
      <c r="Q35" s="24">
        <v>14.537216980921729</v>
      </c>
      <c r="R35" s="24">
        <v>15.997763020924712</v>
      </c>
      <c r="S35" s="24">
        <v>23.38047000316941</v>
      </c>
      <c r="T35" s="24">
        <v>22.736469652174552</v>
      </c>
      <c r="U35" s="24">
        <v>20.028698550174337</v>
      </c>
      <c r="V35" s="24">
        <v>19.804614999907045</v>
      </c>
      <c r="W35" s="24">
        <v>50.974653968189322</v>
      </c>
      <c r="X35" s="24">
        <v>18.717708283220261</v>
      </c>
      <c r="Y35" s="24">
        <v>26.531315389868372</v>
      </c>
      <c r="Z35" s="24">
        <v>64.155963194862196</v>
      </c>
      <c r="AA35" s="24">
        <v>23.727642122700747</v>
      </c>
      <c r="AB35" s="24">
        <v>61.840017993802931</v>
      </c>
      <c r="AC35" s="24">
        <v>16.934875516521402</v>
      </c>
      <c r="AD35" s="24">
        <v>43.831675632334239</v>
      </c>
      <c r="AE35" s="24">
        <v>83.211994118233406</v>
      </c>
      <c r="AF35" s="24">
        <v>21.783105343567453</v>
      </c>
      <c r="AG35" s="24">
        <v>23.02857967804459</v>
      </c>
      <c r="AH35" s="24">
        <v>26.765504876202009</v>
      </c>
      <c r="AI35" s="24">
        <v>39.83602780511945</v>
      </c>
      <c r="AJ35" s="24">
        <v>27.620947389922403</v>
      </c>
      <c r="AK35" s="24">
        <v>15.372747254029445</v>
      </c>
      <c r="AL35" s="24">
        <v>24.206848564178578</v>
      </c>
      <c r="AM35" s="24">
        <v>29.704918391123808</v>
      </c>
      <c r="AN35" s="24">
        <v>23.90616075410032</v>
      </c>
      <c r="AO35" s="24">
        <v>38.182466421527245</v>
      </c>
      <c r="AP35" s="24">
        <v>32.919657197131919</v>
      </c>
      <c r="AQ35" s="24">
        <v>25.289574162871375</v>
      </c>
      <c r="AR35" s="24">
        <v>15.978875085575824</v>
      </c>
      <c r="AS35" s="24">
        <v>20.283394603087686</v>
      </c>
      <c r="AT35" s="24">
        <v>16.401842825015095</v>
      </c>
      <c r="AU35" s="24">
        <v>20.534871478084401</v>
      </c>
      <c r="AV35" s="24">
        <v>22.614677194584626</v>
      </c>
      <c r="AW35" s="24">
        <v>51.203750469951956</v>
      </c>
      <c r="AX35" s="24">
        <v>26.300734084752655</v>
      </c>
      <c r="AY35" s="24">
        <v>21.178368348383987</v>
      </c>
    </row>
    <row r="36" spans="1:51" x14ac:dyDescent="0.2">
      <c r="A36" s="23">
        <v>45694</v>
      </c>
      <c r="B36" s="24">
        <v>21.162923831563415</v>
      </c>
      <c r="C36" s="24">
        <v>19.061096439074124</v>
      </c>
      <c r="D36" s="24">
        <v>21.398543723280607</v>
      </c>
      <c r="E36" s="24">
        <v>19.456633669411445</v>
      </c>
      <c r="F36" s="24">
        <v>24.19116523212735</v>
      </c>
      <c r="G36" s="24">
        <v>23.506009333642972</v>
      </c>
      <c r="H36" s="24">
        <v>24.893925540120037</v>
      </c>
      <c r="I36" s="24">
        <v>32.432368831031354</v>
      </c>
      <c r="J36" s="24">
        <v>18.534732195150049</v>
      </c>
      <c r="K36" s="24">
        <v>44.311121041046519</v>
      </c>
      <c r="L36" s="24">
        <v>32.587258493709783</v>
      </c>
      <c r="M36" s="24">
        <v>23.004026084576569</v>
      </c>
      <c r="N36" s="24">
        <v>22.870911572329952</v>
      </c>
      <c r="O36" s="24">
        <v>23.676676227881458</v>
      </c>
      <c r="P36" s="24">
        <v>22.699833593564929</v>
      </c>
      <c r="Q36" s="24">
        <v>14.94872699238749</v>
      </c>
      <c r="R36" s="24">
        <v>16.563359414024564</v>
      </c>
      <c r="S36" s="24">
        <v>22.525903631322688</v>
      </c>
      <c r="T36" s="24">
        <v>22.888801832806951</v>
      </c>
      <c r="U36" s="24">
        <v>22.209802231478353</v>
      </c>
      <c r="V36" s="24">
        <v>22.369753534301939</v>
      </c>
      <c r="W36" s="24">
        <v>54.142266951405972</v>
      </c>
      <c r="X36" s="24">
        <v>19.268516972717414</v>
      </c>
      <c r="Y36" s="24">
        <v>26.003273329981521</v>
      </c>
      <c r="Z36" s="24">
        <v>62.906533734735198</v>
      </c>
      <c r="AA36" s="24">
        <v>30.295782957174239</v>
      </c>
      <c r="AB36" s="24">
        <v>67.091336723230896</v>
      </c>
      <c r="AC36" s="24">
        <v>19.400003221948079</v>
      </c>
      <c r="AD36" s="24">
        <v>49.931561162950352</v>
      </c>
      <c r="AE36" s="24">
        <v>79.93158961233749</v>
      </c>
      <c r="AF36" s="24">
        <v>24.924358249053739</v>
      </c>
      <c r="AG36" s="24">
        <v>23.533710927848105</v>
      </c>
      <c r="AH36" s="24">
        <v>23.029617717442747</v>
      </c>
      <c r="AI36" s="24">
        <v>41.794322829580402</v>
      </c>
      <c r="AJ36" s="24">
        <v>27.507582901316734</v>
      </c>
      <c r="AK36" s="24">
        <v>15.923168876315637</v>
      </c>
      <c r="AL36" s="24">
        <v>29.476147227208724</v>
      </c>
      <c r="AM36" s="24">
        <v>35.280626361776555</v>
      </c>
      <c r="AN36" s="24">
        <v>25.974475293772624</v>
      </c>
      <c r="AO36" s="24">
        <v>40.722420938454142</v>
      </c>
      <c r="AP36" s="24">
        <v>32.764832486605577</v>
      </c>
      <c r="AQ36" s="24">
        <v>26.029160536867387</v>
      </c>
      <c r="AR36" s="24">
        <v>17.881032911030157</v>
      </c>
      <c r="AS36" s="24">
        <v>18.752640805745813</v>
      </c>
      <c r="AT36" s="24">
        <v>19.000151231241144</v>
      </c>
      <c r="AU36" s="24">
        <v>19.693737954268983</v>
      </c>
      <c r="AV36" s="24">
        <v>21.428798685292318</v>
      </c>
      <c r="AW36" s="24">
        <v>53.867914938294547</v>
      </c>
      <c r="AX36" s="24">
        <v>29.492550554181761</v>
      </c>
      <c r="AY36" s="24">
        <v>23.849236809532357</v>
      </c>
    </row>
    <row r="37" spans="1:51" x14ac:dyDescent="0.2">
      <c r="A37" s="23">
        <v>45693</v>
      </c>
      <c r="B37" s="24">
        <v>21.200125591563051</v>
      </c>
      <c r="C37" s="24">
        <v>18.730605838358692</v>
      </c>
      <c r="D37" s="24">
        <v>21.441358441528116</v>
      </c>
      <c r="E37" s="24">
        <v>20.597173607870467</v>
      </c>
      <c r="F37" s="24">
        <v>24.160439692566221</v>
      </c>
      <c r="G37" s="24">
        <v>23.503730901230952</v>
      </c>
      <c r="H37" s="24">
        <v>24.6034444529514</v>
      </c>
      <c r="I37" s="24">
        <v>32.354040642452411</v>
      </c>
      <c r="J37" s="24">
        <v>18.749047850712849</v>
      </c>
      <c r="K37" s="24">
        <v>29.318907986469974</v>
      </c>
      <c r="L37" s="24">
        <v>32.956929735732849</v>
      </c>
      <c r="M37" s="24">
        <v>23.61575944843554</v>
      </c>
      <c r="N37" s="24">
        <v>22.837269169657869</v>
      </c>
      <c r="O37" s="24">
        <v>24.704736721984094</v>
      </c>
      <c r="P37" s="24">
        <v>21.749924344943686</v>
      </c>
      <c r="Q37" s="24">
        <v>15.11872643986527</v>
      </c>
      <c r="R37" s="24">
        <v>15.453859016071231</v>
      </c>
      <c r="S37" s="24">
        <v>22.50357861400931</v>
      </c>
      <c r="T37" s="24">
        <v>22.530403306094964</v>
      </c>
      <c r="U37" s="24">
        <v>22.212423193030105</v>
      </c>
      <c r="V37" s="24">
        <v>22.396433883334122</v>
      </c>
      <c r="W37" s="24">
        <v>56.361202293778327</v>
      </c>
      <c r="X37" s="24">
        <v>20.825004665061336</v>
      </c>
      <c r="Y37" s="24">
        <v>27.855106532006165</v>
      </c>
      <c r="Z37" s="24">
        <v>63.678126509840013</v>
      </c>
      <c r="AA37" s="24">
        <v>32.772289931064378</v>
      </c>
      <c r="AB37" s="24">
        <v>67.392713334359627</v>
      </c>
      <c r="AC37" s="24">
        <v>19.59317514161026</v>
      </c>
      <c r="AD37" s="24">
        <v>50.753444168629819</v>
      </c>
      <c r="AE37" s="24">
        <v>80.515033909868677</v>
      </c>
      <c r="AF37" s="24">
        <v>24.683180924358968</v>
      </c>
      <c r="AG37" s="24">
        <v>24.353703910140254</v>
      </c>
      <c r="AH37" s="24">
        <v>22.540000838417168</v>
      </c>
      <c r="AI37" s="24">
        <v>41.236624748091671</v>
      </c>
      <c r="AJ37" s="24">
        <v>27.298164389131841</v>
      </c>
      <c r="AK37" s="24">
        <v>16.596200090165674</v>
      </c>
      <c r="AL37" s="24">
        <v>29.42730393868684</v>
      </c>
      <c r="AM37" s="24">
        <v>35.777698580461589</v>
      </c>
      <c r="AN37" s="24">
        <v>25.625142499408106</v>
      </c>
      <c r="AO37" s="24">
        <v>30.478841906537788</v>
      </c>
      <c r="AP37" s="24">
        <v>32.874252769235397</v>
      </c>
      <c r="AQ37" s="24">
        <v>26.016457389785032</v>
      </c>
      <c r="AR37" s="24">
        <v>19.155128650477135</v>
      </c>
      <c r="AS37" s="24">
        <v>17.65321247464345</v>
      </c>
      <c r="AT37" s="24">
        <v>19.035689697208777</v>
      </c>
      <c r="AU37" s="24">
        <v>20.565675669519734</v>
      </c>
      <c r="AV37" s="24">
        <v>21.357050578387788</v>
      </c>
      <c r="AW37" s="24">
        <v>44.5291974670277</v>
      </c>
      <c r="AX37" s="24">
        <v>29.70230093782747</v>
      </c>
      <c r="AY37" s="24">
        <v>22.954324265484907</v>
      </c>
    </row>
    <row r="38" spans="1:51" x14ac:dyDescent="0.2">
      <c r="A38" s="23">
        <v>45684</v>
      </c>
      <c r="B38" s="24">
        <v>20.142824320356283</v>
      </c>
      <c r="C38" s="24">
        <v>17.541589100404394</v>
      </c>
      <c r="D38" s="24">
        <v>20.625825712058059</v>
      </c>
      <c r="E38" s="24">
        <v>20.106063698311118</v>
      </c>
      <c r="F38" s="24">
        <v>23.309263044171626</v>
      </c>
      <c r="G38" s="24">
        <v>22.081256736630053</v>
      </c>
      <c r="H38" s="24">
        <v>24.23496880006487</v>
      </c>
      <c r="I38" s="24">
        <v>32.458035922906042</v>
      </c>
      <c r="J38" s="24">
        <v>17.837519944347534</v>
      </c>
      <c r="K38" s="24">
        <v>27.144156633804169</v>
      </c>
      <c r="L38" s="24">
        <v>32.259542746147332</v>
      </c>
      <c r="M38" s="24">
        <v>23.205219821306237</v>
      </c>
      <c r="N38" s="24">
        <v>23.980858518970354</v>
      </c>
      <c r="O38" s="24">
        <v>23.708391216983557</v>
      </c>
      <c r="P38" s="24">
        <v>21.933343871793152</v>
      </c>
      <c r="Q38" s="24">
        <v>13.805619263753211</v>
      </c>
      <c r="R38" s="24">
        <v>16.325372262758332</v>
      </c>
      <c r="S38" s="24">
        <v>21.164859283194989</v>
      </c>
      <c r="T38" s="24">
        <v>22.135458990417515</v>
      </c>
      <c r="U38" s="24">
        <v>21.944710681138048</v>
      </c>
      <c r="V38" s="24">
        <v>22.972475103219075</v>
      </c>
      <c r="W38" s="24">
        <v>49.652921465420945</v>
      </c>
      <c r="X38" s="24">
        <v>20.675854259489896</v>
      </c>
      <c r="Y38" s="24">
        <v>27.93748096949636</v>
      </c>
      <c r="Z38" s="24">
        <v>59.143172720627419</v>
      </c>
      <c r="AA38" s="24">
        <v>33.155772100710649</v>
      </c>
      <c r="AB38" s="24">
        <v>58.91466667875622</v>
      </c>
      <c r="AC38" s="24">
        <v>20.528790789014153</v>
      </c>
      <c r="AD38" s="24">
        <v>51.8002131101887</v>
      </c>
      <c r="AE38" s="24">
        <v>82.702169951522023</v>
      </c>
      <c r="AF38" s="24">
        <v>21.164278158441732</v>
      </c>
      <c r="AG38" s="24">
        <v>23.147248844290946</v>
      </c>
      <c r="AH38" s="24">
        <v>21.036269710894018</v>
      </c>
      <c r="AI38" s="24">
        <v>41.27435266599921</v>
      </c>
      <c r="AJ38" s="24">
        <v>26.948586758015367</v>
      </c>
      <c r="AK38" s="24">
        <v>16.643021538049517</v>
      </c>
      <c r="AL38" s="24">
        <v>28.94501315197504</v>
      </c>
      <c r="AM38" s="24">
        <v>34.920145283872714</v>
      </c>
      <c r="AN38" s="24">
        <v>25.498880855637083</v>
      </c>
      <c r="AO38" s="24">
        <v>30.549341263218231</v>
      </c>
      <c r="AP38" s="24">
        <v>29.512311289056633</v>
      </c>
      <c r="AQ38" s="24">
        <v>25.084547531218153</v>
      </c>
      <c r="AR38" s="24">
        <v>19.492772087366482</v>
      </c>
      <c r="AS38" s="24">
        <v>17.565109847848131</v>
      </c>
      <c r="AT38" s="24">
        <v>18.167610818311232</v>
      </c>
      <c r="AU38" s="24">
        <v>20.353145567160166</v>
      </c>
      <c r="AV38" s="24">
        <v>24.903676600294197</v>
      </c>
      <c r="AW38" s="24">
        <v>41.556672929197056</v>
      </c>
      <c r="AX38" s="24">
        <v>29.510199082284792</v>
      </c>
      <c r="AY38" s="24">
        <v>23.090654997031535</v>
      </c>
    </row>
    <row r="39" spans="1:51" x14ac:dyDescent="0.2">
      <c r="A39" s="23">
        <v>45681</v>
      </c>
      <c r="B39" s="24">
        <v>18.454368462145421</v>
      </c>
      <c r="C39" s="24">
        <v>17.57593276357138</v>
      </c>
      <c r="D39" s="24">
        <v>18.70586172902691</v>
      </c>
      <c r="E39" s="24">
        <v>18.868754755148782</v>
      </c>
      <c r="F39" s="24">
        <v>22.689533867318691</v>
      </c>
      <c r="G39" s="24">
        <v>20.073245592161836</v>
      </c>
      <c r="H39" s="24">
        <v>23.44386328056272</v>
      </c>
      <c r="I39" s="24">
        <v>32.104071574688753</v>
      </c>
      <c r="J39" s="24">
        <v>17.671182879941739</v>
      </c>
      <c r="K39" s="24">
        <v>26.708811626542342</v>
      </c>
      <c r="L39" s="24">
        <v>32.22901041271848</v>
      </c>
      <c r="M39" s="24">
        <v>23.194288739262031</v>
      </c>
      <c r="N39" s="24">
        <v>23.556841923857593</v>
      </c>
      <c r="O39" s="24">
        <v>21.781667991968721</v>
      </c>
      <c r="P39" s="24">
        <v>20.46668233904127</v>
      </c>
      <c r="Q39" s="24">
        <v>10.999042893668648</v>
      </c>
      <c r="R39" s="24">
        <v>15.823102385825495</v>
      </c>
      <c r="S39" s="24">
        <v>20.474069528480854</v>
      </c>
      <c r="T39" s="24">
        <v>22.201456614841998</v>
      </c>
      <c r="U39" s="24">
        <v>21.719167017335653</v>
      </c>
      <c r="V39" s="24">
        <v>22.512135617160709</v>
      </c>
      <c r="W39" s="24">
        <v>47.617336173271127</v>
      </c>
      <c r="X39" s="24">
        <v>20.725513030123459</v>
      </c>
      <c r="Y39" s="24">
        <v>28.819473207695889</v>
      </c>
      <c r="Z39" s="24">
        <v>52.092807484325903</v>
      </c>
      <c r="AA39" s="24">
        <v>32.681869694500399</v>
      </c>
      <c r="AB39" s="24">
        <v>59.017474086942258</v>
      </c>
      <c r="AC39" s="24">
        <v>19.342427973010281</v>
      </c>
      <c r="AD39" s="24">
        <v>50.151192213517923</v>
      </c>
      <c r="AE39" s="24">
        <v>79.433105490071554</v>
      </c>
      <c r="AF39" s="24">
        <v>21.436583833559602</v>
      </c>
      <c r="AG39" s="24">
        <v>21.500433860001547</v>
      </c>
      <c r="AH39" s="24">
        <v>22.231561884662561</v>
      </c>
      <c r="AI39" s="24">
        <v>41.51748203994606</v>
      </c>
      <c r="AJ39" s="24">
        <v>26.945184794754958</v>
      </c>
      <c r="AK39" s="24">
        <v>17.013446550504057</v>
      </c>
      <c r="AL39" s="24">
        <v>28.98494919708784</v>
      </c>
      <c r="AM39" s="24">
        <v>34.961019233454032</v>
      </c>
      <c r="AN39" s="24">
        <v>25.404183527320306</v>
      </c>
      <c r="AO39" s="24">
        <v>31.458787615912598</v>
      </c>
      <c r="AP39" s="24">
        <v>29.320201275620395</v>
      </c>
      <c r="AQ39" s="24">
        <v>24.968169980132743</v>
      </c>
      <c r="AR39" s="24">
        <v>18.900752140443473</v>
      </c>
      <c r="AS39" s="24">
        <v>17.995901825705023</v>
      </c>
      <c r="AT39" s="24">
        <v>17.77968262949981</v>
      </c>
      <c r="AU39" s="24">
        <v>19.949028487700431</v>
      </c>
      <c r="AV39" s="24">
        <v>25.106303868864448</v>
      </c>
      <c r="AW39" s="24">
        <v>37.897741512325048</v>
      </c>
      <c r="AX39" s="24">
        <v>29.501657133446763</v>
      </c>
      <c r="AY39" s="24">
        <v>21.95379070139181</v>
      </c>
    </row>
    <row r="40" spans="1:51" x14ac:dyDescent="0.2">
      <c r="A40" s="23">
        <v>45680</v>
      </c>
      <c r="B40" s="24">
        <v>18.434480684603933</v>
      </c>
      <c r="C40" s="24">
        <v>17.572383711048033</v>
      </c>
      <c r="D40" s="24">
        <v>18.682764612610825</v>
      </c>
      <c r="E40" s="24">
        <v>19.067189380503883</v>
      </c>
      <c r="F40" s="24">
        <v>22.728257003395282</v>
      </c>
      <c r="G40" s="24">
        <v>19.994481912464067</v>
      </c>
      <c r="H40" s="24">
        <v>23.447051670572655</v>
      </c>
      <c r="I40" s="24">
        <v>32.666622258617828</v>
      </c>
      <c r="J40" s="24">
        <v>17.310144211006651</v>
      </c>
      <c r="K40" s="24">
        <v>26.553014083415121</v>
      </c>
      <c r="L40" s="24">
        <v>32.212029944129974</v>
      </c>
      <c r="M40" s="24">
        <v>22.831539915031133</v>
      </c>
      <c r="N40" s="24">
        <v>23.271149748202586</v>
      </c>
      <c r="O40" s="24">
        <v>20.875560339532345</v>
      </c>
      <c r="P40" s="24">
        <v>20.158504311780757</v>
      </c>
      <c r="Q40" s="24">
        <v>12.085707947272825</v>
      </c>
      <c r="R40" s="24">
        <v>15.888714815598309</v>
      </c>
      <c r="S40" s="24">
        <v>20.530469744493985</v>
      </c>
      <c r="T40" s="24">
        <v>22.177868726720526</v>
      </c>
      <c r="U40" s="24">
        <v>21.81833049622113</v>
      </c>
      <c r="V40" s="24">
        <v>22.473869702536131</v>
      </c>
      <c r="W40" s="24">
        <v>47.697827008546874</v>
      </c>
      <c r="X40" s="24">
        <v>20.716101840882022</v>
      </c>
      <c r="Y40" s="24">
        <v>28.752018007271424</v>
      </c>
      <c r="Z40" s="24">
        <v>52.666892983966044</v>
      </c>
      <c r="AA40" s="24">
        <v>32.645491227600864</v>
      </c>
      <c r="AB40" s="24">
        <v>59.557160923464572</v>
      </c>
      <c r="AC40" s="24">
        <v>19.311816414686533</v>
      </c>
      <c r="AD40" s="24">
        <v>49.677750051330854</v>
      </c>
      <c r="AE40" s="24">
        <v>79.500033936674598</v>
      </c>
      <c r="AF40" s="24">
        <v>20.929115899495525</v>
      </c>
      <c r="AG40" s="24">
        <v>21.324598702209837</v>
      </c>
      <c r="AH40" s="24">
        <v>22.127212389454424</v>
      </c>
      <c r="AI40" s="24">
        <v>41.149688194712134</v>
      </c>
      <c r="AJ40" s="24">
        <v>26.377570725011072</v>
      </c>
      <c r="AK40" s="24">
        <v>15.360963961284218</v>
      </c>
      <c r="AL40" s="24">
        <v>28.482111031046131</v>
      </c>
      <c r="AM40" s="24">
        <v>34.490317304955674</v>
      </c>
      <c r="AN40" s="24">
        <v>25.431083443305436</v>
      </c>
      <c r="AO40" s="24">
        <v>31.082553424131369</v>
      </c>
      <c r="AP40" s="24">
        <v>29.166602350301801</v>
      </c>
      <c r="AQ40" s="24">
        <v>24.894219695636071</v>
      </c>
      <c r="AR40" s="24">
        <v>18.864865244159795</v>
      </c>
      <c r="AS40" s="24">
        <v>17.996423706393852</v>
      </c>
      <c r="AT40" s="24">
        <v>17.482527538362252</v>
      </c>
      <c r="AU40" s="24">
        <v>19.929866759104257</v>
      </c>
      <c r="AV40" s="24">
        <v>25.197159829433847</v>
      </c>
      <c r="AW40" s="24">
        <v>37.322957250136966</v>
      </c>
      <c r="AX40" s="24">
        <v>29.606936041480218</v>
      </c>
      <c r="AY40" s="24">
        <v>22.064772196148382</v>
      </c>
    </row>
    <row r="41" spans="1:51" x14ac:dyDescent="0.2">
      <c r="A41" s="23">
        <v>45679</v>
      </c>
      <c r="B41" s="24">
        <v>16.159454122046508</v>
      </c>
      <c r="C41" s="24">
        <v>17.523888003588649</v>
      </c>
      <c r="D41" s="24">
        <v>16.498578131705777</v>
      </c>
      <c r="E41" s="24">
        <v>18.65716637319154</v>
      </c>
      <c r="F41" s="24">
        <v>19.65528557623653</v>
      </c>
      <c r="G41" s="24">
        <v>17.886496592763301</v>
      </c>
      <c r="H41" s="24">
        <v>25.783833733772109</v>
      </c>
      <c r="I41" s="24">
        <v>32.668589241755939</v>
      </c>
      <c r="J41" s="24">
        <v>17.059717014662429</v>
      </c>
      <c r="K41" s="24">
        <v>25.894498344505223</v>
      </c>
      <c r="L41" s="24">
        <v>26.510929401733456</v>
      </c>
      <c r="M41" s="24">
        <v>19.722071300528601</v>
      </c>
      <c r="N41" s="24">
        <v>23.674200177739987</v>
      </c>
      <c r="O41" s="24">
        <v>23.419415593411468</v>
      </c>
      <c r="P41" s="24">
        <v>20.552398887518518</v>
      </c>
      <c r="Q41" s="24">
        <v>11.983703996985096</v>
      </c>
      <c r="R41" s="24">
        <v>18.382697382885574</v>
      </c>
      <c r="S41" s="24">
        <v>20.537343028135655</v>
      </c>
      <c r="T41" s="24">
        <v>21.804586919321434</v>
      </c>
      <c r="U41" s="24">
        <v>17.71209298744839</v>
      </c>
      <c r="V41" s="24">
        <v>18.795875183984503</v>
      </c>
      <c r="W41" s="24">
        <v>46.175748511834357</v>
      </c>
      <c r="X41" s="24">
        <v>18.019233794368859</v>
      </c>
      <c r="Y41" s="24">
        <v>27.872984978858845</v>
      </c>
      <c r="Z41" s="24">
        <v>52.598831345441411</v>
      </c>
      <c r="AA41" s="24">
        <v>32.322272813572582</v>
      </c>
      <c r="AB41" s="24">
        <v>71.95479078502909</v>
      </c>
      <c r="AC41" s="24">
        <v>18.626479692830646</v>
      </c>
      <c r="AD41" s="24">
        <v>49.610562151663579</v>
      </c>
      <c r="AE41" s="24">
        <v>78.822014130403346</v>
      </c>
      <c r="AF41" s="24">
        <v>21.897752003631741</v>
      </c>
      <c r="AG41" s="24">
        <v>20.395316958597803</v>
      </c>
      <c r="AH41" s="24">
        <v>21.038021133685049</v>
      </c>
      <c r="AI41" s="24">
        <v>41.052241756053014</v>
      </c>
      <c r="AJ41" s="24">
        <v>26.403805177958716</v>
      </c>
      <c r="AK41" s="24">
        <v>16.476679311780138</v>
      </c>
      <c r="AL41" s="24">
        <v>26.609227931670304</v>
      </c>
      <c r="AM41" s="24">
        <v>30.787647196654024</v>
      </c>
      <c r="AN41" s="24">
        <v>25.301599387550588</v>
      </c>
      <c r="AO41" s="24">
        <v>31.050626409875591</v>
      </c>
      <c r="AP41" s="24">
        <v>29.52044770344628</v>
      </c>
      <c r="AQ41" s="24">
        <v>24.799143615402567</v>
      </c>
      <c r="AR41" s="24">
        <v>17.116579638283763</v>
      </c>
      <c r="AS41" s="24">
        <v>17.788455437888238</v>
      </c>
      <c r="AT41" s="24">
        <v>16.841740121059104</v>
      </c>
      <c r="AU41" s="24">
        <v>20.582718267515848</v>
      </c>
      <c r="AV41" s="24">
        <v>24.010256627166541</v>
      </c>
      <c r="AW41" s="24">
        <v>36.911640407402757</v>
      </c>
      <c r="AX41" s="24">
        <v>21.227241795091519</v>
      </c>
      <c r="AY41" s="24">
        <v>22.246824468787185</v>
      </c>
    </row>
    <row r="42" spans="1:51" x14ac:dyDescent="0.2">
      <c r="A42" s="23">
        <v>45678</v>
      </c>
      <c r="B42" s="24">
        <v>15.756977577856402</v>
      </c>
      <c r="C42" s="24">
        <v>16.9880722253667</v>
      </c>
      <c r="D42" s="24">
        <v>16.281396995603465</v>
      </c>
      <c r="E42" s="24">
        <v>18.542506913539302</v>
      </c>
      <c r="F42" s="24">
        <v>20.59401503762912</v>
      </c>
      <c r="G42" s="24">
        <v>17.30358140684385</v>
      </c>
      <c r="H42" s="24">
        <v>25.865265944382912</v>
      </c>
      <c r="I42" s="24">
        <v>32.334304298707671</v>
      </c>
      <c r="J42" s="24">
        <v>17.434335447151334</v>
      </c>
      <c r="K42" s="24">
        <v>27.309508044665971</v>
      </c>
      <c r="L42" s="24">
        <v>27.849816617295332</v>
      </c>
      <c r="M42" s="24">
        <v>19.859033751456888</v>
      </c>
      <c r="N42" s="24">
        <v>24.041238192975868</v>
      </c>
      <c r="O42" s="24">
        <v>23.449136605180311</v>
      </c>
      <c r="P42" s="24">
        <v>20.167097726053544</v>
      </c>
      <c r="Q42" s="24">
        <v>11.233268551673223</v>
      </c>
      <c r="R42" s="24">
        <v>18.967721122484182</v>
      </c>
      <c r="S42" s="24">
        <v>21.175247996937916</v>
      </c>
      <c r="T42" s="24">
        <v>21.098396144064299</v>
      </c>
      <c r="U42" s="24">
        <v>17.583686642978698</v>
      </c>
      <c r="V42" s="24">
        <v>18.497108643720622</v>
      </c>
      <c r="W42" s="24">
        <v>46.01557762203494</v>
      </c>
      <c r="X42" s="24">
        <v>15.79478415889513</v>
      </c>
      <c r="Y42" s="24">
        <v>27.885563646435894</v>
      </c>
      <c r="Z42" s="24">
        <v>42.630335898817634</v>
      </c>
      <c r="AA42" s="24">
        <v>32.964256947103443</v>
      </c>
      <c r="AB42" s="24">
        <v>72.828851165083648</v>
      </c>
      <c r="AC42" s="24">
        <v>18.341795464484356</v>
      </c>
      <c r="AD42" s="24">
        <v>50.098178942848925</v>
      </c>
      <c r="AE42" s="24">
        <v>78.478781007637082</v>
      </c>
      <c r="AF42" s="24">
        <v>21.839472401994659</v>
      </c>
      <c r="AG42" s="24">
        <v>17.67644411147894</v>
      </c>
      <c r="AH42" s="24">
        <v>19.863489609231838</v>
      </c>
      <c r="AI42" s="24">
        <v>38.774406039521622</v>
      </c>
      <c r="AJ42" s="24">
        <v>26.255024460484002</v>
      </c>
      <c r="AK42" s="24">
        <v>16.164221498150187</v>
      </c>
      <c r="AL42" s="24">
        <v>27.854727972435089</v>
      </c>
      <c r="AM42" s="24">
        <v>31.906298942768242</v>
      </c>
      <c r="AN42" s="24">
        <v>24.844800876632529</v>
      </c>
      <c r="AO42" s="24">
        <v>30.628778202839591</v>
      </c>
      <c r="AP42" s="24">
        <v>30.106711989810471</v>
      </c>
      <c r="AQ42" s="24">
        <v>25.800882176186921</v>
      </c>
      <c r="AR42" s="24">
        <v>16.456716710345191</v>
      </c>
      <c r="AS42" s="24">
        <v>17.533544331295733</v>
      </c>
      <c r="AT42" s="24">
        <v>16.294633825719824</v>
      </c>
      <c r="AU42" s="24">
        <v>21.080258218403262</v>
      </c>
      <c r="AV42" s="24">
        <v>26.066471069172238</v>
      </c>
      <c r="AW42" s="24">
        <v>36.780197283861568</v>
      </c>
      <c r="AX42" s="24">
        <v>21.386496591024247</v>
      </c>
      <c r="AY42" s="24">
        <v>22.961895506413285</v>
      </c>
    </row>
    <row r="43" spans="1:51" x14ac:dyDescent="0.2">
      <c r="A43" s="23">
        <v>45677</v>
      </c>
      <c r="B43" s="24">
        <v>18.098378867792466</v>
      </c>
      <c r="C43" s="24">
        <v>17.042260743838717</v>
      </c>
      <c r="D43" s="24">
        <v>19.36668413432038</v>
      </c>
      <c r="E43" s="24">
        <v>20.124179826854828</v>
      </c>
      <c r="F43" s="24">
        <v>21.450094504943372</v>
      </c>
      <c r="G43" s="24">
        <v>18.455551186829492</v>
      </c>
      <c r="H43" s="24">
        <v>27.274379717578796</v>
      </c>
      <c r="I43" s="24">
        <v>32.290586031725212</v>
      </c>
      <c r="J43" s="24">
        <v>17.714797543168974</v>
      </c>
      <c r="K43" s="24">
        <v>27.256384744628679</v>
      </c>
      <c r="L43" s="24">
        <v>27.820393556349391</v>
      </c>
      <c r="M43" s="24">
        <v>20.250521847262799</v>
      </c>
      <c r="N43" s="24">
        <v>26.125780113549219</v>
      </c>
      <c r="O43" s="24">
        <v>23.750358742674528</v>
      </c>
      <c r="P43" s="24">
        <v>18.178128752252334</v>
      </c>
      <c r="Q43" s="24">
        <v>11.915290085468877</v>
      </c>
      <c r="R43" s="24">
        <v>20.810883984458236</v>
      </c>
      <c r="S43" s="24">
        <v>21.228629141078127</v>
      </c>
      <c r="T43" s="24">
        <v>21.072988176277892</v>
      </c>
      <c r="U43" s="24">
        <v>20.866037051089446</v>
      </c>
      <c r="V43" s="24">
        <v>20.645248314634273</v>
      </c>
      <c r="W43" s="24">
        <v>46.040630092642964</v>
      </c>
      <c r="X43" s="24">
        <v>16.450353302161339</v>
      </c>
      <c r="Y43" s="24">
        <v>29.685706703752345</v>
      </c>
      <c r="Z43" s="24">
        <v>41.81655101467382</v>
      </c>
      <c r="AA43" s="24">
        <v>33.071710637056164</v>
      </c>
      <c r="AB43" s="24">
        <v>74.359167149454379</v>
      </c>
      <c r="AC43" s="24">
        <v>19.438328947027049</v>
      </c>
      <c r="AD43" s="24">
        <v>49.644275990615547</v>
      </c>
      <c r="AE43" s="24">
        <v>79.4901264109387</v>
      </c>
      <c r="AF43" s="24">
        <v>21.650303569687612</v>
      </c>
      <c r="AG43" s="24">
        <v>21.216133545078264</v>
      </c>
      <c r="AH43" s="24">
        <v>20.819248730075007</v>
      </c>
      <c r="AI43" s="24">
        <v>38.352530078119663</v>
      </c>
      <c r="AJ43" s="24">
        <v>25.834470178839656</v>
      </c>
      <c r="AK43" s="24">
        <v>17.216496636214924</v>
      </c>
      <c r="AL43" s="24">
        <v>27.86271763118555</v>
      </c>
      <c r="AM43" s="24">
        <v>32.274942960238974</v>
      </c>
      <c r="AN43" s="24">
        <v>25.444195781535186</v>
      </c>
      <c r="AO43" s="24">
        <v>31.349741049745926</v>
      </c>
      <c r="AP43" s="24">
        <v>30.8099560682546</v>
      </c>
      <c r="AQ43" s="24">
        <v>27.38216949123127</v>
      </c>
      <c r="AR43" s="24">
        <v>16.733678864242044</v>
      </c>
      <c r="AS43" s="24">
        <v>17.26551699912914</v>
      </c>
      <c r="AT43" s="24">
        <v>17.553560955513188</v>
      </c>
      <c r="AU43" s="24">
        <v>20.826273822400928</v>
      </c>
      <c r="AV43" s="24">
        <v>26.680017687187281</v>
      </c>
      <c r="AW43" s="24">
        <v>36.240812926446445</v>
      </c>
      <c r="AX43" s="24">
        <v>22.037087305085006</v>
      </c>
      <c r="AY43" s="24">
        <v>23.027961627289237</v>
      </c>
    </row>
    <row r="44" spans="1:51" x14ac:dyDescent="0.2">
      <c r="A44" s="23">
        <v>45674</v>
      </c>
      <c r="B44" s="24">
        <v>17.956728540898823</v>
      </c>
      <c r="C44" s="24">
        <v>16.091470139036481</v>
      </c>
      <c r="D44" s="24">
        <v>19.098478305176236</v>
      </c>
      <c r="E44" s="24">
        <v>21.327501821267848</v>
      </c>
      <c r="F44" s="24">
        <v>21.334879045663655</v>
      </c>
      <c r="G44" s="24">
        <v>18.220309625103422</v>
      </c>
      <c r="H44" s="24">
        <v>25.112917394414836</v>
      </c>
      <c r="I44" s="24">
        <v>26.895504778104353</v>
      </c>
      <c r="J44" s="24">
        <v>16.672811508226495</v>
      </c>
      <c r="K44" s="24">
        <v>26.09891706021649</v>
      </c>
      <c r="L44" s="24">
        <v>27.423881962420833</v>
      </c>
      <c r="M44" s="24">
        <v>19.818791804620275</v>
      </c>
      <c r="N44" s="24">
        <v>24.438951321986313</v>
      </c>
      <c r="O44" s="24">
        <v>24.726065082857101</v>
      </c>
      <c r="P44" s="24">
        <v>17.96341857509066</v>
      </c>
      <c r="Q44" s="24">
        <v>11.924782338819256</v>
      </c>
      <c r="R44" s="24">
        <v>21.040371613681053</v>
      </c>
      <c r="S44" s="24">
        <v>21.197776002095843</v>
      </c>
      <c r="T44" s="24">
        <v>19.985709226894439</v>
      </c>
      <c r="U44" s="24">
        <v>20.70931720271529</v>
      </c>
      <c r="V44" s="24">
        <v>20.662927193988356</v>
      </c>
      <c r="W44" s="24">
        <v>56.112118966535576</v>
      </c>
      <c r="X44" s="24">
        <v>16.453004734268355</v>
      </c>
      <c r="Y44" s="24">
        <v>30.832118298945964</v>
      </c>
      <c r="Z44" s="24">
        <v>41.734009745957628</v>
      </c>
      <c r="AA44" s="24">
        <v>33.280030533707588</v>
      </c>
      <c r="AB44" s="24">
        <v>74.402294694100249</v>
      </c>
      <c r="AC44" s="24">
        <v>19.492923448587625</v>
      </c>
      <c r="AD44" s="24">
        <v>49.854860011465036</v>
      </c>
      <c r="AE44" s="24">
        <v>81.072714454954479</v>
      </c>
      <c r="AF44" s="24">
        <v>21.486226815710079</v>
      </c>
      <c r="AG44" s="24">
        <v>21.118089729369025</v>
      </c>
      <c r="AH44" s="24">
        <v>20.285016033394193</v>
      </c>
      <c r="AI44" s="24">
        <v>35.268981131353115</v>
      </c>
      <c r="AJ44" s="24">
        <v>21.137312352997188</v>
      </c>
      <c r="AK44" s="24">
        <v>17.568179089324488</v>
      </c>
      <c r="AL44" s="24">
        <v>27.938147793743624</v>
      </c>
      <c r="AM44" s="24">
        <v>32.217090435302353</v>
      </c>
      <c r="AN44" s="24">
        <v>23.932467939117323</v>
      </c>
      <c r="AO44" s="24">
        <v>34.102065673115895</v>
      </c>
      <c r="AP44" s="24">
        <v>30.893337111594359</v>
      </c>
      <c r="AQ44" s="24">
        <v>26.471884643556525</v>
      </c>
      <c r="AR44" s="24">
        <v>16.762498263036644</v>
      </c>
      <c r="AS44" s="24">
        <v>17.256752902505479</v>
      </c>
      <c r="AT44" s="24">
        <v>17.747687217452963</v>
      </c>
      <c r="AU44" s="24">
        <v>20.787492625805665</v>
      </c>
      <c r="AV44" s="24">
        <v>27.554021565797186</v>
      </c>
      <c r="AW44" s="24">
        <v>36.097847779518212</v>
      </c>
      <c r="AX44" s="24">
        <v>21.630835705892746</v>
      </c>
      <c r="AY44" s="24">
        <v>24.364419541103675</v>
      </c>
    </row>
    <row r="45" spans="1:51" x14ac:dyDescent="0.2">
      <c r="A45" s="23">
        <v>45673</v>
      </c>
      <c r="B45" s="24">
        <v>18.453913204770895</v>
      </c>
      <c r="C45" s="24">
        <v>16.208667798427022</v>
      </c>
      <c r="D45" s="24">
        <v>19.259025885197627</v>
      </c>
      <c r="E45" s="24">
        <v>21.329946437880068</v>
      </c>
      <c r="F45" s="24">
        <v>20.900560585736823</v>
      </c>
      <c r="G45" s="24">
        <v>18.487888360331031</v>
      </c>
      <c r="H45" s="24">
        <v>24.345671967209931</v>
      </c>
      <c r="I45" s="24">
        <v>26.662294958056624</v>
      </c>
      <c r="J45" s="24">
        <v>17.296300050978125</v>
      </c>
      <c r="K45" s="24">
        <v>25.523139805129535</v>
      </c>
      <c r="L45" s="24">
        <v>26.584685813451259</v>
      </c>
      <c r="M45" s="24">
        <v>19.716744469231983</v>
      </c>
      <c r="N45" s="24">
        <v>24.10653111256471</v>
      </c>
      <c r="O45" s="24">
        <v>24.83454772540912</v>
      </c>
      <c r="P45" s="24">
        <v>18.47953389982132</v>
      </c>
      <c r="Q45" s="24">
        <v>11.810993541669797</v>
      </c>
      <c r="R45" s="24">
        <v>20.961352871039161</v>
      </c>
      <c r="S45" s="24">
        <v>21.224396105010403</v>
      </c>
      <c r="T45" s="24">
        <v>19.766362150690924</v>
      </c>
      <c r="U45" s="24">
        <v>20.966759065943648</v>
      </c>
      <c r="V45" s="24">
        <v>19.484865558798628</v>
      </c>
      <c r="W45" s="24">
        <v>53.098689683160572</v>
      </c>
      <c r="X45" s="24">
        <v>16.378084172978554</v>
      </c>
      <c r="Y45" s="24">
        <v>31.190677685721095</v>
      </c>
      <c r="Z45" s="24">
        <v>43.878810190826719</v>
      </c>
      <c r="AA45" s="24">
        <v>33.257429009153974</v>
      </c>
      <c r="AB45" s="24">
        <v>77.148461110049752</v>
      </c>
      <c r="AC45" s="24">
        <v>20.406111763099013</v>
      </c>
      <c r="AD45" s="24">
        <v>49.844614341189363</v>
      </c>
      <c r="AE45" s="24">
        <v>81.894606928943617</v>
      </c>
      <c r="AF45" s="24">
        <v>21.437979646993568</v>
      </c>
      <c r="AG45" s="24">
        <v>21.167009775763308</v>
      </c>
      <c r="AH45" s="24">
        <v>20.369892560020084</v>
      </c>
      <c r="AI45" s="24">
        <v>38.285663248317825</v>
      </c>
      <c r="AJ45" s="24">
        <v>21.143070013893237</v>
      </c>
      <c r="AK45" s="24">
        <v>17.325992039882099</v>
      </c>
      <c r="AL45" s="24">
        <v>27.64883288366909</v>
      </c>
      <c r="AM45" s="24">
        <v>32.174143009442339</v>
      </c>
      <c r="AN45" s="24">
        <v>23.940606415156587</v>
      </c>
      <c r="AO45" s="24">
        <v>34.223474631954218</v>
      </c>
      <c r="AP45" s="24">
        <v>30.396318877594915</v>
      </c>
      <c r="AQ45" s="24">
        <v>26.262845736630773</v>
      </c>
      <c r="AR45" s="24">
        <v>16.463571459892002</v>
      </c>
      <c r="AS45" s="24">
        <v>16.117549294298509</v>
      </c>
      <c r="AT45" s="24">
        <v>17.572791121202147</v>
      </c>
      <c r="AU45" s="24">
        <v>19.858510927038239</v>
      </c>
      <c r="AV45" s="24">
        <v>27.677126349372376</v>
      </c>
      <c r="AW45" s="24">
        <v>36.20760514791742</v>
      </c>
      <c r="AX45" s="24">
        <v>22.055948161803837</v>
      </c>
      <c r="AY45" s="24">
        <v>26.288758691378806</v>
      </c>
    </row>
    <row r="46" spans="1:51" x14ac:dyDescent="0.2">
      <c r="A46" s="23">
        <v>45672</v>
      </c>
      <c r="B46" s="24">
        <v>18.715482297626515</v>
      </c>
      <c r="C46" s="24">
        <v>15.901871511709878</v>
      </c>
      <c r="D46" s="24">
        <v>19.182103415081958</v>
      </c>
      <c r="E46" s="24">
        <v>22.960350062494705</v>
      </c>
      <c r="F46" s="24">
        <v>20.205917553122415</v>
      </c>
      <c r="G46" s="24">
        <v>18.448677361091473</v>
      </c>
      <c r="H46" s="24">
        <v>23.883936849970635</v>
      </c>
      <c r="I46" s="24">
        <v>26.711053752963174</v>
      </c>
      <c r="J46" s="24">
        <v>17.935211616071587</v>
      </c>
      <c r="K46" s="24">
        <v>25.627752628982144</v>
      </c>
      <c r="L46" s="24">
        <v>26.362028197313755</v>
      </c>
      <c r="M46" s="24">
        <v>19.594260944957458</v>
      </c>
      <c r="N46" s="24">
        <v>22.699538112128394</v>
      </c>
      <c r="O46" s="24">
        <v>24.385828250030176</v>
      </c>
      <c r="P46" s="24">
        <v>18.1599814701528</v>
      </c>
      <c r="Q46" s="24">
        <v>11.978608199023721</v>
      </c>
      <c r="R46" s="24">
        <v>21.361120614816389</v>
      </c>
      <c r="S46" s="24">
        <v>21.286081692888885</v>
      </c>
      <c r="T46" s="24">
        <v>19.832413286710413</v>
      </c>
      <c r="U46" s="24">
        <v>20.771198147480352</v>
      </c>
      <c r="V46" s="24">
        <v>20.465173805263976</v>
      </c>
      <c r="W46" s="24">
        <v>51.310503396369391</v>
      </c>
      <c r="X46" s="24">
        <v>16.581909991656058</v>
      </c>
      <c r="Y46" s="24">
        <v>30.097855296474954</v>
      </c>
      <c r="Z46" s="24">
        <v>41.928583776992241</v>
      </c>
      <c r="AA46" s="24">
        <v>33.344492908674326</v>
      </c>
      <c r="AB46" s="24">
        <v>66.433080701453932</v>
      </c>
      <c r="AC46" s="24">
        <v>21.28383198963942</v>
      </c>
      <c r="AD46" s="24">
        <v>49.767657191037756</v>
      </c>
      <c r="AE46" s="24">
        <v>63.650567093228034</v>
      </c>
      <c r="AF46" s="24">
        <v>22.607066180807248</v>
      </c>
      <c r="AG46" s="24">
        <v>21.148502087035112</v>
      </c>
      <c r="AH46" s="24">
        <v>20.360910662845146</v>
      </c>
      <c r="AI46" s="24">
        <v>38.277932001045713</v>
      </c>
      <c r="AJ46" s="24">
        <v>20.098268802676706</v>
      </c>
      <c r="AK46" s="24">
        <v>17.3826666836597</v>
      </c>
      <c r="AL46" s="24">
        <v>27.632690392070714</v>
      </c>
      <c r="AM46" s="24">
        <v>31.56153797450396</v>
      </c>
      <c r="AN46" s="24">
        <v>23.85909851192724</v>
      </c>
      <c r="AO46" s="24">
        <v>34.937392536637859</v>
      </c>
      <c r="AP46" s="24">
        <v>30.033618174707147</v>
      </c>
      <c r="AQ46" s="24">
        <v>26.382224049527686</v>
      </c>
      <c r="AR46" s="24">
        <v>16.649125964281055</v>
      </c>
      <c r="AS46" s="24">
        <v>17.175077914794258</v>
      </c>
      <c r="AT46" s="24">
        <v>18.029815556879882</v>
      </c>
      <c r="AU46" s="24">
        <v>19.254211398143116</v>
      </c>
      <c r="AV46" s="24">
        <v>27.658311446237953</v>
      </c>
      <c r="AW46" s="24">
        <v>36.146468885320481</v>
      </c>
      <c r="AX46" s="24">
        <v>23.397490527894416</v>
      </c>
      <c r="AY46" s="24">
        <v>24.196044227624945</v>
      </c>
    </row>
    <row r="47" spans="1:51" x14ac:dyDescent="0.2">
      <c r="A47" s="23">
        <v>45671</v>
      </c>
      <c r="B47" s="24">
        <v>18.792184206194094</v>
      </c>
      <c r="C47" s="24">
        <v>17.680500798762857</v>
      </c>
      <c r="D47" s="24">
        <v>19.170745559811575</v>
      </c>
      <c r="E47" s="24">
        <v>23.059335634156398</v>
      </c>
      <c r="F47" s="24">
        <v>20.269101377004862</v>
      </c>
      <c r="G47" s="24">
        <v>18.450458093583553</v>
      </c>
      <c r="H47" s="24">
        <v>23.758755312118915</v>
      </c>
      <c r="I47" s="24">
        <v>27.770252279428274</v>
      </c>
      <c r="J47" s="24">
        <v>16.92942144817459</v>
      </c>
      <c r="K47" s="24">
        <v>27.56568983305382</v>
      </c>
      <c r="L47" s="24">
        <v>26.535407753659566</v>
      </c>
      <c r="M47" s="24">
        <v>19.59763134572966</v>
      </c>
      <c r="N47" s="24">
        <v>22.497933011759226</v>
      </c>
      <c r="O47" s="24">
        <v>24.660061522324483</v>
      </c>
      <c r="P47" s="24">
        <v>18.15955847856516</v>
      </c>
      <c r="Q47" s="24">
        <v>11.977689846357363</v>
      </c>
      <c r="R47" s="24">
        <v>21.354746755270238</v>
      </c>
      <c r="S47" s="24">
        <v>20.992148369267014</v>
      </c>
      <c r="T47" s="24">
        <v>19.944303710391878</v>
      </c>
      <c r="U47" s="24">
        <v>20.73143307662426</v>
      </c>
      <c r="V47" s="24">
        <v>20.362979812477324</v>
      </c>
      <c r="W47" s="24">
        <v>51.308450485850905</v>
      </c>
      <c r="X47" s="24">
        <v>16.505639600977624</v>
      </c>
      <c r="Y47" s="24">
        <v>26.226572600463925</v>
      </c>
      <c r="Z47" s="24">
        <v>42.557217734114346</v>
      </c>
      <c r="AA47" s="24">
        <v>33.44754009317672</v>
      </c>
      <c r="AB47" s="24">
        <v>66.725741166621447</v>
      </c>
      <c r="AC47" s="24">
        <v>21.205846948298241</v>
      </c>
      <c r="AD47" s="24">
        <v>49.446908239918123</v>
      </c>
      <c r="AE47" s="24">
        <v>63.961878837127081</v>
      </c>
      <c r="AF47" s="24">
        <v>22.665604156248715</v>
      </c>
      <c r="AG47" s="24">
        <v>21.770768554954124</v>
      </c>
      <c r="AH47" s="24">
        <v>20.362305442590568</v>
      </c>
      <c r="AI47" s="24">
        <v>38.3240003347723</v>
      </c>
      <c r="AJ47" s="24">
        <v>20.386038998847241</v>
      </c>
      <c r="AK47" s="24">
        <v>17.37182632240966</v>
      </c>
      <c r="AL47" s="24">
        <v>27.634443757625327</v>
      </c>
      <c r="AM47" s="24">
        <v>31.245110993407955</v>
      </c>
      <c r="AN47" s="24">
        <v>23.959811137197306</v>
      </c>
      <c r="AO47" s="24">
        <v>34.067396816414906</v>
      </c>
      <c r="AP47" s="24">
        <v>29.559634768157824</v>
      </c>
      <c r="AQ47" s="24">
        <v>26.278835759385085</v>
      </c>
      <c r="AR47" s="24">
        <v>16.346983340360129</v>
      </c>
      <c r="AS47" s="24">
        <v>17.077144658722197</v>
      </c>
      <c r="AT47" s="24">
        <v>17.701263223836044</v>
      </c>
      <c r="AU47" s="24">
        <v>21.369307181872369</v>
      </c>
      <c r="AV47" s="24">
        <v>28.440912494283019</v>
      </c>
      <c r="AW47" s="24">
        <v>35.780406666436164</v>
      </c>
      <c r="AX47" s="24">
        <v>23.779628706162658</v>
      </c>
      <c r="AY47" s="24">
        <v>24.235269254248475</v>
      </c>
    </row>
    <row r="48" spans="1:51" x14ac:dyDescent="0.2">
      <c r="A48" s="23">
        <v>45670</v>
      </c>
      <c r="B48" s="24">
        <v>20.054538397156687</v>
      </c>
      <c r="C48" s="24">
        <v>16.182858893040926</v>
      </c>
      <c r="D48" s="24">
        <v>20.540820798961857</v>
      </c>
      <c r="E48" s="24">
        <v>25.663596014011439</v>
      </c>
      <c r="F48" s="24">
        <v>21.161345136715109</v>
      </c>
      <c r="G48" s="24">
        <v>18.495948718259449</v>
      </c>
      <c r="H48" s="24">
        <v>24.557673497696079</v>
      </c>
      <c r="I48" s="24">
        <v>23.815193827461048</v>
      </c>
      <c r="J48" s="24">
        <v>16.098940301458448</v>
      </c>
      <c r="K48" s="24">
        <v>23.840238893052593</v>
      </c>
      <c r="L48" s="24">
        <v>24.727561320711114</v>
      </c>
      <c r="M48" s="24">
        <v>18.408460291447028</v>
      </c>
      <c r="N48" s="24">
        <v>23.821458360618593</v>
      </c>
      <c r="O48" s="24">
        <v>25.566497827327371</v>
      </c>
      <c r="P48" s="24">
        <v>20.469028225190197</v>
      </c>
      <c r="Q48" s="24">
        <v>13.886197943942875</v>
      </c>
      <c r="R48" s="24">
        <v>21.801028051822566</v>
      </c>
      <c r="S48" s="24">
        <v>21.330140560315588</v>
      </c>
      <c r="T48" s="24">
        <v>16.893222605670164</v>
      </c>
      <c r="U48" s="24">
        <v>21.602956187999048</v>
      </c>
      <c r="V48" s="24">
        <v>20.594346829169055</v>
      </c>
      <c r="W48" s="24">
        <v>51.006845260315224</v>
      </c>
      <c r="X48" s="24">
        <v>15.822943977912388</v>
      </c>
      <c r="Y48" s="24">
        <v>26.93058088525639</v>
      </c>
      <c r="Z48" s="24">
        <v>39.604348228616971</v>
      </c>
      <c r="AA48" s="24">
        <v>28.590598946947829</v>
      </c>
      <c r="AB48" s="24">
        <v>66.827334670168113</v>
      </c>
      <c r="AC48" s="24">
        <v>20.876713345729257</v>
      </c>
      <c r="AD48" s="24">
        <v>40.288005688389667</v>
      </c>
      <c r="AE48" s="24">
        <v>61.800524516602842</v>
      </c>
      <c r="AF48" s="24">
        <v>20.377853737824648</v>
      </c>
      <c r="AG48" s="24">
        <v>21.262910907592943</v>
      </c>
      <c r="AH48" s="24">
        <v>19.381657635544233</v>
      </c>
      <c r="AI48" s="24">
        <v>35.009234106477408</v>
      </c>
      <c r="AJ48" s="24">
        <v>15.707765891915136</v>
      </c>
      <c r="AK48" s="24">
        <v>17.263320009958377</v>
      </c>
      <c r="AL48" s="24">
        <v>26.356301580600576</v>
      </c>
      <c r="AM48" s="24">
        <v>28.512684731094055</v>
      </c>
      <c r="AN48" s="24">
        <v>18.311401462597992</v>
      </c>
      <c r="AO48" s="24">
        <v>33.998338570352573</v>
      </c>
      <c r="AP48" s="24">
        <v>29.443632241536832</v>
      </c>
      <c r="AQ48" s="24">
        <v>25.887483365799429</v>
      </c>
      <c r="AR48" s="24">
        <v>15.161013569515264</v>
      </c>
      <c r="AS48" s="24">
        <v>15.331348416418212</v>
      </c>
      <c r="AT48" s="24">
        <v>16.525950768634381</v>
      </c>
      <c r="AU48" s="24">
        <v>20.361516778030641</v>
      </c>
      <c r="AV48" s="24">
        <v>29.271189869999255</v>
      </c>
      <c r="AW48" s="24">
        <v>29.417513823248374</v>
      </c>
      <c r="AX48" s="24">
        <v>22.961911471938834</v>
      </c>
      <c r="AY48" s="24">
        <v>24.668838209938116</v>
      </c>
    </row>
    <row r="49" spans="1:51" x14ac:dyDescent="0.2">
      <c r="A49" s="23">
        <v>45667</v>
      </c>
      <c r="B49" s="24">
        <v>19.657246643985616</v>
      </c>
      <c r="C49" s="24">
        <v>18.764291831648016</v>
      </c>
      <c r="D49" s="24">
        <v>19.964378162305199</v>
      </c>
      <c r="E49" s="24">
        <v>25.720832207752906</v>
      </c>
      <c r="F49" s="24">
        <v>19.84294112644108</v>
      </c>
      <c r="G49" s="24">
        <v>17.096741921047666</v>
      </c>
      <c r="H49" s="24">
        <v>25.595220276676887</v>
      </c>
      <c r="I49" s="24">
        <v>24.702996850896405</v>
      </c>
      <c r="J49" s="24">
        <v>21.740658970845409</v>
      </c>
      <c r="K49" s="24">
        <v>25.217207945054191</v>
      </c>
      <c r="L49" s="24">
        <v>28.490075129022923</v>
      </c>
      <c r="M49" s="24">
        <v>20.961747435245151</v>
      </c>
      <c r="N49" s="24">
        <v>23.524054412557543</v>
      </c>
      <c r="O49" s="24">
        <v>25.678952640349419</v>
      </c>
      <c r="P49" s="24">
        <v>18.904677096703754</v>
      </c>
      <c r="Q49" s="24">
        <v>14.379948657812712</v>
      </c>
      <c r="R49" s="24">
        <v>22.01429929011341</v>
      </c>
      <c r="S49" s="24">
        <v>20.324872129777876</v>
      </c>
      <c r="T49" s="24">
        <v>17.5037692558634</v>
      </c>
      <c r="U49" s="24">
        <v>22.38967409239994</v>
      </c>
      <c r="V49" s="24">
        <v>20.734740708037965</v>
      </c>
      <c r="W49" s="24">
        <v>54.343827862692059</v>
      </c>
      <c r="X49" s="24">
        <v>19.232202486696757</v>
      </c>
      <c r="Y49" s="24">
        <v>30.67422268420345</v>
      </c>
      <c r="Z49" s="24">
        <v>42.141424291991029</v>
      </c>
      <c r="AA49" s="24">
        <v>30.685047993047533</v>
      </c>
      <c r="AB49" s="24">
        <v>66.892961495303027</v>
      </c>
      <c r="AC49" s="24">
        <v>20.562562548989433</v>
      </c>
      <c r="AD49" s="24">
        <v>42.683364018191149</v>
      </c>
      <c r="AE49" s="24">
        <v>61.832374600955909</v>
      </c>
      <c r="AF49" s="24">
        <v>21.463922192090845</v>
      </c>
      <c r="AG49" s="24">
        <v>21.607496704580658</v>
      </c>
      <c r="AH49" s="24">
        <v>22.246502427055262</v>
      </c>
      <c r="AI49" s="24">
        <v>35.419271896977214</v>
      </c>
      <c r="AJ49" s="24">
        <v>17.945417851293676</v>
      </c>
      <c r="AK49" s="24">
        <v>20.122866186573766</v>
      </c>
      <c r="AL49" s="24">
        <v>27.672033264075434</v>
      </c>
      <c r="AM49" s="24">
        <v>29.531561719772341</v>
      </c>
      <c r="AN49" s="24">
        <v>22.705898854080921</v>
      </c>
      <c r="AO49" s="24">
        <v>35.456802228305918</v>
      </c>
      <c r="AP49" s="24">
        <v>29.181786558554894</v>
      </c>
      <c r="AQ49" s="24">
        <v>23.020446451087764</v>
      </c>
      <c r="AR49" s="24">
        <v>17.050497712000279</v>
      </c>
      <c r="AS49" s="24">
        <v>16.25503964628118</v>
      </c>
      <c r="AT49" s="24">
        <v>19.071149967094616</v>
      </c>
      <c r="AU49" s="24">
        <v>19.959116253932407</v>
      </c>
      <c r="AV49" s="24">
        <v>29.782009933081145</v>
      </c>
      <c r="AW49" s="24">
        <v>28.134445176688462</v>
      </c>
      <c r="AX49" s="24">
        <v>22.668825013940843</v>
      </c>
      <c r="AY49" s="24">
        <v>24.87387840900708</v>
      </c>
    </row>
    <row r="50" spans="1:51" x14ac:dyDescent="0.2">
      <c r="A50" s="23">
        <v>45666</v>
      </c>
      <c r="B50" s="24">
        <v>19.976935223743418</v>
      </c>
      <c r="C50" s="24">
        <v>20.393923760355371</v>
      </c>
      <c r="D50" s="24">
        <v>19.932817121459237</v>
      </c>
      <c r="E50" s="24">
        <v>25.776082262168316</v>
      </c>
      <c r="F50" s="24">
        <v>19.343644509304081</v>
      </c>
      <c r="G50" s="24">
        <v>17.455889760025137</v>
      </c>
      <c r="H50" s="24">
        <v>25.356148728496937</v>
      </c>
      <c r="I50" s="24">
        <v>26.811875662998116</v>
      </c>
      <c r="J50" s="24">
        <v>22.188697387204481</v>
      </c>
      <c r="K50" s="24">
        <v>25.392531278688285</v>
      </c>
      <c r="L50" s="24">
        <v>29.627427047795781</v>
      </c>
      <c r="M50" s="24">
        <v>21.513123525814308</v>
      </c>
      <c r="N50" s="24">
        <v>23.030957511875016</v>
      </c>
      <c r="O50" s="24">
        <v>25.616618722012792</v>
      </c>
      <c r="P50" s="24">
        <v>18.740437912577065</v>
      </c>
      <c r="Q50" s="24">
        <v>14.594436408817428</v>
      </c>
      <c r="R50" s="24">
        <v>21.077510162291137</v>
      </c>
      <c r="S50" s="24">
        <v>16.877160900287265</v>
      </c>
      <c r="T50" s="24">
        <v>19.244004900668486</v>
      </c>
      <c r="U50" s="24">
        <v>22.699999435905792</v>
      </c>
      <c r="V50" s="24">
        <v>21.532335552053983</v>
      </c>
      <c r="W50" s="24">
        <v>53.991765595396188</v>
      </c>
      <c r="X50" s="24">
        <v>19.405969168648124</v>
      </c>
      <c r="Y50" s="24">
        <v>30.34245422565138</v>
      </c>
      <c r="Z50" s="24">
        <v>40.378909698463126</v>
      </c>
      <c r="AA50" s="24">
        <v>31.225390003581804</v>
      </c>
      <c r="AB50" s="24">
        <v>66.695347723313176</v>
      </c>
      <c r="AC50" s="24">
        <v>20.55378875644422</v>
      </c>
      <c r="AD50" s="24">
        <v>42.925405773349205</v>
      </c>
      <c r="AE50" s="24">
        <v>63.749197208918325</v>
      </c>
      <c r="AF50" s="24">
        <v>21.567532729028699</v>
      </c>
      <c r="AG50" s="24">
        <v>22.298857278555609</v>
      </c>
      <c r="AH50" s="24">
        <v>24.478650755863907</v>
      </c>
      <c r="AI50" s="24">
        <v>34.856732598144291</v>
      </c>
      <c r="AJ50" s="24">
        <v>17.936008094741631</v>
      </c>
      <c r="AK50" s="24">
        <v>22.494427169139236</v>
      </c>
      <c r="AL50" s="24">
        <v>27.69794239888806</v>
      </c>
      <c r="AM50" s="24">
        <v>32.039059331284314</v>
      </c>
      <c r="AN50" s="24">
        <v>25.758149637570749</v>
      </c>
      <c r="AO50" s="24">
        <v>36.095014451678153</v>
      </c>
      <c r="AP50" s="24">
        <v>26.344459016275806</v>
      </c>
      <c r="AQ50" s="24">
        <v>20.816749960190972</v>
      </c>
      <c r="AR50" s="24">
        <v>17.417810270853249</v>
      </c>
      <c r="AS50" s="24">
        <v>17.58791704185542</v>
      </c>
      <c r="AT50" s="24">
        <v>18.816993766526942</v>
      </c>
      <c r="AU50" s="24">
        <v>20.61845012102647</v>
      </c>
      <c r="AV50" s="24">
        <v>30.716476823453235</v>
      </c>
      <c r="AW50" s="24">
        <v>21.689416597314271</v>
      </c>
      <c r="AX50" s="24">
        <v>24.358602199221902</v>
      </c>
      <c r="AY50" s="24">
        <v>26.712067863798421</v>
      </c>
    </row>
    <row r="51" spans="1:51" x14ac:dyDescent="0.2">
      <c r="A51" s="23">
        <v>45665</v>
      </c>
      <c r="B51" s="24">
        <v>20.984196138042218</v>
      </c>
      <c r="C51" s="24">
        <v>20.42192257272994</v>
      </c>
      <c r="D51" s="24">
        <v>20.688688510819617</v>
      </c>
      <c r="E51" s="24">
        <v>24.974873845330745</v>
      </c>
      <c r="F51" s="24">
        <v>20.479766350774035</v>
      </c>
      <c r="G51" s="24">
        <v>17.991753559702531</v>
      </c>
      <c r="H51" s="24">
        <v>23.314311459133886</v>
      </c>
      <c r="I51" s="24">
        <v>26.613825428274716</v>
      </c>
      <c r="J51" s="24">
        <v>22.220211561216512</v>
      </c>
      <c r="K51" s="24">
        <v>25.411403372860356</v>
      </c>
      <c r="L51" s="24">
        <v>30.028954399795165</v>
      </c>
      <c r="M51" s="24">
        <v>21.638289750951092</v>
      </c>
      <c r="N51" s="24">
        <v>21.761398080373862</v>
      </c>
      <c r="O51" s="24">
        <v>24.758791947428886</v>
      </c>
      <c r="P51" s="24">
        <v>17.885990883142576</v>
      </c>
      <c r="Q51" s="24">
        <v>14.328243659277451</v>
      </c>
      <c r="R51" s="24">
        <v>18.79018335372642</v>
      </c>
      <c r="S51" s="24">
        <v>17.101488787000992</v>
      </c>
      <c r="T51" s="24">
        <v>18.882822440179254</v>
      </c>
      <c r="U51" s="24">
        <v>23.415547307424468</v>
      </c>
      <c r="V51" s="24">
        <v>22.329242750695759</v>
      </c>
      <c r="W51" s="24">
        <v>53.433746541760364</v>
      </c>
      <c r="X51" s="24">
        <v>19.654419415493486</v>
      </c>
      <c r="Y51" s="24">
        <v>30.328889964573893</v>
      </c>
      <c r="Z51" s="24">
        <v>40.623256414215689</v>
      </c>
      <c r="AA51" s="24">
        <v>31.20977291854118</v>
      </c>
      <c r="AB51" s="24">
        <v>69.151670265852133</v>
      </c>
      <c r="AC51" s="24">
        <v>22.188951399573167</v>
      </c>
      <c r="AD51" s="24">
        <v>42.847911634854768</v>
      </c>
      <c r="AE51" s="24">
        <v>62.627844820872376</v>
      </c>
      <c r="AF51" s="24">
        <v>21.611612157443002</v>
      </c>
      <c r="AG51" s="24">
        <v>22.945447968235413</v>
      </c>
      <c r="AH51" s="24">
        <v>24.339321767425528</v>
      </c>
      <c r="AI51" s="24">
        <v>35.087769741686081</v>
      </c>
      <c r="AJ51" s="24">
        <v>17.941171599188124</v>
      </c>
      <c r="AK51" s="24">
        <v>21.925029273301</v>
      </c>
      <c r="AL51" s="24">
        <v>28.60087561730019</v>
      </c>
      <c r="AM51" s="24">
        <v>31.80872538729151</v>
      </c>
      <c r="AN51" s="24">
        <v>25.134638181132726</v>
      </c>
      <c r="AO51" s="24">
        <v>36.661257403770769</v>
      </c>
      <c r="AP51" s="24">
        <v>26.46189492101378</v>
      </c>
      <c r="AQ51" s="24">
        <v>20.842120698615009</v>
      </c>
      <c r="AR51" s="24">
        <v>17.26708678935028</v>
      </c>
      <c r="AS51" s="24">
        <v>18.318300822240754</v>
      </c>
      <c r="AT51" s="24">
        <v>18.481566143270008</v>
      </c>
      <c r="AU51" s="24">
        <v>21.019714326801225</v>
      </c>
      <c r="AV51" s="24">
        <v>27.092710135151108</v>
      </c>
      <c r="AW51" s="24">
        <v>21.984298343266978</v>
      </c>
      <c r="AX51" s="24">
        <v>24.354915616954372</v>
      </c>
      <c r="AY51" s="24">
        <v>26.787842657591554</v>
      </c>
    </row>
    <row r="52" spans="1:51" x14ac:dyDescent="0.2">
      <c r="A52" s="23">
        <v>45664</v>
      </c>
      <c r="B52" s="24">
        <v>21.284150461964458</v>
      </c>
      <c r="C52" s="24">
        <v>21.654227665204257</v>
      </c>
      <c r="D52" s="24">
        <v>20.695459889730923</v>
      </c>
      <c r="E52" s="24">
        <v>25.021145037338865</v>
      </c>
      <c r="F52" s="24">
        <v>19.754174710998228</v>
      </c>
      <c r="G52" s="24">
        <v>18.030853024847712</v>
      </c>
      <c r="H52" s="24">
        <v>22.526767340149775</v>
      </c>
      <c r="I52" s="24">
        <v>26.691342469899009</v>
      </c>
      <c r="J52" s="24">
        <v>23.429872359407863</v>
      </c>
      <c r="K52" s="24">
        <v>24.963469407971541</v>
      </c>
      <c r="L52" s="24">
        <v>30.051387339653036</v>
      </c>
      <c r="M52" s="24">
        <v>22.539869429833889</v>
      </c>
      <c r="N52" s="24">
        <v>21.842400424263307</v>
      </c>
      <c r="O52" s="24">
        <v>24.746281002725464</v>
      </c>
      <c r="P52" s="24">
        <v>16.58538144828097</v>
      </c>
      <c r="Q52" s="24">
        <v>14.931409985037552</v>
      </c>
      <c r="R52" s="24">
        <v>18.729289769170499</v>
      </c>
      <c r="S52" s="24">
        <v>15.860088553579912</v>
      </c>
      <c r="T52" s="24">
        <v>21.515067038487931</v>
      </c>
      <c r="U52" s="24">
        <v>23.541290034984776</v>
      </c>
      <c r="V52" s="24">
        <v>22.653454483865954</v>
      </c>
      <c r="W52" s="24">
        <v>53.085950090403642</v>
      </c>
      <c r="X52" s="24">
        <v>19.511804552278917</v>
      </c>
      <c r="Y52" s="24">
        <v>30.367205880052886</v>
      </c>
      <c r="Z52" s="24">
        <v>39.481292384048821</v>
      </c>
      <c r="AA52" s="24">
        <v>31.898710556543129</v>
      </c>
      <c r="AB52" s="24">
        <v>69.093637342035123</v>
      </c>
      <c r="AC52" s="24">
        <v>21.908236201499907</v>
      </c>
      <c r="AD52" s="24">
        <v>43.745676730321861</v>
      </c>
      <c r="AE52" s="24">
        <v>62.868061892261288</v>
      </c>
      <c r="AF52" s="24">
        <v>23.713498445680091</v>
      </c>
      <c r="AG52" s="24">
        <v>23.321313090893366</v>
      </c>
      <c r="AH52" s="24">
        <v>24.978341869555212</v>
      </c>
      <c r="AI52" s="24">
        <v>34.394356893656166</v>
      </c>
      <c r="AJ52" s="24">
        <v>19.249237774331963</v>
      </c>
      <c r="AK52" s="24">
        <v>21.721056003722662</v>
      </c>
      <c r="AL52" s="24">
        <v>29.66538693300037</v>
      </c>
      <c r="AM52" s="24">
        <v>31.759961245812526</v>
      </c>
      <c r="AN52" s="24">
        <v>27.325335089908332</v>
      </c>
      <c r="AO52" s="24">
        <v>36.493232926805597</v>
      </c>
      <c r="AP52" s="24">
        <v>24.682627952487923</v>
      </c>
      <c r="AQ52" s="24">
        <v>18.23848802360747</v>
      </c>
      <c r="AR52" s="24">
        <v>17.729085166331068</v>
      </c>
      <c r="AS52" s="24">
        <v>21.130006340495441</v>
      </c>
      <c r="AT52" s="24">
        <v>18.459311004306443</v>
      </c>
      <c r="AU52" s="24">
        <v>21.521632843803584</v>
      </c>
      <c r="AV52" s="24">
        <v>27.116952915977471</v>
      </c>
      <c r="AW52" s="24">
        <v>22.066712601734377</v>
      </c>
      <c r="AX52" s="24">
        <v>24.354809348618055</v>
      </c>
      <c r="AY52" s="24">
        <v>27.092694669701611</v>
      </c>
    </row>
    <row r="53" spans="1:51" x14ac:dyDescent="0.2">
      <c r="A53" s="23">
        <v>45663</v>
      </c>
      <c r="B53" s="24">
        <v>21.106802223441843</v>
      </c>
      <c r="C53" s="24">
        <v>21.642240652308544</v>
      </c>
      <c r="D53" s="24">
        <v>20.608520774436229</v>
      </c>
      <c r="E53" s="24">
        <v>25.021529273768305</v>
      </c>
      <c r="F53" s="24">
        <v>18.723772864388945</v>
      </c>
      <c r="G53" s="24">
        <v>17.838836083019537</v>
      </c>
      <c r="H53" s="24">
        <v>22.493473501755133</v>
      </c>
      <c r="I53" s="24">
        <v>25.169469202823134</v>
      </c>
      <c r="J53" s="24">
        <v>23.353767194958284</v>
      </c>
      <c r="K53" s="24">
        <v>24.632538543464335</v>
      </c>
      <c r="L53" s="24">
        <v>30.406885938530156</v>
      </c>
      <c r="M53" s="24">
        <v>22.538143926964512</v>
      </c>
      <c r="N53" s="24">
        <v>21.949058504171642</v>
      </c>
      <c r="O53" s="24">
        <v>24.137048784836391</v>
      </c>
      <c r="P53" s="24">
        <v>17.17368071130214</v>
      </c>
      <c r="Q53" s="24">
        <v>14.917308353179493</v>
      </c>
      <c r="R53" s="24">
        <v>18.877760654364</v>
      </c>
      <c r="S53" s="24">
        <v>15.75476447519479</v>
      </c>
      <c r="T53" s="24">
        <v>21.420793772514816</v>
      </c>
      <c r="U53" s="24">
        <v>23.415234115729394</v>
      </c>
      <c r="V53" s="24">
        <v>22.576686926408811</v>
      </c>
      <c r="W53" s="24">
        <v>51.814572061513864</v>
      </c>
      <c r="X53" s="24">
        <v>19.227475183002753</v>
      </c>
      <c r="Y53" s="24">
        <v>28.183928259535517</v>
      </c>
      <c r="Z53" s="24">
        <v>38.421509000874096</v>
      </c>
      <c r="AA53" s="24">
        <v>31.699538584840621</v>
      </c>
      <c r="AB53" s="24">
        <v>61.533897059205771</v>
      </c>
      <c r="AC53" s="24">
        <v>22.011505255039861</v>
      </c>
      <c r="AD53" s="24">
        <v>42.362547921888932</v>
      </c>
      <c r="AE53" s="24">
        <v>55.794293485380074</v>
      </c>
      <c r="AF53" s="24">
        <v>25.175235444079952</v>
      </c>
      <c r="AG53" s="24">
        <v>23.220436393149562</v>
      </c>
      <c r="AH53" s="24">
        <v>24.647523925734305</v>
      </c>
      <c r="AI53" s="24">
        <v>31.785863295968547</v>
      </c>
      <c r="AJ53" s="24">
        <v>18.328204497257875</v>
      </c>
      <c r="AK53" s="24">
        <v>22.931599878081279</v>
      </c>
      <c r="AL53" s="24">
        <v>29.659639351264008</v>
      </c>
      <c r="AM53" s="24">
        <v>32.024291052837533</v>
      </c>
      <c r="AN53" s="24">
        <v>27.459686590024656</v>
      </c>
      <c r="AO53" s="24">
        <v>34.132588713373437</v>
      </c>
      <c r="AP53" s="24">
        <v>22.073195143178658</v>
      </c>
      <c r="AQ53" s="24">
        <v>17.731907224308767</v>
      </c>
      <c r="AR53" s="24">
        <v>17.564343553758814</v>
      </c>
      <c r="AS53" s="24">
        <v>20.646992737613939</v>
      </c>
      <c r="AT53" s="24">
        <v>18.740563873570061</v>
      </c>
      <c r="AU53" s="24">
        <v>21.337466031505521</v>
      </c>
      <c r="AV53" s="24">
        <v>26.566479841933564</v>
      </c>
      <c r="AW53" s="24">
        <v>21.117357906644582</v>
      </c>
      <c r="AX53" s="24">
        <v>24.354702222810396</v>
      </c>
      <c r="AY53" s="24">
        <v>26.731041526155327</v>
      </c>
    </row>
    <row r="54" spans="1:51" x14ac:dyDescent="0.2">
      <c r="A54" s="23">
        <v>45660</v>
      </c>
      <c r="B54" s="24">
        <v>21.202361683916234</v>
      </c>
      <c r="C54" s="24">
        <v>20.225753966660719</v>
      </c>
      <c r="D54" s="24">
        <v>20.560931926302533</v>
      </c>
      <c r="E54" s="24">
        <v>22.904419017284376</v>
      </c>
      <c r="F54" s="24">
        <v>18.765884865687593</v>
      </c>
      <c r="G54" s="24">
        <v>17.762047953287517</v>
      </c>
      <c r="H54" s="24">
        <v>22.460324860318618</v>
      </c>
      <c r="I54" s="24">
        <v>29.17327262565755</v>
      </c>
      <c r="J54" s="24">
        <v>24.174046187475799</v>
      </c>
      <c r="K54" s="24">
        <v>25.562507608260901</v>
      </c>
      <c r="L54" s="24">
        <v>33.974994283503882</v>
      </c>
      <c r="M54" s="24">
        <v>24.980663890707987</v>
      </c>
      <c r="N54" s="24">
        <v>20.98439277753252</v>
      </c>
      <c r="O54" s="24">
        <v>24.31867001619727</v>
      </c>
      <c r="P54" s="24">
        <v>17.112979613682828</v>
      </c>
      <c r="Q54" s="24">
        <v>14.937700049791742</v>
      </c>
      <c r="R54" s="24">
        <v>18.862772116858388</v>
      </c>
      <c r="S54" s="24">
        <v>16.300941579843485</v>
      </c>
      <c r="T54" s="24">
        <v>19.245472994710166</v>
      </c>
      <c r="U54" s="24">
        <v>23.416406183042252</v>
      </c>
      <c r="V54" s="24">
        <v>22.712682355738682</v>
      </c>
      <c r="W54" s="24">
        <v>52.126466485059069</v>
      </c>
      <c r="X54" s="24">
        <v>19.009019435231529</v>
      </c>
      <c r="Y54" s="24">
        <v>28.551166856827916</v>
      </c>
      <c r="Z54" s="24">
        <v>38.328131439996113</v>
      </c>
      <c r="AA54" s="24">
        <v>32.121902372819363</v>
      </c>
      <c r="AB54" s="24">
        <v>61.567952067303537</v>
      </c>
      <c r="AC54" s="24">
        <v>22.109933796308724</v>
      </c>
      <c r="AD54" s="24">
        <v>43.126503126232407</v>
      </c>
      <c r="AE54" s="24">
        <v>55.521156279570157</v>
      </c>
      <c r="AF54" s="24">
        <v>27.323451633566517</v>
      </c>
      <c r="AG54" s="24">
        <v>23.139941518061359</v>
      </c>
      <c r="AH54" s="24">
        <v>27.095123503402384</v>
      </c>
      <c r="AI54" s="24">
        <v>32.695500702987118</v>
      </c>
      <c r="AJ54" s="24">
        <v>17.974004135954331</v>
      </c>
      <c r="AK54" s="24">
        <v>23.095718214170113</v>
      </c>
      <c r="AL54" s="24">
        <v>33.019179091443299</v>
      </c>
      <c r="AM54" s="24">
        <v>33.746065393254895</v>
      </c>
      <c r="AN54" s="24">
        <v>27.267508483206655</v>
      </c>
      <c r="AO54" s="24">
        <v>34.784277006791143</v>
      </c>
      <c r="AP54" s="24">
        <v>23.767393767020042</v>
      </c>
      <c r="AQ54" s="24">
        <v>17.816861467351202</v>
      </c>
      <c r="AR54" s="24">
        <v>18.811909774514223</v>
      </c>
      <c r="AS54" s="24">
        <v>20.331630283586943</v>
      </c>
      <c r="AT54" s="24">
        <v>18.945964590729378</v>
      </c>
      <c r="AU54" s="24">
        <v>22.432553136993217</v>
      </c>
      <c r="AV54" s="24">
        <v>26.552894379254138</v>
      </c>
      <c r="AW54" s="24">
        <v>21.308131185327913</v>
      </c>
      <c r="AX54" s="24">
        <v>24.805716753637661</v>
      </c>
      <c r="AY54" s="24">
        <v>26.829880072192545</v>
      </c>
    </row>
    <row r="55" spans="1:51" x14ac:dyDescent="0.2">
      <c r="A55" s="23">
        <v>45659</v>
      </c>
      <c r="B55" s="24">
        <v>20.336626465904697</v>
      </c>
      <c r="C55" s="24">
        <v>20.098817147764272</v>
      </c>
      <c r="D55" s="24">
        <v>20.086693345588547</v>
      </c>
      <c r="E55" s="24">
        <v>22.790630857906503</v>
      </c>
      <c r="F55" s="24">
        <v>17.898757166584311</v>
      </c>
      <c r="G55" s="24">
        <v>17.876685326008033</v>
      </c>
      <c r="H55" s="24">
        <v>23.523676821754332</v>
      </c>
      <c r="I55" s="24">
        <v>29.426770248671971</v>
      </c>
      <c r="J55" s="24">
        <v>24.16769576973692</v>
      </c>
      <c r="K55" s="24">
        <v>26.183085644715138</v>
      </c>
      <c r="L55" s="24">
        <v>33.861786883232362</v>
      </c>
      <c r="M55" s="24">
        <v>24.922943377441207</v>
      </c>
      <c r="N55" s="24">
        <v>22.078195685903683</v>
      </c>
      <c r="O55" s="24">
        <v>23.948368382431614</v>
      </c>
      <c r="P55" s="24">
        <v>16.285773160658348</v>
      </c>
      <c r="Q55" s="24">
        <v>14.836821619746317</v>
      </c>
      <c r="R55" s="24">
        <v>19.614632191910353</v>
      </c>
      <c r="S55" s="24">
        <v>15.843261683619254</v>
      </c>
      <c r="T55" s="24">
        <v>19.015171685587266</v>
      </c>
      <c r="U55" s="24">
        <v>23.327644208705372</v>
      </c>
      <c r="V55" s="24">
        <v>22.297033753900998</v>
      </c>
      <c r="W55" s="24">
        <v>51.746714753579738</v>
      </c>
      <c r="X55" s="24">
        <v>19.356155445358937</v>
      </c>
      <c r="Y55" s="24">
        <v>27.857878501387457</v>
      </c>
      <c r="Z55" s="24">
        <v>40.134581838892323</v>
      </c>
      <c r="AA55" s="24">
        <v>32.01126688816268</v>
      </c>
      <c r="AB55" s="24">
        <v>60.813405678669547</v>
      </c>
      <c r="AC55" s="24">
        <v>22.458069573800849</v>
      </c>
      <c r="AD55" s="24">
        <v>41.769704050789493</v>
      </c>
      <c r="AE55" s="24">
        <v>53.892107436563144</v>
      </c>
      <c r="AF55" s="24">
        <v>25.754146533664141</v>
      </c>
      <c r="AG55" s="24">
        <v>23.412766291942162</v>
      </c>
      <c r="AH55" s="24">
        <v>27.143532571424846</v>
      </c>
      <c r="AI55" s="24">
        <v>32.748258278970212</v>
      </c>
      <c r="AJ55" s="24">
        <v>17.78771258991436</v>
      </c>
      <c r="AK55" s="24">
        <v>22.848819025300291</v>
      </c>
      <c r="AL55" s="24">
        <v>32.848699553697131</v>
      </c>
      <c r="AM55" s="24">
        <v>31.765566032806994</v>
      </c>
      <c r="AN55" s="24">
        <v>27.193535628927194</v>
      </c>
      <c r="AO55" s="24">
        <v>34.842969126303899</v>
      </c>
      <c r="AP55" s="24">
        <v>23.423435721857423</v>
      </c>
      <c r="AQ55" s="24">
        <v>17.217744598769798</v>
      </c>
      <c r="AR55" s="24">
        <v>18.759984187849582</v>
      </c>
      <c r="AS55" s="24">
        <v>19.738447031372907</v>
      </c>
      <c r="AT55" s="24">
        <v>18.937136348281591</v>
      </c>
      <c r="AU55" s="24">
        <v>22.731847427133143</v>
      </c>
      <c r="AV55" s="24">
        <v>26.770595369984218</v>
      </c>
      <c r="AW55" s="24">
        <v>21.306035256211555</v>
      </c>
      <c r="AX55" s="24">
        <v>24.906529572233961</v>
      </c>
      <c r="AY55" s="24">
        <v>26.629499347169549</v>
      </c>
    </row>
    <row r="56" spans="1:51" x14ac:dyDescent="0.2">
      <c r="A56" s="23">
        <v>45657</v>
      </c>
      <c r="B56" s="24">
        <v>18.734855345562796</v>
      </c>
      <c r="C56" s="24">
        <v>18.215294624351824</v>
      </c>
      <c r="D56" s="24">
        <v>16.907881616120843</v>
      </c>
      <c r="E56" s="24">
        <v>19.997460787417229</v>
      </c>
      <c r="F56" s="24">
        <v>15.739201721871552</v>
      </c>
      <c r="G56" s="24">
        <v>14.542903784497742</v>
      </c>
      <c r="H56" s="24">
        <v>25.895160877273579</v>
      </c>
      <c r="I56" s="24">
        <v>27.97061701308948</v>
      </c>
      <c r="J56" s="24">
        <v>23.067691884361079</v>
      </c>
      <c r="K56" s="24">
        <v>21.88672452050557</v>
      </c>
      <c r="L56" s="24">
        <v>29.219113578459361</v>
      </c>
      <c r="M56" s="24">
        <v>21.626239319356909</v>
      </c>
      <c r="N56" s="24">
        <v>21.177680803436679</v>
      </c>
      <c r="O56" s="24">
        <v>27.322314599515472</v>
      </c>
      <c r="P56" s="24">
        <v>15.730509064188091</v>
      </c>
      <c r="Q56" s="24">
        <v>15.058242981311354</v>
      </c>
      <c r="R56" s="24">
        <v>19.486964064284972</v>
      </c>
      <c r="S56" s="24">
        <v>17.390257597560108</v>
      </c>
      <c r="T56" s="24">
        <v>17.836606512970231</v>
      </c>
      <c r="U56" s="24">
        <v>20.759528141234885</v>
      </c>
      <c r="V56" s="24">
        <v>18.812573240961825</v>
      </c>
      <c r="W56" s="24">
        <v>48.101353184484907</v>
      </c>
      <c r="X56" s="24">
        <v>18.706827068063543</v>
      </c>
      <c r="Y56" s="24">
        <v>28.225629548845919</v>
      </c>
      <c r="Z56" s="24">
        <v>38.425248020719927</v>
      </c>
      <c r="AA56" s="24">
        <v>24.764105514964491</v>
      </c>
      <c r="AB56" s="24">
        <v>54.042742370135485</v>
      </c>
      <c r="AC56" s="24">
        <v>21.922959525483346</v>
      </c>
      <c r="AD56" s="24">
        <v>33.834197952532762</v>
      </c>
      <c r="AE56" s="24">
        <v>54.815698241286718</v>
      </c>
      <c r="AF56" s="24">
        <v>22.426357168659194</v>
      </c>
      <c r="AG56" s="24">
        <v>22.650251025085446</v>
      </c>
      <c r="AH56" s="24">
        <v>25.408150759303616</v>
      </c>
      <c r="AI56" s="24">
        <v>30.336826333323614</v>
      </c>
      <c r="AJ56" s="24">
        <v>16.759458456349432</v>
      </c>
      <c r="AK56" s="24">
        <v>21.640238662406869</v>
      </c>
      <c r="AL56" s="24">
        <v>27.542872221435221</v>
      </c>
      <c r="AM56" s="24">
        <v>24.291873063321681</v>
      </c>
      <c r="AN56" s="24">
        <v>25.065112223834717</v>
      </c>
      <c r="AO56" s="24">
        <v>32.471468919523595</v>
      </c>
      <c r="AP56" s="24">
        <v>23.33310488891059</v>
      </c>
      <c r="AQ56" s="24">
        <v>16.317957185168193</v>
      </c>
      <c r="AR56" s="24">
        <v>16.746897015327075</v>
      </c>
      <c r="AS56" s="24">
        <v>19.233512495539884</v>
      </c>
      <c r="AT56" s="24">
        <v>15.85011037049261</v>
      </c>
      <c r="AU56" s="24">
        <v>22.646243710653906</v>
      </c>
      <c r="AV56" s="24">
        <v>23.895146294813514</v>
      </c>
      <c r="AW56" s="24">
        <v>17.056188247209906</v>
      </c>
      <c r="AX56" s="24">
        <v>20.847031040310629</v>
      </c>
      <c r="AY56" s="24">
        <v>24.884395244939267</v>
      </c>
    </row>
    <row r="57" spans="1:51" x14ac:dyDescent="0.2">
      <c r="A57" s="23">
        <v>45656</v>
      </c>
      <c r="B57" s="24">
        <v>18.552476956365794</v>
      </c>
      <c r="C57" s="24">
        <v>18.20907907965627</v>
      </c>
      <c r="D57" s="24">
        <v>16.832266504503966</v>
      </c>
      <c r="E57" s="24">
        <v>19.914203026353178</v>
      </c>
      <c r="F57" s="24">
        <v>16.139030780568763</v>
      </c>
      <c r="G57" s="24">
        <v>14.826365187545475</v>
      </c>
      <c r="H57" s="24">
        <v>25.584650060219165</v>
      </c>
      <c r="I57" s="24">
        <v>27.960651013870638</v>
      </c>
      <c r="J57" s="24">
        <v>23.172257648728639</v>
      </c>
      <c r="K57" s="24">
        <v>21.677226262843039</v>
      </c>
      <c r="L57" s="24">
        <v>28.181517306468642</v>
      </c>
      <c r="M57" s="24">
        <v>20.286396237204467</v>
      </c>
      <c r="N57" s="24">
        <v>22.085032791118294</v>
      </c>
      <c r="O57" s="24">
        <v>27.282653652261359</v>
      </c>
      <c r="P57" s="24">
        <v>15.244295346916701</v>
      </c>
      <c r="Q57" s="24">
        <v>15.40844930065683</v>
      </c>
      <c r="R57" s="24">
        <v>19.268953946305906</v>
      </c>
      <c r="S57" s="24">
        <v>17.476642561091946</v>
      </c>
      <c r="T57" s="24">
        <v>17.705313485657015</v>
      </c>
      <c r="U57" s="24">
        <v>21.627216290223028</v>
      </c>
      <c r="V57" s="24">
        <v>18.961740143958988</v>
      </c>
      <c r="W57" s="24">
        <v>45.517472837508485</v>
      </c>
      <c r="X57" s="24">
        <v>17.298383101061383</v>
      </c>
      <c r="Y57" s="24">
        <v>26.603751750693061</v>
      </c>
      <c r="Z57" s="24">
        <v>35.622725975847068</v>
      </c>
      <c r="AA57" s="24">
        <v>19.390403275503786</v>
      </c>
      <c r="AB57" s="24">
        <v>52.940900511758855</v>
      </c>
      <c r="AC57" s="24">
        <v>23.037932223929072</v>
      </c>
      <c r="AD57" s="24">
        <v>28.934952570830571</v>
      </c>
      <c r="AE57" s="24">
        <v>52.24924600746462</v>
      </c>
      <c r="AF57" s="24">
        <v>22.282457841599999</v>
      </c>
      <c r="AG57" s="24">
        <v>21.785730641815306</v>
      </c>
      <c r="AH57" s="24">
        <v>25.111037956894876</v>
      </c>
      <c r="AI57" s="24">
        <v>29.348767451957208</v>
      </c>
      <c r="AJ57" s="24">
        <v>17.318772268135177</v>
      </c>
      <c r="AK57" s="24">
        <v>22.839574049653166</v>
      </c>
      <c r="AL57" s="24">
        <v>28.658822713760891</v>
      </c>
      <c r="AM57" s="24">
        <v>22.48249802433002</v>
      </c>
      <c r="AN57" s="24">
        <v>25.010525113077286</v>
      </c>
      <c r="AO57" s="24">
        <v>32.479184093321621</v>
      </c>
      <c r="AP57" s="24">
        <v>23.482389192747469</v>
      </c>
      <c r="AQ57" s="24">
        <v>16.205004909467924</v>
      </c>
      <c r="AR57" s="24">
        <v>14.830195676507593</v>
      </c>
      <c r="AS57" s="24">
        <v>19.040516654550149</v>
      </c>
      <c r="AT57" s="24">
        <v>15.563881312215901</v>
      </c>
      <c r="AU57" s="24">
        <v>21.645137227423401</v>
      </c>
      <c r="AV57" s="24">
        <v>23.996478027518155</v>
      </c>
      <c r="AW57" s="24">
        <v>15.240363191984946</v>
      </c>
      <c r="AX57" s="24">
        <v>21.684542975426005</v>
      </c>
      <c r="AY57" s="24">
        <v>24.425332941316459</v>
      </c>
    </row>
    <row r="58" spans="1:51" x14ac:dyDescent="0.2">
      <c r="A58" s="23">
        <v>45653</v>
      </c>
      <c r="B58" s="24">
        <v>18.842908576295283</v>
      </c>
      <c r="C58" s="24">
        <v>18.173534136442719</v>
      </c>
      <c r="D58" s="24">
        <v>16.727904516664907</v>
      </c>
      <c r="E58" s="24">
        <v>20.066749140108996</v>
      </c>
      <c r="F58" s="24">
        <v>16.521307996122591</v>
      </c>
      <c r="G58" s="24">
        <v>14.83972255536707</v>
      </c>
      <c r="H58" s="24">
        <v>25.714383017211574</v>
      </c>
      <c r="I58" s="24">
        <v>27.322046727868123</v>
      </c>
      <c r="J58" s="24">
        <v>23.147239040066101</v>
      </c>
      <c r="K58" s="24">
        <v>23.500429433032668</v>
      </c>
      <c r="L58" s="24">
        <v>28.076617202862771</v>
      </c>
      <c r="M58" s="24">
        <v>20.485009746305074</v>
      </c>
      <c r="N58" s="24">
        <v>21.341549373481538</v>
      </c>
      <c r="O58" s="24">
        <v>27.361586518730089</v>
      </c>
      <c r="P58" s="24">
        <v>15.051774613358676</v>
      </c>
      <c r="Q58" s="24">
        <v>15.159738979862926</v>
      </c>
      <c r="R58" s="24">
        <v>19.440146179522689</v>
      </c>
      <c r="S58" s="24">
        <v>17.4556207595015</v>
      </c>
      <c r="T58" s="24">
        <v>17.639396503801986</v>
      </c>
      <c r="U58" s="24">
        <v>21.109341114309391</v>
      </c>
      <c r="V58" s="24">
        <v>19.369304013868899</v>
      </c>
      <c r="W58" s="24">
        <v>45.441665588946648</v>
      </c>
      <c r="X58" s="24">
        <v>17.193951073466117</v>
      </c>
      <c r="Y58" s="24">
        <v>26.126300962684638</v>
      </c>
      <c r="Z58" s="24">
        <v>35.994788127893365</v>
      </c>
      <c r="AA58" s="24">
        <v>20.042494184457073</v>
      </c>
      <c r="AB58" s="24">
        <v>52.596391538740669</v>
      </c>
      <c r="AC58" s="24">
        <v>22.453649842716064</v>
      </c>
      <c r="AD58" s="24">
        <v>27.818575213667906</v>
      </c>
      <c r="AE58" s="24">
        <v>50.459852976431492</v>
      </c>
      <c r="AF58" s="24">
        <v>22.296819512830197</v>
      </c>
      <c r="AG58" s="24">
        <v>21.692067297746782</v>
      </c>
      <c r="AH58" s="24">
        <v>25.401431512562421</v>
      </c>
      <c r="AI58" s="24">
        <v>33.479296305095488</v>
      </c>
      <c r="AJ58" s="24">
        <v>17.206984165350921</v>
      </c>
      <c r="AK58" s="24">
        <v>28.543414902322748</v>
      </c>
      <c r="AL58" s="24">
        <v>29.056905570630629</v>
      </c>
      <c r="AM58" s="24">
        <v>21.844309938671181</v>
      </c>
      <c r="AN58" s="24">
        <v>25.043746327440399</v>
      </c>
      <c r="AO58" s="24">
        <v>32.716558610930306</v>
      </c>
      <c r="AP58" s="24">
        <v>23.730828099881748</v>
      </c>
      <c r="AQ58" s="24">
        <v>16.065952165042379</v>
      </c>
      <c r="AR58" s="24">
        <v>14.562099338842364</v>
      </c>
      <c r="AS58" s="24">
        <v>23.856385633830502</v>
      </c>
      <c r="AT58" s="24">
        <v>15.663754461112026</v>
      </c>
      <c r="AU58" s="24">
        <v>22.393256657596407</v>
      </c>
      <c r="AV58" s="24">
        <v>22.828453604620439</v>
      </c>
      <c r="AW58" s="24">
        <v>21.719427624547727</v>
      </c>
      <c r="AX58" s="24">
        <v>20.532933916991546</v>
      </c>
      <c r="AY58" s="24">
        <v>24.332092290045626</v>
      </c>
    </row>
    <row r="59" spans="1:51" x14ac:dyDescent="0.2">
      <c r="A59" s="23">
        <v>45652</v>
      </c>
      <c r="B59" s="24">
        <v>19.175687758108911</v>
      </c>
      <c r="C59" s="24">
        <v>18.232803477628096</v>
      </c>
      <c r="D59" s="24">
        <v>17.335132019114972</v>
      </c>
      <c r="E59" s="24">
        <v>20.057325505277788</v>
      </c>
      <c r="F59" s="24">
        <v>16.583425785345202</v>
      </c>
      <c r="G59" s="24">
        <v>14.864267103596235</v>
      </c>
      <c r="H59" s="24">
        <v>25.454777739303751</v>
      </c>
      <c r="I59" s="24">
        <v>28.709183460845015</v>
      </c>
      <c r="J59" s="24">
        <v>23.148016473834272</v>
      </c>
      <c r="K59" s="24">
        <v>23.478084027743979</v>
      </c>
      <c r="L59" s="24">
        <v>28.27286090482762</v>
      </c>
      <c r="M59" s="24">
        <v>20.451963804651879</v>
      </c>
      <c r="N59" s="24">
        <v>21.312673003102638</v>
      </c>
      <c r="O59" s="24">
        <v>27.603692757421584</v>
      </c>
      <c r="P59" s="24">
        <v>14.216345910146794</v>
      </c>
      <c r="Q59" s="24">
        <v>15.249797210718526</v>
      </c>
      <c r="R59" s="24">
        <v>19.586588778822264</v>
      </c>
      <c r="S59" s="24">
        <v>17.068253661599876</v>
      </c>
      <c r="T59" s="24">
        <v>19.047448195348693</v>
      </c>
      <c r="U59" s="24">
        <v>20.974008387964265</v>
      </c>
      <c r="V59" s="24">
        <v>20.171381472402015</v>
      </c>
      <c r="W59" s="24">
        <v>46.642977481306417</v>
      </c>
      <c r="X59" s="24">
        <v>17.169082893906108</v>
      </c>
      <c r="Y59" s="24">
        <v>25.430247464055309</v>
      </c>
      <c r="Z59" s="24">
        <v>34.266988999794677</v>
      </c>
      <c r="AA59" s="24">
        <v>22.547022044126546</v>
      </c>
      <c r="AB59" s="24">
        <v>51.057164962631013</v>
      </c>
      <c r="AC59" s="24">
        <v>22.697715961097007</v>
      </c>
      <c r="AD59" s="24">
        <v>33.7111125992529</v>
      </c>
      <c r="AE59" s="24">
        <v>50.853854745873669</v>
      </c>
      <c r="AF59" s="24">
        <v>21.672410710943765</v>
      </c>
      <c r="AG59" s="24">
        <v>21.689305669868496</v>
      </c>
      <c r="AH59" s="24">
        <v>24.741707967059167</v>
      </c>
      <c r="AI59" s="24">
        <v>32.136111877603973</v>
      </c>
      <c r="AJ59" s="24">
        <v>19.185409173693255</v>
      </c>
      <c r="AK59" s="24">
        <v>28.566724825693466</v>
      </c>
      <c r="AL59" s="24">
        <v>29.45971260516535</v>
      </c>
      <c r="AM59" s="24">
        <v>21.973971132360472</v>
      </c>
      <c r="AN59" s="24">
        <v>25.865452970760984</v>
      </c>
      <c r="AO59" s="24">
        <v>32.187159854939111</v>
      </c>
      <c r="AP59" s="24">
        <v>23.772245747405389</v>
      </c>
      <c r="AQ59" s="24">
        <v>15.681697398261111</v>
      </c>
      <c r="AR59" s="24">
        <v>14.476279218723265</v>
      </c>
      <c r="AS59" s="24">
        <v>25.128503488539348</v>
      </c>
      <c r="AT59" s="24">
        <v>15.636175422910815</v>
      </c>
      <c r="AU59" s="24">
        <v>22.490894936513179</v>
      </c>
      <c r="AV59" s="24">
        <v>22.869927337407812</v>
      </c>
      <c r="AW59" s="24">
        <v>24.431385013090566</v>
      </c>
      <c r="AX59" s="24">
        <v>20.74816226755274</v>
      </c>
      <c r="AY59" s="24">
        <v>24.218186947668499</v>
      </c>
    </row>
    <row r="60" spans="1:51" x14ac:dyDescent="0.2">
      <c r="A60" s="23">
        <v>45651</v>
      </c>
      <c r="B60" s="24">
        <v>19.183990694206027</v>
      </c>
      <c r="C60" s="24">
        <v>18.221150147184357</v>
      </c>
      <c r="D60" s="24">
        <v>17.179421041989759</v>
      </c>
      <c r="E60" s="24">
        <v>19.52762648602917</v>
      </c>
      <c r="F60" s="24">
        <v>16.364859169872364</v>
      </c>
      <c r="G60" s="24">
        <v>14.873624789916603</v>
      </c>
      <c r="H60" s="24">
        <v>25.215618517869924</v>
      </c>
      <c r="I60" s="24">
        <v>28.139700380528712</v>
      </c>
      <c r="J60" s="24">
        <v>23.290436631659063</v>
      </c>
      <c r="K60" s="24">
        <v>25.001765926869041</v>
      </c>
      <c r="L60" s="24">
        <v>28.946596861836742</v>
      </c>
      <c r="M60" s="24">
        <v>20.387817607985266</v>
      </c>
      <c r="N60" s="24">
        <v>21.258338198877194</v>
      </c>
      <c r="O60" s="24">
        <v>26.866733689440789</v>
      </c>
      <c r="P60" s="24">
        <v>15.779893677718855</v>
      </c>
      <c r="Q60" s="24">
        <v>13.540996148041542</v>
      </c>
      <c r="R60" s="24">
        <v>18.739310927693506</v>
      </c>
      <c r="S60" s="24">
        <v>18.413808360875393</v>
      </c>
      <c r="T60" s="24">
        <v>20.325762044807732</v>
      </c>
      <c r="U60" s="24">
        <v>20.891027693651271</v>
      </c>
      <c r="V60" s="24">
        <v>20.179848930686141</v>
      </c>
      <c r="W60" s="24">
        <v>46.528248096300416</v>
      </c>
      <c r="X60" s="24">
        <v>17.369371237379323</v>
      </c>
      <c r="Y60" s="24">
        <v>25.550535961619978</v>
      </c>
      <c r="Z60" s="24">
        <v>34.172724503082584</v>
      </c>
      <c r="AA60" s="24">
        <v>23.102559266210935</v>
      </c>
      <c r="AB60" s="24">
        <v>51.174200938543414</v>
      </c>
      <c r="AC60" s="24">
        <v>22.307806881865964</v>
      </c>
      <c r="AD60" s="24">
        <v>34.804344822964502</v>
      </c>
      <c r="AE60" s="24">
        <v>50.139839011990368</v>
      </c>
      <c r="AF60" s="24">
        <v>21.861634630790729</v>
      </c>
      <c r="AG60" s="24">
        <v>21.634329618547078</v>
      </c>
      <c r="AH60" s="24">
        <v>27.229079230014499</v>
      </c>
      <c r="AI60" s="24">
        <v>32.310472086803223</v>
      </c>
      <c r="AJ60" s="24">
        <v>19.017866206352519</v>
      </c>
      <c r="AK60" s="24">
        <v>28.426071718002785</v>
      </c>
      <c r="AL60" s="24">
        <v>29.897406516269562</v>
      </c>
      <c r="AM60" s="24">
        <v>22.414821883916666</v>
      </c>
      <c r="AN60" s="24">
        <v>25.898138146615931</v>
      </c>
      <c r="AO60" s="24">
        <v>32.257083049678265</v>
      </c>
      <c r="AP60" s="24">
        <v>24.779798977726777</v>
      </c>
      <c r="AQ60" s="24">
        <v>16.614612515718793</v>
      </c>
      <c r="AR60" s="24">
        <v>14.436004945099866</v>
      </c>
      <c r="AS60" s="24">
        <v>25.134235938493628</v>
      </c>
      <c r="AT60" s="24">
        <v>15.422724414269718</v>
      </c>
      <c r="AU60" s="24">
        <v>22.613792824042356</v>
      </c>
      <c r="AV60" s="24">
        <v>24.975440840546021</v>
      </c>
      <c r="AW60" s="24">
        <v>24.673315458936891</v>
      </c>
      <c r="AX60" s="24">
        <v>20.574772495202886</v>
      </c>
      <c r="AY60" s="24">
        <v>24.958975864482227</v>
      </c>
    </row>
    <row r="61" spans="1:51" x14ac:dyDescent="0.2">
      <c r="A61" s="23">
        <v>45650</v>
      </c>
      <c r="B61" s="24">
        <v>18.053961796823543</v>
      </c>
      <c r="C61" s="24">
        <v>18.133311662298411</v>
      </c>
      <c r="D61" s="24">
        <v>17.005275006409335</v>
      </c>
      <c r="E61" s="24">
        <v>19.587588432707797</v>
      </c>
      <c r="F61" s="24">
        <v>16.302623779344319</v>
      </c>
      <c r="G61" s="24">
        <v>14.548970480488627</v>
      </c>
      <c r="H61" s="24">
        <v>24.011313090173687</v>
      </c>
      <c r="I61" s="24">
        <v>28.370599684723206</v>
      </c>
      <c r="J61" s="24">
        <v>23.299878192988956</v>
      </c>
      <c r="K61" s="24">
        <v>24.756624460260962</v>
      </c>
      <c r="L61" s="24">
        <v>30.109672709427326</v>
      </c>
      <c r="M61" s="24">
        <v>20.626185711485444</v>
      </c>
      <c r="N61" s="24">
        <v>21.196838307086566</v>
      </c>
      <c r="O61" s="24">
        <v>26.095440304845447</v>
      </c>
      <c r="P61" s="24">
        <v>15.65586584813923</v>
      </c>
      <c r="Q61" s="24">
        <v>13.860307729447831</v>
      </c>
      <c r="R61" s="24">
        <v>17.306121331295849</v>
      </c>
      <c r="S61" s="24">
        <v>18.004191717074875</v>
      </c>
      <c r="T61" s="24">
        <v>21.144211752932438</v>
      </c>
      <c r="U61" s="24">
        <v>20.874660643734245</v>
      </c>
      <c r="V61" s="24">
        <v>21.049787128188182</v>
      </c>
      <c r="W61" s="24">
        <v>47.527359776659907</v>
      </c>
      <c r="X61" s="24">
        <v>17.232598732956543</v>
      </c>
      <c r="Y61" s="24">
        <v>25.636561197614338</v>
      </c>
      <c r="Z61" s="24">
        <v>33.967502331220473</v>
      </c>
      <c r="AA61" s="24">
        <v>23.794378931597631</v>
      </c>
      <c r="AB61" s="24">
        <v>39.414486737036384</v>
      </c>
      <c r="AC61" s="24">
        <v>23.12345048717626</v>
      </c>
      <c r="AD61" s="24">
        <v>38.803886039867123</v>
      </c>
      <c r="AE61" s="24">
        <v>58.142856049469422</v>
      </c>
      <c r="AF61" s="24">
        <v>21.699800806792286</v>
      </c>
      <c r="AG61" s="24">
        <v>20.966681555023325</v>
      </c>
      <c r="AH61" s="24">
        <v>27.374982710679177</v>
      </c>
      <c r="AI61" s="24">
        <v>36.326544111570911</v>
      </c>
      <c r="AJ61" s="24">
        <v>21.522265921593739</v>
      </c>
      <c r="AK61" s="24">
        <v>28.656400181790278</v>
      </c>
      <c r="AL61" s="24">
        <v>30.19637825497492</v>
      </c>
      <c r="AM61" s="24">
        <v>22.728720954832728</v>
      </c>
      <c r="AN61" s="24">
        <v>26.152754432092852</v>
      </c>
      <c r="AO61" s="24">
        <v>32.727291177473937</v>
      </c>
      <c r="AP61" s="24">
        <v>24.492319494789829</v>
      </c>
      <c r="AQ61" s="24">
        <v>17.544200781616599</v>
      </c>
      <c r="AR61" s="24">
        <v>14.70134031002247</v>
      </c>
      <c r="AS61" s="24">
        <v>24.640858134577062</v>
      </c>
      <c r="AT61" s="24">
        <v>15.428170590369486</v>
      </c>
      <c r="AU61" s="24">
        <v>22.560538445055695</v>
      </c>
      <c r="AV61" s="24">
        <v>24.897881584101984</v>
      </c>
      <c r="AW61" s="24">
        <v>26.705448399277198</v>
      </c>
      <c r="AX61" s="24">
        <v>20.589873274643914</v>
      </c>
      <c r="AY61" s="24">
        <v>24.682615798386497</v>
      </c>
    </row>
    <row r="62" spans="1:51" x14ac:dyDescent="0.2">
      <c r="A62" s="23">
        <v>45649</v>
      </c>
      <c r="B62" s="24">
        <v>18.224620834240426</v>
      </c>
      <c r="C62" s="24">
        <v>18.086609601317914</v>
      </c>
      <c r="D62" s="24">
        <v>17.38616987670704</v>
      </c>
      <c r="E62" s="24">
        <v>19.984897031116535</v>
      </c>
      <c r="F62" s="24">
        <v>15.797856622570732</v>
      </c>
      <c r="G62" s="24">
        <v>14.836034041115616</v>
      </c>
      <c r="H62" s="24">
        <v>23.083120542639481</v>
      </c>
      <c r="I62" s="24">
        <v>29.665154137163725</v>
      </c>
      <c r="J62" s="24">
        <v>22.269585024488794</v>
      </c>
      <c r="K62" s="24">
        <v>22.985450824211117</v>
      </c>
      <c r="L62" s="24">
        <v>29.227732464999349</v>
      </c>
      <c r="M62" s="24">
        <v>20.390413134504794</v>
      </c>
      <c r="N62" s="24">
        <v>22.110035849602667</v>
      </c>
      <c r="O62" s="24">
        <v>26.315235885534136</v>
      </c>
      <c r="P62" s="24">
        <v>15.686637294797423</v>
      </c>
      <c r="Q62" s="24">
        <v>14.214030788680299</v>
      </c>
      <c r="R62" s="24">
        <v>17.043624643111432</v>
      </c>
      <c r="S62" s="24">
        <v>16.753881396582344</v>
      </c>
      <c r="T62" s="24">
        <v>21.131596457407831</v>
      </c>
      <c r="U62" s="24">
        <v>21.423592119372394</v>
      </c>
      <c r="V62" s="24">
        <v>22.780468468281867</v>
      </c>
      <c r="W62" s="24">
        <v>47.783310583945905</v>
      </c>
      <c r="X62" s="24">
        <v>17.375179607667548</v>
      </c>
      <c r="Y62" s="24">
        <v>25.491161997102804</v>
      </c>
      <c r="Z62" s="24">
        <v>30.576489838303058</v>
      </c>
      <c r="AA62" s="24">
        <v>23.392194051490247</v>
      </c>
      <c r="AB62" s="24">
        <v>38.819056571999084</v>
      </c>
      <c r="AC62" s="24">
        <v>22.877716643068158</v>
      </c>
      <c r="AD62" s="24">
        <v>38.701109360391669</v>
      </c>
      <c r="AE62" s="24">
        <v>58.63016860751938</v>
      </c>
      <c r="AF62" s="24">
        <v>21.705851462977712</v>
      </c>
      <c r="AG62" s="24">
        <v>20.243936018268879</v>
      </c>
      <c r="AH62" s="24">
        <v>28.361602459334005</v>
      </c>
      <c r="AI62" s="24">
        <v>35.886155678031876</v>
      </c>
      <c r="AJ62" s="24">
        <v>22.387683171145163</v>
      </c>
      <c r="AK62" s="24">
        <v>28.655131708845428</v>
      </c>
      <c r="AL62" s="24">
        <v>29.048218410789016</v>
      </c>
      <c r="AM62" s="24">
        <v>22.210620892586277</v>
      </c>
      <c r="AN62" s="24">
        <v>26.853671648789465</v>
      </c>
      <c r="AO62" s="24">
        <v>33.15462379317124</v>
      </c>
      <c r="AP62" s="24">
        <v>23.991563827782635</v>
      </c>
      <c r="AQ62" s="24">
        <v>16.070656259732473</v>
      </c>
      <c r="AR62" s="24">
        <v>14.514575469007184</v>
      </c>
      <c r="AS62" s="24">
        <v>24.594504750849598</v>
      </c>
      <c r="AT62" s="24">
        <v>15.476767874501594</v>
      </c>
      <c r="AU62" s="24">
        <v>22.337400250364979</v>
      </c>
      <c r="AV62" s="24">
        <v>24.187344668377868</v>
      </c>
      <c r="AW62" s="24">
        <v>27.023468698188815</v>
      </c>
      <c r="AX62" s="24">
        <v>20.791064433722308</v>
      </c>
      <c r="AY62" s="24">
        <v>24.129493842127932</v>
      </c>
    </row>
    <row r="63" spans="1:51" x14ac:dyDescent="0.2">
      <c r="A63" s="23">
        <v>45646</v>
      </c>
      <c r="B63" s="24">
        <v>16.542583643157652</v>
      </c>
      <c r="C63" s="24">
        <v>18.285249098570898</v>
      </c>
      <c r="D63" s="24">
        <v>14.855073276884468</v>
      </c>
      <c r="E63" s="24">
        <v>18.970154267068679</v>
      </c>
      <c r="F63" s="24">
        <v>15.184796500412107</v>
      </c>
      <c r="G63" s="24">
        <v>13.90615959572674</v>
      </c>
      <c r="H63" s="24">
        <v>21.157307654334442</v>
      </c>
      <c r="I63" s="24">
        <v>30.409977993460302</v>
      </c>
      <c r="J63" s="24">
        <v>22.249463139272869</v>
      </c>
      <c r="K63" s="24">
        <v>23.693607943232763</v>
      </c>
      <c r="L63" s="24">
        <v>30.060692567115414</v>
      </c>
      <c r="M63" s="24">
        <v>20.37606249091337</v>
      </c>
      <c r="N63" s="24">
        <v>18.49079252722543</v>
      </c>
      <c r="O63" s="24">
        <v>26.215199770269436</v>
      </c>
      <c r="P63" s="24">
        <v>16.139478054983812</v>
      </c>
      <c r="Q63" s="24">
        <v>14.208679384131349</v>
      </c>
      <c r="R63" s="24">
        <v>15.099289061333884</v>
      </c>
      <c r="S63" s="24">
        <v>16.665264659125278</v>
      </c>
      <c r="T63" s="24">
        <v>21.211862788453399</v>
      </c>
      <c r="U63" s="24">
        <v>18.958827658503314</v>
      </c>
      <c r="V63" s="24">
        <v>21.610052794706998</v>
      </c>
      <c r="W63" s="24">
        <v>49.264343582271216</v>
      </c>
      <c r="X63" s="24">
        <v>16.756614450118441</v>
      </c>
      <c r="Y63" s="24">
        <v>22.918243593909608</v>
      </c>
      <c r="Z63" s="24">
        <v>32.590995161559952</v>
      </c>
      <c r="AA63" s="24">
        <v>24.245236585332936</v>
      </c>
      <c r="AB63" s="24">
        <v>40.901346745430587</v>
      </c>
      <c r="AC63" s="24">
        <v>22.227332802840817</v>
      </c>
      <c r="AD63" s="24">
        <v>39.329696611777045</v>
      </c>
      <c r="AE63" s="24">
        <v>55.583321274344414</v>
      </c>
      <c r="AF63" s="24">
        <v>22.325245550298789</v>
      </c>
      <c r="AG63" s="24">
        <v>17.347132654252182</v>
      </c>
      <c r="AH63" s="24">
        <v>27.835273445171083</v>
      </c>
      <c r="AI63" s="24">
        <v>36.545257341882561</v>
      </c>
      <c r="AJ63" s="24">
        <v>22.47185980362174</v>
      </c>
      <c r="AK63" s="24">
        <v>28.673856291966999</v>
      </c>
      <c r="AL63" s="24">
        <v>29.229178763551435</v>
      </c>
      <c r="AM63" s="24">
        <v>22.049400446980371</v>
      </c>
      <c r="AN63" s="24">
        <v>26.02813828431735</v>
      </c>
      <c r="AO63" s="24">
        <v>32.105455225757737</v>
      </c>
      <c r="AP63" s="24">
        <v>25.063323832046898</v>
      </c>
      <c r="AQ63" s="24">
        <v>13.96965654584764</v>
      </c>
      <c r="AR63" s="24">
        <v>14.786280789226225</v>
      </c>
      <c r="AS63" s="24">
        <v>24.57556474743571</v>
      </c>
      <c r="AT63" s="24">
        <v>15.007858934318016</v>
      </c>
      <c r="AU63" s="24">
        <v>22.689182178651556</v>
      </c>
      <c r="AV63" s="24">
        <v>24.095823206305656</v>
      </c>
      <c r="AW63" s="24">
        <v>26.348095068882071</v>
      </c>
      <c r="AX63" s="24">
        <v>20.259368474361974</v>
      </c>
      <c r="AY63" s="24">
        <v>25.018229819569125</v>
      </c>
    </row>
    <row r="64" spans="1:51" x14ac:dyDescent="0.2">
      <c r="A64" s="23">
        <v>45645</v>
      </c>
      <c r="B64" s="24">
        <v>17.539270795291763</v>
      </c>
      <c r="C64" s="24">
        <v>20.342790034869218</v>
      </c>
      <c r="D64" s="24">
        <v>16.148107640797935</v>
      </c>
      <c r="E64" s="24">
        <v>16.650988137186566</v>
      </c>
      <c r="F64" s="24">
        <v>16.219787904690335</v>
      </c>
      <c r="G64" s="24">
        <v>14.657899804133363</v>
      </c>
      <c r="H64" s="24">
        <v>21.381435069941865</v>
      </c>
      <c r="I64" s="24">
        <v>31.46819436031948</v>
      </c>
      <c r="J64" s="24">
        <v>24.353423056280384</v>
      </c>
      <c r="K64" s="24">
        <v>24.684097270149067</v>
      </c>
      <c r="L64" s="24">
        <v>36.726484737741124</v>
      </c>
      <c r="M64" s="24">
        <v>25.738783928426351</v>
      </c>
      <c r="N64" s="24">
        <v>18.7100785355269</v>
      </c>
      <c r="O64" s="24">
        <v>26.889034500565575</v>
      </c>
      <c r="P64" s="24">
        <v>17.273351243074753</v>
      </c>
      <c r="Q64" s="24">
        <v>15.505652935842232</v>
      </c>
      <c r="R64" s="24">
        <v>14.796859303648379</v>
      </c>
      <c r="S64" s="24">
        <v>16.694938537571971</v>
      </c>
      <c r="T64" s="24">
        <v>23.789980019057012</v>
      </c>
      <c r="U64" s="24">
        <v>20.324121817946743</v>
      </c>
      <c r="V64" s="24">
        <v>22.836540071274719</v>
      </c>
      <c r="W64" s="24">
        <v>38.672171256796844</v>
      </c>
      <c r="X64" s="24">
        <v>19.129617340377425</v>
      </c>
      <c r="Y64" s="24">
        <v>23.502320204637144</v>
      </c>
      <c r="Z64" s="24">
        <v>33.58534952039885</v>
      </c>
      <c r="AA64" s="24">
        <v>29.792593811695816</v>
      </c>
      <c r="AB64" s="24">
        <v>42.718646496488752</v>
      </c>
      <c r="AC64" s="24">
        <v>23.840086569416009</v>
      </c>
      <c r="AD64" s="24">
        <v>43.774213399925983</v>
      </c>
      <c r="AE64" s="24">
        <v>56.788610607747415</v>
      </c>
      <c r="AF64" s="24">
        <v>24.600972236580706</v>
      </c>
      <c r="AG64" s="24">
        <v>19.395615550093559</v>
      </c>
      <c r="AH64" s="24">
        <v>29.694531628549655</v>
      </c>
      <c r="AI64" s="24">
        <v>39.663794067929359</v>
      </c>
      <c r="AJ64" s="24">
        <v>25.906723236121184</v>
      </c>
      <c r="AK64" s="24">
        <v>28.933251550757713</v>
      </c>
      <c r="AL64" s="24">
        <v>32.006466231114629</v>
      </c>
      <c r="AM64" s="24">
        <v>27.031144791716265</v>
      </c>
      <c r="AN64" s="24">
        <v>30.035069915590785</v>
      </c>
      <c r="AO64" s="24">
        <v>30.368804675972857</v>
      </c>
      <c r="AP64" s="24">
        <v>24.794702842547437</v>
      </c>
      <c r="AQ64" s="24">
        <v>16.359421736028903</v>
      </c>
      <c r="AR64" s="24">
        <v>17.839232297002734</v>
      </c>
      <c r="AS64" s="24">
        <v>27.96279528163512</v>
      </c>
      <c r="AT64" s="24">
        <v>17.311979647273564</v>
      </c>
      <c r="AU64" s="24">
        <v>26.032569213421333</v>
      </c>
      <c r="AV64" s="24">
        <v>24.724861648447181</v>
      </c>
      <c r="AW64" s="24">
        <v>30.711385665969466</v>
      </c>
      <c r="AX64" s="24">
        <v>21.553910042241135</v>
      </c>
      <c r="AY64" s="24">
        <v>24.903973782170532</v>
      </c>
    </row>
    <row r="65" spans="1:51" x14ac:dyDescent="0.2">
      <c r="A65" s="23">
        <v>45644</v>
      </c>
      <c r="B65" s="24">
        <v>16.326778773800495</v>
      </c>
      <c r="C65" s="24">
        <v>19.743991227784338</v>
      </c>
      <c r="D65" s="24">
        <v>15.277320096537181</v>
      </c>
      <c r="E65" s="24">
        <v>16.747288830410486</v>
      </c>
      <c r="F65" s="24">
        <v>15.759180702242521</v>
      </c>
      <c r="G65" s="24">
        <v>14.003327853329907</v>
      </c>
      <c r="H65" s="24">
        <v>20.952086006973548</v>
      </c>
      <c r="I65" s="24">
        <v>31.391352533498775</v>
      </c>
      <c r="J65" s="24">
        <v>23.83389949386892</v>
      </c>
      <c r="K65" s="24">
        <v>24.834634974123198</v>
      </c>
      <c r="L65" s="24">
        <v>36.766003427494361</v>
      </c>
      <c r="M65" s="24">
        <v>25.754857668056886</v>
      </c>
      <c r="N65" s="24">
        <v>18.585075969132372</v>
      </c>
      <c r="O65" s="24">
        <v>26.514667138020172</v>
      </c>
      <c r="P65" s="24">
        <v>18.523475004124375</v>
      </c>
      <c r="Q65" s="24">
        <v>15.213164566005446</v>
      </c>
      <c r="R65" s="24">
        <v>14.482858459308853</v>
      </c>
      <c r="S65" s="24">
        <v>17.089430042733454</v>
      </c>
      <c r="T65" s="24">
        <v>23.538624126875419</v>
      </c>
      <c r="U65" s="24">
        <v>19.517123080032615</v>
      </c>
      <c r="V65" s="24">
        <v>22.733623386714346</v>
      </c>
      <c r="W65" s="24">
        <v>37.316584825763172</v>
      </c>
      <c r="X65" s="24">
        <v>19.071446785656391</v>
      </c>
      <c r="Y65" s="24">
        <v>23.576861941092528</v>
      </c>
      <c r="Z65" s="24">
        <v>31.182492861279851</v>
      </c>
      <c r="AA65" s="24">
        <v>29.872426216182792</v>
      </c>
      <c r="AB65" s="24">
        <v>36.998082299403613</v>
      </c>
      <c r="AC65" s="24">
        <v>22.281815754353843</v>
      </c>
      <c r="AD65" s="24">
        <v>44.967087432259703</v>
      </c>
      <c r="AE65" s="24">
        <v>61.443581632939889</v>
      </c>
      <c r="AF65" s="24">
        <v>24.718356619983428</v>
      </c>
      <c r="AG65" s="24">
        <v>19.408396162062754</v>
      </c>
      <c r="AH65" s="24">
        <v>29.731278489431787</v>
      </c>
      <c r="AI65" s="24">
        <v>37.714222257416729</v>
      </c>
      <c r="AJ65" s="24">
        <v>25.892557576475024</v>
      </c>
      <c r="AK65" s="24">
        <v>28.571397425821072</v>
      </c>
      <c r="AL65" s="24">
        <v>32.004241258566893</v>
      </c>
      <c r="AM65" s="24">
        <v>26.947314454143193</v>
      </c>
      <c r="AN65" s="24">
        <v>29.972042206690379</v>
      </c>
      <c r="AO65" s="24">
        <v>29.909592889655244</v>
      </c>
      <c r="AP65" s="24">
        <v>24.767491882659829</v>
      </c>
      <c r="AQ65" s="24">
        <v>16.791677596549537</v>
      </c>
      <c r="AR65" s="24">
        <v>17.809688658938544</v>
      </c>
      <c r="AS65" s="24">
        <v>27.665561853681197</v>
      </c>
      <c r="AT65" s="24">
        <v>17.31117292823221</v>
      </c>
      <c r="AU65" s="24">
        <v>25.981179017884386</v>
      </c>
      <c r="AV65" s="24">
        <v>24.272446742944808</v>
      </c>
      <c r="AW65" s="24">
        <v>31.459828420777413</v>
      </c>
      <c r="AX65" s="24">
        <v>20.904889767365361</v>
      </c>
      <c r="AY65" s="24">
        <v>22.616759600560123</v>
      </c>
    </row>
    <row r="66" spans="1:51" x14ac:dyDescent="0.2">
      <c r="A66" s="23">
        <v>45643</v>
      </c>
      <c r="B66" s="24">
        <v>16.095257572736021</v>
      </c>
      <c r="C66" s="24">
        <v>19.541670390872287</v>
      </c>
      <c r="D66" s="24">
        <v>15.229407062403981</v>
      </c>
      <c r="E66" s="24">
        <v>15.168551979925809</v>
      </c>
      <c r="F66" s="24">
        <v>15.755767312041693</v>
      </c>
      <c r="G66" s="24">
        <v>14.188767863513755</v>
      </c>
      <c r="H66" s="24">
        <v>20.961430001519041</v>
      </c>
      <c r="I66" s="24">
        <v>31.257352048789922</v>
      </c>
      <c r="J66" s="24">
        <v>23.202612595400211</v>
      </c>
      <c r="K66" s="24">
        <v>24.710871390409835</v>
      </c>
      <c r="L66" s="24">
        <v>36.7176433365413</v>
      </c>
      <c r="M66" s="24">
        <v>25.752450724531393</v>
      </c>
      <c r="N66" s="24">
        <v>18.595456079593248</v>
      </c>
      <c r="O66" s="24">
        <v>26.515884473700275</v>
      </c>
      <c r="P66" s="24">
        <v>19.024292620511577</v>
      </c>
      <c r="Q66" s="24">
        <v>15.342387565909787</v>
      </c>
      <c r="R66" s="24">
        <v>14.272324913724301</v>
      </c>
      <c r="S66" s="24">
        <v>17.026259928681885</v>
      </c>
      <c r="T66" s="24">
        <v>23.729807099444834</v>
      </c>
      <c r="U66" s="24">
        <v>19.471892775152877</v>
      </c>
      <c r="V66" s="24">
        <v>22.227685250473264</v>
      </c>
      <c r="W66" s="24">
        <v>36.752205612281678</v>
      </c>
      <c r="X66" s="24">
        <v>18.691510072148144</v>
      </c>
      <c r="Y66" s="24">
        <v>23.744233027553616</v>
      </c>
      <c r="Z66" s="24">
        <v>31.742756490279255</v>
      </c>
      <c r="AA66" s="24">
        <v>30.385517311200601</v>
      </c>
      <c r="AB66" s="24">
        <v>36.99995207910883</v>
      </c>
      <c r="AC66" s="24">
        <v>22.269225672883199</v>
      </c>
      <c r="AD66" s="24">
        <v>45.090806827728919</v>
      </c>
      <c r="AE66" s="24">
        <v>56.714748711993508</v>
      </c>
      <c r="AF66" s="24">
        <v>23.971156492064573</v>
      </c>
      <c r="AG66" s="24">
        <v>19.559284312816938</v>
      </c>
      <c r="AH66" s="24">
        <v>30.820327502360055</v>
      </c>
      <c r="AI66" s="24">
        <v>37.604242442654524</v>
      </c>
      <c r="AJ66" s="24">
        <v>34.68367512133829</v>
      </c>
      <c r="AK66" s="24">
        <v>29.062783547456096</v>
      </c>
      <c r="AL66" s="24">
        <v>31.920274742422858</v>
      </c>
      <c r="AM66" s="24">
        <v>27.078844117988854</v>
      </c>
      <c r="AN66" s="24">
        <v>30.090009426258671</v>
      </c>
      <c r="AO66" s="24">
        <v>26.643865267389032</v>
      </c>
      <c r="AP66" s="24">
        <v>24.766704320650881</v>
      </c>
      <c r="AQ66" s="24">
        <v>16.50998176595969</v>
      </c>
      <c r="AR66" s="24">
        <v>17.43005114985144</v>
      </c>
      <c r="AS66" s="24">
        <v>27.487925896884573</v>
      </c>
      <c r="AT66" s="24">
        <v>16.957146487050892</v>
      </c>
      <c r="AU66" s="24">
        <v>25.965028393285571</v>
      </c>
      <c r="AV66" s="24">
        <v>24.272967050840272</v>
      </c>
      <c r="AW66" s="24">
        <v>31.79021186459817</v>
      </c>
      <c r="AX66" s="24">
        <v>19.340987673524818</v>
      </c>
      <c r="AY66" s="24">
        <v>22.607923587249431</v>
      </c>
    </row>
    <row r="67" spans="1:51" x14ac:dyDescent="0.2">
      <c r="A67" s="23">
        <v>45642</v>
      </c>
      <c r="B67" s="24">
        <v>16.300116418657815</v>
      </c>
      <c r="C67" s="24">
        <v>18.549191482300333</v>
      </c>
      <c r="D67" s="24">
        <v>15.903319995195259</v>
      </c>
      <c r="E67" s="24">
        <v>15.344578040128514</v>
      </c>
      <c r="F67" s="24">
        <v>16.09263212446691</v>
      </c>
      <c r="G67" s="24">
        <v>14.388490266860293</v>
      </c>
      <c r="H67" s="24">
        <v>21.013562673963353</v>
      </c>
      <c r="I67" s="24">
        <v>31.019726442970374</v>
      </c>
      <c r="J67" s="24">
        <v>23.241177432455281</v>
      </c>
      <c r="K67" s="24">
        <v>22.271114049411256</v>
      </c>
      <c r="L67" s="24">
        <v>36.649861957279498</v>
      </c>
      <c r="M67" s="24">
        <v>25.752368924378498</v>
      </c>
      <c r="N67" s="24">
        <v>18.961706809807584</v>
      </c>
      <c r="O67" s="24">
        <v>26.026948462913118</v>
      </c>
      <c r="P67" s="24">
        <v>22.910671794785337</v>
      </c>
      <c r="Q67" s="24">
        <v>15.39717823035658</v>
      </c>
      <c r="R67" s="24">
        <v>14.882572676601681</v>
      </c>
      <c r="S67" s="24">
        <v>16.963860293254193</v>
      </c>
      <c r="T67" s="24">
        <v>23.751730925769671</v>
      </c>
      <c r="U67" s="24">
        <v>19.554733502696461</v>
      </c>
      <c r="V67" s="24">
        <v>22.332896618014477</v>
      </c>
      <c r="W67" s="24">
        <v>38.399617713492148</v>
      </c>
      <c r="X67" s="24">
        <v>18.776061045891151</v>
      </c>
      <c r="Y67" s="24">
        <v>26.388087179683502</v>
      </c>
      <c r="Z67" s="24">
        <v>31.189796389015374</v>
      </c>
      <c r="AA67" s="24">
        <v>31.238481945788557</v>
      </c>
      <c r="AB67" s="24">
        <v>38.68518897339618</v>
      </c>
      <c r="AC67" s="24">
        <v>22.179975175485293</v>
      </c>
      <c r="AD67" s="24">
        <v>47.763383503638408</v>
      </c>
      <c r="AE67" s="24">
        <v>56.504946975650583</v>
      </c>
      <c r="AF67" s="24">
        <v>24.359151895962988</v>
      </c>
      <c r="AG67" s="24">
        <v>19.233855810354587</v>
      </c>
      <c r="AH67" s="24">
        <v>31.08552330164801</v>
      </c>
      <c r="AI67" s="24">
        <v>37.397637649261348</v>
      </c>
      <c r="AJ67" s="24">
        <v>34.548767373489866</v>
      </c>
      <c r="AK67" s="24">
        <v>29.094400845024463</v>
      </c>
      <c r="AL67" s="24">
        <v>32.09536946561834</v>
      </c>
      <c r="AM67" s="24">
        <v>27.07889737315649</v>
      </c>
      <c r="AN67" s="24">
        <v>30.446774755993328</v>
      </c>
      <c r="AO67" s="24">
        <v>28.304453753635276</v>
      </c>
      <c r="AP67" s="24">
        <v>24.725502592937541</v>
      </c>
      <c r="AQ67" s="24">
        <v>16.487614815517318</v>
      </c>
      <c r="AR67" s="24">
        <v>17.504417843809708</v>
      </c>
      <c r="AS67" s="24">
        <v>27.522487767150604</v>
      </c>
      <c r="AT67" s="24">
        <v>19.475091457450226</v>
      </c>
      <c r="AU67" s="24">
        <v>24.968192275180815</v>
      </c>
      <c r="AV67" s="24">
        <v>23.901100069978902</v>
      </c>
      <c r="AW67" s="24">
        <v>33.255570175781301</v>
      </c>
      <c r="AX67" s="24">
        <v>18.596921722993418</v>
      </c>
      <c r="AY67" s="24">
        <v>22.478208212379425</v>
      </c>
    </row>
    <row r="68" spans="1:51" x14ac:dyDescent="0.2">
      <c r="A68" s="23">
        <v>45639</v>
      </c>
      <c r="B68" s="24">
        <v>16.485491020666906</v>
      </c>
      <c r="C68" s="24">
        <v>18.404276545952253</v>
      </c>
      <c r="D68" s="24">
        <v>15.797928477066129</v>
      </c>
      <c r="E68" s="24">
        <v>11.849460833217053</v>
      </c>
      <c r="F68" s="24">
        <v>15.355121533219036</v>
      </c>
      <c r="G68" s="24">
        <v>16.46490104043712</v>
      </c>
      <c r="H68" s="24">
        <v>20.470611286318924</v>
      </c>
      <c r="I68" s="24">
        <v>31.24943832374522</v>
      </c>
      <c r="J68" s="24">
        <v>22.844558319867019</v>
      </c>
      <c r="K68" s="24">
        <v>22.253974837167835</v>
      </c>
      <c r="L68" s="24">
        <v>36.244127833358249</v>
      </c>
      <c r="M68" s="24">
        <v>25.532965696750381</v>
      </c>
      <c r="N68" s="24">
        <v>17.845322371460639</v>
      </c>
      <c r="O68" s="24">
        <v>27.347646315779571</v>
      </c>
      <c r="P68" s="24">
        <v>20.973907890757644</v>
      </c>
      <c r="Q68" s="24">
        <v>14.587491035632249</v>
      </c>
      <c r="R68" s="24">
        <v>14.218977282626954</v>
      </c>
      <c r="S68" s="24">
        <v>17.652404682887372</v>
      </c>
      <c r="T68" s="24">
        <v>22.760484720602502</v>
      </c>
      <c r="U68" s="24">
        <v>19.424785791220135</v>
      </c>
      <c r="V68" s="24">
        <v>23.223452727250148</v>
      </c>
      <c r="W68" s="24">
        <v>38.93819356157065</v>
      </c>
      <c r="X68" s="24">
        <v>20.825538256941961</v>
      </c>
      <c r="Y68" s="24">
        <v>26.035999582696768</v>
      </c>
      <c r="Z68" s="24">
        <v>32.174433674055997</v>
      </c>
      <c r="AA68" s="24">
        <v>31.343041188792711</v>
      </c>
      <c r="AB68" s="24">
        <v>38.811374136931988</v>
      </c>
      <c r="AC68" s="24">
        <v>23.836651304507988</v>
      </c>
      <c r="AD68" s="24">
        <v>46.912776062255233</v>
      </c>
      <c r="AE68" s="24">
        <v>57.102386030421656</v>
      </c>
      <c r="AF68" s="24">
        <v>25.108235521370975</v>
      </c>
      <c r="AG68" s="24">
        <v>22.055995901417493</v>
      </c>
      <c r="AH68" s="24">
        <v>30.503101914959306</v>
      </c>
      <c r="AI68" s="24">
        <v>37.427247667628016</v>
      </c>
      <c r="AJ68" s="24">
        <v>34.523941925096025</v>
      </c>
      <c r="AK68" s="24">
        <v>28.991343256113055</v>
      </c>
      <c r="AL68" s="24">
        <v>32.000111882644269</v>
      </c>
      <c r="AM68" s="24">
        <v>27.907102444093198</v>
      </c>
      <c r="AN68" s="24">
        <v>30.104427853114998</v>
      </c>
      <c r="AO68" s="24">
        <v>27.866840802282184</v>
      </c>
      <c r="AP68" s="24">
        <v>26.303381758750895</v>
      </c>
      <c r="AQ68" s="24">
        <v>16.587477029508179</v>
      </c>
      <c r="AR68" s="24">
        <v>19.983111649430292</v>
      </c>
      <c r="AS68" s="24">
        <v>27.728758109093338</v>
      </c>
      <c r="AT68" s="24">
        <v>23.977302404538353</v>
      </c>
      <c r="AU68" s="24">
        <v>24.500197432603265</v>
      </c>
      <c r="AV68" s="24">
        <v>21.824500957214013</v>
      </c>
      <c r="AW68" s="24">
        <v>34.169814045063504</v>
      </c>
      <c r="AX68" s="24">
        <v>23.451857809224123</v>
      </c>
      <c r="AY68" s="24">
        <v>20.058128479382958</v>
      </c>
    </row>
    <row r="69" spans="1:51" x14ac:dyDescent="0.2">
      <c r="A69" s="23">
        <v>45638</v>
      </c>
      <c r="B69" s="24">
        <v>16.412168190792983</v>
      </c>
      <c r="C69" s="24">
        <v>15.35196992886557</v>
      </c>
      <c r="D69" s="24">
        <v>15.448254212583841</v>
      </c>
      <c r="E69" s="24">
        <v>12.17025994552402</v>
      </c>
      <c r="F69" s="24">
        <v>15.325006319107448</v>
      </c>
      <c r="G69" s="24">
        <v>16.260418451912582</v>
      </c>
      <c r="H69" s="24">
        <v>18.843764840701375</v>
      </c>
      <c r="I69" s="24">
        <v>32.483717856761736</v>
      </c>
      <c r="J69" s="24">
        <v>18.039747074630689</v>
      </c>
      <c r="K69" s="24">
        <v>21.212033493027626</v>
      </c>
      <c r="L69" s="24">
        <v>33.503345167300026</v>
      </c>
      <c r="M69" s="24">
        <v>23.857547527635905</v>
      </c>
      <c r="N69" s="24">
        <v>18.704490166978012</v>
      </c>
      <c r="O69" s="24">
        <v>26.999965492240591</v>
      </c>
      <c r="P69" s="24">
        <v>22.052365110648022</v>
      </c>
      <c r="Q69" s="24">
        <v>15.10493110569109</v>
      </c>
      <c r="R69" s="24">
        <v>13.169692507009996</v>
      </c>
      <c r="S69" s="24">
        <v>17.370474936528691</v>
      </c>
      <c r="T69" s="24">
        <v>21.568781673759553</v>
      </c>
      <c r="U69" s="24">
        <v>17.320631504922858</v>
      </c>
      <c r="V69" s="24">
        <v>22.027722568524908</v>
      </c>
      <c r="W69" s="24">
        <v>36.09766019355969</v>
      </c>
      <c r="X69" s="24">
        <v>17.299554487682229</v>
      </c>
      <c r="Y69" s="24">
        <v>20.952598610310503</v>
      </c>
      <c r="Z69" s="24">
        <v>31.224254016321165</v>
      </c>
      <c r="AA69" s="24">
        <v>32.775861950564952</v>
      </c>
      <c r="AB69" s="24">
        <v>40.333430309641948</v>
      </c>
      <c r="AC69" s="24">
        <v>23.385300048388615</v>
      </c>
      <c r="AD69" s="24">
        <v>48.91142749026173</v>
      </c>
      <c r="AE69" s="24">
        <v>58.479593245884743</v>
      </c>
      <c r="AF69" s="24">
        <v>23.685928948619317</v>
      </c>
      <c r="AG69" s="24">
        <v>21.625405118452342</v>
      </c>
      <c r="AH69" s="24">
        <v>28.451741704873566</v>
      </c>
      <c r="AI69" s="24">
        <v>37.491114455165793</v>
      </c>
      <c r="AJ69" s="24">
        <v>33.245674568432534</v>
      </c>
      <c r="AK69" s="24">
        <v>26.124398927514168</v>
      </c>
      <c r="AL69" s="24">
        <v>30.480794658452595</v>
      </c>
      <c r="AM69" s="24">
        <v>27.339529231450932</v>
      </c>
      <c r="AN69" s="24">
        <v>25.369515102813676</v>
      </c>
      <c r="AO69" s="24">
        <v>33.228795677050712</v>
      </c>
      <c r="AP69" s="24">
        <v>22.152708579732519</v>
      </c>
      <c r="AQ69" s="24">
        <v>16.881590940996627</v>
      </c>
      <c r="AR69" s="24">
        <v>18.058315856174804</v>
      </c>
      <c r="AS69" s="24">
        <v>25.921328089734203</v>
      </c>
      <c r="AT69" s="24">
        <v>21.318115617067875</v>
      </c>
      <c r="AU69" s="24">
        <v>23.871846058988059</v>
      </c>
      <c r="AV69" s="24">
        <v>21.263914151859918</v>
      </c>
      <c r="AW69" s="24">
        <v>34.877387533773941</v>
      </c>
      <c r="AX69" s="24">
        <v>22.454767159598131</v>
      </c>
      <c r="AY69" s="24">
        <v>21.14721867368214</v>
      </c>
    </row>
    <row r="70" spans="1:51" x14ac:dyDescent="0.2">
      <c r="A70" s="23">
        <v>45637</v>
      </c>
      <c r="B70" s="24">
        <v>15.554482520848381</v>
      </c>
      <c r="C70" s="24">
        <v>13.53484506734036</v>
      </c>
      <c r="D70" s="24">
        <v>15.173240380386536</v>
      </c>
      <c r="E70" s="24">
        <v>12.817719687719025</v>
      </c>
      <c r="F70" s="24">
        <v>14.98303622909537</v>
      </c>
      <c r="G70" s="24">
        <v>15.844965988740904</v>
      </c>
      <c r="H70" s="24">
        <v>19.009961675289283</v>
      </c>
      <c r="I70" s="24">
        <v>32.260607885541525</v>
      </c>
      <c r="J70" s="24">
        <v>17.614335446645246</v>
      </c>
      <c r="K70" s="24">
        <v>21.564998200089516</v>
      </c>
      <c r="L70" s="24">
        <v>32.930910491930888</v>
      </c>
      <c r="M70" s="24">
        <v>23.332517729191387</v>
      </c>
      <c r="N70" s="24">
        <v>19.273217780448679</v>
      </c>
      <c r="O70" s="24">
        <v>26.726448117965155</v>
      </c>
      <c r="P70" s="24">
        <v>22.920638415578821</v>
      </c>
      <c r="Q70" s="24">
        <v>14.921606154109577</v>
      </c>
      <c r="R70" s="24">
        <v>13.209694849402222</v>
      </c>
      <c r="S70" s="24">
        <v>17.297120213491755</v>
      </c>
      <c r="T70" s="24">
        <v>20.688600828732124</v>
      </c>
      <c r="U70" s="24">
        <v>16.994483814533059</v>
      </c>
      <c r="V70" s="24">
        <v>21.461164685599183</v>
      </c>
      <c r="W70" s="24">
        <v>36.447019867369775</v>
      </c>
      <c r="X70" s="24">
        <v>16.968619794475817</v>
      </c>
      <c r="Y70" s="24">
        <v>22.807333996229094</v>
      </c>
      <c r="Z70" s="24">
        <v>36.931168480424205</v>
      </c>
      <c r="AA70" s="24">
        <v>32.545411336781179</v>
      </c>
      <c r="AB70" s="24">
        <v>41.688159284411213</v>
      </c>
      <c r="AC70" s="24">
        <v>23.314870283884815</v>
      </c>
      <c r="AD70" s="24">
        <v>49.797468254161757</v>
      </c>
      <c r="AE70" s="24">
        <v>56.225700824865903</v>
      </c>
      <c r="AF70" s="24">
        <v>25.172475926016283</v>
      </c>
      <c r="AG70" s="24">
        <v>20.517221797522676</v>
      </c>
      <c r="AH70" s="24">
        <v>28.978665107436058</v>
      </c>
      <c r="AI70" s="24">
        <v>39.773900599240996</v>
      </c>
      <c r="AJ70" s="24">
        <v>33.83550216599005</v>
      </c>
      <c r="AK70" s="24">
        <v>25.8136339528909</v>
      </c>
      <c r="AL70" s="24">
        <v>30.337006918046107</v>
      </c>
      <c r="AM70" s="24">
        <v>25.258398193683675</v>
      </c>
      <c r="AN70" s="24">
        <v>23.352966421903375</v>
      </c>
      <c r="AO70" s="24">
        <v>34.093029151844398</v>
      </c>
      <c r="AP70" s="24">
        <v>22.424388567017743</v>
      </c>
      <c r="AQ70" s="24">
        <v>16.884935039173708</v>
      </c>
      <c r="AR70" s="24">
        <v>17.925099359951055</v>
      </c>
      <c r="AS70" s="24">
        <v>26.54917298104548</v>
      </c>
      <c r="AT70" s="24">
        <v>21.383576220048553</v>
      </c>
      <c r="AU70" s="24">
        <v>23.845421634162676</v>
      </c>
      <c r="AV70" s="24">
        <v>20.624299645078576</v>
      </c>
      <c r="AW70" s="24">
        <v>36.991007481995631</v>
      </c>
      <c r="AX70" s="24">
        <v>21.365747323201024</v>
      </c>
      <c r="AY70" s="24">
        <v>19.403981977072796</v>
      </c>
    </row>
    <row r="71" spans="1:51" x14ac:dyDescent="0.2">
      <c r="A71" s="23">
        <v>45636</v>
      </c>
      <c r="B71" s="24">
        <v>13.854127243297141</v>
      </c>
      <c r="C71" s="24">
        <v>13.384330722699641</v>
      </c>
      <c r="D71" s="24">
        <v>13.445462437034847</v>
      </c>
      <c r="E71" s="24">
        <v>18.849669852018341</v>
      </c>
      <c r="F71" s="24">
        <v>12.739658791295671</v>
      </c>
      <c r="G71" s="24">
        <v>14.307912647282114</v>
      </c>
      <c r="H71" s="24">
        <v>18.908696490328165</v>
      </c>
      <c r="I71" s="24">
        <v>34.24594093401447</v>
      </c>
      <c r="J71" s="24">
        <v>17.427162421923569</v>
      </c>
      <c r="K71" s="24">
        <v>21.555430491699298</v>
      </c>
      <c r="L71" s="24">
        <v>32.102396397372566</v>
      </c>
      <c r="M71" s="24">
        <v>23.035526499327375</v>
      </c>
      <c r="N71" s="24">
        <v>19.618171834357632</v>
      </c>
      <c r="O71" s="24">
        <v>26.309239258617502</v>
      </c>
      <c r="P71" s="24">
        <v>29.266302874937871</v>
      </c>
      <c r="Q71" s="24">
        <v>15.666797623583342</v>
      </c>
      <c r="R71" s="24">
        <v>13.490781355312645</v>
      </c>
      <c r="S71" s="24">
        <v>16.966861648574181</v>
      </c>
      <c r="T71" s="24">
        <v>20.649489994719495</v>
      </c>
      <c r="U71" s="24">
        <v>14.500858831922763</v>
      </c>
      <c r="V71" s="24">
        <v>19.462461360358532</v>
      </c>
      <c r="W71" s="24">
        <v>36.66050788038207</v>
      </c>
      <c r="X71" s="24">
        <v>16.706505298358497</v>
      </c>
      <c r="Y71" s="24">
        <v>22.77679299899933</v>
      </c>
      <c r="Z71" s="24">
        <v>38.76460366742895</v>
      </c>
      <c r="AA71" s="24">
        <v>33.967319634264953</v>
      </c>
      <c r="AB71" s="24">
        <v>38.887683377723214</v>
      </c>
      <c r="AC71" s="24">
        <v>20.416093981698381</v>
      </c>
      <c r="AD71" s="24">
        <v>49.65258266493457</v>
      </c>
      <c r="AE71" s="24">
        <v>67.562281075273191</v>
      </c>
      <c r="AF71" s="24">
        <v>24.885157899696875</v>
      </c>
      <c r="AG71" s="24">
        <v>19.529023147135408</v>
      </c>
      <c r="AH71" s="24">
        <v>28.990183002329942</v>
      </c>
      <c r="AI71" s="24">
        <v>39.636760763709098</v>
      </c>
      <c r="AJ71" s="24">
        <v>33.841689354916141</v>
      </c>
      <c r="AK71" s="24">
        <v>24.615629203442158</v>
      </c>
      <c r="AL71" s="24">
        <v>29.068338657015133</v>
      </c>
      <c r="AM71" s="24">
        <v>25.211843913828471</v>
      </c>
      <c r="AN71" s="24">
        <v>23.530746186422892</v>
      </c>
      <c r="AO71" s="24">
        <v>34.036776299514187</v>
      </c>
      <c r="AP71" s="24">
        <v>23.730078452457622</v>
      </c>
      <c r="AQ71" s="24">
        <v>16.741887604388783</v>
      </c>
      <c r="AR71" s="24">
        <v>17.899403495616394</v>
      </c>
      <c r="AS71" s="24">
        <v>26.412325539010077</v>
      </c>
      <c r="AT71" s="24">
        <v>21.502376515153539</v>
      </c>
      <c r="AU71" s="24">
        <v>23.580551400394253</v>
      </c>
      <c r="AV71" s="24">
        <v>20.487946419736854</v>
      </c>
      <c r="AW71" s="24">
        <v>36.323024261184905</v>
      </c>
      <c r="AX71" s="24">
        <v>20.169160598230224</v>
      </c>
      <c r="AY71" s="24">
        <v>19.923467989208739</v>
      </c>
    </row>
    <row r="72" spans="1:51" x14ac:dyDescent="0.2">
      <c r="A72" s="23">
        <v>45635</v>
      </c>
      <c r="B72" s="24">
        <v>13.495356704626735</v>
      </c>
      <c r="C72" s="24">
        <v>12.029757064931685</v>
      </c>
      <c r="D72" s="24">
        <v>14.06781315133523</v>
      </c>
      <c r="E72" s="24">
        <v>19.416464529262722</v>
      </c>
      <c r="F72" s="24">
        <v>12.450517401236205</v>
      </c>
      <c r="G72" s="24">
        <v>14.322169698591789</v>
      </c>
      <c r="H72" s="24">
        <v>19.13834281908273</v>
      </c>
      <c r="I72" s="24">
        <v>34.868144725210676</v>
      </c>
      <c r="J72" s="24">
        <v>16.843483797761717</v>
      </c>
      <c r="K72" s="24">
        <v>21.428726553768289</v>
      </c>
      <c r="L72" s="24">
        <v>34.809180873920155</v>
      </c>
      <c r="M72" s="24">
        <v>23.60824145125514</v>
      </c>
      <c r="N72" s="24">
        <v>19.92126234149265</v>
      </c>
      <c r="O72" s="24">
        <v>26.915828981723042</v>
      </c>
      <c r="P72" s="24">
        <v>30.733574334781178</v>
      </c>
      <c r="Q72" s="24">
        <v>16.38067781721745</v>
      </c>
      <c r="R72" s="24">
        <v>13.759582727135106</v>
      </c>
      <c r="S72" s="24">
        <v>17.059215444375617</v>
      </c>
      <c r="T72" s="24">
        <v>18.595882507558773</v>
      </c>
      <c r="U72" s="24">
        <v>15.219693533056859</v>
      </c>
      <c r="V72" s="24">
        <v>19.208528017982843</v>
      </c>
      <c r="W72" s="24">
        <v>37.301570936920555</v>
      </c>
      <c r="X72" s="24">
        <v>17.357089265515373</v>
      </c>
      <c r="Y72" s="24">
        <v>25.101406609861073</v>
      </c>
      <c r="Z72" s="24">
        <v>41.234784424196867</v>
      </c>
      <c r="AA72" s="24">
        <v>34.458381240451367</v>
      </c>
      <c r="AB72" s="24">
        <v>46.137503169183937</v>
      </c>
      <c r="AC72" s="24">
        <v>20.916518858182439</v>
      </c>
      <c r="AD72" s="24">
        <v>49.39058433646882</v>
      </c>
      <c r="AE72" s="24">
        <v>68.222663938539711</v>
      </c>
      <c r="AF72" s="24">
        <v>24.525930394767361</v>
      </c>
      <c r="AG72" s="24">
        <v>18.992566296234081</v>
      </c>
      <c r="AH72" s="24">
        <v>29.338660279675189</v>
      </c>
      <c r="AI72" s="24">
        <v>39.283065472846275</v>
      </c>
      <c r="AJ72" s="24">
        <v>32.637058188522239</v>
      </c>
      <c r="AK72" s="24">
        <v>25.327869050903526</v>
      </c>
      <c r="AL72" s="24">
        <v>30.203522911233989</v>
      </c>
      <c r="AM72" s="24">
        <v>27.528247268745833</v>
      </c>
      <c r="AN72" s="24">
        <v>21.8726360535351</v>
      </c>
      <c r="AO72" s="24">
        <v>35.558888442502806</v>
      </c>
      <c r="AP72" s="24">
        <v>23.986809532878631</v>
      </c>
      <c r="AQ72" s="24">
        <v>15.725848984764307</v>
      </c>
      <c r="AR72" s="24">
        <v>17.694327294525376</v>
      </c>
      <c r="AS72" s="24">
        <v>25.091974215379164</v>
      </c>
      <c r="AT72" s="24">
        <v>22.224954973141326</v>
      </c>
      <c r="AU72" s="24">
        <v>22.35681892598771</v>
      </c>
      <c r="AV72" s="24">
        <v>20.781082302171498</v>
      </c>
      <c r="AW72" s="24">
        <v>38.727289172217972</v>
      </c>
      <c r="AX72" s="24">
        <v>20.903974093042404</v>
      </c>
      <c r="AY72" s="24">
        <v>19.356273021773173</v>
      </c>
    </row>
    <row r="73" spans="1:51" x14ac:dyDescent="0.2">
      <c r="A73" s="23">
        <v>45632</v>
      </c>
      <c r="B73" s="24">
        <v>14.322099617278386</v>
      </c>
      <c r="C73" s="24">
        <v>12.142674615465598</v>
      </c>
      <c r="D73" s="24">
        <v>15.023246351333766</v>
      </c>
      <c r="E73" s="24">
        <v>19.725291260613051</v>
      </c>
      <c r="F73" s="24">
        <v>13.404288272123216</v>
      </c>
      <c r="G73" s="24">
        <v>14.890832686944785</v>
      </c>
      <c r="H73" s="24">
        <v>20.09864380896779</v>
      </c>
      <c r="I73" s="24">
        <v>37.299344210935615</v>
      </c>
      <c r="J73" s="24">
        <v>17.300105362746468</v>
      </c>
      <c r="K73" s="24">
        <v>21.565751519367016</v>
      </c>
      <c r="L73" s="24">
        <v>35.996947111850545</v>
      </c>
      <c r="M73" s="24">
        <v>23.814528696993534</v>
      </c>
      <c r="N73" s="24">
        <v>20.186765848416485</v>
      </c>
      <c r="O73" s="24">
        <v>28.214390138286529</v>
      </c>
      <c r="P73" s="24">
        <v>30.336217243334374</v>
      </c>
      <c r="Q73" s="24">
        <v>16.360946417477038</v>
      </c>
      <c r="R73" s="24">
        <v>14.799510880780407</v>
      </c>
      <c r="S73" s="24">
        <v>17.769155060014437</v>
      </c>
      <c r="T73" s="24">
        <v>18.779058431359211</v>
      </c>
      <c r="U73" s="24">
        <v>16.816605134760582</v>
      </c>
      <c r="V73" s="24">
        <v>20.119926818469317</v>
      </c>
      <c r="W73" s="24">
        <v>41.505845779262884</v>
      </c>
      <c r="X73" s="24">
        <v>18.39582606846162</v>
      </c>
      <c r="Y73" s="24">
        <v>26.977403827428322</v>
      </c>
      <c r="Z73" s="24">
        <v>44.374075685236576</v>
      </c>
      <c r="AA73" s="24">
        <v>34.511377587978828</v>
      </c>
      <c r="AB73" s="24">
        <v>46.582107097286425</v>
      </c>
      <c r="AC73" s="24">
        <v>23.037335608978399</v>
      </c>
      <c r="AD73" s="24">
        <v>49.6751514105203</v>
      </c>
      <c r="AE73" s="24">
        <v>66.962737949229449</v>
      </c>
      <c r="AF73" s="24">
        <v>27.595834175332659</v>
      </c>
      <c r="AG73" s="24">
        <v>22.419378669610552</v>
      </c>
      <c r="AH73" s="24">
        <v>29.230963138890992</v>
      </c>
      <c r="AI73" s="24">
        <v>39.365206517668312</v>
      </c>
      <c r="AJ73" s="24">
        <v>32.622902848555036</v>
      </c>
      <c r="AK73" s="24">
        <v>25.971220808148662</v>
      </c>
      <c r="AL73" s="24">
        <v>31.63011288336202</v>
      </c>
      <c r="AM73" s="24">
        <v>27.835461784235644</v>
      </c>
      <c r="AN73" s="24">
        <v>21.756998087209737</v>
      </c>
      <c r="AO73" s="24">
        <v>48.081806904774787</v>
      </c>
      <c r="AP73" s="24">
        <v>25.539600036157186</v>
      </c>
      <c r="AQ73" s="24">
        <v>16.025029508524558</v>
      </c>
      <c r="AR73" s="24">
        <v>18.075285060480336</v>
      </c>
      <c r="AS73" s="24">
        <v>26.911273277543557</v>
      </c>
      <c r="AT73" s="24">
        <v>22.804236273466771</v>
      </c>
      <c r="AU73" s="24">
        <v>22.386662743128667</v>
      </c>
      <c r="AV73" s="24">
        <v>21.068673192384235</v>
      </c>
      <c r="AW73" s="24">
        <v>40.179507688564925</v>
      </c>
      <c r="AX73" s="24">
        <v>20.937862487670561</v>
      </c>
      <c r="AY73" s="24">
        <v>19.143142774020973</v>
      </c>
    </row>
    <row r="74" spans="1:51" x14ac:dyDescent="0.2">
      <c r="A74" s="23">
        <v>45631</v>
      </c>
      <c r="B74" s="24">
        <v>14.290412458574057</v>
      </c>
      <c r="C74" s="24">
        <v>13.70482729699757</v>
      </c>
      <c r="D74" s="24">
        <v>15.359309616944202</v>
      </c>
      <c r="E74" s="24">
        <v>19.68782948477789</v>
      </c>
      <c r="F74" s="24">
        <v>13.940327433974446</v>
      </c>
      <c r="G74" s="24">
        <v>15.733295968945678</v>
      </c>
      <c r="H74" s="24">
        <v>20.521115107593307</v>
      </c>
      <c r="I74" s="24">
        <v>35.181334015458305</v>
      </c>
      <c r="J74" s="24">
        <v>16.290107419989184</v>
      </c>
      <c r="K74" s="24">
        <v>20.346317857552101</v>
      </c>
      <c r="L74" s="24">
        <v>32.344192762767356</v>
      </c>
      <c r="M74" s="24">
        <v>22.658097167452809</v>
      </c>
      <c r="N74" s="24">
        <v>20.73397474067438</v>
      </c>
      <c r="O74" s="24">
        <v>28.745851411606242</v>
      </c>
      <c r="P74" s="24">
        <v>30.538927214346401</v>
      </c>
      <c r="Q74" s="24">
        <v>16.53903074431453</v>
      </c>
      <c r="R74" s="24">
        <v>15.058208826323158</v>
      </c>
      <c r="S74" s="24">
        <v>17.023981452572944</v>
      </c>
      <c r="T74" s="24">
        <v>21.375227488172911</v>
      </c>
      <c r="U74" s="24">
        <v>17.144706514313356</v>
      </c>
      <c r="V74" s="24">
        <v>20.27010469732188</v>
      </c>
      <c r="W74" s="24">
        <v>40.310839180297151</v>
      </c>
      <c r="X74" s="24">
        <v>18.089174259795612</v>
      </c>
      <c r="Y74" s="24">
        <v>26.236356504218843</v>
      </c>
      <c r="Z74" s="24">
        <v>49.029001311763182</v>
      </c>
      <c r="AA74" s="24">
        <v>35.20494773928236</v>
      </c>
      <c r="AB74" s="24">
        <v>47.405087457438</v>
      </c>
      <c r="AC74" s="24">
        <v>24.217479932291948</v>
      </c>
      <c r="AD74" s="24">
        <v>53.560998248578635</v>
      </c>
      <c r="AE74" s="24">
        <v>76.409417553166747</v>
      </c>
      <c r="AF74" s="24">
        <v>24.985450083525532</v>
      </c>
      <c r="AG74" s="24">
        <v>23.236457146026964</v>
      </c>
      <c r="AH74" s="24">
        <v>27.012849282296472</v>
      </c>
      <c r="AI74" s="24">
        <v>38.903353909278337</v>
      </c>
      <c r="AJ74" s="24">
        <v>32.503623521870686</v>
      </c>
      <c r="AK74" s="24">
        <v>26.395602539831657</v>
      </c>
      <c r="AL74" s="24">
        <v>29.365884168879997</v>
      </c>
      <c r="AM74" s="24">
        <v>27.122515033597605</v>
      </c>
      <c r="AN74" s="24">
        <v>23.004420584684201</v>
      </c>
      <c r="AO74" s="24">
        <v>51.310124287951538</v>
      </c>
      <c r="AP74" s="24">
        <v>24.139197549241064</v>
      </c>
      <c r="AQ74" s="24">
        <v>16.037035093018872</v>
      </c>
      <c r="AR74" s="24">
        <v>17.406775576653946</v>
      </c>
      <c r="AS74" s="24">
        <v>26.707305813599888</v>
      </c>
      <c r="AT74" s="24">
        <v>25.692306950406053</v>
      </c>
      <c r="AU74" s="24">
        <v>23.444049442331337</v>
      </c>
      <c r="AV74" s="24">
        <v>21.357244907094589</v>
      </c>
      <c r="AW74" s="24">
        <v>40.173434319157728</v>
      </c>
      <c r="AX74" s="24">
        <v>21.443414259374059</v>
      </c>
      <c r="AY74" s="24">
        <v>18.754484187955796</v>
      </c>
    </row>
    <row r="75" spans="1:51" x14ac:dyDescent="0.2">
      <c r="A75" s="23">
        <v>45630</v>
      </c>
      <c r="B75" s="24">
        <v>14.620164417262481</v>
      </c>
      <c r="C75" s="24">
        <v>23.009389105905189</v>
      </c>
      <c r="D75" s="24">
        <v>15.458951736418612</v>
      </c>
      <c r="E75" s="24">
        <v>19.49302401740141</v>
      </c>
      <c r="F75" s="24">
        <v>14.23615267054366</v>
      </c>
      <c r="G75" s="24">
        <v>15.556566429435499</v>
      </c>
      <c r="H75" s="24">
        <v>19.802353846801584</v>
      </c>
      <c r="I75" s="24">
        <v>36.060077372798851</v>
      </c>
      <c r="J75" s="24">
        <v>19.181662871889387</v>
      </c>
      <c r="K75" s="24">
        <v>20.057048906586076</v>
      </c>
      <c r="L75" s="24">
        <v>48.325763591706512</v>
      </c>
      <c r="M75" s="24">
        <v>31.606273308316055</v>
      </c>
      <c r="N75" s="24">
        <v>19.942731588341598</v>
      </c>
      <c r="O75" s="24">
        <v>28.892142999115769</v>
      </c>
      <c r="P75" s="24">
        <v>31.072742249363859</v>
      </c>
      <c r="Q75" s="24">
        <v>16.812369617561682</v>
      </c>
      <c r="R75" s="24">
        <v>15.07936829472431</v>
      </c>
      <c r="S75" s="24">
        <v>17.614478308966802</v>
      </c>
      <c r="T75" s="24">
        <v>34.065979281122928</v>
      </c>
      <c r="U75" s="24">
        <v>18.449410114775901</v>
      </c>
      <c r="V75" s="24">
        <v>20.535779663553903</v>
      </c>
      <c r="W75" s="24">
        <v>46.642478924338548</v>
      </c>
      <c r="X75" s="24">
        <v>21.21962576854332</v>
      </c>
      <c r="Y75" s="24">
        <v>25.784982568167628</v>
      </c>
      <c r="Z75" s="24">
        <v>48.192332759448206</v>
      </c>
      <c r="AA75" s="24">
        <v>49.762495077986166</v>
      </c>
      <c r="AB75" s="24">
        <v>52.930103623082069</v>
      </c>
      <c r="AC75" s="24">
        <v>25.717704635501647</v>
      </c>
      <c r="AD75" s="24">
        <v>70.15048972725323</v>
      </c>
      <c r="AE75" s="24">
        <v>76.956057097086429</v>
      </c>
      <c r="AF75" s="24">
        <v>26.086232761544721</v>
      </c>
      <c r="AG75" s="24">
        <v>26.164613383586339</v>
      </c>
      <c r="AH75" s="24">
        <v>29.130089191036586</v>
      </c>
      <c r="AI75" s="24">
        <v>38.980390545540232</v>
      </c>
      <c r="AJ75" s="24">
        <v>33.617175368706746</v>
      </c>
      <c r="AK75" s="24">
        <v>27.039261101598051</v>
      </c>
      <c r="AL75" s="24">
        <v>35.332792539530367</v>
      </c>
      <c r="AM75" s="24">
        <v>33.416758797300155</v>
      </c>
      <c r="AN75" s="24">
        <v>40.598746076102017</v>
      </c>
      <c r="AO75" s="24">
        <v>54.608966088822122</v>
      </c>
      <c r="AP75" s="24">
        <v>24.270796837390101</v>
      </c>
      <c r="AQ75" s="24">
        <v>20.005780147176136</v>
      </c>
      <c r="AR75" s="24">
        <v>20.835911431357104</v>
      </c>
      <c r="AS75" s="24">
        <v>38.060784475543237</v>
      </c>
      <c r="AT75" s="24">
        <v>31.919349505513697</v>
      </c>
      <c r="AU75" s="24">
        <v>24.795152100586176</v>
      </c>
      <c r="AV75" s="24">
        <v>21.464619400034152</v>
      </c>
      <c r="AW75" s="24">
        <v>42.620580462759669</v>
      </c>
      <c r="AX75" s="24">
        <v>21.732275425235226</v>
      </c>
      <c r="AY75" s="24">
        <v>19.562117981237876</v>
      </c>
    </row>
    <row r="76" spans="1:51" x14ac:dyDescent="0.2">
      <c r="A76" s="23">
        <v>45629</v>
      </c>
      <c r="B76" s="24">
        <v>14.90404058187189</v>
      </c>
      <c r="C76" s="24">
        <v>23.000785962816817</v>
      </c>
      <c r="D76" s="24">
        <v>15.65471058654847</v>
      </c>
      <c r="E76" s="24">
        <v>19.503780133187444</v>
      </c>
      <c r="F76" s="24">
        <v>14.213266250355533</v>
      </c>
      <c r="G76" s="24">
        <v>15.69396330610361</v>
      </c>
      <c r="H76" s="24">
        <v>13.219550471380403</v>
      </c>
      <c r="I76" s="24">
        <v>36.485976329003023</v>
      </c>
      <c r="J76" s="24">
        <v>19.463895892225949</v>
      </c>
      <c r="K76" s="24">
        <v>21.163402316837917</v>
      </c>
      <c r="L76" s="24">
        <v>48.609045091847904</v>
      </c>
      <c r="M76" s="24">
        <v>32.207455378028371</v>
      </c>
      <c r="N76" s="24">
        <v>18.91759343520885</v>
      </c>
      <c r="O76" s="24">
        <v>24.822276799498823</v>
      </c>
      <c r="P76" s="24">
        <v>30.38039651854583</v>
      </c>
      <c r="Q76" s="24">
        <v>16.471126612365207</v>
      </c>
      <c r="R76" s="24">
        <v>13.415419500845992</v>
      </c>
      <c r="S76" s="24">
        <v>17.959528430640155</v>
      </c>
      <c r="T76" s="24">
        <v>34.111020622222213</v>
      </c>
      <c r="U76" s="24">
        <v>19.423019714867529</v>
      </c>
      <c r="V76" s="24">
        <v>20.878052446547009</v>
      </c>
      <c r="W76" s="24">
        <v>46.583778642079615</v>
      </c>
      <c r="X76" s="24">
        <v>21.258212913553304</v>
      </c>
      <c r="Y76" s="24">
        <v>25.727815040441818</v>
      </c>
      <c r="Z76" s="24">
        <v>48.464939993023613</v>
      </c>
      <c r="AA76" s="24">
        <v>50.143838886944636</v>
      </c>
      <c r="AB76" s="24">
        <v>53.085502038246467</v>
      </c>
      <c r="AC76" s="24">
        <v>24.738085369721851</v>
      </c>
      <c r="AD76" s="24">
        <v>70.98278984080649</v>
      </c>
      <c r="AE76" s="24">
        <v>76.161343500406687</v>
      </c>
      <c r="AF76" s="24">
        <v>25.938651409249378</v>
      </c>
      <c r="AG76" s="24">
        <v>26.037764430124231</v>
      </c>
      <c r="AH76" s="24">
        <v>29.483569358104461</v>
      </c>
      <c r="AI76" s="24">
        <v>41.365571743758458</v>
      </c>
      <c r="AJ76" s="24">
        <v>33.560709423738032</v>
      </c>
      <c r="AK76" s="24">
        <v>27.389506703813623</v>
      </c>
      <c r="AL76" s="24">
        <v>36.482477429984513</v>
      </c>
      <c r="AM76" s="24">
        <v>34.518154528834145</v>
      </c>
      <c r="AN76" s="24">
        <v>40.923528841561414</v>
      </c>
      <c r="AO76" s="24">
        <v>54.765103438170577</v>
      </c>
      <c r="AP76" s="24">
        <v>27.552659236311264</v>
      </c>
      <c r="AQ76" s="24">
        <v>21.528857619994724</v>
      </c>
      <c r="AR76" s="24">
        <v>21.023757727304357</v>
      </c>
      <c r="AS76" s="24">
        <v>37.815502651251961</v>
      </c>
      <c r="AT76" s="24">
        <v>31.891708965389469</v>
      </c>
      <c r="AU76" s="24">
        <v>24.035778157373368</v>
      </c>
      <c r="AV76" s="24">
        <v>22.753191140061414</v>
      </c>
      <c r="AW76" s="24">
        <v>43.013634769197026</v>
      </c>
      <c r="AX76" s="24">
        <v>22.550047402166268</v>
      </c>
      <c r="AY76" s="24">
        <v>19.329318125278068</v>
      </c>
    </row>
    <row r="77" spans="1:51" x14ac:dyDescent="0.2">
      <c r="A77" s="23">
        <v>45628</v>
      </c>
      <c r="B77" s="24">
        <v>14.227704215678393</v>
      </c>
      <c r="C77" s="24">
        <v>24.040278991713091</v>
      </c>
      <c r="D77" s="24">
        <v>14.909336626860691</v>
      </c>
      <c r="E77" s="24">
        <v>18.993581221227178</v>
      </c>
      <c r="F77" s="24">
        <v>12.960198871988151</v>
      </c>
      <c r="G77" s="24">
        <v>14.85447449044301</v>
      </c>
      <c r="H77" s="24">
        <v>13.196431292143494</v>
      </c>
      <c r="I77" s="24">
        <v>39.026701695174708</v>
      </c>
      <c r="J77" s="24">
        <v>18.625881894659031</v>
      </c>
      <c r="K77" s="24">
        <v>21.190359472858329</v>
      </c>
      <c r="L77" s="24">
        <v>53.429200400060871</v>
      </c>
      <c r="M77" s="24">
        <v>34.218339314680357</v>
      </c>
      <c r="N77" s="24">
        <v>17.959265536942073</v>
      </c>
      <c r="O77" s="24">
        <v>24.25686884731352</v>
      </c>
      <c r="P77" s="24">
        <v>30.351859085580706</v>
      </c>
      <c r="Q77" s="24">
        <v>15.862239466257357</v>
      </c>
      <c r="R77" s="24">
        <v>13.419357190285769</v>
      </c>
      <c r="S77" s="24">
        <v>18.087107493196822</v>
      </c>
      <c r="T77" s="24">
        <v>35.665065772536337</v>
      </c>
      <c r="U77" s="24">
        <v>18.18283475736596</v>
      </c>
      <c r="V77" s="24">
        <v>20.333163367874256</v>
      </c>
      <c r="W77" s="24">
        <v>58.210510828589079</v>
      </c>
      <c r="X77" s="24">
        <v>20.707667768611365</v>
      </c>
      <c r="Y77" s="24">
        <v>27.154715929445441</v>
      </c>
      <c r="Z77" s="24">
        <v>48.961698241592039</v>
      </c>
      <c r="AA77" s="24">
        <v>52.602081231655852</v>
      </c>
      <c r="AB77" s="24">
        <v>54.680387356984745</v>
      </c>
      <c r="AC77" s="24">
        <v>23.187485039644585</v>
      </c>
      <c r="AD77" s="24">
        <v>78.895467140606996</v>
      </c>
      <c r="AE77" s="24">
        <v>78.170031481747799</v>
      </c>
      <c r="AF77" s="24">
        <v>26.417496391834639</v>
      </c>
      <c r="AG77" s="24">
        <v>25.345048367497224</v>
      </c>
      <c r="AH77" s="24">
        <v>31.351229149158033</v>
      </c>
      <c r="AI77" s="24">
        <v>41.58008884750722</v>
      </c>
      <c r="AJ77" s="24">
        <v>33.230532925007452</v>
      </c>
      <c r="AK77" s="24">
        <v>26.028143914335391</v>
      </c>
      <c r="AL77" s="24">
        <v>38.496385428219952</v>
      </c>
      <c r="AM77" s="24">
        <v>38.071179628849492</v>
      </c>
      <c r="AN77" s="24">
        <v>43.358203476454975</v>
      </c>
      <c r="AO77" s="24">
        <v>53.449959221801912</v>
      </c>
      <c r="AP77" s="24">
        <v>27.219405404745562</v>
      </c>
      <c r="AQ77" s="24">
        <v>21.99227541718713</v>
      </c>
      <c r="AR77" s="24">
        <v>21.633358787412924</v>
      </c>
      <c r="AS77" s="24">
        <v>38.126492986914293</v>
      </c>
      <c r="AT77" s="24">
        <v>32.043817073817614</v>
      </c>
      <c r="AU77" s="24">
        <v>25.253683697065362</v>
      </c>
      <c r="AV77" s="24">
        <v>20.793613544846369</v>
      </c>
      <c r="AW77" s="24">
        <v>43.001945407104884</v>
      </c>
      <c r="AX77" s="24">
        <v>21.719267291267812</v>
      </c>
      <c r="AY77" s="24">
        <v>19.468542538319092</v>
      </c>
    </row>
    <row r="78" spans="1:51" x14ac:dyDescent="0.2">
      <c r="A78" s="23">
        <v>45625</v>
      </c>
      <c r="B78" s="24">
        <v>14.227704215678393</v>
      </c>
      <c r="C78" s="24">
        <v>24.300954319003882</v>
      </c>
      <c r="D78" s="24">
        <v>14.897231087152834</v>
      </c>
      <c r="E78" s="24">
        <v>18.822571592216256</v>
      </c>
      <c r="F78" s="24">
        <v>12.916296754790913</v>
      </c>
      <c r="G78" s="24">
        <v>14.850212318296389</v>
      </c>
      <c r="H78" s="24">
        <v>13.745450393041006</v>
      </c>
      <c r="I78" s="24">
        <v>39.530501689112739</v>
      </c>
      <c r="J78" s="24">
        <v>20.04739874546356</v>
      </c>
      <c r="K78" s="24">
        <v>27.952670349788068</v>
      </c>
      <c r="L78" s="24">
        <v>53.369825954793185</v>
      </c>
      <c r="M78" s="24">
        <v>34.239256584874084</v>
      </c>
      <c r="N78" s="24">
        <v>18.272680086365188</v>
      </c>
      <c r="O78" s="24">
        <v>24.220990444713966</v>
      </c>
      <c r="P78" s="24">
        <v>30.36875418930401</v>
      </c>
      <c r="Q78" s="24">
        <v>15.340182557617769</v>
      </c>
      <c r="R78" s="24">
        <v>13.30716027139027</v>
      </c>
      <c r="S78" s="24">
        <v>18.425762286212159</v>
      </c>
      <c r="T78" s="24">
        <v>35.670364880289014</v>
      </c>
      <c r="U78" s="24">
        <v>17.792024009941802</v>
      </c>
      <c r="V78" s="24">
        <v>19.807364656675528</v>
      </c>
      <c r="W78" s="24">
        <v>58.608220376865532</v>
      </c>
      <c r="X78" s="24">
        <v>20.504091602638418</v>
      </c>
      <c r="Y78" s="24">
        <v>27.397701243652726</v>
      </c>
      <c r="Z78" s="24">
        <v>49.659774051427995</v>
      </c>
      <c r="AA78" s="24">
        <v>53.871779400595777</v>
      </c>
      <c r="AB78" s="24">
        <v>54.627196786380551</v>
      </c>
      <c r="AC78" s="24">
        <v>23.198577226122342</v>
      </c>
      <c r="AD78" s="24">
        <v>82.558711264104502</v>
      </c>
      <c r="AE78" s="24">
        <v>78.217650382692341</v>
      </c>
      <c r="AF78" s="24">
        <v>28.3848330462814</v>
      </c>
      <c r="AG78" s="24">
        <v>25.407259264191278</v>
      </c>
      <c r="AH78" s="24">
        <v>31.821155679991602</v>
      </c>
      <c r="AI78" s="24">
        <v>37.895280763224214</v>
      </c>
      <c r="AJ78" s="24">
        <v>33.192327488892886</v>
      </c>
      <c r="AK78" s="24">
        <v>19.488031590886056</v>
      </c>
      <c r="AL78" s="24">
        <v>37.642476770883647</v>
      </c>
      <c r="AM78" s="24">
        <v>38.258498715586825</v>
      </c>
      <c r="AN78" s="24">
        <v>43.303674777959237</v>
      </c>
      <c r="AO78" s="24">
        <v>54.313867236891689</v>
      </c>
      <c r="AP78" s="24">
        <v>27.174942136584367</v>
      </c>
      <c r="AQ78" s="24">
        <v>22.026767397745793</v>
      </c>
      <c r="AR78" s="24">
        <v>21.65425644197629</v>
      </c>
      <c r="AS78" s="24">
        <v>35.566195714466858</v>
      </c>
      <c r="AT78" s="24">
        <v>31.863830011256336</v>
      </c>
      <c r="AU78" s="24">
        <v>24.9623173810079</v>
      </c>
      <c r="AV78" s="24">
        <v>18.32127042655544</v>
      </c>
      <c r="AW78" s="24">
        <v>48.195701228592185</v>
      </c>
      <c r="AX78" s="24">
        <v>21.75036153279774</v>
      </c>
      <c r="AY78" s="24">
        <v>20.442560442991272</v>
      </c>
    </row>
    <row r="79" spans="1:51" x14ac:dyDescent="0.2">
      <c r="A79" s="23">
        <v>45624</v>
      </c>
      <c r="B79" s="24">
        <v>15.333966457664532</v>
      </c>
      <c r="C79" s="24">
        <v>24.270683638742611</v>
      </c>
      <c r="D79" s="24">
        <v>14.951492946166178</v>
      </c>
      <c r="E79" s="24">
        <v>18.927150850263779</v>
      </c>
      <c r="F79" s="24">
        <v>13.896319336054965</v>
      </c>
      <c r="G79" s="24">
        <v>15.196972829099657</v>
      </c>
      <c r="H79" s="24">
        <v>16.477226151879201</v>
      </c>
      <c r="I79" s="24">
        <v>38.661645844927598</v>
      </c>
      <c r="J79" s="24">
        <v>21.163302182228133</v>
      </c>
      <c r="K79" s="24">
        <v>28.025755168487194</v>
      </c>
      <c r="L79" s="24">
        <v>53.517230690648979</v>
      </c>
      <c r="M79" s="24">
        <v>34.29202043324392</v>
      </c>
      <c r="N79" s="24">
        <v>20.209837796790186</v>
      </c>
      <c r="O79" s="24">
        <v>25.82187525135442</v>
      </c>
      <c r="P79" s="24">
        <v>30.445617648041409</v>
      </c>
      <c r="Q79" s="24">
        <v>16.231340694731191</v>
      </c>
      <c r="R79" s="24">
        <v>14.084754254075765</v>
      </c>
      <c r="S79" s="24">
        <v>18.984259386241494</v>
      </c>
      <c r="T79" s="24">
        <v>35.079440488186137</v>
      </c>
      <c r="U79" s="24">
        <v>18.052720970550087</v>
      </c>
      <c r="V79" s="24">
        <v>19.698416888438178</v>
      </c>
      <c r="W79" s="24">
        <v>58.19994479314893</v>
      </c>
      <c r="X79" s="24">
        <v>20.498783788390469</v>
      </c>
      <c r="Y79" s="24">
        <v>28.872485050569537</v>
      </c>
      <c r="Z79" s="24">
        <v>49.653904404107614</v>
      </c>
      <c r="AA79" s="24">
        <v>53.230333190520952</v>
      </c>
      <c r="AB79" s="24">
        <v>56.125691602613621</v>
      </c>
      <c r="AC79" s="24">
        <v>24.021702578319424</v>
      </c>
      <c r="AD79" s="24">
        <v>80.850204895924676</v>
      </c>
      <c r="AE79" s="24">
        <v>87.632763857762725</v>
      </c>
      <c r="AF79" s="24">
        <v>28.173673069911604</v>
      </c>
      <c r="AG79" s="24">
        <v>25.745388887810325</v>
      </c>
      <c r="AH79" s="24">
        <v>31.806607916214205</v>
      </c>
      <c r="AI79" s="24">
        <v>37.417983162957377</v>
      </c>
      <c r="AJ79" s="24">
        <v>33.236024160467281</v>
      </c>
      <c r="AK79" s="24">
        <v>20.502060804623589</v>
      </c>
      <c r="AL79" s="24">
        <v>37.044776635089022</v>
      </c>
      <c r="AM79" s="24">
        <v>38.261478346031005</v>
      </c>
      <c r="AN79" s="24">
        <v>45.181766862739586</v>
      </c>
      <c r="AO79" s="24">
        <v>54.584658305389624</v>
      </c>
      <c r="AP79" s="24">
        <v>27.214868132553878</v>
      </c>
      <c r="AQ79" s="24">
        <v>21.50985863868398</v>
      </c>
      <c r="AR79" s="24">
        <v>21.675571986658625</v>
      </c>
      <c r="AS79" s="24">
        <v>34.704704186971981</v>
      </c>
      <c r="AT79" s="24">
        <v>32.839288372112996</v>
      </c>
      <c r="AU79" s="24">
        <v>25.666926746877241</v>
      </c>
      <c r="AV79" s="24">
        <v>28.822082129911454</v>
      </c>
      <c r="AW79" s="24">
        <v>46.940626310532195</v>
      </c>
      <c r="AX79" s="24">
        <v>21.584301046326487</v>
      </c>
      <c r="AY79" s="24">
        <v>21.27057555541732</v>
      </c>
    </row>
    <row r="80" spans="1:51" x14ac:dyDescent="0.2">
      <c r="A80" s="23">
        <v>45623</v>
      </c>
      <c r="B80" s="24">
        <v>15.350100502094149</v>
      </c>
      <c r="C80" s="24">
        <v>24.285442722510965</v>
      </c>
      <c r="D80" s="24">
        <v>14.954146961185835</v>
      </c>
      <c r="E80" s="24">
        <v>18.876862254195753</v>
      </c>
      <c r="F80" s="24">
        <v>13.847782721152164</v>
      </c>
      <c r="G80" s="24">
        <v>15.200023334296764</v>
      </c>
      <c r="H80" s="24">
        <v>16.478694510384514</v>
      </c>
      <c r="I80" s="24">
        <v>38.008801639168787</v>
      </c>
      <c r="J80" s="24">
        <v>21.610638373897949</v>
      </c>
      <c r="K80" s="24">
        <v>30.313760328166872</v>
      </c>
      <c r="L80" s="24">
        <v>53.360725804774752</v>
      </c>
      <c r="M80" s="24">
        <v>34.25354870167925</v>
      </c>
      <c r="N80" s="24">
        <v>20.139833834372983</v>
      </c>
      <c r="O80" s="24">
        <v>25.904306085126986</v>
      </c>
      <c r="P80" s="24">
        <v>30.667139059482224</v>
      </c>
      <c r="Q80" s="24">
        <v>16.289725854831815</v>
      </c>
      <c r="R80" s="24">
        <v>14.122674687273321</v>
      </c>
      <c r="S80" s="24">
        <v>19.256551173056618</v>
      </c>
      <c r="T80" s="24">
        <v>34.617415300900632</v>
      </c>
      <c r="U80" s="24">
        <v>18.436990654381447</v>
      </c>
      <c r="V80" s="24">
        <v>20.343746655330936</v>
      </c>
      <c r="W80" s="24">
        <v>58.225846406989959</v>
      </c>
      <c r="X80" s="24">
        <v>22.379938235682818</v>
      </c>
      <c r="Y80" s="24">
        <v>29.246026151418729</v>
      </c>
      <c r="Z80" s="24">
        <v>49.778164034145171</v>
      </c>
      <c r="AA80" s="24">
        <v>53.330367868875619</v>
      </c>
      <c r="AB80" s="24">
        <v>56.296743727576356</v>
      </c>
      <c r="AC80" s="24">
        <v>24.172859551083913</v>
      </c>
      <c r="AD80" s="24">
        <v>83.341964930331798</v>
      </c>
      <c r="AE80" s="24">
        <v>87.590702863174954</v>
      </c>
      <c r="AF80" s="24">
        <v>28.087298429108777</v>
      </c>
      <c r="AG80" s="24">
        <v>25.86659949200746</v>
      </c>
      <c r="AH80" s="24">
        <v>29.836776539174313</v>
      </c>
      <c r="AI80" s="24">
        <v>37.071666809631637</v>
      </c>
      <c r="AJ80" s="24">
        <v>33.56862222766248</v>
      </c>
      <c r="AK80" s="24">
        <v>25.206849607315181</v>
      </c>
      <c r="AL80" s="24">
        <v>36.964466969078522</v>
      </c>
      <c r="AM80" s="24">
        <v>38.024565780837641</v>
      </c>
      <c r="AN80" s="24">
        <v>45.55246914696415</v>
      </c>
      <c r="AO80" s="24">
        <v>54.47589517846162</v>
      </c>
      <c r="AP80" s="24">
        <v>27.492291422096493</v>
      </c>
      <c r="AQ80" s="24">
        <v>27.365092461671537</v>
      </c>
      <c r="AR80" s="24">
        <v>21.697304229951474</v>
      </c>
      <c r="AS80" s="24">
        <v>34.658281513236638</v>
      </c>
      <c r="AT80" s="24">
        <v>32.839174180655377</v>
      </c>
      <c r="AU80" s="24">
        <v>25.743292814737604</v>
      </c>
      <c r="AV80" s="24">
        <v>28.743551896209329</v>
      </c>
      <c r="AW80" s="24">
        <v>46.636650519944226</v>
      </c>
      <c r="AX80" s="24">
        <v>23.131798112513135</v>
      </c>
      <c r="AY80" s="24">
        <v>20.764622792268376</v>
      </c>
    </row>
    <row r="81" spans="1:51" x14ac:dyDescent="0.2">
      <c r="A81" s="23">
        <v>45622</v>
      </c>
      <c r="B81" s="24">
        <v>15.607480557237261</v>
      </c>
      <c r="C81" s="24">
        <v>24.148420559573101</v>
      </c>
      <c r="D81" s="24">
        <v>16.184987270202271</v>
      </c>
      <c r="E81" s="24">
        <v>18.717348971901895</v>
      </c>
      <c r="F81" s="24">
        <v>14.045751544002266</v>
      </c>
      <c r="G81" s="24">
        <v>15.951863829859004</v>
      </c>
      <c r="H81" s="24">
        <v>16.867430048409918</v>
      </c>
      <c r="I81" s="24">
        <v>38.285995771263444</v>
      </c>
      <c r="J81" s="24">
        <v>22.218752020218911</v>
      </c>
      <c r="K81" s="24">
        <v>30.323620916327055</v>
      </c>
      <c r="L81" s="24">
        <v>53.176319888561771</v>
      </c>
      <c r="M81" s="24">
        <v>35.220663138780523</v>
      </c>
      <c r="N81" s="24">
        <v>21.429133010696599</v>
      </c>
      <c r="O81" s="24">
        <v>25.243775546864558</v>
      </c>
      <c r="P81" s="24">
        <v>30.277202271126885</v>
      </c>
      <c r="Q81" s="24">
        <v>15.341475784772655</v>
      </c>
      <c r="R81" s="24">
        <v>14.376093054038174</v>
      </c>
      <c r="S81" s="24">
        <v>19.670570431708153</v>
      </c>
      <c r="T81" s="24">
        <v>34.365218336512648</v>
      </c>
      <c r="U81" s="24">
        <v>20.128364453507846</v>
      </c>
      <c r="V81" s="24">
        <v>19.379785967794895</v>
      </c>
      <c r="W81" s="24">
        <v>62.371737356760171</v>
      </c>
      <c r="X81" s="24">
        <v>22.365241599417018</v>
      </c>
      <c r="Y81" s="24">
        <v>28.826934775066459</v>
      </c>
      <c r="Z81" s="24">
        <v>49.446904005387417</v>
      </c>
      <c r="AA81" s="24">
        <v>53.10901317550951</v>
      </c>
      <c r="AB81" s="24">
        <v>54.0783619825079</v>
      </c>
      <c r="AC81" s="24">
        <v>23.76614131377125</v>
      </c>
      <c r="AD81" s="24">
        <v>83.042359343599301</v>
      </c>
      <c r="AE81" s="24">
        <v>81.948116253101716</v>
      </c>
      <c r="AF81" s="24">
        <v>28.198200343225349</v>
      </c>
      <c r="AG81" s="24">
        <v>25.239314549458118</v>
      </c>
      <c r="AH81" s="24">
        <v>29.65329715660933</v>
      </c>
      <c r="AI81" s="24">
        <v>30.72637110716823</v>
      </c>
      <c r="AJ81" s="24">
        <v>33.331021063940348</v>
      </c>
      <c r="AK81" s="24">
        <v>24.489956916445156</v>
      </c>
      <c r="AL81" s="24">
        <v>38.128722796010173</v>
      </c>
      <c r="AM81" s="24">
        <v>37.95131836719068</v>
      </c>
      <c r="AN81" s="24">
        <v>46.880250928482013</v>
      </c>
      <c r="AO81" s="24">
        <v>54.287670323878132</v>
      </c>
      <c r="AP81" s="24">
        <v>27.340802198677213</v>
      </c>
      <c r="AQ81" s="24">
        <v>25.965566162871529</v>
      </c>
      <c r="AR81" s="24">
        <v>22.376621115127183</v>
      </c>
      <c r="AS81" s="24">
        <v>35.304903581530624</v>
      </c>
      <c r="AT81" s="24">
        <v>32.889237083446552</v>
      </c>
      <c r="AU81" s="24">
        <v>24.58592101610385</v>
      </c>
      <c r="AV81" s="24">
        <v>28.933279451633421</v>
      </c>
      <c r="AW81" s="24">
        <v>46.172533588780887</v>
      </c>
      <c r="AX81" s="24">
        <v>23.938285192466157</v>
      </c>
      <c r="AY81" s="24">
        <v>22.85433057323559</v>
      </c>
    </row>
    <row r="82" spans="1:51" x14ac:dyDescent="0.2">
      <c r="A82" s="23">
        <v>45621</v>
      </c>
      <c r="B82" s="24">
        <v>14.755945779382923</v>
      </c>
      <c r="C82" s="24">
        <v>25.023563380864644</v>
      </c>
      <c r="D82" s="24">
        <v>15.186361099412398</v>
      </c>
      <c r="E82" s="24">
        <v>17.903639756337672</v>
      </c>
      <c r="F82" s="24">
        <v>13.234116337428501</v>
      </c>
      <c r="G82" s="24">
        <v>14.99434457175736</v>
      </c>
      <c r="H82" s="24">
        <v>18.184971085062372</v>
      </c>
      <c r="I82" s="24">
        <v>37.397112782824678</v>
      </c>
      <c r="J82" s="24">
        <v>22.121802435749942</v>
      </c>
      <c r="K82" s="24">
        <v>30.355182774548886</v>
      </c>
      <c r="L82" s="24">
        <v>53.06156635410936</v>
      </c>
      <c r="M82" s="24">
        <v>34.970058068153136</v>
      </c>
      <c r="N82" s="24">
        <v>21.161514039556501</v>
      </c>
      <c r="O82" s="24">
        <v>25.144761188775821</v>
      </c>
      <c r="P82" s="24">
        <v>30.117416328473272</v>
      </c>
      <c r="Q82" s="24">
        <v>15.497175563814761</v>
      </c>
      <c r="R82" s="24">
        <v>18.61041652098093</v>
      </c>
      <c r="S82" s="24">
        <v>19.772830552561569</v>
      </c>
      <c r="T82" s="24">
        <v>34.80090063187096</v>
      </c>
      <c r="U82" s="24">
        <v>19.109700534201419</v>
      </c>
      <c r="V82" s="24">
        <v>16.679738867481582</v>
      </c>
      <c r="W82" s="24">
        <v>62.321048135191155</v>
      </c>
      <c r="X82" s="24">
        <v>21.785163061985731</v>
      </c>
      <c r="Y82" s="24">
        <v>28.870084049550453</v>
      </c>
      <c r="Z82" s="24">
        <v>49.411041706784587</v>
      </c>
      <c r="AA82" s="24">
        <v>53.327588555319757</v>
      </c>
      <c r="AB82" s="24">
        <v>55.470657867396945</v>
      </c>
      <c r="AC82" s="24">
        <v>23.403608777540942</v>
      </c>
      <c r="AD82" s="24">
        <v>83.446661919085457</v>
      </c>
      <c r="AE82" s="24">
        <v>81.87496023673873</v>
      </c>
      <c r="AF82" s="24">
        <v>28.193043141224233</v>
      </c>
      <c r="AG82" s="24">
        <v>25.262002234162701</v>
      </c>
      <c r="AH82" s="24">
        <v>29.890420048816313</v>
      </c>
      <c r="AI82" s="24">
        <v>29.738704103513889</v>
      </c>
      <c r="AJ82" s="24">
        <v>32.742135922198464</v>
      </c>
      <c r="AK82" s="24">
        <v>24.410222689598765</v>
      </c>
      <c r="AL82" s="24">
        <v>38.334069625265691</v>
      </c>
      <c r="AM82" s="24">
        <v>37.475264897100679</v>
      </c>
      <c r="AN82" s="24">
        <v>46.485283733154638</v>
      </c>
      <c r="AO82" s="24">
        <v>53.654309169484641</v>
      </c>
      <c r="AP82" s="24">
        <v>27.098277167415112</v>
      </c>
      <c r="AQ82" s="24">
        <v>25.653888430753298</v>
      </c>
      <c r="AR82" s="24">
        <v>22.252077671815453</v>
      </c>
      <c r="AS82" s="24">
        <v>34.878531877150984</v>
      </c>
      <c r="AT82" s="24">
        <v>32.988219370550446</v>
      </c>
      <c r="AU82" s="24">
        <v>27.099156814074341</v>
      </c>
      <c r="AV82" s="24">
        <v>28.886908743570888</v>
      </c>
      <c r="AW82" s="24">
        <v>46.135368593884863</v>
      </c>
      <c r="AX82" s="24">
        <v>23.625701198345183</v>
      </c>
      <c r="AY82" s="24">
        <v>22.879475457650305</v>
      </c>
    </row>
    <row r="83" spans="1:51" x14ac:dyDescent="0.2">
      <c r="A83" s="23">
        <v>45618</v>
      </c>
      <c r="B83" s="24">
        <v>14.971906691964511</v>
      </c>
      <c r="C83" s="24">
        <v>25.065563827885121</v>
      </c>
      <c r="D83" s="24">
        <v>15.549846276915551</v>
      </c>
      <c r="E83" s="24">
        <v>17.915002567292923</v>
      </c>
      <c r="F83" s="24">
        <v>13.637694513820088</v>
      </c>
      <c r="G83" s="24">
        <v>15.162979995522841</v>
      </c>
      <c r="H83" s="24">
        <v>18.106972675228263</v>
      </c>
      <c r="I83" s="24">
        <v>37.025177317325337</v>
      </c>
      <c r="J83" s="24">
        <v>22.487552330049258</v>
      </c>
      <c r="K83" s="24">
        <v>29.517682123575433</v>
      </c>
      <c r="L83" s="24">
        <v>52.886039994619004</v>
      </c>
      <c r="M83" s="24">
        <v>34.936398440645782</v>
      </c>
      <c r="N83" s="24">
        <v>21.334834047750618</v>
      </c>
      <c r="O83" s="24">
        <v>25.009826098184337</v>
      </c>
      <c r="P83" s="24">
        <v>30.204524340682379</v>
      </c>
      <c r="Q83" s="24">
        <v>15.427024375613053</v>
      </c>
      <c r="R83" s="24">
        <v>18.21292434640252</v>
      </c>
      <c r="S83" s="24">
        <v>19.753566011809429</v>
      </c>
      <c r="T83" s="24">
        <v>37.747703421536187</v>
      </c>
      <c r="U83" s="24">
        <v>19.162689598453113</v>
      </c>
      <c r="V83" s="24">
        <v>16.598270129875409</v>
      </c>
      <c r="W83" s="24">
        <v>61.597509313672447</v>
      </c>
      <c r="X83" s="24">
        <v>21.802883628978694</v>
      </c>
      <c r="Y83" s="24">
        <v>28.722281904881513</v>
      </c>
      <c r="Z83" s="24">
        <v>48.623157524270809</v>
      </c>
      <c r="AA83" s="24">
        <v>52.486801742847625</v>
      </c>
      <c r="AB83" s="24">
        <v>52.977640039783047</v>
      </c>
      <c r="AC83" s="24">
        <v>23.520166783420059</v>
      </c>
      <c r="AD83" s="24">
        <v>82.938348502126971</v>
      </c>
      <c r="AE83" s="24">
        <v>82.164488665451756</v>
      </c>
      <c r="AF83" s="24">
        <v>28.020446386957961</v>
      </c>
      <c r="AG83" s="24">
        <v>24.86327377729674</v>
      </c>
      <c r="AH83" s="24">
        <v>29.864478694302182</v>
      </c>
      <c r="AI83" s="24">
        <v>29.417287513699602</v>
      </c>
      <c r="AJ83" s="24">
        <v>32.839847618869875</v>
      </c>
      <c r="AK83" s="24">
        <v>24.650352247973021</v>
      </c>
      <c r="AL83" s="24">
        <v>38.308457813060159</v>
      </c>
      <c r="AM83" s="24">
        <v>37.516132141911541</v>
      </c>
      <c r="AN83" s="24">
        <v>49.455645923670637</v>
      </c>
      <c r="AO83" s="24">
        <v>53.641302368880098</v>
      </c>
      <c r="AP83" s="24">
        <v>25.733218428008318</v>
      </c>
      <c r="AQ83" s="24">
        <v>25.65493717129193</v>
      </c>
      <c r="AR83" s="24">
        <v>22.159050309619651</v>
      </c>
      <c r="AS83" s="24">
        <v>35.928042481124898</v>
      </c>
      <c r="AT83" s="24">
        <v>33.783545487693793</v>
      </c>
      <c r="AU83" s="24">
        <v>28.651881503728298</v>
      </c>
      <c r="AV83" s="24">
        <v>28.784727713027213</v>
      </c>
      <c r="AW83" s="24">
        <v>46.339300431529153</v>
      </c>
      <c r="AX83" s="24">
        <v>23.587009243339317</v>
      </c>
      <c r="AY83" s="24">
        <v>21.70477079709703</v>
      </c>
    </row>
    <row r="84" spans="1:51" x14ac:dyDescent="0.2">
      <c r="A84" s="23">
        <v>45617</v>
      </c>
      <c r="B84" s="24">
        <v>14.424914238923966</v>
      </c>
      <c r="C84" s="24">
        <v>23.677104238721146</v>
      </c>
      <c r="D84" s="24">
        <v>15.121865502192465</v>
      </c>
      <c r="E84" s="24">
        <v>17.940237835008858</v>
      </c>
      <c r="F84" s="24">
        <v>13.142264203426217</v>
      </c>
      <c r="G84" s="24">
        <v>15.004718129757583</v>
      </c>
      <c r="H84" s="24">
        <v>17.819571729073498</v>
      </c>
      <c r="I84" s="24">
        <v>38.663817499583772</v>
      </c>
      <c r="J84" s="24">
        <v>20.854149400208389</v>
      </c>
      <c r="K84" s="24">
        <v>29.158122616828603</v>
      </c>
      <c r="L84" s="24">
        <v>48.385396486781055</v>
      </c>
      <c r="M84" s="24">
        <v>31.525765979891748</v>
      </c>
      <c r="N84" s="24">
        <v>21.550989794456267</v>
      </c>
      <c r="O84" s="24">
        <v>22.10061125295281</v>
      </c>
      <c r="P84" s="24">
        <v>29.742142172973402</v>
      </c>
      <c r="Q84" s="24">
        <v>15.633507643158882</v>
      </c>
      <c r="R84" s="24">
        <v>18.057982079121423</v>
      </c>
      <c r="S84" s="24">
        <v>19.731274326648276</v>
      </c>
      <c r="T84" s="24">
        <v>36.262430815099783</v>
      </c>
      <c r="U84" s="24">
        <v>18.367475664688847</v>
      </c>
      <c r="V84" s="24">
        <v>15.455727222952977</v>
      </c>
      <c r="W84" s="24">
        <v>58.953615093422634</v>
      </c>
      <c r="X84" s="24">
        <v>20.416081194985885</v>
      </c>
      <c r="Y84" s="24">
        <v>27.997008542019163</v>
      </c>
      <c r="Z84" s="24">
        <v>48.443552002222589</v>
      </c>
      <c r="AA84" s="24">
        <v>48.409586570109013</v>
      </c>
      <c r="AB84" s="24">
        <v>51.531747704864522</v>
      </c>
      <c r="AC84" s="24">
        <v>22.106001754510753</v>
      </c>
      <c r="AD84" s="24">
        <v>79.801368108670005</v>
      </c>
      <c r="AE84" s="24">
        <v>80.149750786291364</v>
      </c>
      <c r="AF84" s="24">
        <v>26.400221904011012</v>
      </c>
      <c r="AG84" s="24">
        <v>23.555631578350447</v>
      </c>
      <c r="AH84" s="24">
        <v>28.710035993737637</v>
      </c>
      <c r="AI84" s="24">
        <v>26.77204479153708</v>
      </c>
      <c r="AJ84" s="24">
        <v>30.019215230836068</v>
      </c>
      <c r="AK84" s="24">
        <v>24.118239739133063</v>
      </c>
      <c r="AL84" s="24">
        <v>36.134262001101618</v>
      </c>
      <c r="AM84" s="24">
        <v>34.525617551479826</v>
      </c>
      <c r="AN84" s="24">
        <v>46.594683639907281</v>
      </c>
      <c r="AO84" s="24">
        <v>52.451783257964664</v>
      </c>
      <c r="AP84" s="24">
        <v>25.867018232580559</v>
      </c>
      <c r="AQ84" s="24">
        <v>24.830194212563207</v>
      </c>
      <c r="AR84" s="24">
        <v>20.138397940846222</v>
      </c>
      <c r="AS84" s="24">
        <v>34.216741983520699</v>
      </c>
      <c r="AT84" s="24">
        <v>32.673465028106172</v>
      </c>
      <c r="AU84" s="24">
        <v>25.727278622674845</v>
      </c>
      <c r="AV84" s="24">
        <v>27.401945529107088</v>
      </c>
      <c r="AW84" s="24">
        <v>43.92504605700006</v>
      </c>
      <c r="AX84" s="24">
        <v>22.811573450456137</v>
      </c>
      <c r="AY84" s="24">
        <v>20.276259098581566</v>
      </c>
    </row>
    <row r="85" spans="1:51" x14ac:dyDescent="0.2">
      <c r="A85" s="23">
        <v>45616</v>
      </c>
      <c r="B85" s="24">
        <v>14.465577580103618</v>
      </c>
      <c r="C85" s="24">
        <v>23.911701833048372</v>
      </c>
      <c r="D85" s="24">
        <v>15.226501241879017</v>
      </c>
      <c r="E85" s="24">
        <v>19.404192716330702</v>
      </c>
      <c r="F85" s="24">
        <v>13.210257985429578</v>
      </c>
      <c r="G85" s="24">
        <v>15.023083142189366</v>
      </c>
      <c r="H85" s="24">
        <v>17.82679066445159</v>
      </c>
      <c r="I85" s="24">
        <v>39.117489222971344</v>
      </c>
      <c r="J85" s="24">
        <v>20.968409978947715</v>
      </c>
      <c r="K85" s="24">
        <v>29.511764683771162</v>
      </c>
      <c r="L85" s="24">
        <v>48.671829070945478</v>
      </c>
      <c r="M85" s="24">
        <v>31.511028486933483</v>
      </c>
      <c r="N85" s="24">
        <v>21.570186867505274</v>
      </c>
      <c r="O85" s="24">
        <v>22.161684711243531</v>
      </c>
      <c r="P85" s="24">
        <v>29.541661031307022</v>
      </c>
      <c r="Q85" s="24">
        <v>15.616378962880981</v>
      </c>
      <c r="R85" s="24">
        <v>18.716101647263638</v>
      </c>
      <c r="S85" s="24">
        <v>19.784905442651773</v>
      </c>
      <c r="T85" s="24">
        <v>36.642788791020642</v>
      </c>
      <c r="U85" s="24">
        <v>18.367686517160941</v>
      </c>
      <c r="V85" s="24">
        <v>15.42029116902029</v>
      </c>
      <c r="W85" s="24">
        <v>59.579447443896207</v>
      </c>
      <c r="X85" s="24">
        <v>20.404049243190361</v>
      </c>
      <c r="Y85" s="24">
        <v>28.190641004950088</v>
      </c>
      <c r="Z85" s="24">
        <v>47.942870515180658</v>
      </c>
      <c r="AA85" s="24">
        <v>48.829456908012524</v>
      </c>
      <c r="AB85" s="24">
        <v>51.434107715716898</v>
      </c>
      <c r="AC85" s="24">
        <v>21.992737151233321</v>
      </c>
      <c r="AD85" s="24">
        <v>80.038735731043786</v>
      </c>
      <c r="AE85" s="24">
        <v>75.948577743401913</v>
      </c>
      <c r="AF85" s="24">
        <v>26.438303863047707</v>
      </c>
      <c r="AG85" s="24">
        <v>23.534268462548496</v>
      </c>
      <c r="AH85" s="24">
        <v>28.478030959779286</v>
      </c>
      <c r="AI85" s="24">
        <v>26.579709780697144</v>
      </c>
      <c r="AJ85" s="24">
        <v>33.416273004107374</v>
      </c>
      <c r="AK85" s="24">
        <v>24.834172299741347</v>
      </c>
      <c r="AL85" s="24">
        <v>36.092192373672695</v>
      </c>
      <c r="AM85" s="24">
        <v>34.533771792340623</v>
      </c>
      <c r="AN85" s="24">
        <v>48.140214692067097</v>
      </c>
      <c r="AO85" s="24">
        <v>52.93774775694321</v>
      </c>
      <c r="AP85" s="24">
        <v>25.95531833586405</v>
      </c>
      <c r="AQ85" s="24">
        <v>24.873433345392517</v>
      </c>
      <c r="AR85" s="24">
        <v>20.330110230641349</v>
      </c>
      <c r="AS85" s="24">
        <v>34.486737710447876</v>
      </c>
      <c r="AT85" s="24">
        <v>33.503132474560338</v>
      </c>
      <c r="AU85" s="24">
        <v>27.071001585616489</v>
      </c>
      <c r="AV85" s="24">
        <v>27.4043311301679</v>
      </c>
      <c r="AW85" s="24">
        <v>43.480285338691473</v>
      </c>
      <c r="AX85" s="24">
        <v>22.913200669290617</v>
      </c>
      <c r="AY85" s="24">
        <v>20.309583412958993</v>
      </c>
    </row>
    <row r="86" spans="1:51" x14ac:dyDescent="0.2">
      <c r="A86" s="23">
        <v>45615</v>
      </c>
      <c r="B86" s="24">
        <v>14.453178810586394</v>
      </c>
      <c r="C86" s="24">
        <v>24.59036081360972</v>
      </c>
      <c r="D86" s="24">
        <v>15.116920298917073</v>
      </c>
      <c r="E86" s="24">
        <v>19.387983799416851</v>
      </c>
      <c r="F86" s="24">
        <v>13.210257985429578</v>
      </c>
      <c r="G86" s="24">
        <v>15.009684101639484</v>
      </c>
      <c r="H86" s="24">
        <v>17.881858117534986</v>
      </c>
      <c r="I86" s="24">
        <v>39.134729689624137</v>
      </c>
      <c r="J86" s="24">
        <v>21.582026096668468</v>
      </c>
      <c r="K86" s="24">
        <v>30.058247595079823</v>
      </c>
      <c r="L86" s="24">
        <v>49.777030477049131</v>
      </c>
      <c r="M86" s="24">
        <v>32.626316640400361</v>
      </c>
      <c r="N86" s="24">
        <v>21.509048826609828</v>
      </c>
      <c r="O86" s="24">
        <v>22.402753926678855</v>
      </c>
      <c r="P86" s="24">
        <v>29.182476411953889</v>
      </c>
      <c r="Q86" s="24">
        <v>15.187421788230619</v>
      </c>
      <c r="R86" s="24">
        <v>18.363733036090743</v>
      </c>
      <c r="S86" s="24">
        <v>19.710874055157689</v>
      </c>
      <c r="T86" s="24">
        <v>37.27779667454508</v>
      </c>
      <c r="U86" s="24">
        <v>18.365362878329822</v>
      </c>
      <c r="V86" s="24">
        <v>15.354720067421985</v>
      </c>
      <c r="W86" s="24">
        <v>60.939345350782197</v>
      </c>
      <c r="X86" s="24">
        <v>20.397408630400932</v>
      </c>
      <c r="Y86" s="24">
        <v>28.190001627871229</v>
      </c>
      <c r="Z86" s="24">
        <v>48.189469071534582</v>
      </c>
      <c r="AA86" s="24">
        <v>48.895959656230836</v>
      </c>
      <c r="AB86" s="24">
        <v>52.148438768199874</v>
      </c>
      <c r="AC86" s="24">
        <v>21.593636866430117</v>
      </c>
      <c r="AD86" s="24">
        <v>79.869274168059121</v>
      </c>
      <c r="AE86" s="24">
        <v>75.52511038478481</v>
      </c>
      <c r="AF86" s="24">
        <v>26.444390665075112</v>
      </c>
      <c r="AG86" s="24">
        <v>23.56262778886839</v>
      </c>
      <c r="AH86" s="24">
        <v>27.727396976997731</v>
      </c>
      <c r="AI86" s="24">
        <v>26.580807078306375</v>
      </c>
      <c r="AJ86" s="24">
        <v>24.348521416895437</v>
      </c>
      <c r="AK86" s="24">
        <v>25.167176356509945</v>
      </c>
      <c r="AL86" s="24">
        <v>37.637571204881759</v>
      </c>
      <c r="AM86" s="24">
        <v>34.758749853527085</v>
      </c>
      <c r="AN86" s="24">
        <v>48.340607104265537</v>
      </c>
      <c r="AO86" s="24">
        <v>53.031094492375374</v>
      </c>
      <c r="AP86" s="24">
        <v>26.396595707230482</v>
      </c>
      <c r="AQ86" s="24">
        <v>25.066047837185454</v>
      </c>
      <c r="AR86" s="24">
        <v>20.445252640139351</v>
      </c>
      <c r="AS86" s="24">
        <v>34.573331732556433</v>
      </c>
      <c r="AT86" s="24">
        <v>33.768465544811491</v>
      </c>
      <c r="AU86" s="24">
        <v>27.159258380740628</v>
      </c>
      <c r="AV86" s="24">
        <v>27.373762409775011</v>
      </c>
      <c r="AW86" s="24">
        <v>43.494621964770047</v>
      </c>
      <c r="AX86" s="24">
        <v>22.893318486660771</v>
      </c>
      <c r="AY86" s="24">
        <v>20.167260438801016</v>
      </c>
    </row>
    <row r="87" spans="1:51" x14ac:dyDescent="0.2">
      <c r="A87" s="23">
        <v>45614</v>
      </c>
      <c r="B87" s="24">
        <v>14.307460021750588</v>
      </c>
      <c r="C87" s="24">
        <v>24.445767081178566</v>
      </c>
      <c r="D87" s="24">
        <v>14.815883604426491</v>
      </c>
      <c r="E87" s="24">
        <v>20.145494757078055</v>
      </c>
      <c r="F87" s="24">
        <v>13.077011451560189</v>
      </c>
      <c r="G87" s="24">
        <v>14.950403927875595</v>
      </c>
      <c r="H87" s="24">
        <v>17.894247052859626</v>
      </c>
      <c r="I87" s="24">
        <v>38.844946742377026</v>
      </c>
      <c r="J87" s="24">
        <v>21.83484205228951</v>
      </c>
      <c r="K87" s="24">
        <v>30.07279953076636</v>
      </c>
      <c r="L87" s="24">
        <v>49.646896160122154</v>
      </c>
      <c r="M87" s="24">
        <v>32.652542921516741</v>
      </c>
      <c r="N87" s="24">
        <v>20.620348966152925</v>
      </c>
      <c r="O87" s="24">
        <v>22.261665539392148</v>
      </c>
      <c r="P87" s="24">
        <v>26.670294475064409</v>
      </c>
      <c r="Q87" s="24">
        <v>15.309140218957241</v>
      </c>
      <c r="R87" s="24">
        <v>18.390889399860519</v>
      </c>
      <c r="S87" s="24">
        <v>23.251198947798578</v>
      </c>
      <c r="T87" s="24">
        <v>37.581713105979176</v>
      </c>
      <c r="U87" s="24">
        <v>18.335658002628257</v>
      </c>
      <c r="V87" s="24">
        <v>15.340392801528445</v>
      </c>
      <c r="W87" s="24">
        <v>60.202585801473901</v>
      </c>
      <c r="X87" s="24">
        <v>20.229805337179044</v>
      </c>
      <c r="Y87" s="24">
        <v>24.744961939791789</v>
      </c>
      <c r="Z87" s="24">
        <v>47.361008768377886</v>
      </c>
      <c r="AA87" s="24">
        <v>48.622583054114322</v>
      </c>
      <c r="AB87" s="24">
        <v>51.315826186259642</v>
      </c>
      <c r="AC87" s="24">
        <v>21.357798880969753</v>
      </c>
      <c r="AD87" s="24">
        <v>78.933600127997423</v>
      </c>
      <c r="AE87" s="24">
        <v>77.629663950292425</v>
      </c>
      <c r="AF87" s="24">
        <v>26.132142668520626</v>
      </c>
      <c r="AG87" s="24">
        <v>23.551354046138766</v>
      </c>
      <c r="AH87" s="24">
        <v>28.03506347538212</v>
      </c>
      <c r="AI87" s="24">
        <v>27.573827501023803</v>
      </c>
      <c r="AJ87" s="24">
        <v>24.310674754515372</v>
      </c>
      <c r="AK87" s="24">
        <v>25.319626546932316</v>
      </c>
      <c r="AL87" s="24">
        <v>37.956506106990929</v>
      </c>
      <c r="AM87" s="24">
        <v>34.781124583962452</v>
      </c>
      <c r="AN87" s="24">
        <v>47.825903141165732</v>
      </c>
      <c r="AO87" s="24">
        <v>52.445516425272501</v>
      </c>
      <c r="AP87" s="24">
        <v>29.261402358084041</v>
      </c>
      <c r="AQ87" s="24">
        <v>26.121125396965155</v>
      </c>
      <c r="AR87" s="24">
        <v>20.351268496793281</v>
      </c>
      <c r="AS87" s="24">
        <v>34.564756103965848</v>
      </c>
      <c r="AT87" s="24">
        <v>32.561376664853867</v>
      </c>
      <c r="AU87" s="24">
        <v>27.102648202924737</v>
      </c>
      <c r="AV87" s="24">
        <v>28.402868493800202</v>
      </c>
      <c r="AW87" s="24">
        <v>42.602364325302247</v>
      </c>
      <c r="AX87" s="24">
        <v>22.90371635864723</v>
      </c>
      <c r="AY87" s="24">
        <v>22.001329707770193</v>
      </c>
    </row>
    <row r="88" spans="1:51" x14ac:dyDescent="0.2">
      <c r="A88" s="23">
        <v>45611</v>
      </c>
      <c r="B88" s="24">
        <v>14.486821533078004</v>
      </c>
      <c r="C88" s="24">
        <v>24.644263363065576</v>
      </c>
      <c r="D88" s="24">
        <v>14.881244301886888</v>
      </c>
      <c r="E88" s="24">
        <v>20.264583023532666</v>
      </c>
      <c r="F88" s="24">
        <v>13.930201480455297</v>
      </c>
      <c r="G88" s="24">
        <v>12.7383701208228</v>
      </c>
      <c r="H88" s="24">
        <v>16.964470671159262</v>
      </c>
      <c r="I88" s="24">
        <v>38.801766530794431</v>
      </c>
      <c r="J88" s="24">
        <v>21.838772310683702</v>
      </c>
      <c r="K88" s="24">
        <v>31.142212446556371</v>
      </c>
      <c r="L88" s="24">
        <v>49.647327006870562</v>
      </c>
      <c r="M88" s="24">
        <v>32.680609784654195</v>
      </c>
      <c r="N88" s="24">
        <v>19.36566237527952</v>
      </c>
      <c r="O88" s="24">
        <v>19.647764279825623</v>
      </c>
      <c r="P88" s="24">
        <v>27.407781991774275</v>
      </c>
      <c r="Q88" s="24">
        <v>15.494705172965869</v>
      </c>
      <c r="R88" s="24">
        <v>18.170687409248625</v>
      </c>
      <c r="S88" s="24">
        <v>22.949955001596194</v>
      </c>
      <c r="T88" s="24">
        <v>37.175815961939833</v>
      </c>
      <c r="U88" s="24">
        <v>18.013772519621639</v>
      </c>
      <c r="V88" s="24">
        <v>14.17589121849883</v>
      </c>
      <c r="W88" s="24">
        <v>65.699227567042854</v>
      </c>
      <c r="X88" s="24">
        <v>18.440369031800508</v>
      </c>
      <c r="Y88" s="24">
        <v>28.194978992473974</v>
      </c>
      <c r="Z88" s="24">
        <v>46.72264294817996</v>
      </c>
      <c r="AA88" s="24">
        <v>48.698923394914765</v>
      </c>
      <c r="AB88" s="24">
        <v>51.182887131587322</v>
      </c>
      <c r="AC88" s="24">
        <v>19.384923685872717</v>
      </c>
      <c r="AD88" s="24">
        <v>80.070680435289788</v>
      </c>
      <c r="AE88" s="24">
        <v>78.294996316948712</v>
      </c>
      <c r="AF88" s="24">
        <v>32.836822512847426</v>
      </c>
      <c r="AG88" s="24">
        <v>20.528564797391624</v>
      </c>
      <c r="AH88" s="24">
        <v>27.763859772147399</v>
      </c>
      <c r="AI88" s="24">
        <v>29.070160219634939</v>
      </c>
      <c r="AJ88" s="24">
        <v>24.22426287401705</v>
      </c>
      <c r="AK88" s="24">
        <v>25.68627177634173</v>
      </c>
      <c r="AL88" s="24">
        <v>37.542342119055107</v>
      </c>
      <c r="AM88" s="24">
        <v>34.041580975898988</v>
      </c>
      <c r="AN88" s="24">
        <v>47.098720859764462</v>
      </c>
      <c r="AO88" s="24">
        <v>52.841175280800734</v>
      </c>
      <c r="AP88" s="24">
        <v>28.023534956129026</v>
      </c>
      <c r="AQ88" s="24">
        <v>26.125118879746864</v>
      </c>
      <c r="AR88" s="24">
        <v>18.795817324629756</v>
      </c>
      <c r="AS88" s="24">
        <v>34.078747173233637</v>
      </c>
      <c r="AT88" s="24">
        <v>32.128996230258089</v>
      </c>
      <c r="AU88" s="24">
        <v>26.97894622697644</v>
      </c>
      <c r="AV88" s="24">
        <v>29.102173866136429</v>
      </c>
      <c r="AW88" s="24">
        <v>41.937002619780309</v>
      </c>
      <c r="AX88" s="24">
        <v>18.049545126965562</v>
      </c>
      <c r="AY88" s="24">
        <v>21.397734820541231</v>
      </c>
    </row>
    <row r="89" spans="1:51" x14ac:dyDescent="0.2">
      <c r="A89" s="23">
        <v>45610</v>
      </c>
      <c r="B89" s="24">
        <v>14.679953452247185</v>
      </c>
      <c r="C89" s="24">
        <v>26.458191200476133</v>
      </c>
      <c r="D89" s="24">
        <v>14.77963727235587</v>
      </c>
      <c r="E89" s="24">
        <v>20.319094850439768</v>
      </c>
      <c r="F89" s="24">
        <v>14.067498861629291</v>
      </c>
      <c r="G89" s="24">
        <v>12.566799827300441</v>
      </c>
      <c r="H89" s="24">
        <v>19.174744388354988</v>
      </c>
      <c r="I89" s="24">
        <v>43.981800065837348</v>
      </c>
      <c r="J89" s="24">
        <v>22.4603224111627</v>
      </c>
      <c r="K89" s="24">
        <v>33.423238737235828</v>
      </c>
      <c r="L89" s="24">
        <v>49.216431540541066</v>
      </c>
      <c r="M89" s="24">
        <v>32.564416449969677</v>
      </c>
      <c r="N89" s="24">
        <v>19.090126348831816</v>
      </c>
      <c r="O89" s="24">
        <v>21.025819608951053</v>
      </c>
      <c r="P89" s="24">
        <v>27.181880031617123</v>
      </c>
      <c r="Q89" s="24">
        <v>15.27714893066188</v>
      </c>
      <c r="R89" s="24">
        <v>18.389392369967094</v>
      </c>
      <c r="S89" s="24">
        <v>24.003695753004649</v>
      </c>
      <c r="T89" s="24">
        <v>38.325714123069965</v>
      </c>
      <c r="U89" s="24">
        <v>17.204270095583624</v>
      </c>
      <c r="V89" s="24">
        <v>14.170577795368771</v>
      </c>
      <c r="W89" s="24">
        <v>90.260959486408439</v>
      </c>
      <c r="X89" s="24">
        <v>18.491472935890041</v>
      </c>
      <c r="Y89" s="24">
        <v>30.585282802746555</v>
      </c>
      <c r="Z89" s="24">
        <v>56.491634857293562</v>
      </c>
      <c r="AA89" s="24">
        <v>48.68360352223096</v>
      </c>
      <c r="AB89" s="24">
        <v>69.15559932838525</v>
      </c>
      <c r="AC89" s="24">
        <v>19.939360131560179</v>
      </c>
      <c r="AD89" s="24">
        <v>88.711210692809075</v>
      </c>
      <c r="AE89" s="24">
        <v>99.116485763772204</v>
      </c>
      <c r="AF89" s="24">
        <v>33.824267547771555</v>
      </c>
      <c r="AG89" s="24">
        <v>20.349416677387559</v>
      </c>
      <c r="AH89" s="24">
        <v>30.788267498073303</v>
      </c>
      <c r="AI89" s="24">
        <v>36.135198100442842</v>
      </c>
      <c r="AJ89" s="24">
        <v>25.630149915386994</v>
      </c>
      <c r="AK89" s="24">
        <v>24.666217067443963</v>
      </c>
      <c r="AL89" s="24">
        <v>38.250620162639969</v>
      </c>
      <c r="AM89" s="24">
        <v>33.976161097530778</v>
      </c>
      <c r="AN89" s="24">
        <v>47.170497159216644</v>
      </c>
      <c r="AO89" s="24">
        <v>56.558362670174013</v>
      </c>
      <c r="AP89" s="24">
        <v>29.716018293197052</v>
      </c>
      <c r="AQ89" s="24">
        <v>26.73053147502382</v>
      </c>
      <c r="AR89" s="24">
        <v>18.967445931236959</v>
      </c>
      <c r="AS89" s="24">
        <v>34.459889659284627</v>
      </c>
      <c r="AT89" s="24">
        <v>32.570025657122805</v>
      </c>
      <c r="AU89" s="24">
        <v>27.668546912103672</v>
      </c>
      <c r="AV89" s="24">
        <v>29.300993858142714</v>
      </c>
      <c r="AW89" s="24">
        <v>45.990604842432901</v>
      </c>
      <c r="AX89" s="24">
        <v>18.035945616146929</v>
      </c>
      <c r="AY89" s="24">
        <v>19.280260164291583</v>
      </c>
    </row>
    <row r="90" spans="1:51" x14ac:dyDescent="0.2">
      <c r="A90" s="23">
        <v>45609</v>
      </c>
      <c r="B90" s="24">
        <v>14.802680026961694</v>
      </c>
      <c r="C90" s="24">
        <v>27.418523387654009</v>
      </c>
      <c r="D90" s="24">
        <v>14.452904041654122</v>
      </c>
      <c r="E90" s="24">
        <v>20.358694660468739</v>
      </c>
      <c r="F90" s="24">
        <v>13.923473931438279</v>
      </c>
      <c r="G90" s="24">
        <v>12.621564681589611</v>
      </c>
      <c r="H90" s="24">
        <v>19.279456997076508</v>
      </c>
      <c r="I90" s="24">
        <v>42.792974268160037</v>
      </c>
      <c r="J90" s="24">
        <v>23.96778599413943</v>
      </c>
      <c r="K90" s="24">
        <v>32.581739336010415</v>
      </c>
      <c r="L90" s="24">
        <v>49.183586871028425</v>
      </c>
      <c r="M90" s="24">
        <v>32.63941271265525</v>
      </c>
      <c r="N90" s="24">
        <v>18.8961162423549</v>
      </c>
      <c r="O90" s="24">
        <v>21.179671769274435</v>
      </c>
      <c r="P90" s="24">
        <v>26.232222742461232</v>
      </c>
      <c r="Q90" s="24">
        <v>15.87656192992524</v>
      </c>
      <c r="R90" s="24">
        <v>18.674925411893682</v>
      </c>
      <c r="S90" s="24">
        <v>26.088941836250655</v>
      </c>
      <c r="T90" s="24">
        <v>39.836146580537203</v>
      </c>
      <c r="U90" s="24">
        <v>17.139031761807907</v>
      </c>
      <c r="V90" s="24">
        <v>14.431379425152288</v>
      </c>
      <c r="W90" s="24">
        <v>89.288322122280192</v>
      </c>
      <c r="X90" s="24">
        <v>19.176389254497391</v>
      </c>
      <c r="Y90" s="24">
        <v>30.10338958963376</v>
      </c>
      <c r="Z90" s="24">
        <v>51.213765265108108</v>
      </c>
      <c r="AA90" s="24">
        <v>48.781677562481661</v>
      </c>
      <c r="AB90" s="24">
        <v>67.674219612487377</v>
      </c>
      <c r="AC90" s="24">
        <v>20.664592151891551</v>
      </c>
      <c r="AD90" s="24">
        <v>88.475316311655675</v>
      </c>
      <c r="AE90" s="24">
        <v>99.299644120128548</v>
      </c>
      <c r="AF90" s="24">
        <v>32.485912997042632</v>
      </c>
      <c r="AG90" s="24">
        <v>20.487131407603396</v>
      </c>
      <c r="AH90" s="24">
        <v>28.487002727336836</v>
      </c>
      <c r="AI90" s="24">
        <v>33.976032882487388</v>
      </c>
      <c r="AJ90" s="24">
        <v>24.795842652106273</v>
      </c>
      <c r="AK90" s="24">
        <v>25.429969793850226</v>
      </c>
      <c r="AL90" s="24">
        <v>38.21740007133161</v>
      </c>
      <c r="AM90" s="24">
        <v>34.660522055942913</v>
      </c>
      <c r="AN90" s="24">
        <v>49.180443632977678</v>
      </c>
      <c r="AO90" s="24">
        <v>53.402059023086764</v>
      </c>
      <c r="AP90" s="24">
        <v>29.920996425646216</v>
      </c>
      <c r="AQ90" s="24">
        <v>27.247031247487143</v>
      </c>
      <c r="AR90" s="24">
        <v>19.08950714813875</v>
      </c>
      <c r="AS90" s="24">
        <v>34.882610194037376</v>
      </c>
      <c r="AT90" s="24">
        <v>35.697464019996971</v>
      </c>
      <c r="AU90" s="24">
        <v>28.53281000221676</v>
      </c>
      <c r="AV90" s="24">
        <v>30.309342941814808</v>
      </c>
      <c r="AW90" s="24">
        <v>44.140321699824632</v>
      </c>
      <c r="AX90" s="24">
        <v>18.229554134536354</v>
      </c>
      <c r="AY90" s="24">
        <v>17.253896111675399</v>
      </c>
    </row>
    <row r="91" spans="1:51" x14ac:dyDescent="0.2">
      <c r="A91" s="23">
        <v>45608</v>
      </c>
      <c r="B91" s="24">
        <v>15.855408500292549</v>
      </c>
      <c r="C91" s="24">
        <v>28.524452926433927</v>
      </c>
      <c r="D91" s="24">
        <v>16.603069545114426</v>
      </c>
      <c r="E91" s="24">
        <v>13.425541191132933</v>
      </c>
      <c r="F91" s="24">
        <v>15.480652724089575</v>
      </c>
      <c r="G91" s="24">
        <v>13.888371834587993</v>
      </c>
      <c r="H91" s="24">
        <v>18.869055380412398</v>
      </c>
      <c r="I91" s="24">
        <v>44.130266280386145</v>
      </c>
      <c r="J91" s="24">
        <v>25.747504344408508</v>
      </c>
      <c r="K91" s="24">
        <v>34.207610450133252</v>
      </c>
      <c r="L91" s="24">
        <v>49.149125717611447</v>
      </c>
      <c r="M91" s="24">
        <v>32.641089947303954</v>
      </c>
      <c r="N91" s="24">
        <v>18.075440219814798</v>
      </c>
      <c r="O91" s="24">
        <v>20.534527775958932</v>
      </c>
      <c r="P91" s="24">
        <v>18.72024108850945</v>
      </c>
      <c r="Q91" s="24">
        <v>14.486743726215362</v>
      </c>
      <c r="R91" s="24">
        <v>18.120153228808721</v>
      </c>
      <c r="S91" s="24">
        <v>25.643423471925178</v>
      </c>
      <c r="T91" s="24">
        <v>40.434984415395895</v>
      </c>
      <c r="U91" s="24">
        <v>21.480325786368688</v>
      </c>
      <c r="V91" s="24">
        <v>19.035057721353034</v>
      </c>
      <c r="W91" s="24">
        <v>88.606652961996517</v>
      </c>
      <c r="X91" s="24">
        <v>22.862951478845719</v>
      </c>
      <c r="Y91" s="24">
        <v>31.105771165486264</v>
      </c>
      <c r="Z91" s="24">
        <v>53.365866118613894</v>
      </c>
      <c r="AA91" s="24">
        <v>47.164986096158941</v>
      </c>
      <c r="AB91" s="24">
        <v>68.801946635782713</v>
      </c>
      <c r="AC91" s="24">
        <v>23.169079870746888</v>
      </c>
      <c r="AD91" s="24">
        <v>88.125402914394201</v>
      </c>
      <c r="AE91" s="24">
        <v>94.169854819411796</v>
      </c>
      <c r="AF91" s="24">
        <v>35.736285685916791</v>
      </c>
      <c r="AG91" s="24">
        <v>20.935528828320898</v>
      </c>
      <c r="AH91" s="24">
        <v>31.433757694505243</v>
      </c>
      <c r="AI91" s="24">
        <v>35.458333433505786</v>
      </c>
      <c r="AJ91" s="24">
        <v>26.735010377127182</v>
      </c>
      <c r="AK91" s="24">
        <v>25.156954401965208</v>
      </c>
      <c r="AL91" s="24">
        <v>38.264094072823212</v>
      </c>
      <c r="AM91" s="24">
        <v>35.558233593594018</v>
      </c>
      <c r="AN91" s="24">
        <v>49.666938195851237</v>
      </c>
      <c r="AO91" s="24">
        <v>55.794985595994319</v>
      </c>
      <c r="AP91" s="24">
        <v>29.066393646932891</v>
      </c>
      <c r="AQ91" s="24">
        <v>27.817175109731277</v>
      </c>
      <c r="AR91" s="24">
        <v>19.645199606580494</v>
      </c>
      <c r="AS91" s="24">
        <v>39.530597927713828</v>
      </c>
      <c r="AT91" s="24">
        <v>38.113658441870108</v>
      </c>
      <c r="AU91" s="24">
        <v>28.536440670336432</v>
      </c>
      <c r="AV91" s="24">
        <v>30.349897915046704</v>
      </c>
      <c r="AW91" s="24">
        <v>45.299285338826913</v>
      </c>
      <c r="AX91" s="24">
        <v>19.177528269165322</v>
      </c>
      <c r="AY91" s="24">
        <v>17.373332162065097</v>
      </c>
    </row>
    <row r="92" spans="1:51" x14ac:dyDescent="0.2">
      <c r="A92" s="23">
        <v>45607</v>
      </c>
      <c r="B92" s="24">
        <v>19.162427287959265</v>
      </c>
      <c r="C92" s="24">
        <v>30.18039592727056</v>
      </c>
      <c r="D92" s="24">
        <v>17.838280740491737</v>
      </c>
      <c r="E92" s="24">
        <v>15.94030199692495</v>
      </c>
      <c r="F92" s="24">
        <v>20.189061532733199</v>
      </c>
      <c r="G92" s="24">
        <v>15.760727978205621</v>
      </c>
      <c r="H92" s="24">
        <v>22.291488886578918</v>
      </c>
      <c r="I92" s="24">
        <v>46.00763390618043</v>
      </c>
      <c r="J92" s="24">
        <v>25.923033649504614</v>
      </c>
      <c r="K92" s="24">
        <v>35.740839357612309</v>
      </c>
      <c r="L92" s="24">
        <v>48.140168066062252</v>
      </c>
      <c r="M92" s="24">
        <v>32.787511074301079</v>
      </c>
      <c r="N92" s="24">
        <v>22.043891582801553</v>
      </c>
      <c r="O92" s="24">
        <v>21.174029485372671</v>
      </c>
      <c r="P92" s="24">
        <v>17.220076064196714</v>
      </c>
      <c r="Q92" s="24">
        <v>14.158371029941154</v>
      </c>
      <c r="R92" s="24">
        <v>20.330852548425586</v>
      </c>
      <c r="S92" s="24">
        <v>28.075416056398133</v>
      </c>
      <c r="T92" s="24">
        <v>43.075938850988692</v>
      </c>
      <c r="U92" s="24">
        <v>23.205563816599923</v>
      </c>
      <c r="V92" s="24">
        <v>20.215370521529238</v>
      </c>
      <c r="W92" s="24">
        <v>87.401780589424277</v>
      </c>
      <c r="X92" s="24">
        <v>23.004904335946694</v>
      </c>
      <c r="Y92" s="24">
        <v>30.917868348864204</v>
      </c>
      <c r="Z92" s="24">
        <v>50.840413931837851</v>
      </c>
      <c r="AA92" s="24">
        <v>47.133079708445322</v>
      </c>
      <c r="AB92" s="24">
        <v>67.165666642451512</v>
      </c>
      <c r="AC92" s="24">
        <v>24.922826590491095</v>
      </c>
      <c r="AD92" s="24">
        <v>90.175458037218064</v>
      </c>
      <c r="AE92" s="24">
        <v>96.066372037062166</v>
      </c>
      <c r="AF92" s="24">
        <v>37.559306882013672</v>
      </c>
      <c r="AG92" s="24">
        <v>21.301366622722835</v>
      </c>
      <c r="AH92" s="24">
        <v>36.165096322677279</v>
      </c>
      <c r="AI92" s="24">
        <v>34.494200504954897</v>
      </c>
      <c r="AJ92" s="24">
        <v>27.191137038290726</v>
      </c>
      <c r="AK92" s="24">
        <v>26.020539361259431</v>
      </c>
      <c r="AL92" s="24">
        <v>37.406417870870129</v>
      </c>
      <c r="AM92" s="24">
        <v>36.13922729028927</v>
      </c>
      <c r="AN92" s="24">
        <v>52.556378731240194</v>
      </c>
      <c r="AO92" s="24">
        <v>52.634312156990205</v>
      </c>
      <c r="AP92" s="24">
        <v>28.757950103049424</v>
      </c>
      <c r="AQ92" s="24">
        <v>28.670638794332444</v>
      </c>
      <c r="AR92" s="24">
        <v>19.833700890460634</v>
      </c>
      <c r="AS92" s="24">
        <v>40.27457452282313</v>
      </c>
      <c r="AT92" s="24">
        <v>38.367178137325638</v>
      </c>
      <c r="AU92" s="24">
        <v>30.586093589583605</v>
      </c>
      <c r="AV92" s="24">
        <v>31.170884895904045</v>
      </c>
      <c r="AW92" s="24">
        <v>44.596721399168722</v>
      </c>
      <c r="AX92" s="24">
        <v>21.223613184789944</v>
      </c>
      <c r="AY92" s="24">
        <v>19.801218164128613</v>
      </c>
    </row>
    <row r="93" spans="1:51" x14ac:dyDescent="0.2">
      <c r="A93" s="23">
        <v>45604</v>
      </c>
      <c r="B93" s="24">
        <v>22.436533983424177</v>
      </c>
      <c r="C93" s="24">
        <v>30.068528262353613</v>
      </c>
      <c r="D93" s="24">
        <v>23.07342922693174</v>
      </c>
      <c r="E93" s="24">
        <v>18.019041214225776</v>
      </c>
      <c r="F93" s="24">
        <v>26.571409930144615</v>
      </c>
      <c r="G93" s="24">
        <v>18.116120070141736</v>
      </c>
      <c r="H93" s="24">
        <v>21.752145467007807</v>
      </c>
      <c r="I93" s="24">
        <v>45.483611902179604</v>
      </c>
      <c r="J93" s="24">
        <v>26.937639326559502</v>
      </c>
      <c r="K93" s="24">
        <v>36.688744231070174</v>
      </c>
      <c r="L93" s="24">
        <v>47.063263497986355</v>
      </c>
      <c r="M93" s="24">
        <v>33.063366156512885</v>
      </c>
      <c r="N93" s="24">
        <v>22.152715185547997</v>
      </c>
      <c r="O93" s="24">
        <v>20.368532863968802</v>
      </c>
      <c r="P93" s="24">
        <v>21.005223756197957</v>
      </c>
      <c r="Q93" s="24">
        <v>14.416078609877788</v>
      </c>
      <c r="R93" s="24">
        <v>20.260199808411034</v>
      </c>
      <c r="S93" s="24">
        <v>30.202334386868639</v>
      </c>
      <c r="T93" s="24">
        <v>42.841903900158385</v>
      </c>
      <c r="U93" s="24">
        <v>26.244393154570641</v>
      </c>
      <c r="V93" s="24">
        <v>21.360219540808636</v>
      </c>
      <c r="W93" s="24">
        <v>90.087631562793575</v>
      </c>
      <c r="X93" s="24">
        <v>25.860284996110245</v>
      </c>
      <c r="Y93" s="24">
        <v>30.161058254101015</v>
      </c>
      <c r="Z93" s="24">
        <v>49.704108487871913</v>
      </c>
      <c r="AA93" s="24">
        <v>48.786102332480731</v>
      </c>
      <c r="AB93" s="24">
        <v>67.079773443371693</v>
      </c>
      <c r="AC93" s="24">
        <v>25.476111256919918</v>
      </c>
      <c r="AD93" s="24">
        <v>90.191516819939125</v>
      </c>
      <c r="AE93" s="24">
        <v>103.31133601552597</v>
      </c>
      <c r="AF93" s="24">
        <v>36.179365744189319</v>
      </c>
      <c r="AG93" s="24">
        <v>20.011486678161575</v>
      </c>
      <c r="AH93" s="24">
        <v>36.102121844934544</v>
      </c>
      <c r="AI93" s="24">
        <v>37.750197676190687</v>
      </c>
      <c r="AJ93" s="24">
        <v>28.606932033780097</v>
      </c>
      <c r="AK93" s="24">
        <v>26.804106662370298</v>
      </c>
      <c r="AL93" s="24">
        <v>37.346780293677881</v>
      </c>
      <c r="AM93" s="24">
        <v>38.315236601276325</v>
      </c>
      <c r="AN93" s="24">
        <v>52.584269705197237</v>
      </c>
      <c r="AO93" s="24">
        <v>45.97838602309421</v>
      </c>
      <c r="AP93" s="24">
        <v>29.682127238853997</v>
      </c>
      <c r="AQ93" s="24">
        <v>30.685742818632814</v>
      </c>
      <c r="AR93" s="24">
        <v>21.685236591235782</v>
      </c>
      <c r="AS93" s="24">
        <v>38.764845306353585</v>
      </c>
      <c r="AT93" s="24">
        <v>41.811200675891513</v>
      </c>
      <c r="AU93" s="24">
        <v>30.449994381027931</v>
      </c>
      <c r="AV93" s="24">
        <v>31.057523711069322</v>
      </c>
      <c r="AW93" s="24">
        <v>43.686818553994335</v>
      </c>
      <c r="AX93" s="24">
        <v>23.199429576459003</v>
      </c>
      <c r="AY93" s="24">
        <v>23.199290789507984</v>
      </c>
    </row>
    <row r="94" spans="1:51" x14ac:dyDescent="0.2">
      <c r="A94" s="23">
        <v>45603</v>
      </c>
      <c r="B94" s="24">
        <v>22.356386902807682</v>
      </c>
      <c r="C94" s="24">
        <v>29.824667427287373</v>
      </c>
      <c r="D94" s="24">
        <v>22.916582872548439</v>
      </c>
      <c r="E94" s="24">
        <v>18.001942699007831</v>
      </c>
      <c r="F94" s="24">
        <v>26.510092469623082</v>
      </c>
      <c r="G94" s="24">
        <v>17.718319345587663</v>
      </c>
      <c r="H94" s="24">
        <v>21.491896281089836</v>
      </c>
      <c r="I94" s="24">
        <v>50.808993269852799</v>
      </c>
      <c r="J94" s="24">
        <v>26.101007176259273</v>
      </c>
      <c r="K94" s="24">
        <v>40.652322905593522</v>
      </c>
      <c r="L94" s="24">
        <v>48.602897514807317</v>
      </c>
      <c r="M94" s="24">
        <v>31.854455588585925</v>
      </c>
      <c r="N94" s="24">
        <v>22.077898117630411</v>
      </c>
      <c r="O94" s="24">
        <v>19.957803842482804</v>
      </c>
      <c r="P94" s="24">
        <v>28.157228109388459</v>
      </c>
      <c r="Q94" s="24">
        <v>14.36289584950484</v>
      </c>
      <c r="R94" s="24">
        <v>20.960022655482092</v>
      </c>
      <c r="S94" s="24">
        <v>30.547528552071693</v>
      </c>
      <c r="T94" s="24">
        <v>41.017106330654151</v>
      </c>
      <c r="U94" s="24">
        <v>25.997680014411202</v>
      </c>
      <c r="V94" s="24">
        <v>21.15803656091353</v>
      </c>
      <c r="W94" s="24">
        <v>95.433296056115466</v>
      </c>
      <c r="X94" s="24">
        <v>26.571747709855362</v>
      </c>
      <c r="Y94" s="24">
        <v>30.231245237985906</v>
      </c>
      <c r="Z94" s="24">
        <v>49.114777296555658</v>
      </c>
      <c r="AA94" s="24">
        <v>48.695030318426227</v>
      </c>
      <c r="AB94" s="24">
        <v>69.309821238933921</v>
      </c>
      <c r="AC94" s="24">
        <v>25.353507186879856</v>
      </c>
      <c r="AD94" s="24">
        <v>85.795324822721369</v>
      </c>
      <c r="AE94" s="24">
        <v>97.023499822292919</v>
      </c>
      <c r="AF94" s="24">
        <v>41.802080885004926</v>
      </c>
      <c r="AG94" s="24">
        <v>19.193399789871766</v>
      </c>
      <c r="AH94" s="24">
        <v>39.392853808357799</v>
      </c>
      <c r="AI94" s="24">
        <v>38.659972832133313</v>
      </c>
      <c r="AJ94" s="24">
        <v>32.631418527104422</v>
      </c>
      <c r="AK94" s="24">
        <v>27.940017439608454</v>
      </c>
      <c r="AL94" s="24">
        <v>36.228790506822044</v>
      </c>
      <c r="AM94" s="24">
        <v>39.154081556838563</v>
      </c>
      <c r="AN94" s="24">
        <v>54.489242832171271</v>
      </c>
      <c r="AO94" s="24">
        <v>49.609761403417167</v>
      </c>
      <c r="AP94" s="24">
        <v>30.178979064012015</v>
      </c>
      <c r="AQ94" s="24">
        <v>31.192280610574649</v>
      </c>
      <c r="AR94" s="24">
        <v>22.33295287436377</v>
      </c>
      <c r="AS94" s="24">
        <v>39.697242463716897</v>
      </c>
      <c r="AT94" s="24">
        <v>42.200764157704029</v>
      </c>
      <c r="AU94" s="24">
        <v>32.141953955689488</v>
      </c>
      <c r="AV94" s="24">
        <v>31.938806866541832</v>
      </c>
      <c r="AW94" s="24">
        <v>52.053975315505177</v>
      </c>
      <c r="AX94" s="24">
        <v>23.442201986177366</v>
      </c>
      <c r="AY94" s="24">
        <v>23.225023958171182</v>
      </c>
    </row>
    <row r="95" spans="1:51" x14ac:dyDescent="0.2">
      <c r="A95" s="23">
        <v>45602</v>
      </c>
      <c r="B95" s="24">
        <v>25.874369701794222</v>
      </c>
      <c r="C95" s="24">
        <v>26.144142353450988</v>
      </c>
      <c r="D95" s="24">
        <v>25.420486585426914</v>
      </c>
      <c r="E95" s="24">
        <v>19.517997661887033</v>
      </c>
      <c r="F95" s="24">
        <v>28.717211557454142</v>
      </c>
      <c r="G95" s="24">
        <v>22.879844618607144</v>
      </c>
      <c r="H95" s="24">
        <v>24.569967174763104</v>
      </c>
      <c r="I95" s="24">
        <v>50.251785119948934</v>
      </c>
      <c r="J95" s="24">
        <v>29.210683711848176</v>
      </c>
      <c r="K95" s="24">
        <v>42.427918158972446</v>
      </c>
      <c r="L95" s="24">
        <v>35.75499764249718</v>
      </c>
      <c r="M95" s="24">
        <v>30.271026111174155</v>
      </c>
      <c r="N95" s="24">
        <v>26.331965640645333</v>
      </c>
      <c r="O95" s="24">
        <v>29.998698638674725</v>
      </c>
      <c r="P95" s="24">
        <v>32.582971275863954</v>
      </c>
      <c r="Q95" s="24">
        <v>15.962128485539557</v>
      </c>
      <c r="R95" s="24">
        <v>26.193804094453082</v>
      </c>
      <c r="S95" s="24">
        <v>34.279646499618643</v>
      </c>
      <c r="T95" s="24">
        <v>34.322613386893202</v>
      </c>
      <c r="U95" s="24">
        <v>31.724386768649698</v>
      </c>
      <c r="V95" s="24">
        <v>27.001351347737618</v>
      </c>
      <c r="W95" s="24">
        <v>103.69828789758485</v>
      </c>
      <c r="X95" s="24">
        <v>28.399517048939035</v>
      </c>
      <c r="Y95" s="24">
        <v>31.121679686308756</v>
      </c>
      <c r="Z95" s="24">
        <v>48.5164402582732</v>
      </c>
      <c r="AA95" s="24">
        <v>50.098680083239223</v>
      </c>
      <c r="AB95" s="24">
        <v>65.891297237654129</v>
      </c>
      <c r="AC95" s="24">
        <v>25.590196672637159</v>
      </c>
      <c r="AD95" s="24">
        <v>104.67464843961505</v>
      </c>
      <c r="AE95" s="24">
        <v>100.68315994489403</v>
      </c>
      <c r="AF95" s="24">
        <v>41.315467787560081</v>
      </c>
      <c r="AG95" s="24">
        <v>20.807856508609603</v>
      </c>
      <c r="AH95" s="24">
        <v>37.673486148363828</v>
      </c>
      <c r="AI95" s="24">
        <v>40.443615238814168</v>
      </c>
      <c r="AJ95" s="24">
        <v>31.84311317485076</v>
      </c>
      <c r="AK95" s="24">
        <v>29.166083528889647</v>
      </c>
      <c r="AL95" s="24">
        <v>33.246139535739843</v>
      </c>
      <c r="AM95" s="24">
        <v>34.715538607155295</v>
      </c>
      <c r="AN95" s="24">
        <v>45.409332026340159</v>
      </c>
      <c r="AO95" s="24">
        <v>49.125206770107006</v>
      </c>
      <c r="AP95" s="24">
        <v>31.42752723316821</v>
      </c>
      <c r="AQ95" s="24">
        <v>31.622884655395641</v>
      </c>
      <c r="AR95" s="24">
        <v>25.721837357064302</v>
      </c>
      <c r="AS95" s="24">
        <v>29.200489535127751</v>
      </c>
      <c r="AT95" s="24">
        <v>48.12075516775603</v>
      </c>
      <c r="AU95" s="24">
        <v>31.095345048855485</v>
      </c>
      <c r="AV95" s="24">
        <v>35.345895747552447</v>
      </c>
      <c r="AW95" s="24">
        <v>50.525077660549478</v>
      </c>
      <c r="AX95" s="24">
        <v>26.795436342492135</v>
      </c>
      <c r="AY95" s="24">
        <v>23.378156702339528</v>
      </c>
    </row>
    <row r="96" spans="1:51" x14ac:dyDescent="0.2">
      <c r="A96" s="23">
        <v>45601</v>
      </c>
      <c r="B96" s="24">
        <v>26.071021109693753</v>
      </c>
      <c r="C96" s="24">
        <v>37.404486302746925</v>
      </c>
      <c r="D96" s="24">
        <v>26.278514547309985</v>
      </c>
      <c r="E96" s="24">
        <v>22.213584748352762</v>
      </c>
      <c r="F96" s="24">
        <v>29.353174247231518</v>
      </c>
      <c r="G96" s="24">
        <v>25.694674627888826</v>
      </c>
      <c r="H96" s="24">
        <v>42.494530827940316</v>
      </c>
      <c r="I96" s="24">
        <v>75.035109076742827</v>
      </c>
      <c r="J96" s="24">
        <v>40.197095252033016</v>
      </c>
      <c r="K96" s="24">
        <v>48.078966218033337</v>
      </c>
      <c r="L96" s="24">
        <v>51.317300467432311</v>
      </c>
      <c r="M96" s="24">
        <v>47.178793824534281</v>
      </c>
      <c r="N96" s="24">
        <v>39.395976922156414</v>
      </c>
      <c r="O96" s="24">
        <v>34.398070130113872</v>
      </c>
      <c r="P96" s="24">
        <v>37.508639186692534</v>
      </c>
      <c r="Q96" s="24">
        <v>17.22694381469541</v>
      </c>
      <c r="R96" s="24">
        <v>34.064846649796671</v>
      </c>
      <c r="S96" s="24">
        <v>40.224013954299856</v>
      </c>
      <c r="T96" s="24">
        <v>50.604025103844698</v>
      </c>
      <c r="U96" s="24">
        <v>36.208902598602855</v>
      </c>
      <c r="V96" s="24">
        <v>30.70862140874954</v>
      </c>
      <c r="W96" s="24">
        <v>115.59323260151785</v>
      </c>
      <c r="X96" s="24">
        <v>37.936457647156161</v>
      </c>
      <c r="Y96" s="24">
        <v>36.825683897232445</v>
      </c>
      <c r="Z96" s="24">
        <v>52.523276408034498</v>
      </c>
      <c r="AA96" s="24">
        <v>49.869547174761159</v>
      </c>
      <c r="AB96" s="24">
        <v>67.920828273428029</v>
      </c>
      <c r="AC96" s="24">
        <v>38.633036071761893</v>
      </c>
      <c r="AD96" s="24">
        <v>103.96114407225636</v>
      </c>
      <c r="AE96" s="24">
        <v>102.2119487331811</v>
      </c>
      <c r="AF96" s="24">
        <v>48.21834167583355</v>
      </c>
      <c r="AG96" s="24">
        <v>28.929613334295922</v>
      </c>
      <c r="AH96" s="24">
        <v>48.111715935587171</v>
      </c>
      <c r="AI96" s="24">
        <v>50.472540913915019</v>
      </c>
      <c r="AJ96" s="24">
        <v>41.756524497596153</v>
      </c>
      <c r="AK96" s="24">
        <v>32.648414668854649</v>
      </c>
      <c r="AL96" s="24">
        <v>48.964746955569176</v>
      </c>
      <c r="AM96" s="24">
        <v>50.278189824316605</v>
      </c>
      <c r="AN96" s="24">
        <v>58.60409828338225</v>
      </c>
      <c r="AO96" s="24">
        <v>48.899254098757659</v>
      </c>
      <c r="AP96" s="24">
        <v>35.653385101889604</v>
      </c>
      <c r="AQ96" s="24">
        <v>38.799082696838212</v>
      </c>
      <c r="AR96" s="24">
        <v>42.965924291035179</v>
      </c>
      <c r="AS96" s="24">
        <v>46.46537863709252</v>
      </c>
      <c r="AT96" s="24">
        <v>59.605501346193741</v>
      </c>
      <c r="AU96" s="24">
        <v>45.558071915622421</v>
      </c>
      <c r="AV96" s="24">
        <v>50.282394181615629</v>
      </c>
      <c r="AW96" s="24">
        <v>70.791607787059021</v>
      </c>
      <c r="AX96" s="24">
        <v>35.829099694975852</v>
      </c>
      <c r="AY96" s="24">
        <v>38.886233666338399</v>
      </c>
    </row>
    <row r="97" spans="1:51" x14ac:dyDescent="0.2">
      <c r="A97" s="23">
        <v>45600</v>
      </c>
      <c r="B97" s="24">
        <v>26.274174978717642</v>
      </c>
      <c r="C97" s="24">
        <v>36.573807472128486</v>
      </c>
      <c r="D97" s="24">
        <v>26.41365671071819</v>
      </c>
      <c r="E97" s="24">
        <v>22.331297972433681</v>
      </c>
      <c r="F97" s="24">
        <v>29.522170732768778</v>
      </c>
      <c r="G97" s="24">
        <v>25.700169765797199</v>
      </c>
      <c r="H97" s="24">
        <v>44.557146644488874</v>
      </c>
      <c r="I97" s="24">
        <v>96.60906767817319</v>
      </c>
      <c r="J97" s="24">
        <v>45.757236700220133</v>
      </c>
      <c r="K97" s="24">
        <v>53.409858954170161</v>
      </c>
      <c r="L97" s="24">
        <v>57.655476129716554</v>
      </c>
      <c r="M97" s="24">
        <v>53.823344730444234</v>
      </c>
      <c r="N97" s="24">
        <v>42.80259799534889</v>
      </c>
      <c r="O97" s="24">
        <v>35.338959570699345</v>
      </c>
      <c r="P97" s="24">
        <v>37.477627046969801</v>
      </c>
      <c r="Q97" s="24">
        <v>19.410779207560399</v>
      </c>
      <c r="R97" s="24">
        <v>34.172652294841441</v>
      </c>
      <c r="S97" s="24">
        <v>44.935024803448947</v>
      </c>
      <c r="T97" s="24">
        <v>49.527597988868926</v>
      </c>
      <c r="U97" s="24">
        <v>37.974320433398091</v>
      </c>
      <c r="V97" s="24">
        <v>30.653994717315349</v>
      </c>
      <c r="W97" s="24">
        <v>126.66201655995252</v>
      </c>
      <c r="X97" s="24">
        <v>40.591935717256014</v>
      </c>
      <c r="Y97" s="24">
        <v>36.140108478210486</v>
      </c>
      <c r="Z97" s="24">
        <v>62.989446332974502</v>
      </c>
      <c r="AA97" s="24">
        <v>57.816912562050994</v>
      </c>
      <c r="AB97" s="24">
        <v>92.20346150503552</v>
      </c>
      <c r="AC97" s="24">
        <v>39.899305515661077</v>
      </c>
      <c r="AD97" s="24">
        <v>116.91303724524212</v>
      </c>
      <c r="AE97" s="24">
        <v>117.33115781914077</v>
      </c>
      <c r="AF97" s="24">
        <v>51.049525149078953</v>
      </c>
      <c r="AG97" s="24">
        <v>31.735615776554823</v>
      </c>
      <c r="AH97" s="24">
        <v>60.527007641429798</v>
      </c>
      <c r="AI97" s="24">
        <v>55.626226214787003</v>
      </c>
      <c r="AJ97" s="24">
        <v>49.011565658705393</v>
      </c>
      <c r="AK97" s="24">
        <v>32.620005672544245</v>
      </c>
      <c r="AL97" s="24">
        <v>48.979679830507244</v>
      </c>
      <c r="AM97" s="24">
        <v>56.670132150049604</v>
      </c>
      <c r="AN97" s="24">
        <v>60.259423976783303</v>
      </c>
      <c r="AO97" s="24">
        <v>58.578807314741113</v>
      </c>
      <c r="AP97" s="24">
        <v>37.662524706338111</v>
      </c>
      <c r="AQ97" s="24">
        <v>47.330146434870173</v>
      </c>
      <c r="AR97" s="24">
        <v>46.988430222793653</v>
      </c>
      <c r="AS97" s="24">
        <v>53.686437187816239</v>
      </c>
      <c r="AT97" s="24">
        <v>60.656874316712674</v>
      </c>
      <c r="AU97" s="24">
        <v>46.127081797984459</v>
      </c>
      <c r="AV97" s="24">
        <v>54.143288853567064</v>
      </c>
      <c r="AW97" s="24">
        <v>97.568382061976678</v>
      </c>
      <c r="AX97" s="24">
        <v>35.620841884004868</v>
      </c>
      <c r="AY97" s="24">
        <v>39.008906127103849</v>
      </c>
    </row>
    <row r="98" spans="1:51" x14ac:dyDescent="0.2">
      <c r="A98" s="23">
        <v>45597</v>
      </c>
      <c r="B98" s="24">
        <v>28.041008134648834</v>
      </c>
      <c r="C98" s="24">
        <v>45.128389239845454</v>
      </c>
      <c r="D98" s="24">
        <v>27.442893848603237</v>
      </c>
      <c r="E98" s="24">
        <v>29.171758200628108</v>
      </c>
      <c r="F98" s="24">
        <v>31.970061478502547</v>
      </c>
      <c r="G98" s="24">
        <v>27.433773896680108</v>
      </c>
      <c r="H98" s="24">
        <v>52.180485220797884</v>
      </c>
      <c r="I98" s="24">
        <v>103.22908602109574</v>
      </c>
      <c r="J98" s="24">
        <v>49.007452913497353</v>
      </c>
      <c r="K98" s="24">
        <v>57.014144638176774</v>
      </c>
      <c r="L98" s="24">
        <v>66.854651566961152</v>
      </c>
      <c r="M98" s="24">
        <v>63.121638093624043</v>
      </c>
      <c r="N98" s="24">
        <v>51.698425690610009</v>
      </c>
      <c r="O98" s="24">
        <v>38.66490989904009</v>
      </c>
      <c r="P98" s="24">
        <v>43.080734497891925</v>
      </c>
      <c r="Q98" s="24">
        <v>23.86298873459388</v>
      </c>
      <c r="R98" s="24">
        <v>38.307401796048623</v>
      </c>
      <c r="S98" s="24">
        <v>47.322634789860444</v>
      </c>
      <c r="T98" s="24">
        <v>60.60232074938024</v>
      </c>
      <c r="U98" s="24">
        <v>40.476725127550488</v>
      </c>
      <c r="V98" s="24">
        <v>31.703937180379004</v>
      </c>
      <c r="W98" s="24">
        <v>139.06891498387742</v>
      </c>
      <c r="X98" s="24">
        <v>44.495470016599398</v>
      </c>
      <c r="Y98" s="24">
        <v>38.395960863766305</v>
      </c>
      <c r="Z98" s="24">
        <v>70.300271647832986</v>
      </c>
      <c r="AA98" s="24">
        <v>65.172715661025336</v>
      </c>
      <c r="AB98" s="24">
        <v>110.1937675457484</v>
      </c>
      <c r="AC98" s="24">
        <v>44.319062614498215</v>
      </c>
      <c r="AD98" s="24">
        <v>129.91531580464363</v>
      </c>
      <c r="AE98" s="24">
        <v>130.42474853203404</v>
      </c>
      <c r="AF98" s="24">
        <v>58.456919301976434</v>
      </c>
      <c r="AG98" s="24">
        <v>33.045542092772209</v>
      </c>
      <c r="AH98" s="24">
        <v>70.41786270503728</v>
      </c>
      <c r="AI98" s="24">
        <v>60.892428661971337</v>
      </c>
      <c r="AJ98" s="24">
        <v>55.671422299255745</v>
      </c>
      <c r="AK98" s="24">
        <v>42.428182009519787</v>
      </c>
      <c r="AL98" s="24">
        <v>58.617218354056284</v>
      </c>
      <c r="AM98" s="24">
        <v>66.0470023007842</v>
      </c>
      <c r="AN98" s="24">
        <v>69.248651158001564</v>
      </c>
      <c r="AO98" s="24">
        <v>65.794163155277658</v>
      </c>
      <c r="AP98" s="24">
        <v>44.731222415001156</v>
      </c>
      <c r="AQ98" s="24">
        <v>55.315960816508422</v>
      </c>
      <c r="AR98" s="24">
        <v>52.83872110193132</v>
      </c>
      <c r="AS98" s="24">
        <v>63.737930298669816</v>
      </c>
      <c r="AT98" s="24">
        <v>64.62640675982928</v>
      </c>
      <c r="AU98" s="24">
        <v>52.825124236692481</v>
      </c>
      <c r="AV98" s="24">
        <v>57.413697328699449</v>
      </c>
      <c r="AW98" s="24">
        <v>106.31728490019287</v>
      </c>
      <c r="AX98" s="24">
        <v>38.419792214729675</v>
      </c>
      <c r="AY98" s="24">
        <v>42.793126053350385</v>
      </c>
    </row>
    <row r="99" spans="1:51" x14ac:dyDescent="0.2">
      <c r="A99" s="23">
        <v>45596</v>
      </c>
      <c r="B99" s="24">
        <v>29.465630235324237</v>
      </c>
      <c r="C99" s="24">
        <v>50.770606944525028</v>
      </c>
      <c r="D99" s="24">
        <v>30.595265077572609</v>
      </c>
      <c r="E99" s="24">
        <v>29.092031756078679</v>
      </c>
      <c r="F99" s="24">
        <v>34.769869464979323</v>
      </c>
      <c r="G99" s="24">
        <v>28.311888248812537</v>
      </c>
      <c r="H99" s="24">
        <v>51.370083626914742</v>
      </c>
      <c r="I99" s="24">
        <v>108.37562920485645</v>
      </c>
      <c r="J99" s="24">
        <v>48.760626533819483</v>
      </c>
      <c r="K99" s="24">
        <v>59.531655682030511</v>
      </c>
      <c r="L99" s="24">
        <v>66.954145656971434</v>
      </c>
      <c r="M99" s="24">
        <v>63.684515036290399</v>
      </c>
      <c r="N99" s="24">
        <v>50.934611548412036</v>
      </c>
      <c r="O99" s="24">
        <v>38.048334926692284</v>
      </c>
      <c r="P99" s="24">
        <v>43.059957730004001</v>
      </c>
      <c r="Q99" s="24">
        <v>23.119946568847979</v>
      </c>
      <c r="R99" s="24">
        <v>37.809206987324586</v>
      </c>
      <c r="S99" s="24">
        <v>47.167945923954591</v>
      </c>
      <c r="T99" s="24">
        <v>69.177882788716758</v>
      </c>
      <c r="U99" s="24">
        <v>41.189552221653948</v>
      </c>
      <c r="V99" s="24">
        <v>33.590893890607489</v>
      </c>
      <c r="W99" s="24">
        <v>138.73601444250684</v>
      </c>
      <c r="X99" s="24">
        <v>44.541159977878415</v>
      </c>
      <c r="Y99" s="24">
        <v>37.351811668486071</v>
      </c>
      <c r="Z99" s="24">
        <v>72.505331411752309</v>
      </c>
      <c r="AA99" s="24">
        <v>72.038882085267545</v>
      </c>
      <c r="AB99" s="24">
        <v>109.2716104093831</v>
      </c>
      <c r="AC99" s="24">
        <v>43.715859441987099</v>
      </c>
      <c r="AD99" s="24">
        <v>142.01129825201411</v>
      </c>
      <c r="AE99" s="24">
        <v>122.77271814719687</v>
      </c>
      <c r="AF99" s="24">
        <v>61.024024641941189</v>
      </c>
      <c r="AG99" s="24">
        <v>32.868547257536825</v>
      </c>
      <c r="AH99" s="24">
        <v>79.550474541715758</v>
      </c>
      <c r="AI99" s="24">
        <v>63.350380269820143</v>
      </c>
      <c r="AJ99" s="24">
        <v>57.706683581562096</v>
      </c>
      <c r="AK99" s="24">
        <v>41.96582916195603</v>
      </c>
      <c r="AL99" s="24">
        <v>59.493389323188687</v>
      </c>
      <c r="AM99" s="24">
        <v>66.216223017283383</v>
      </c>
      <c r="AN99" s="24">
        <v>75.635506816792869</v>
      </c>
      <c r="AO99" s="24">
        <v>72.081579110287265</v>
      </c>
      <c r="AP99" s="24">
        <v>44.840427544510121</v>
      </c>
      <c r="AQ99" s="24">
        <v>55.315929881851908</v>
      </c>
      <c r="AR99" s="24">
        <v>53.433487287538611</v>
      </c>
      <c r="AS99" s="24">
        <v>66.800354914395086</v>
      </c>
      <c r="AT99" s="24">
        <v>64.270650186136251</v>
      </c>
      <c r="AU99" s="24">
        <v>56.713304456663906</v>
      </c>
      <c r="AV99" s="24">
        <v>54.376477593385324</v>
      </c>
      <c r="AW99" s="24">
        <v>109.61249937721608</v>
      </c>
      <c r="AX99" s="24">
        <v>38.739663071019315</v>
      </c>
      <c r="AY99" s="24">
        <v>45.836431329664634</v>
      </c>
    </row>
    <row r="100" spans="1:51" x14ac:dyDescent="0.2">
      <c r="A100" s="23">
        <v>45595</v>
      </c>
      <c r="B100" s="24">
        <v>30.942189046263721</v>
      </c>
      <c r="C100" s="24">
        <v>59.511356938368998</v>
      </c>
      <c r="D100" s="24">
        <v>30.81771333287924</v>
      </c>
      <c r="E100" s="24">
        <v>29.282987959560515</v>
      </c>
      <c r="F100" s="24">
        <v>36.148512321315394</v>
      </c>
      <c r="G100" s="24">
        <v>29.157097608347136</v>
      </c>
      <c r="H100" s="24">
        <v>51.370141962188285</v>
      </c>
      <c r="I100" s="24">
        <v>108.1903626719739</v>
      </c>
      <c r="J100" s="24">
        <v>49.641165835308506</v>
      </c>
      <c r="K100" s="24">
        <v>57.510095602881876</v>
      </c>
      <c r="L100" s="24">
        <v>67.300223488230031</v>
      </c>
      <c r="M100" s="24">
        <v>66.610683952505141</v>
      </c>
      <c r="N100" s="24">
        <v>51.412519661377985</v>
      </c>
      <c r="O100" s="24">
        <v>38.993917008756213</v>
      </c>
      <c r="P100" s="24">
        <v>43.698850744496788</v>
      </c>
      <c r="Q100" s="24">
        <v>23.347537176891418</v>
      </c>
      <c r="R100" s="24">
        <v>37.926595072857467</v>
      </c>
      <c r="S100" s="24">
        <v>49.752058587338787</v>
      </c>
      <c r="T100" s="24">
        <v>75.717188162483595</v>
      </c>
      <c r="U100" s="24">
        <v>42.142490346292611</v>
      </c>
      <c r="V100" s="24">
        <v>36.562382705059193</v>
      </c>
      <c r="W100" s="24">
        <v>138.56707338010034</v>
      </c>
      <c r="X100" s="24">
        <v>46.415371287725293</v>
      </c>
      <c r="Y100" s="24">
        <v>38.035318014154484</v>
      </c>
      <c r="Z100" s="24">
        <v>72.030691890490928</v>
      </c>
      <c r="AA100" s="24">
        <v>73.987971002841093</v>
      </c>
      <c r="AB100" s="24">
        <v>109.28268726837588</v>
      </c>
      <c r="AC100" s="24">
        <v>46.863052169354752</v>
      </c>
      <c r="AD100" s="24">
        <v>145.59516386275305</v>
      </c>
      <c r="AE100" s="24">
        <v>122.98840147738662</v>
      </c>
      <c r="AF100" s="24">
        <v>62.96263881144521</v>
      </c>
      <c r="AG100" s="24">
        <v>34.963657311515192</v>
      </c>
      <c r="AH100" s="24">
        <v>79.216260586669762</v>
      </c>
      <c r="AI100" s="24">
        <v>62.84994036487609</v>
      </c>
      <c r="AJ100" s="24">
        <v>60.895880812202776</v>
      </c>
      <c r="AK100" s="24">
        <v>39.450412359010286</v>
      </c>
      <c r="AL100" s="24">
        <v>63.114762294649005</v>
      </c>
      <c r="AM100" s="24">
        <v>67.222105116239021</v>
      </c>
      <c r="AN100" s="24">
        <v>81.885160364243788</v>
      </c>
      <c r="AO100" s="24">
        <v>72.208739027537632</v>
      </c>
      <c r="AP100" s="24">
        <v>47.011861319497378</v>
      </c>
      <c r="AQ100" s="24">
        <v>54.19131142108246</v>
      </c>
      <c r="AR100" s="24">
        <v>57.16369548542594</v>
      </c>
      <c r="AS100" s="24">
        <v>70.42494187734664</v>
      </c>
      <c r="AT100" s="24">
        <v>67.081513503309765</v>
      </c>
      <c r="AU100" s="24">
        <v>58.439282097026464</v>
      </c>
      <c r="AV100" s="24">
        <v>55.366686081545616</v>
      </c>
      <c r="AW100" s="24">
        <v>110.51810578423515</v>
      </c>
      <c r="AX100" s="24">
        <v>42.064495193289382</v>
      </c>
      <c r="AY100" s="24">
        <v>48.576212774279128</v>
      </c>
    </row>
    <row r="101" spans="1:51" x14ac:dyDescent="0.2">
      <c r="A101" s="23">
        <v>45594</v>
      </c>
      <c r="B101" s="24">
        <v>30.883367191957266</v>
      </c>
      <c r="C101" s="24">
        <v>59.700041977325775</v>
      </c>
      <c r="D101" s="24">
        <v>30.443143320046918</v>
      </c>
      <c r="E101" s="24">
        <v>29.289743562240471</v>
      </c>
      <c r="F101" s="24">
        <v>35.91734976469197</v>
      </c>
      <c r="G101" s="24">
        <v>28.718886811176446</v>
      </c>
      <c r="H101" s="24">
        <v>51.299850167656778</v>
      </c>
      <c r="I101" s="24">
        <v>107.95316169659391</v>
      </c>
      <c r="J101" s="24">
        <v>49.556230559482252</v>
      </c>
      <c r="K101" s="24">
        <v>58.114586539112665</v>
      </c>
      <c r="L101" s="24">
        <v>67.18037134907344</v>
      </c>
      <c r="M101" s="24">
        <v>65.13948864087223</v>
      </c>
      <c r="N101" s="24">
        <v>51.186931785015659</v>
      </c>
      <c r="O101" s="24">
        <v>39.134587964673337</v>
      </c>
      <c r="P101" s="24">
        <v>43.761095456126277</v>
      </c>
      <c r="Q101" s="24">
        <v>23.50822849319043</v>
      </c>
      <c r="R101" s="24">
        <v>37.922990556032936</v>
      </c>
      <c r="S101" s="24">
        <v>50.116978640644241</v>
      </c>
      <c r="T101" s="24">
        <v>75.240107081119845</v>
      </c>
      <c r="U101" s="24">
        <v>41.27533754787919</v>
      </c>
      <c r="V101" s="24">
        <v>36.750795107004393</v>
      </c>
      <c r="W101" s="24">
        <v>133.60182061958807</v>
      </c>
      <c r="X101" s="24">
        <v>46.577319404721806</v>
      </c>
      <c r="Y101" s="24">
        <v>38.862401669375267</v>
      </c>
      <c r="Z101" s="24">
        <v>71.946394454029772</v>
      </c>
      <c r="AA101" s="24">
        <v>73.975473350301186</v>
      </c>
      <c r="AB101" s="24">
        <v>108.73134909437042</v>
      </c>
      <c r="AC101" s="24">
        <v>46.849983085134973</v>
      </c>
      <c r="AD101" s="24">
        <v>144.17501297322224</v>
      </c>
      <c r="AE101" s="24">
        <v>123.52734142940409</v>
      </c>
      <c r="AF101" s="24">
        <v>62.83258267464884</v>
      </c>
      <c r="AG101" s="24">
        <v>37.612672341200678</v>
      </c>
      <c r="AH101" s="24">
        <v>79.154380594244927</v>
      </c>
      <c r="AI101" s="24">
        <v>62.784772018357728</v>
      </c>
      <c r="AJ101" s="24">
        <v>60.23808681842393</v>
      </c>
      <c r="AK101" s="24">
        <v>39.604858895496385</v>
      </c>
      <c r="AL101" s="24">
        <v>61.247805815416882</v>
      </c>
      <c r="AM101" s="24">
        <v>66.689402006108111</v>
      </c>
      <c r="AN101" s="24">
        <v>80.6997848216389</v>
      </c>
      <c r="AO101" s="24">
        <v>72.324512394640891</v>
      </c>
      <c r="AP101" s="24">
        <v>46.891649238953555</v>
      </c>
      <c r="AQ101" s="24">
        <v>54.030355530367629</v>
      </c>
      <c r="AR101" s="24">
        <v>56.514215961921643</v>
      </c>
      <c r="AS101" s="24">
        <v>69.781756070058435</v>
      </c>
      <c r="AT101" s="24">
        <v>68.405862024870984</v>
      </c>
      <c r="AU101" s="24">
        <v>58.563233201708854</v>
      </c>
      <c r="AV101" s="24">
        <v>55.215919656316942</v>
      </c>
      <c r="AW101" s="24">
        <v>110.19124081000012</v>
      </c>
      <c r="AX101" s="24">
        <v>41.971161023494794</v>
      </c>
      <c r="AY101" s="24">
        <v>48.033876542341055</v>
      </c>
    </row>
    <row r="102" spans="1:51" x14ac:dyDescent="0.2">
      <c r="A102" s="23">
        <v>45593</v>
      </c>
      <c r="B102" s="24">
        <v>35.011974634946938</v>
      </c>
      <c r="C102" s="24">
        <v>64.807640575637492</v>
      </c>
      <c r="D102" s="24">
        <v>33.231782980917082</v>
      </c>
      <c r="E102" s="24">
        <v>31.30454579830074</v>
      </c>
      <c r="F102" s="24">
        <v>38.944297106388795</v>
      </c>
      <c r="G102" s="24">
        <v>32.555441063432866</v>
      </c>
      <c r="H102" s="24">
        <v>52.945072965117667</v>
      </c>
      <c r="I102" s="24">
        <v>108.07939650188679</v>
      </c>
      <c r="J102" s="24">
        <v>52.067341862894892</v>
      </c>
      <c r="K102" s="24">
        <v>58.094679773624605</v>
      </c>
      <c r="L102" s="24">
        <v>67.77245334826911</v>
      </c>
      <c r="M102" s="24">
        <v>66.627784444477669</v>
      </c>
      <c r="N102" s="24">
        <v>52.256195385582849</v>
      </c>
      <c r="O102" s="24">
        <v>43.138408824099521</v>
      </c>
      <c r="P102" s="24">
        <v>44.888163612430375</v>
      </c>
      <c r="Q102" s="24">
        <v>24.554308348720504</v>
      </c>
      <c r="R102" s="24">
        <v>39.622132331184083</v>
      </c>
      <c r="S102" s="24">
        <v>49.814427451032856</v>
      </c>
      <c r="T102" s="24">
        <v>76.887236514515919</v>
      </c>
      <c r="U102" s="24">
        <v>42.633679969261046</v>
      </c>
      <c r="V102" s="24">
        <v>43.046613632206956</v>
      </c>
      <c r="W102" s="24">
        <v>132.60877014142045</v>
      </c>
      <c r="X102" s="24">
        <v>47.812090092775392</v>
      </c>
      <c r="Y102" s="24">
        <v>41.369764726501316</v>
      </c>
      <c r="Z102" s="24">
        <v>77.49613820996656</v>
      </c>
      <c r="AA102" s="24">
        <v>76.497475350467653</v>
      </c>
      <c r="AB102" s="24">
        <v>108.75393802545977</v>
      </c>
      <c r="AC102" s="24">
        <v>49.103077786981189</v>
      </c>
      <c r="AD102" s="24">
        <v>145.26645250127652</v>
      </c>
      <c r="AE102" s="24">
        <v>122.8702851120447</v>
      </c>
      <c r="AF102" s="24">
        <v>63.265181744199424</v>
      </c>
      <c r="AG102" s="24">
        <v>40.768492962345704</v>
      </c>
      <c r="AH102" s="24">
        <v>79.305546239597376</v>
      </c>
      <c r="AI102" s="24">
        <v>65.52162338292176</v>
      </c>
      <c r="AJ102" s="24">
        <v>60.308192607062708</v>
      </c>
      <c r="AK102" s="24">
        <v>39.48164726841317</v>
      </c>
      <c r="AL102" s="24">
        <v>64.358662704402192</v>
      </c>
      <c r="AM102" s="24">
        <v>67.215013482198898</v>
      </c>
      <c r="AN102" s="24">
        <v>82.747778132144447</v>
      </c>
      <c r="AO102" s="24">
        <v>72.838517481794113</v>
      </c>
      <c r="AP102" s="24">
        <v>46.840474840270552</v>
      </c>
      <c r="AQ102" s="24">
        <v>53.947583519810031</v>
      </c>
      <c r="AR102" s="24">
        <v>56.924463289940618</v>
      </c>
      <c r="AS102" s="24">
        <v>71.350688768543151</v>
      </c>
      <c r="AT102" s="24">
        <v>69.653300276069018</v>
      </c>
      <c r="AU102" s="24">
        <v>59.106886144347399</v>
      </c>
      <c r="AV102" s="24">
        <v>56.409168679133067</v>
      </c>
      <c r="AW102" s="24">
        <v>112.39431668295798</v>
      </c>
      <c r="AX102" s="24">
        <v>44.368094094469839</v>
      </c>
      <c r="AY102" s="24">
        <v>48.099506744091897</v>
      </c>
    </row>
    <row r="103" spans="1:51" x14ac:dyDescent="0.2">
      <c r="A103" s="23">
        <v>45590</v>
      </c>
      <c r="B103" s="24">
        <v>34.817159695548831</v>
      </c>
      <c r="C103" s="24">
        <v>64.918823165945085</v>
      </c>
      <c r="D103" s="24">
        <v>33.258333443389049</v>
      </c>
      <c r="E103" s="24">
        <v>31.31608586200721</v>
      </c>
      <c r="F103" s="24">
        <v>38.605020656828778</v>
      </c>
      <c r="G103" s="24">
        <v>32.547962755406658</v>
      </c>
      <c r="H103" s="24">
        <v>53.036610624371207</v>
      </c>
      <c r="I103" s="24">
        <v>107.66916824423926</v>
      </c>
      <c r="J103" s="24">
        <v>51.244210621510994</v>
      </c>
      <c r="K103" s="24">
        <v>58.927131168874212</v>
      </c>
      <c r="L103" s="24">
        <v>67.180230583219711</v>
      </c>
      <c r="M103" s="24">
        <v>66.560052152911226</v>
      </c>
      <c r="N103" s="24">
        <v>51.850600707113088</v>
      </c>
      <c r="O103" s="24">
        <v>43.375527455318306</v>
      </c>
      <c r="P103" s="24">
        <v>44.877256860691176</v>
      </c>
      <c r="Q103" s="24">
        <v>24.573192297728777</v>
      </c>
      <c r="R103" s="24">
        <v>40.003398643400295</v>
      </c>
      <c r="S103" s="24">
        <v>50.037311995106357</v>
      </c>
      <c r="T103" s="24">
        <v>76.427861235714175</v>
      </c>
      <c r="U103" s="24">
        <v>42.048550066414329</v>
      </c>
      <c r="V103" s="24">
        <v>42.913160525977091</v>
      </c>
      <c r="W103" s="24">
        <v>132.76262356353507</v>
      </c>
      <c r="X103" s="24">
        <v>47.727054245437749</v>
      </c>
      <c r="Y103" s="24">
        <v>41.413642846707447</v>
      </c>
      <c r="Z103" s="24">
        <v>77.14761586971558</v>
      </c>
      <c r="AA103" s="24">
        <v>76.456500473046404</v>
      </c>
      <c r="AB103" s="24">
        <v>109.04441673946266</v>
      </c>
      <c r="AC103" s="24">
        <v>49.141592976009328</v>
      </c>
      <c r="AD103" s="24">
        <v>145.30262257898437</v>
      </c>
      <c r="AE103" s="24">
        <v>123.01861266297747</v>
      </c>
      <c r="AF103" s="24">
        <v>62.913508304581015</v>
      </c>
      <c r="AG103" s="24">
        <v>40.664304460922267</v>
      </c>
      <c r="AH103" s="24">
        <v>80.093496623272173</v>
      </c>
      <c r="AI103" s="24">
        <v>65.657883673581409</v>
      </c>
      <c r="AJ103" s="24">
        <v>60.309118487983397</v>
      </c>
      <c r="AK103" s="24">
        <v>39.491581557572076</v>
      </c>
      <c r="AL103" s="24">
        <v>64.041378721977011</v>
      </c>
      <c r="AM103" s="24">
        <v>66.9792254426482</v>
      </c>
      <c r="AN103" s="24">
        <v>81.912200260848479</v>
      </c>
      <c r="AO103" s="24">
        <v>74.297923136265155</v>
      </c>
      <c r="AP103" s="24">
        <v>46.601442742991331</v>
      </c>
      <c r="AQ103" s="24">
        <v>53.801334584946936</v>
      </c>
      <c r="AR103" s="24">
        <v>56.699196646457608</v>
      </c>
      <c r="AS103" s="24">
        <v>71.213637965271488</v>
      </c>
      <c r="AT103" s="24">
        <v>68.473753158122662</v>
      </c>
      <c r="AU103" s="24">
        <v>58.58380956224903</v>
      </c>
      <c r="AV103" s="24">
        <v>56.453178109046164</v>
      </c>
      <c r="AW103" s="24">
        <v>112.46512643007351</v>
      </c>
      <c r="AX103" s="24">
        <v>44.524272204415908</v>
      </c>
      <c r="AY103" s="24">
        <v>47.967991325285212</v>
      </c>
    </row>
    <row r="104" spans="1:51" x14ac:dyDescent="0.2">
      <c r="A104" s="23">
        <v>45589</v>
      </c>
      <c r="B104" s="24">
        <v>34.609614417634631</v>
      </c>
      <c r="C104" s="24">
        <v>64.946657935617807</v>
      </c>
      <c r="D104" s="24">
        <v>32.944187327752743</v>
      </c>
      <c r="E104" s="24">
        <v>31.691781316631296</v>
      </c>
      <c r="F104" s="24">
        <v>38.35623794019709</v>
      </c>
      <c r="G104" s="24">
        <v>32.315383857944411</v>
      </c>
      <c r="H104" s="24">
        <v>52.9264755950013</v>
      </c>
      <c r="I104" s="24">
        <v>107.22189846962091</v>
      </c>
      <c r="J104" s="24">
        <v>50.948692197749004</v>
      </c>
      <c r="K104" s="24">
        <v>58.932768661992732</v>
      </c>
      <c r="L104" s="24">
        <v>66.951275809521064</v>
      </c>
      <c r="M104" s="24">
        <v>66.250921585864759</v>
      </c>
      <c r="N104" s="24">
        <v>51.483155952251337</v>
      </c>
      <c r="O104" s="24">
        <v>43.281428804928211</v>
      </c>
      <c r="P104" s="24">
        <v>45.385061458267813</v>
      </c>
      <c r="Q104" s="24">
        <v>23.998057544263482</v>
      </c>
      <c r="R104" s="24">
        <v>40.038495313940977</v>
      </c>
      <c r="S104" s="24">
        <v>49.887527006848543</v>
      </c>
      <c r="T104" s="24">
        <v>76.754103339149538</v>
      </c>
      <c r="U104" s="24">
        <v>41.702919802539348</v>
      </c>
      <c r="V104" s="24">
        <v>42.812544050276465</v>
      </c>
      <c r="W104" s="24">
        <v>132.28364198650038</v>
      </c>
      <c r="X104" s="24">
        <v>47.609157237948708</v>
      </c>
      <c r="Y104" s="24">
        <v>41.786876003314383</v>
      </c>
      <c r="Z104" s="24">
        <v>77.31765572595981</v>
      </c>
      <c r="AA104" s="24">
        <v>76.720124618561954</v>
      </c>
      <c r="AB104" s="24">
        <v>108.49910818542467</v>
      </c>
      <c r="AC104" s="24">
        <v>48.906236966494284</v>
      </c>
      <c r="AD104" s="24">
        <v>145.81386142805715</v>
      </c>
      <c r="AE104" s="24">
        <v>122.81359935347255</v>
      </c>
      <c r="AF104" s="24">
        <v>62.923732775158818</v>
      </c>
      <c r="AG104" s="24">
        <v>40.480647810019796</v>
      </c>
      <c r="AH104" s="24">
        <v>80.3838755496066</v>
      </c>
      <c r="AI104" s="24">
        <v>65.305427861880304</v>
      </c>
      <c r="AJ104" s="24">
        <v>63.343888717972412</v>
      </c>
      <c r="AK104" s="24">
        <v>39.331472992738853</v>
      </c>
      <c r="AL104" s="24">
        <v>63.941672722112699</v>
      </c>
      <c r="AM104" s="24">
        <v>66.694965988929511</v>
      </c>
      <c r="AN104" s="24">
        <v>81.92829690608967</v>
      </c>
      <c r="AO104" s="24">
        <v>74.262169000872646</v>
      </c>
      <c r="AP104" s="24">
        <v>46.022232571387605</v>
      </c>
      <c r="AQ104" s="24">
        <v>53.52552366196813</v>
      </c>
      <c r="AR104" s="24">
        <v>56.501186053254706</v>
      </c>
      <c r="AS104" s="24">
        <v>71.395277717467138</v>
      </c>
      <c r="AT104" s="24">
        <v>68.202922377837453</v>
      </c>
      <c r="AU104" s="24">
        <v>58.574960205671246</v>
      </c>
      <c r="AV104" s="24">
        <v>56.493593479591148</v>
      </c>
      <c r="AW104" s="24">
        <v>112.55612584651966</v>
      </c>
      <c r="AX104" s="24">
        <v>44.097448303005294</v>
      </c>
      <c r="AY104" s="24">
        <v>48.089610642163237</v>
      </c>
    </row>
    <row r="105" spans="1:51" x14ac:dyDescent="0.2">
      <c r="A105" s="23">
        <v>45588</v>
      </c>
      <c r="B105" s="24">
        <v>34.772579315717742</v>
      </c>
      <c r="C105" s="24">
        <v>64.765181515681903</v>
      </c>
      <c r="D105" s="24">
        <v>32.97301245223364</v>
      </c>
      <c r="E105" s="24">
        <v>30.866383962821278</v>
      </c>
      <c r="F105" s="24">
        <v>38.620761966636131</v>
      </c>
      <c r="G105" s="24">
        <v>32.544986494260584</v>
      </c>
      <c r="H105" s="24">
        <v>52.868473217120282</v>
      </c>
      <c r="I105" s="24">
        <v>106.86766018981105</v>
      </c>
      <c r="J105" s="24">
        <v>50.975668826875733</v>
      </c>
      <c r="K105" s="24">
        <v>58.676380889495952</v>
      </c>
      <c r="L105" s="24">
        <v>66.44709109467847</v>
      </c>
      <c r="M105" s="24">
        <v>65.968697809116136</v>
      </c>
      <c r="N105" s="24">
        <v>51.573258726147976</v>
      </c>
      <c r="O105" s="24">
        <v>43.428633068995047</v>
      </c>
      <c r="P105" s="24">
        <v>45.210234440718445</v>
      </c>
      <c r="Q105" s="24">
        <v>23.993096006585958</v>
      </c>
      <c r="R105" s="24">
        <v>39.83711950700166</v>
      </c>
      <c r="S105" s="24">
        <v>49.56345038852848</v>
      </c>
      <c r="T105" s="24">
        <v>76.218244916566462</v>
      </c>
      <c r="U105" s="24">
        <v>41.795572410424136</v>
      </c>
      <c r="V105" s="24">
        <v>42.83297966415914</v>
      </c>
      <c r="W105" s="24">
        <v>132.49376599887481</v>
      </c>
      <c r="X105" s="24">
        <v>47.653167032155004</v>
      </c>
      <c r="Y105" s="24">
        <v>40.987990681012661</v>
      </c>
      <c r="Z105" s="24">
        <v>76.859512353831917</v>
      </c>
      <c r="AA105" s="24">
        <v>76.038753904464585</v>
      </c>
      <c r="AB105" s="24">
        <v>107.82469857800442</v>
      </c>
      <c r="AC105" s="24">
        <v>48.841722383062255</v>
      </c>
      <c r="AD105" s="24">
        <v>144.62573379223846</v>
      </c>
      <c r="AE105" s="24">
        <v>123.33082689523857</v>
      </c>
      <c r="AF105" s="24">
        <v>62.669210288674115</v>
      </c>
      <c r="AG105" s="24">
        <v>40.525844433115779</v>
      </c>
      <c r="AH105" s="24">
        <v>80.375712695029151</v>
      </c>
      <c r="AI105" s="24">
        <v>63.977641363579217</v>
      </c>
      <c r="AJ105" s="24">
        <v>61.256763063976187</v>
      </c>
      <c r="AK105" s="24">
        <v>38.466254950647198</v>
      </c>
      <c r="AL105" s="24">
        <v>63.352071551604546</v>
      </c>
      <c r="AM105" s="24">
        <v>66.606047333262424</v>
      </c>
      <c r="AN105" s="24">
        <v>80.704961073792418</v>
      </c>
      <c r="AO105" s="24">
        <v>73.905103548309441</v>
      </c>
      <c r="AP105" s="24">
        <v>46.315303249459241</v>
      </c>
      <c r="AQ105" s="24">
        <v>53.090478704788232</v>
      </c>
      <c r="AR105" s="24">
        <v>56.100384402429398</v>
      </c>
      <c r="AS105" s="24">
        <v>71.079649968742416</v>
      </c>
      <c r="AT105" s="24">
        <v>66.889918311292902</v>
      </c>
      <c r="AU105" s="24">
        <v>59.156138131330216</v>
      </c>
      <c r="AV105" s="24">
        <v>56.760369682769436</v>
      </c>
      <c r="AW105" s="24">
        <v>112.53299441680655</v>
      </c>
      <c r="AX105" s="24">
        <v>43.884702713711604</v>
      </c>
      <c r="AY105" s="24">
        <v>47.910576745023263</v>
      </c>
    </row>
    <row r="106" spans="1:51" x14ac:dyDescent="0.2">
      <c r="A106" s="23">
        <v>45587</v>
      </c>
      <c r="B106" s="24">
        <v>35.263932757132025</v>
      </c>
      <c r="C106" s="24">
        <v>66.185879131089209</v>
      </c>
      <c r="D106" s="24">
        <v>33.06669953792526</v>
      </c>
      <c r="E106" s="24">
        <v>30.871432063845685</v>
      </c>
      <c r="F106" s="24">
        <v>38.690050545905024</v>
      </c>
      <c r="G106" s="24">
        <v>32.81279687070144</v>
      </c>
      <c r="H106" s="24">
        <v>53.162775842954005</v>
      </c>
      <c r="I106" s="24">
        <v>106.62492943193564</v>
      </c>
      <c r="J106" s="24">
        <v>50.998854371946571</v>
      </c>
      <c r="K106" s="24">
        <v>58.675779995017827</v>
      </c>
      <c r="L106" s="24">
        <v>66.472083021045179</v>
      </c>
      <c r="M106" s="24">
        <v>65.939586162663701</v>
      </c>
      <c r="N106" s="24">
        <v>51.571187815189148</v>
      </c>
      <c r="O106" s="24">
        <v>43.215094457951537</v>
      </c>
      <c r="P106" s="24">
        <v>45.020813364955998</v>
      </c>
      <c r="Q106" s="24">
        <v>23.996319052255018</v>
      </c>
      <c r="R106" s="24">
        <v>41.190944024279652</v>
      </c>
      <c r="S106" s="24">
        <v>49.870508460612399</v>
      </c>
      <c r="T106" s="24">
        <v>76.904162032848589</v>
      </c>
      <c r="U106" s="24">
        <v>41.812045306701727</v>
      </c>
      <c r="V106" s="24">
        <v>42.66800362751502</v>
      </c>
      <c r="W106" s="24">
        <v>129.64586760081488</v>
      </c>
      <c r="X106" s="24">
        <v>47.578842896315415</v>
      </c>
      <c r="Y106" s="24">
        <v>40.663328735411227</v>
      </c>
      <c r="Z106" s="24">
        <v>76.946198505012333</v>
      </c>
      <c r="AA106" s="24">
        <v>75.87859521273549</v>
      </c>
      <c r="AB106" s="24">
        <v>109.09321472397812</v>
      </c>
      <c r="AC106" s="24">
        <v>48.800565543840897</v>
      </c>
      <c r="AD106" s="24">
        <v>144.29087797041475</v>
      </c>
      <c r="AE106" s="24">
        <v>126.0681297950142</v>
      </c>
      <c r="AF106" s="24">
        <v>62.668383789175117</v>
      </c>
      <c r="AG106" s="24">
        <v>40.774921404742805</v>
      </c>
      <c r="AH106" s="24">
        <v>80.829780013150497</v>
      </c>
      <c r="AI106" s="24">
        <v>65.160634709014772</v>
      </c>
      <c r="AJ106" s="24">
        <v>61.2018242397967</v>
      </c>
      <c r="AK106" s="24">
        <v>38.302178313798812</v>
      </c>
      <c r="AL106" s="24">
        <v>63.398154771234367</v>
      </c>
      <c r="AM106" s="24">
        <v>66.617201403236336</v>
      </c>
      <c r="AN106" s="24">
        <v>81.432501505257136</v>
      </c>
      <c r="AO106" s="24">
        <v>73.573547580026144</v>
      </c>
      <c r="AP106" s="24">
        <v>45.737450086514201</v>
      </c>
      <c r="AQ106" s="24">
        <v>53.684798272357753</v>
      </c>
      <c r="AR106" s="24">
        <v>56.08796445980299</v>
      </c>
      <c r="AS106" s="24">
        <v>71.08072638267754</v>
      </c>
      <c r="AT106" s="24">
        <v>66.931668897001899</v>
      </c>
      <c r="AU106" s="24">
        <v>59.656537622578973</v>
      </c>
      <c r="AV106" s="24">
        <v>56.946400438791208</v>
      </c>
      <c r="AW106" s="24">
        <v>112.25600508062126</v>
      </c>
      <c r="AX106" s="24">
        <v>43.899335227974497</v>
      </c>
      <c r="AY106" s="24">
        <v>47.774368640529708</v>
      </c>
    </row>
    <row r="107" spans="1:51" x14ac:dyDescent="0.2">
      <c r="A107" s="23">
        <v>45586</v>
      </c>
      <c r="B107" s="24">
        <v>35.139449622578113</v>
      </c>
      <c r="C107" s="24">
        <v>67.114805958377801</v>
      </c>
      <c r="D107" s="24">
        <v>33.402690886158076</v>
      </c>
      <c r="E107" s="24">
        <v>30.197771469932761</v>
      </c>
      <c r="F107" s="24">
        <v>38.593057371488193</v>
      </c>
      <c r="G107" s="24">
        <v>33.158285673589496</v>
      </c>
      <c r="H107" s="24">
        <v>53.140826882285673</v>
      </c>
      <c r="I107" s="24">
        <v>107.51016038339175</v>
      </c>
      <c r="J107" s="24">
        <v>50.976203923600551</v>
      </c>
      <c r="K107" s="24">
        <v>58.755438174402023</v>
      </c>
      <c r="L107" s="24">
        <v>66.3115301814167</v>
      </c>
      <c r="M107" s="24">
        <v>65.858742925941939</v>
      </c>
      <c r="N107" s="24">
        <v>52.001798544586038</v>
      </c>
      <c r="O107" s="24">
        <v>43.215230501955148</v>
      </c>
      <c r="P107" s="24">
        <v>44.992964986613551</v>
      </c>
      <c r="Q107" s="24">
        <v>24.605495672596923</v>
      </c>
      <c r="R107" s="24">
        <v>41.161810532925436</v>
      </c>
      <c r="S107" s="24">
        <v>49.28014238530502</v>
      </c>
      <c r="T107" s="24">
        <v>78.989556091793673</v>
      </c>
      <c r="U107" s="24">
        <v>41.679899566439879</v>
      </c>
      <c r="V107" s="24">
        <v>43.090586631047181</v>
      </c>
      <c r="W107" s="24">
        <v>129.574765664788</v>
      </c>
      <c r="X107" s="24">
        <v>47.544912223100368</v>
      </c>
      <c r="Y107" s="24">
        <v>40.735768510026396</v>
      </c>
      <c r="Z107" s="24">
        <v>76.813890541471338</v>
      </c>
      <c r="AA107" s="24">
        <v>76.009397055779957</v>
      </c>
      <c r="AB107" s="24">
        <v>107.56845704197535</v>
      </c>
      <c r="AC107" s="24">
        <v>48.769476850839439</v>
      </c>
      <c r="AD107" s="24">
        <v>144.99253876510309</v>
      </c>
      <c r="AE107" s="24">
        <v>122.10912646112453</v>
      </c>
      <c r="AF107" s="24">
        <v>62.943412497115602</v>
      </c>
      <c r="AG107" s="24">
        <v>41.413552806470399</v>
      </c>
      <c r="AH107" s="24">
        <v>80.867908261973312</v>
      </c>
      <c r="AI107" s="24">
        <v>65.201756263906347</v>
      </c>
      <c r="AJ107" s="24">
        <v>61.313698704670756</v>
      </c>
      <c r="AK107" s="24">
        <v>38.236724421679256</v>
      </c>
      <c r="AL107" s="24">
        <v>63.424025741844645</v>
      </c>
      <c r="AM107" s="24">
        <v>66.716248106239661</v>
      </c>
      <c r="AN107" s="24">
        <v>82.578179028558779</v>
      </c>
      <c r="AO107" s="24">
        <v>74.352103044598351</v>
      </c>
      <c r="AP107" s="24">
        <v>45.172351652918003</v>
      </c>
      <c r="AQ107" s="24">
        <v>53.662684217422161</v>
      </c>
      <c r="AR107" s="24">
        <v>56.164048180838776</v>
      </c>
      <c r="AS107" s="24">
        <v>71.197046291510333</v>
      </c>
      <c r="AT107" s="24">
        <v>66.561888322634076</v>
      </c>
      <c r="AU107" s="24">
        <v>59.65266873985685</v>
      </c>
      <c r="AV107" s="24">
        <v>56.827914751254383</v>
      </c>
      <c r="AW107" s="24">
        <v>111.82237072726181</v>
      </c>
      <c r="AX107" s="24">
        <v>43.899335227974497</v>
      </c>
      <c r="AY107" s="24">
        <v>47.61486967370292</v>
      </c>
    </row>
    <row r="108" spans="1:51" x14ac:dyDescent="0.2">
      <c r="A108" s="23">
        <v>45583</v>
      </c>
      <c r="B108" s="24">
        <v>33.326834300269063</v>
      </c>
      <c r="C108" s="24">
        <v>68.392019320481282</v>
      </c>
      <c r="D108" s="24">
        <v>31.728528918127044</v>
      </c>
      <c r="E108" s="24">
        <v>30.116751055267198</v>
      </c>
      <c r="F108" s="24">
        <v>37.605137725514943</v>
      </c>
      <c r="G108" s="24">
        <v>32.063601493753886</v>
      </c>
      <c r="H108" s="24">
        <v>52.904022219218149</v>
      </c>
      <c r="I108" s="24">
        <v>107.50981962285509</v>
      </c>
      <c r="J108" s="24">
        <v>50.645857365786867</v>
      </c>
      <c r="K108" s="24">
        <v>58.764262719909176</v>
      </c>
      <c r="L108" s="24">
        <v>66.248307444009555</v>
      </c>
      <c r="M108" s="24">
        <v>65.632798351325235</v>
      </c>
      <c r="N108" s="24">
        <v>51.833573030044448</v>
      </c>
      <c r="O108" s="24">
        <v>42.991367890017841</v>
      </c>
      <c r="P108" s="24">
        <v>46.275940163690521</v>
      </c>
      <c r="Q108" s="24">
        <v>23.812640862996865</v>
      </c>
      <c r="R108" s="24">
        <v>41.106764689137101</v>
      </c>
      <c r="S108" s="24">
        <v>48.668186842492531</v>
      </c>
      <c r="T108" s="24">
        <v>79.838469677151451</v>
      </c>
      <c r="U108" s="24">
        <v>40.432640334337385</v>
      </c>
      <c r="V108" s="24">
        <v>42.065657693843292</v>
      </c>
      <c r="W108" s="24">
        <v>129.89242831195662</v>
      </c>
      <c r="X108" s="24">
        <v>46.419061834030785</v>
      </c>
      <c r="Y108" s="24">
        <v>40.230599660111658</v>
      </c>
      <c r="Z108" s="24">
        <v>76.843430083965472</v>
      </c>
      <c r="AA108" s="24">
        <v>75.498249558581747</v>
      </c>
      <c r="AB108" s="24">
        <v>109.27754687602659</v>
      </c>
      <c r="AC108" s="24">
        <v>48.158032965604498</v>
      </c>
      <c r="AD108" s="24">
        <v>143.7899565120459</v>
      </c>
      <c r="AE108" s="24">
        <v>122.9838143625102</v>
      </c>
      <c r="AF108" s="24">
        <v>60.517807576079001</v>
      </c>
      <c r="AG108" s="24">
        <v>41.721706833154485</v>
      </c>
      <c r="AH108" s="24">
        <v>82.041926508738527</v>
      </c>
      <c r="AI108" s="24">
        <v>65.084297039374988</v>
      </c>
      <c r="AJ108" s="24">
        <v>61.557112552588322</v>
      </c>
      <c r="AK108" s="24">
        <v>37.851599201590638</v>
      </c>
      <c r="AL108" s="24">
        <v>64.001814483335792</v>
      </c>
      <c r="AM108" s="24">
        <v>66.70255020864866</v>
      </c>
      <c r="AN108" s="24">
        <v>84.263588194429218</v>
      </c>
      <c r="AO108" s="24">
        <v>74.033155508768701</v>
      </c>
      <c r="AP108" s="24">
        <v>45.542036419082969</v>
      </c>
      <c r="AQ108" s="24">
        <v>53.869590832348294</v>
      </c>
      <c r="AR108" s="24">
        <v>55.075510019418118</v>
      </c>
      <c r="AS108" s="24">
        <v>71.393671900982909</v>
      </c>
      <c r="AT108" s="24">
        <v>66.499485135079993</v>
      </c>
      <c r="AU108" s="24">
        <v>59.639849932602388</v>
      </c>
      <c r="AV108" s="24">
        <v>56.804804663959793</v>
      </c>
      <c r="AW108" s="24">
        <v>111.60124817391946</v>
      </c>
      <c r="AX108" s="24">
        <v>43.231969046332871</v>
      </c>
      <c r="AY108" s="24">
        <v>47.606602165725533</v>
      </c>
    </row>
    <row r="109" spans="1:51" x14ac:dyDescent="0.2">
      <c r="A109" s="23">
        <v>45582</v>
      </c>
      <c r="B109" s="24">
        <v>34.922379219594035</v>
      </c>
      <c r="C109" s="24">
        <v>67.77302160143762</v>
      </c>
      <c r="D109" s="24">
        <v>34.058281201125531</v>
      </c>
      <c r="E109" s="24">
        <v>31.458990806384769</v>
      </c>
      <c r="F109" s="24">
        <v>39.300547422594981</v>
      </c>
      <c r="G109" s="24">
        <v>35.038977465362386</v>
      </c>
      <c r="H109" s="24">
        <v>53.261402006020205</v>
      </c>
      <c r="I109" s="24">
        <v>105.25799356075343</v>
      </c>
      <c r="J109" s="24">
        <v>50.976467558092899</v>
      </c>
      <c r="K109" s="24">
        <v>58.544754230627234</v>
      </c>
      <c r="L109" s="24">
        <v>66.437526880416812</v>
      </c>
      <c r="M109" s="24">
        <v>65.943895939917439</v>
      </c>
      <c r="N109" s="24">
        <v>52.713209972885942</v>
      </c>
      <c r="O109" s="24">
        <v>43.482436620986931</v>
      </c>
      <c r="P109" s="24">
        <v>45.961579220611839</v>
      </c>
      <c r="Q109" s="24">
        <v>29.186801987146652</v>
      </c>
      <c r="R109" s="24">
        <v>42.722912531404219</v>
      </c>
      <c r="S109" s="24">
        <v>48.342259616494651</v>
      </c>
      <c r="T109" s="24">
        <v>79.409118548004116</v>
      </c>
      <c r="U109" s="24">
        <v>42.610460141337711</v>
      </c>
      <c r="V109" s="24">
        <v>43.91224455175503</v>
      </c>
      <c r="W109" s="24">
        <v>120.34149448132345</v>
      </c>
      <c r="X109" s="24">
        <v>47.334910140121735</v>
      </c>
      <c r="Y109" s="24">
        <v>39.915229402226302</v>
      </c>
      <c r="Z109" s="24">
        <v>71.318539799034752</v>
      </c>
      <c r="AA109" s="24">
        <v>73.703134323793307</v>
      </c>
      <c r="AB109" s="24">
        <v>101.76095317945645</v>
      </c>
      <c r="AC109" s="24">
        <v>50.15347403796968</v>
      </c>
      <c r="AD109" s="24">
        <v>139.09449221487225</v>
      </c>
      <c r="AE109" s="24">
        <v>110.43121961223125</v>
      </c>
      <c r="AF109" s="24">
        <v>59.885957221068097</v>
      </c>
      <c r="AG109" s="24">
        <v>43.675379134581895</v>
      </c>
      <c r="AH109" s="24">
        <v>80.708008784506958</v>
      </c>
      <c r="AI109" s="24">
        <v>63.025210872485431</v>
      </c>
      <c r="AJ109" s="24">
        <v>61.400321106948361</v>
      </c>
      <c r="AK109" s="24">
        <v>39.029546800345855</v>
      </c>
      <c r="AL109" s="24">
        <v>64.087092661058776</v>
      </c>
      <c r="AM109" s="24">
        <v>67.123522586304745</v>
      </c>
      <c r="AN109" s="24">
        <v>83.674512509057024</v>
      </c>
      <c r="AO109" s="24">
        <v>67.94243108833389</v>
      </c>
      <c r="AP109" s="24">
        <v>45.84708014298451</v>
      </c>
      <c r="AQ109" s="24">
        <v>53.891009245526057</v>
      </c>
      <c r="AR109" s="24">
        <v>56.630095622035029</v>
      </c>
      <c r="AS109" s="24">
        <v>71.39718116872406</v>
      </c>
      <c r="AT109" s="24">
        <v>67.674093754409711</v>
      </c>
      <c r="AU109" s="24">
        <v>59.399915459224218</v>
      </c>
      <c r="AV109" s="24">
        <v>57.003711033450394</v>
      </c>
      <c r="AW109" s="24">
        <v>110.51643871941397</v>
      </c>
      <c r="AX109" s="24">
        <v>44.489356924419994</v>
      </c>
      <c r="AY109" s="24">
        <v>47.562916768630281</v>
      </c>
    </row>
    <row r="110" spans="1:51" x14ac:dyDescent="0.2">
      <c r="A110" s="23">
        <v>45581</v>
      </c>
      <c r="B110" s="24">
        <v>34.442558540563468</v>
      </c>
      <c r="C110" s="24">
        <v>67.270172325452705</v>
      </c>
      <c r="D110" s="24">
        <v>34.074220148198613</v>
      </c>
      <c r="E110" s="24">
        <v>31.317083408114932</v>
      </c>
      <c r="F110" s="24">
        <v>39.358666904085887</v>
      </c>
      <c r="G110" s="24">
        <v>35.593071845871435</v>
      </c>
      <c r="H110" s="24">
        <v>53.095101015325376</v>
      </c>
      <c r="I110" s="24">
        <v>105.656797671885</v>
      </c>
      <c r="J110" s="24">
        <v>49.322475616708985</v>
      </c>
      <c r="K110" s="24">
        <v>58.545584351529051</v>
      </c>
      <c r="L110" s="24">
        <v>66.289851354741685</v>
      </c>
      <c r="M110" s="24">
        <v>65.723734071794439</v>
      </c>
      <c r="N110" s="24">
        <v>52.567360802002291</v>
      </c>
      <c r="O110" s="24">
        <v>43.003817947751799</v>
      </c>
      <c r="P110" s="24">
        <v>45.733445174882043</v>
      </c>
      <c r="Q110" s="24">
        <v>28.87442701546804</v>
      </c>
      <c r="R110" s="24">
        <v>42.765188510756253</v>
      </c>
      <c r="S110" s="24">
        <v>46.603665373980846</v>
      </c>
      <c r="T110" s="24">
        <v>78.414972148501192</v>
      </c>
      <c r="U110" s="24">
        <v>42.34953044539742</v>
      </c>
      <c r="V110" s="24">
        <v>43.329756278713113</v>
      </c>
      <c r="W110" s="24">
        <v>120.63379757411552</v>
      </c>
      <c r="X110" s="24">
        <v>46.09840196667993</v>
      </c>
      <c r="Y110" s="24">
        <v>38.684801223754135</v>
      </c>
      <c r="Z110" s="24">
        <v>71.303854761614744</v>
      </c>
      <c r="AA110" s="24">
        <v>73.526781792470516</v>
      </c>
      <c r="AB110" s="24">
        <v>101.8554814851303</v>
      </c>
      <c r="AC110" s="24">
        <v>49.327546180382249</v>
      </c>
      <c r="AD110" s="24">
        <v>138.20177085529218</v>
      </c>
      <c r="AE110" s="24">
        <v>110.25945814060562</v>
      </c>
      <c r="AF110" s="24">
        <v>59.903381859600096</v>
      </c>
      <c r="AG110" s="24">
        <v>43.013819315919378</v>
      </c>
      <c r="AH110" s="24">
        <v>80.286102969476318</v>
      </c>
      <c r="AI110" s="24">
        <v>62.859410801271075</v>
      </c>
      <c r="AJ110" s="24">
        <v>61.427283782399336</v>
      </c>
      <c r="AK110" s="24">
        <v>38.277067766533214</v>
      </c>
      <c r="AL110" s="24">
        <v>64.321885276205848</v>
      </c>
      <c r="AM110" s="24">
        <v>66.518474534575006</v>
      </c>
      <c r="AN110" s="24">
        <v>82.399796350167193</v>
      </c>
      <c r="AO110" s="24">
        <v>67.91926885700731</v>
      </c>
      <c r="AP110" s="24">
        <v>44.939892891782634</v>
      </c>
      <c r="AQ110" s="24">
        <v>53.021325215386966</v>
      </c>
      <c r="AR110" s="24">
        <v>56.210763702545599</v>
      </c>
      <c r="AS110" s="24">
        <v>70.498521646649223</v>
      </c>
      <c r="AT110" s="24">
        <v>64.699823317416772</v>
      </c>
      <c r="AU110" s="24">
        <v>58.258292594986131</v>
      </c>
      <c r="AV110" s="24">
        <v>55.571278222659089</v>
      </c>
      <c r="AW110" s="24">
        <v>110.3751409201068</v>
      </c>
      <c r="AX110" s="24">
        <v>44.15112208189089</v>
      </c>
      <c r="AY110" s="24">
        <v>47.204053762687295</v>
      </c>
    </row>
    <row r="111" spans="1:51" x14ac:dyDescent="0.2">
      <c r="A111" s="23">
        <v>45580</v>
      </c>
      <c r="B111" s="24">
        <v>34.481149903219077</v>
      </c>
      <c r="C111" s="24">
        <v>67.085048858704226</v>
      </c>
      <c r="D111" s="24">
        <v>33.639802006524597</v>
      </c>
      <c r="E111" s="24">
        <v>31.936842994999484</v>
      </c>
      <c r="F111" s="24">
        <v>39.618472415283428</v>
      </c>
      <c r="G111" s="24">
        <v>35.596519571731804</v>
      </c>
      <c r="H111" s="24">
        <v>54.299285299684698</v>
      </c>
      <c r="I111" s="24">
        <v>104.67353388919011</v>
      </c>
      <c r="J111" s="24">
        <v>51.638535910440581</v>
      </c>
      <c r="K111" s="24">
        <v>57.344801035356248</v>
      </c>
      <c r="L111" s="24">
        <v>66.610020355726277</v>
      </c>
      <c r="M111" s="24">
        <v>66.350605019898723</v>
      </c>
      <c r="N111" s="24">
        <v>54.702268218630181</v>
      </c>
      <c r="O111" s="24">
        <v>43.869954593158596</v>
      </c>
      <c r="P111" s="24">
        <v>45.774459450505105</v>
      </c>
      <c r="Q111" s="24">
        <v>29.007527657673002</v>
      </c>
      <c r="R111" s="24">
        <v>44.649109104404786</v>
      </c>
      <c r="S111" s="24">
        <v>48.345927365258589</v>
      </c>
      <c r="T111" s="24">
        <v>78.208925895823285</v>
      </c>
      <c r="U111" s="24">
        <v>42.75073705626145</v>
      </c>
      <c r="V111" s="24">
        <v>42.596312773342468</v>
      </c>
      <c r="W111" s="24">
        <v>120.73691288174743</v>
      </c>
      <c r="X111" s="24">
        <v>47.23032064713</v>
      </c>
      <c r="Y111" s="24">
        <v>42.689486274086917</v>
      </c>
      <c r="Z111" s="24">
        <v>68.231232992521242</v>
      </c>
      <c r="AA111" s="24">
        <v>73.203525187079208</v>
      </c>
      <c r="AB111" s="24">
        <v>100.4377258574998</v>
      </c>
      <c r="AC111" s="24">
        <v>49.369406392850586</v>
      </c>
      <c r="AD111" s="24">
        <v>138.50614010705965</v>
      </c>
      <c r="AE111" s="24">
        <v>109.15436618962725</v>
      </c>
      <c r="AF111" s="24">
        <v>59.570292392209865</v>
      </c>
      <c r="AG111" s="24">
        <v>43.397233828237894</v>
      </c>
      <c r="AH111" s="24">
        <v>79.089318560127566</v>
      </c>
      <c r="AI111" s="24">
        <v>61.3689903096055</v>
      </c>
      <c r="AJ111" s="24">
        <v>60.192810758270781</v>
      </c>
      <c r="AK111" s="24">
        <v>38.515508927285289</v>
      </c>
      <c r="AL111" s="24">
        <v>65.473531374822755</v>
      </c>
      <c r="AM111" s="24">
        <v>66.317284254270319</v>
      </c>
      <c r="AN111" s="24">
        <v>82.954149450837193</v>
      </c>
      <c r="AO111" s="24">
        <v>66.226618563942608</v>
      </c>
      <c r="AP111" s="24">
        <v>45.731052561108299</v>
      </c>
      <c r="AQ111" s="24">
        <v>53.356355224046204</v>
      </c>
      <c r="AR111" s="24">
        <v>57.463577639569436</v>
      </c>
      <c r="AS111" s="24">
        <v>67.416668341517962</v>
      </c>
      <c r="AT111" s="24">
        <v>65.774762247872701</v>
      </c>
      <c r="AU111" s="24">
        <v>58.163430617360184</v>
      </c>
      <c r="AV111" s="24">
        <v>56.223125183982127</v>
      </c>
      <c r="AW111" s="24">
        <v>109.54094635614364</v>
      </c>
      <c r="AX111" s="24">
        <v>44.395716571688915</v>
      </c>
      <c r="AY111" s="24">
        <v>47.272751043037005</v>
      </c>
    </row>
    <row r="112" spans="1:51" x14ac:dyDescent="0.2">
      <c r="A112" s="23">
        <v>45579</v>
      </c>
      <c r="B112" s="24">
        <v>31.534268475299751</v>
      </c>
      <c r="C112" s="24">
        <v>65.929679319176088</v>
      </c>
      <c r="D112" s="24">
        <v>32.219728820101501</v>
      </c>
      <c r="E112" s="24">
        <v>29.73715012761593</v>
      </c>
      <c r="F112" s="24">
        <v>36.033483395515525</v>
      </c>
      <c r="G112" s="24">
        <v>34.219933178268846</v>
      </c>
      <c r="H112" s="24">
        <v>52.494967990129354</v>
      </c>
      <c r="I112" s="24">
        <v>103.43041289112521</v>
      </c>
      <c r="J112" s="24">
        <v>50.429398313850328</v>
      </c>
      <c r="K112" s="24">
        <v>55.851119111191124</v>
      </c>
      <c r="L112" s="24">
        <v>65.069123938708159</v>
      </c>
      <c r="M112" s="24">
        <v>65.109809620739043</v>
      </c>
      <c r="N112" s="24">
        <v>52.216790984701376</v>
      </c>
      <c r="O112" s="24">
        <v>43.684468295183137</v>
      </c>
      <c r="P112" s="24">
        <v>45.589062726231894</v>
      </c>
      <c r="Q112" s="24">
        <v>28.422976377606812</v>
      </c>
      <c r="R112" s="24">
        <v>43.190885655498249</v>
      </c>
      <c r="S112" s="24">
        <v>45.574935831141119</v>
      </c>
      <c r="T112" s="24">
        <v>76.775406127740553</v>
      </c>
      <c r="U112" s="24">
        <v>40.930509632744794</v>
      </c>
      <c r="V112" s="24">
        <v>41.589648301437698</v>
      </c>
      <c r="W112" s="24">
        <v>120.76466028938701</v>
      </c>
      <c r="X112" s="24">
        <v>46.403381075262317</v>
      </c>
      <c r="Y112" s="24">
        <v>40.291175770497198</v>
      </c>
      <c r="Z112" s="24">
        <v>68.636782942258037</v>
      </c>
      <c r="AA112" s="24">
        <v>71.776667496597071</v>
      </c>
      <c r="AB112" s="24">
        <v>95.905926065576878</v>
      </c>
      <c r="AC112" s="24">
        <v>47.814491694095267</v>
      </c>
      <c r="AD112" s="24">
        <v>136.51494617268648</v>
      </c>
      <c r="AE112" s="24">
        <v>105.56483631648118</v>
      </c>
      <c r="AF112" s="24">
        <v>57.884236114398313</v>
      </c>
      <c r="AG112" s="24">
        <v>42.469834345261226</v>
      </c>
      <c r="AH112" s="24">
        <v>77.609157736060226</v>
      </c>
      <c r="AI112" s="24">
        <v>63.170710216359168</v>
      </c>
      <c r="AJ112" s="24">
        <v>60.09946124515016</v>
      </c>
      <c r="AK112" s="24">
        <v>37.595352004229198</v>
      </c>
      <c r="AL112" s="24">
        <v>64.534446834138507</v>
      </c>
      <c r="AM112" s="24">
        <v>64.731127519701673</v>
      </c>
      <c r="AN112" s="24">
        <v>81.404840120240365</v>
      </c>
      <c r="AO112" s="24">
        <v>66.816683395958165</v>
      </c>
      <c r="AP112" s="24">
        <v>44.690076664183948</v>
      </c>
      <c r="AQ112" s="24">
        <v>52.246396084903388</v>
      </c>
      <c r="AR112" s="24">
        <v>57.111722500557512</v>
      </c>
      <c r="AS112" s="24">
        <v>66.485520455763563</v>
      </c>
      <c r="AT112" s="24">
        <v>65.217596947185527</v>
      </c>
      <c r="AU112" s="24">
        <v>56.676983475462542</v>
      </c>
      <c r="AV112" s="24">
        <v>55.307793604833911</v>
      </c>
      <c r="AW112" s="24">
        <v>108.63301706980876</v>
      </c>
      <c r="AX112" s="24">
        <v>42.575706852213088</v>
      </c>
      <c r="AY112" s="24">
        <v>46.346121397608499</v>
      </c>
    </row>
    <row r="113" spans="1:51" x14ac:dyDescent="0.2">
      <c r="A113" s="23">
        <v>45576</v>
      </c>
      <c r="B113" s="24">
        <v>31.003249650694404</v>
      </c>
      <c r="C113" s="24">
        <v>65.867969389079335</v>
      </c>
      <c r="D113" s="24">
        <v>29.663636021561054</v>
      </c>
      <c r="E113" s="24">
        <v>29.578672638583701</v>
      </c>
      <c r="F113" s="24">
        <v>33.945821372012716</v>
      </c>
      <c r="G113" s="24">
        <v>33.648417930183093</v>
      </c>
      <c r="H113" s="24">
        <v>52.944141144634465</v>
      </c>
      <c r="I113" s="24">
        <v>103.36493113462519</v>
      </c>
      <c r="J113" s="24">
        <v>50.563271617553958</v>
      </c>
      <c r="K113" s="24">
        <v>55.640326703612367</v>
      </c>
      <c r="L113" s="24">
        <v>64.755203127826206</v>
      </c>
      <c r="M113" s="24">
        <v>65.099946503270019</v>
      </c>
      <c r="N113" s="24">
        <v>52.376110198374178</v>
      </c>
      <c r="O113" s="24">
        <v>44.833525979673297</v>
      </c>
      <c r="P113" s="24">
        <v>44.489095970353794</v>
      </c>
      <c r="Q113" s="24">
        <v>28.380029934122462</v>
      </c>
      <c r="R113" s="24">
        <v>43.274817907358056</v>
      </c>
      <c r="S113" s="24">
        <v>47.142368961399121</v>
      </c>
      <c r="T113" s="24">
        <v>76.730129972765724</v>
      </c>
      <c r="U113" s="24">
        <v>40.05570882287207</v>
      </c>
      <c r="V113" s="24">
        <v>41.197998149481954</v>
      </c>
      <c r="W113" s="24">
        <v>118.83122589656085</v>
      </c>
      <c r="X113" s="24">
        <v>45.522545258438541</v>
      </c>
      <c r="Y113" s="24">
        <v>40.00118186686317</v>
      </c>
      <c r="Z113" s="24">
        <v>68.793310385329889</v>
      </c>
      <c r="AA113" s="24">
        <v>70.334800032886974</v>
      </c>
      <c r="AB113" s="24">
        <v>97.16830928760298</v>
      </c>
      <c r="AC113" s="24">
        <v>47.684302128154457</v>
      </c>
      <c r="AD113" s="24">
        <v>136.37271204806359</v>
      </c>
      <c r="AE113" s="24">
        <v>116.86124984980115</v>
      </c>
      <c r="AF113" s="24">
        <v>57.513594669590063</v>
      </c>
      <c r="AG113" s="24">
        <v>42.391772970760847</v>
      </c>
      <c r="AH113" s="24">
        <v>77.580117413435545</v>
      </c>
      <c r="AI113" s="24">
        <v>62.488974530355073</v>
      </c>
      <c r="AJ113" s="24">
        <v>59.807919202371089</v>
      </c>
      <c r="AK113" s="24">
        <v>37.050485068894076</v>
      </c>
      <c r="AL113" s="24">
        <v>64.467493538605893</v>
      </c>
      <c r="AM113" s="24">
        <v>63.638348578912151</v>
      </c>
      <c r="AN113" s="24">
        <v>81.407615618846023</v>
      </c>
      <c r="AO113" s="24">
        <v>67.29320322733362</v>
      </c>
      <c r="AP113" s="24">
        <v>44.778138939098227</v>
      </c>
      <c r="AQ113" s="24">
        <v>52.207056506334389</v>
      </c>
      <c r="AR113" s="24">
        <v>56.849837155662861</v>
      </c>
      <c r="AS113" s="24">
        <v>66.496966145953991</v>
      </c>
      <c r="AT113" s="24">
        <v>63.651808341854093</v>
      </c>
      <c r="AU113" s="24">
        <v>56.598887090397547</v>
      </c>
      <c r="AV113" s="24">
        <v>56.091418484375531</v>
      </c>
      <c r="AW113" s="24">
        <v>108.73338576896582</v>
      </c>
      <c r="AX113" s="24">
        <v>42.086642678800004</v>
      </c>
      <c r="AY113" s="24">
        <v>45.091544393085996</v>
      </c>
    </row>
    <row r="114" spans="1:51" x14ac:dyDescent="0.2">
      <c r="A114" s="23">
        <v>45575</v>
      </c>
      <c r="B114" s="24">
        <v>31.321411184612192</v>
      </c>
      <c r="C114" s="24">
        <v>65.255263069408343</v>
      </c>
      <c r="D114" s="24">
        <v>29.722649607251128</v>
      </c>
      <c r="E114" s="24">
        <v>29.625321956400644</v>
      </c>
      <c r="F114" s="24">
        <v>34.060659906752981</v>
      </c>
      <c r="G114" s="24">
        <v>33.739190046900532</v>
      </c>
      <c r="H114" s="24">
        <v>56.708239652666627</v>
      </c>
      <c r="I114" s="24">
        <v>99.370421606666213</v>
      </c>
      <c r="J114" s="24">
        <v>50.585533582726114</v>
      </c>
      <c r="K114" s="24">
        <v>50.980507309820595</v>
      </c>
      <c r="L114" s="24">
        <v>63.67110137970036</v>
      </c>
      <c r="M114" s="24">
        <v>64.905645748316815</v>
      </c>
      <c r="N114" s="24">
        <v>56.77526967269263</v>
      </c>
      <c r="O114" s="24">
        <v>45.028960580710645</v>
      </c>
      <c r="P114" s="24">
        <v>39.733659895128056</v>
      </c>
      <c r="Q114" s="24">
        <v>28.381739678137695</v>
      </c>
      <c r="R114" s="24">
        <v>42.894149292022462</v>
      </c>
      <c r="S114" s="24">
        <v>46.402575575320903</v>
      </c>
      <c r="T114" s="24">
        <v>76.511434518920098</v>
      </c>
      <c r="U114" s="24">
        <v>40.120305778151653</v>
      </c>
      <c r="V114" s="24">
        <v>41.408563836839335</v>
      </c>
      <c r="W114" s="24">
        <v>114.18986093771603</v>
      </c>
      <c r="X114" s="24">
        <v>44.664110273792843</v>
      </c>
      <c r="Y114" s="24">
        <v>45.282786164768325</v>
      </c>
      <c r="Z114" s="24">
        <v>66.755171134289498</v>
      </c>
      <c r="AA114" s="24">
        <v>70.650517276464882</v>
      </c>
      <c r="AB114" s="24">
        <v>93.422134392418954</v>
      </c>
      <c r="AC114" s="24">
        <v>47.436154448511644</v>
      </c>
      <c r="AD114" s="24">
        <v>136.74058908619611</v>
      </c>
      <c r="AE114" s="24">
        <v>115.2328625829567</v>
      </c>
      <c r="AF114" s="24">
        <v>52.705793148878151</v>
      </c>
      <c r="AG114" s="24">
        <v>41.419837224550569</v>
      </c>
      <c r="AH114" s="24">
        <v>75.019180268635694</v>
      </c>
      <c r="AI114" s="24">
        <v>61.948266167179128</v>
      </c>
      <c r="AJ114" s="24">
        <v>56.753658964933301</v>
      </c>
      <c r="AK114" s="24">
        <v>35.821127614341563</v>
      </c>
      <c r="AL114" s="24">
        <v>63.907398832746303</v>
      </c>
      <c r="AM114" s="24">
        <v>62.854936702897291</v>
      </c>
      <c r="AN114" s="24">
        <v>79.040435237769643</v>
      </c>
      <c r="AO114" s="24">
        <v>63.163407883544764</v>
      </c>
      <c r="AP114" s="24">
        <v>43.431960674316464</v>
      </c>
      <c r="AQ114" s="24">
        <v>51.178517750827446</v>
      </c>
      <c r="AR114" s="24">
        <v>56.000386758508725</v>
      </c>
      <c r="AS114" s="24">
        <v>66.319021540997085</v>
      </c>
      <c r="AT114" s="24">
        <v>62.072768562462528</v>
      </c>
      <c r="AU114" s="24">
        <v>54.082044915207092</v>
      </c>
      <c r="AV114" s="24">
        <v>54.767497961391797</v>
      </c>
      <c r="AW114" s="24">
        <v>103.31382076756651</v>
      </c>
      <c r="AX114" s="24">
        <v>41.183306254746</v>
      </c>
      <c r="AY114" s="24">
        <v>45.258026777935029</v>
      </c>
    </row>
    <row r="115" spans="1:51" x14ac:dyDescent="0.2">
      <c r="A115" s="23">
        <v>45574</v>
      </c>
      <c r="B115" s="24">
        <v>31.106903744778695</v>
      </c>
      <c r="C115" s="24">
        <v>64.847315140251212</v>
      </c>
      <c r="D115" s="24">
        <v>32.550474240316177</v>
      </c>
      <c r="E115" s="24">
        <v>28.910091064846895</v>
      </c>
      <c r="F115" s="24">
        <v>33.690024225472307</v>
      </c>
      <c r="G115" s="24">
        <v>32.362858396515875</v>
      </c>
      <c r="H115" s="24">
        <v>56.696747781091858</v>
      </c>
      <c r="I115" s="24">
        <v>99.390664794664772</v>
      </c>
      <c r="J115" s="24">
        <v>49.292695860263855</v>
      </c>
      <c r="K115" s="24">
        <v>50.630187214600539</v>
      </c>
      <c r="L115" s="24">
        <v>63.785344453246914</v>
      </c>
      <c r="M115" s="24">
        <v>64.035428346764789</v>
      </c>
      <c r="N115" s="24">
        <v>55.79349542421226</v>
      </c>
      <c r="O115" s="24">
        <v>40.182676602084172</v>
      </c>
      <c r="P115" s="24">
        <v>36.17121738596461</v>
      </c>
      <c r="Q115" s="24">
        <v>28.063784300969665</v>
      </c>
      <c r="R115" s="24">
        <v>42.958086438207516</v>
      </c>
      <c r="S115" s="24">
        <v>44.670637408598139</v>
      </c>
      <c r="T115" s="24">
        <v>76.25405482257618</v>
      </c>
      <c r="U115" s="24">
        <v>37.684953964702366</v>
      </c>
      <c r="V115" s="24">
        <v>39.142955369506595</v>
      </c>
      <c r="W115" s="24">
        <v>103.69601313757174</v>
      </c>
      <c r="X115" s="24">
        <v>43.304585986811418</v>
      </c>
      <c r="Y115" s="24">
        <v>44.957738887149318</v>
      </c>
      <c r="Z115" s="24">
        <v>66.49779190283148</v>
      </c>
      <c r="AA115" s="24">
        <v>58.533622014432559</v>
      </c>
      <c r="AB115" s="24">
        <v>93.720808512168958</v>
      </c>
      <c r="AC115" s="24">
        <v>47.541169120525502</v>
      </c>
      <c r="AD115" s="24">
        <v>109.4266493843658</v>
      </c>
      <c r="AE115" s="24">
        <v>113.41699410412461</v>
      </c>
      <c r="AF115" s="24">
        <v>52.496071040990842</v>
      </c>
      <c r="AG115" s="24">
        <v>41.131560021342764</v>
      </c>
      <c r="AH115" s="24">
        <v>75.023358181407104</v>
      </c>
      <c r="AI115" s="24">
        <v>61.199895661461483</v>
      </c>
      <c r="AJ115" s="24">
        <v>56.722595469334777</v>
      </c>
      <c r="AK115" s="24">
        <v>34.486866616064667</v>
      </c>
      <c r="AL115" s="24">
        <v>63.908989859433809</v>
      </c>
      <c r="AM115" s="24">
        <v>62.781051576184375</v>
      </c>
      <c r="AN115" s="24">
        <v>79.038867476051138</v>
      </c>
      <c r="AO115" s="24">
        <v>60.051364495468846</v>
      </c>
      <c r="AP115" s="24">
        <v>43.4967824562885</v>
      </c>
      <c r="AQ115" s="24">
        <v>50.366436431618197</v>
      </c>
      <c r="AR115" s="24">
        <v>54.419504527403738</v>
      </c>
      <c r="AS115" s="24">
        <v>66.380555328242821</v>
      </c>
      <c r="AT115" s="24">
        <v>57.565868857898778</v>
      </c>
      <c r="AU115" s="24">
        <v>54.079220520101131</v>
      </c>
      <c r="AV115" s="24">
        <v>54.511902047251787</v>
      </c>
      <c r="AW115" s="24">
        <v>102.00884294290445</v>
      </c>
      <c r="AX115" s="24">
        <v>40.001270842932342</v>
      </c>
      <c r="AY115" s="24">
        <v>45.732512783541601</v>
      </c>
    </row>
    <row r="116" spans="1:51" x14ac:dyDescent="0.2">
      <c r="A116" s="23">
        <v>45573</v>
      </c>
      <c r="B116" s="24">
        <v>30.813415875878849</v>
      </c>
      <c r="C116" s="24">
        <v>59.167767802570197</v>
      </c>
      <c r="D116" s="24">
        <v>34.222523239712004</v>
      </c>
      <c r="E116" s="24">
        <v>26.011059519684167</v>
      </c>
      <c r="F116" s="24">
        <v>32.726544770830763</v>
      </c>
      <c r="G116" s="24">
        <v>31.131909661050528</v>
      </c>
      <c r="H116" s="24">
        <v>43.661576266777509</v>
      </c>
      <c r="I116" s="24">
        <v>76.773339335927901</v>
      </c>
      <c r="J116" s="24">
        <v>38.605091836388112</v>
      </c>
      <c r="K116" s="24">
        <v>44.634016687243339</v>
      </c>
      <c r="L116" s="24">
        <v>46.880003810674154</v>
      </c>
      <c r="M116" s="24">
        <v>49.217591298076286</v>
      </c>
      <c r="N116" s="24">
        <v>46.423940150944333</v>
      </c>
      <c r="O116" s="24">
        <v>36.003289563503699</v>
      </c>
      <c r="P116" s="24">
        <v>30.181596082567072</v>
      </c>
      <c r="Q116" s="24">
        <v>27.282120047717484</v>
      </c>
      <c r="R116" s="24">
        <v>36.917619219761008</v>
      </c>
      <c r="S116" s="24">
        <v>35.474423748266545</v>
      </c>
      <c r="T116" s="24">
        <v>65.570574530762713</v>
      </c>
      <c r="U116" s="24">
        <v>31.764269258257936</v>
      </c>
      <c r="V116" s="24">
        <v>36.160316933969725</v>
      </c>
      <c r="W116" s="24">
        <v>94.989025854698255</v>
      </c>
      <c r="X116" s="24">
        <v>32.434066560473241</v>
      </c>
      <c r="Y116" s="24">
        <v>40.079075896907263</v>
      </c>
      <c r="Z116" s="24">
        <v>64.711262026033651</v>
      </c>
      <c r="AA116" s="24">
        <v>60.381909425999304</v>
      </c>
      <c r="AB116" s="24">
        <v>94.34648957584885</v>
      </c>
      <c r="AC116" s="24">
        <v>35.468588869554452</v>
      </c>
      <c r="AD116" s="24">
        <v>112.89209795664279</v>
      </c>
      <c r="AE116" s="24">
        <v>112.6348179104569</v>
      </c>
      <c r="AF116" s="24">
        <v>44.918089697931762</v>
      </c>
      <c r="AG116" s="24">
        <v>33.635615846666845</v>
      </c>
      <c r="AH116" s="24">
        <v>66.403005128095728</v>
      </c>
      <c r="AI116" s="24">
        <v>49.971870446167117</v>
      </c>
      <c r="AJ116" s="24">
        <v>46.812722819849981</v>
      </c>
      <c r="AK116" s="24">
        <v>30.994681293513064</v>
      </c>
      <c r="AL116" s="24">
        <v>47.723743230744269</v>
      </c>
      <c r="AM116" s="24">
        <v>46.714763117979302</v>
      </c>
      <c r="AN116" s="24">
        <v>71.005540176067868</v>
      </c>
      <c r="AO116" s="24">
        <v>62.384203868377917</v>
      </c>
      <c r="AP116" s="24">
        <v>35.402013197430385</v>
      </c>
      <c r="AQ116" s="24">
        <v>40.652123454012425</v>
      </c>
      <c r="AR116" s="24">
        <v>38.766726376927252</v>
      </c>
      <c r="AS116" s="24">
        <v>52.981027763585239</v>
      </c>
      <c r="AT116" s="24">
        <v>45.040208734271538</v>
      </c>
      <c r="AU116" s="24">
        <v>39.594065316714989</v>
      </c>
      <c r="AV116" s="24">
        <v>36.534106697703912</v>
      </c>
      <c r="AW116" s="24">
        <v>84.006659958600281</v>
      </c>
      <c r="AX116" s="24">
        <v>29.59167212193217</v>
      </c>
      <c r="AY116" s="24">
        <v>31.752358385311677</v>
      </c>
    </row>
    <row r="117" spans="1:51" x14ac:dyDescent="0.2">
      <c r="A117" s="23">
        <v>45565</v>
      </c>
      <c r="B117" s="24">
        <v>33.764414734917708</v>
      </c>
      <c r="C117" s="24">
        <v>58.666476477462695</v>
      </c>
      <c r="D117" s="24">
        <v>37.35937367144215</v>
      </c>
      <c r="E117" s="24">
        <v>26.671251567919832</v>
      </c>
      <c r="F117" s="24">
        <v>37.351904327673545</v>
      </c>
      <c r="G117" s="24">
        <v>32.405544479027725</v>
      </c>
      <c r="H117" s="24">
        <v>42.120688269251332</v>
      </c>
      <c r="I117" s="24">
        <v>54.327115204964997</v>
      </c>
      <c r="J117" s="24">
        <v>35.62119161424129</v>
      </c>
      <c r="K117" s="24">
        <v>44.203932130888383</v>
      </c>
      <c r="L117" s="24">
        <v>37.639157050931182</v>
      </c>
      <c r="M117" s="24">
        <v>44.236507937520017</v>
      </c>
      <c r="N117" s="24">
        <v>43.849859438370089</v>
      </c>
      <c r="O117" s="24">
        <v>34.489267699460434</v>
      </c>
      <c r="P117" s="24">
        <v>30.556280945820536</v>
      </c>
      <c r="Q117" s="24">
        <v>25.296748875163793</v>
      </c>
      <c r="R117" s="24">
        <v>37.061488058177169</v>
      </c>
      <c r="S117" s="24">
        <v>31.919088286417519</v>
      </c>
      <c r="T117" s="24">
        <v>65.936970067455462</v>
      </c>
      <c r="U117" s="24">
        <v>33.610701695201563</v>
      </c>
      <c r="V117" s="24">
        <v>42.325310370421185</v>
      </c>
      <c r="W117" s="24">
        <v>73.865500751374768</v>
      </c>
      <c r="X117" s="24">
        <v>31.450787695372668</v>
      </c>
      <c r="Y117" s="24">
        <v>39.664410804455393</v>
      </c>
      <c r="Z117" s="24">
        <v>60.388493432537999</v>
      </c>
      <c r="AA117" s="24">
        <v>54.070532898971109</v>
      </c>
      <c r="AB117" s="24">
        <v>75.165072038883906</v>
      </c>
      <c r="AC117" s="24">
        <v>37.982216634109029</v>
      </c>
      <c r="AD117" s="24">
        <v>100.12383145959151</v>
      </c>
      <c r="AE117" s="24">
        <v>96.578515702547179</v>
      </c>
      <c r="AF117" s="24">
        <v>43.216799887262603</v>
      </c>
      <c r="AG117" s="24">
        <v>33.416152676132931</v>
      </c>
      <c r="AH117" s="24">
        <v>65.127060084046832</v>
      </c>
      <c r="AI117" s="24">
        <v>49.040720730365798</v>
      </c>
      <c r="AJ117" s="24">
        <v>42.164431689011067</v>
      </c>
      <c r="AK117" s="24">
        <v>29.843883971058041</v>
      </c>
      <c r="AL117" s="24">
        <v>50.107515864842362</v>
      </c>
      <c r="AM117" s="24">
        <v>39.525505862366153</v>
      </c>
      <c r="AN117" s="24">
        <v>71.517579071822354</v>
      </c>
      <c r="AO117" s="24">
        <v>55.598803881783596</v>
      </c>
      <c r="AP117" s="24">
        <v>36.723341607738853</v>
      </c>
      <c r="AQ117" s="24">
        <v>34.728594243101981</v>
      </c>
      <c r="AR117" s="24">
        <v>35.692372576458688</v>
      </c>
      <c r="AS117" s="24">
        <v>54.779955116816176</v>
      </c>
      <c r="AT117" s="24">
        <v>44.705396076650707</v>
      </c>
      <c r="AU117" s="24">
        <v>39.795803334964013</v>
      </c>
      <c r="AV117" s="24">
        <v>33.764841795265482</v>
      </c>
      <c r="AW117" s="24">
        <v>62.849377610834232</v>
      </c>
      <c r="AX117" s="24">
        <v>30.481875956876674</v>
      </c>
      <c r="AY117" s="24">
        <v>31.222164597463035</v>
      </c>
    </row>
    <row r="118" spans="1:51" x14ac:dyDescent="0.2">
      <c r="A118" s="23">
        <v>45562</v>
      </c>
      <c r="B118" s="24">
        <v>35.138889240812262</v>
      </c>
      <c r="C118" s="24">
        <v>54.488459286791283</v>
      </c>
      <c r="D118" s="24">
        <v>40.224379865420651</v>
      </c>
      <c r="E118" s="24">
        <v>20.455959103052855</v>
      </c>
      <c r="F118" s="24">
        <v>37.846489365571671</v>
      </c>
      <c r="G118" s="24">
        <v>34.245722540942886</v>
      </c>
      <c r="H118" s="24">
        <v>34.413901168073146</v>
      </c>
      <c r="I118" s="24">
        <v>44.251374152850893</v>
      </c>
      <c r="J118" s="24">
        <v>32.412031072279092</v>
      </c>
      <c r="K118" s="24">
        <v>37.602883872629107</v>
      </c>
      <c r="L118" s="24">
        <v>23.842881880736964</v>
      </c>
      <c r="M118" s="24">
        <v>33.786842683086661</v>
      </c>
      <c r="N118" s="24">
        <v>33.99897697818998</v>
      </c>
      <c r="O118" s="24">
        <v>32.016382757135126</v>
      </c>
      <c r="P118" s="24">
        <v>23.784745484523889</v>
      </c>
      <c r="Q118" s="24">
        <v>22.43064961164896</v>
      </c>
      <c r="R118" s="24">
        <v>35.518696434202234</v>
      </c>
      <c r="S118" s="24">
        <v>30.604643859500115</v>
      </c>
      <c r="T118" s="24">
        <v>59.95543203136689</v>
      </c>
      <c r="U118" s="24">
        <v>34.266775830137348</v>
      </c>
      <c r="V118" s="24">
        <v>44.586851046040067</v>
      </c>
      <c r="W118" s="24">
        <v>38.944993788800822</v>
      </c>
      <c r="X118" s="24">
        <v>30.035993778143158</v>
      </c>
      <c r="Y118" s="24">
        <v>38.219702692900697</v>
      </c>
      <c r="Z118" s="24">
        <v>54.834331388152094</v>
      </c>
      <c r="AA118" s="24">
        <v>46.129493765282881</v>
      </c>
      <c r="AB118" s="24">
        <v>43.686695319859915</v>
      </c>
      <c r="AC118" s="24">
        <v>35.72291729530324</v>
      </c>
      <c r="AD118" s="24">
        <v>83.883048539393485</v>
      </c>
      <c r="AE118" s="24">
        <v>72.54401029749279</v>
      </c>
      <c r="AF118" s="24">
        <v>33.808967766896245</v>
      </c>
      <c r="AG118" s="24">
        <v>35.467234958537787</v>
      </c>
      <c r="AH118" s="24">
        <v>56.69845031691316</v>
      </c>
      <c r="AI118" s="24">
        <v>43.368394151985676</v>
      </c>
      <c r="AJ118" s="24">
        <v>35.418929861985525</v>
      </c>
      <c r="AK118" s="24">
        <v>19.359253301291293</v>
      </c>
      <c r="AL118" s="24">
        <v>45.353923911882731</v>
      </c>
      <c r="AM118" s="24">
        <v>24.829439874219727</v>
      </c>
      <c r="AN118" s="24">
        <v>64.891177295144701</v>
      </c>
      <c r="AO118" s="24">
        <v>46.077931304634291</v>
      </c>
      <c r="AP118" s="24">
        <v>32.663557118614271</v>
      </c>
      <c r="AQ118" s="24">
        <v>24.857264149792996</v>
      </c>
      <c r="AR118" s="24">
        <v>30.104660263175909</v>
      </c>
      <c r="AS118" s="24">
        <v>46.790683093194147</v>
      </c>
      <c r="AT118" s="24">
        <v>43.250667303948816</v>
      </c>
      <c r="AU118" s="24">
        <v>34.641829606141698</v>
      </c>
      <c r="AV118" s="24">
        <v>31.318217025645335</v>
      </c>
      <c r="AW118" s="24">
        <v>44.157426447643381</v>
      </c>
      <c r="AX118" s="24">
        <v>31.986048384973415</v>
      </c>
      <c r="AY118" s="24">
        <v>34.599379392963051</v>
      </c>
    </row>
    <row r="119" spans="1:51" x14ac:dyDescent="0.2">
      <c r="A119" s="23">
        <v>45561</v>
      </c>
      <c r="B119" s="24">
        <v>33.696006630171475</v>
      </c>
      <c r="C119" s="24">
        <v>50.809989824727225</v>
      </c>
      <c r="D119" s="24">
        <v>37.917274248733214</v>
      </c>
      <c r="E119" s="24">
        <v>20.350147229157503</v>
      </c>
      <c r="F119" s="24">
        <v>35.637163150285822</v>
      </c>
      <c r="G119" s="24">
        <v>33.415618232655412</v>
      </c>
      <c r="H119" s="24">
        <v>34.655473070359406</v>
      </c>
      <c r="I119" s="24">
        <v>30.378827996593323</v>
      </c>
      <c r="J119" s="24">
        <v>32.393785773528464</v>
      </c>
      <c r="K119" s="24">
        <v>35.087866583510504</v>
      </c>
      <c r="L119" s="24">
        <v>24.244263342111008</v>
      </c>
      <c r="M119" s="24">
        <v>33.091024836935425</v>
      </c>
      <c r="N119" s="24">
        <v>34.176005668798872</v>
      </c>
      <c r="O119" s="24">
        <v>31.096588855870898</v>
      </c>
      <c r="P119" s="24">
        <v>24.463141997681365</v>
      </c>
      <c r="Q119" s="24">
        <v>22.405420547935208</v>
      </c>
      <c r="R119" s="24">
        <v>35.435083551210234</v>
      </c>
      <c r="S119" s="24">
        <v>31.230976012925556</v>
      </c>
      <c r="T119" s="24">
        <v>53.628365445753985</v>
      </c>
      <c r="U119" s="24">
        <v>33.749230660287758</v>
      </c>
      <c r="V119" s="24">
        <v>43.098965952765631</v>
      </c>
      <c r="W119" s="24">
        <v>28.743955796469123</v>
      </c>
      <c r="X119" s="24">
        <v>30.075968178973685</v>
      </c>
      <c r="Y119" s="24">
        <v>38.878524562085317</v>
      </c>
      <c r="Z119" s="24">
        <v>51.332363453625135</v>
      </c>
      <c r="AA119" s="24">
        <v>35.525774909267426</v>
      </c>
      <c r="AB119" s="24">
        <v>39.128220266230166</v>
      </c>
      <c r="AC119" s="24">
        <v>35.992270678909485</v>
      </c>
      <c r="AD119" s="24">
        <v>60.967156943598859</v>
      </c>
      <c r="AE119" s="24">
        <v>67.534305006449273</v>
      </c>
      <c r="AF119" s="24">
        <v>29.567805227390281</v>
      </c>
      <c r="AG119" s="24">
        <v>35.725100267631113</v>
      </c>
      <c r="AH119" s="24">
        <v>46.43087929721483</v>
      </c>
      <c r="AI119" s="24">
        <v>39.731978298404854</v>
      </c>
      <c r="AJ119" s="24">
        <v>32.090922961776798</v>
      </c>
      <c r="AK119" s="24">
        <v>19.605318399208446</v>
      </c>
      <c r="AL119" s="24">
        <v>45.27650950331445</v>
      </c>
      <c r="AM119" s="24">
        <v>24.968269011319808</v>
      </c>
      <c r="AN119" s="24">
        <v>60.885663541733116</v>
      </c>
      <c r="AO119" s="24">
        <v>31.958510551118689</v>
      </c>
      <c r="AP119" s="24">
        <v>33.465800449698591</v>
      </c>
      <c r="AQ119" s="24">
        <v>26.072479770481745</v>
      </c>
      <c r="AR119" s="24">
        <v>29.674696335404878</v>
      </c>
      <c r="AS119" s="24">
        <v>44.436951874290692</v>
      </c>
      <c r="AT119" s="24">
        <v>43.770299525616444</v>
      </c>
      <c r="AU119" s="24">
        <v>30.380130583614481</v>
      </c>
      <c r="AV119" s="24">
        <v>31.3476433953516</v>
      </c>
      <c r="AW119" s="24">
        <v>37.454422559717806</v>
      </c>
      <c r="AX119" s="24">
        <v>31.848648691919308</v>
      </c>
      <c r="AY119" s="24">
        <v>33.628253214153553</v>
      </c>
    </row>
    <row r="120" spans="1:51" x14ac:dyDescent="0.2">
      <c r="A120" s="23">
        <v>45560</v>
      </c>
      <c r="B120" s="24">
        <v>32.712108369406529</v>
      </c>
      <c r="C120" s="24">
        <v>40.173909272638788</v>
      </c>
      <c r="D120" s="24">
        <v>37.992850945947261</v>
      </c>
      <c r="E120" s="24">
        <v>20.766100897842257</v>
      </c>
      <c r="F120" s="24">
        <v>34.436958790371868</v>
      </c>
      <c r="G120" s="24">
        <v>33.367061664886329</v>
      </c>
      <c r="H120" s="24">
        <v>36.561934214997635</v>
      </c>
      <c r="I120" s="24">
        <v>30.412100479800081</v>
      </c>
      <c r="J120" s="24">
        <v>30.048589797433362</v>
      </c>
      <c r="K120" s="24">
        <v>34.313297327922612</v>
      </c>
      <c r="L120" s="24">
        <v>23.086112458184999</v>
      </c>
      <c r="M120" s="24">
        <v>26.422450296642772</v>
      </c>
      <c r="N120" s="24">
        <v>35.11039815384872</v>
      </c>
      <c r="O120" s="24">
        <v>32.210079042472422</v>
      </c>
      <c r="P120" s="24">
        <v>22.784287263812548</v>
      </c>
      <c r="Q120" s="24">
        <v>22.211597791405513</v>
      </c>
      <c r="R120" s="24">
        <v>38.489757422077339</v>
      </c>
      <c r="S120" s="24">
        <v>27.150826967458755</v>
      </c>
      <c r="T120" s="24">
        <v>42.562352831464793</v>
      </c>
      <c r="U120" s="24">
        <v>32.099897058720728</v>
      </c>
      <c r="V120" s="24">
        <v>40.292702271120064</v>
      </c>
      <c r="W120" s="24">
        <v>26.448078436388805</v>
      </c>
      <c r="X120" s="24">
        <v>25.539611516953862</v>
      </c>
      <c r="Y120" s="24">
        <v>38.204294979433449</v>
      </c>
      <c r="Z120" s="24">
        <v>51.208461407667087</v>
      </c>
      <c r="AA120" s="24">
        <v>30.331793579837228</v>
      </c>
      <c r="AB120" s="24">
        <v>38.097970542658615</v>
      </c>
      <c r="AC120" s="24">
        <v>31.709867431326174</v>
      </c>
      <c r="AD120" s="24">
        <v>45.957867075671736</v>
      </c>
      <c r="AE120" s="24">
        <v>67.412447903579135</v>
      </c>
      <c r="AF120" s="24">
        <v>25.078441189258921</v>
      </c>
      <c r="AG120" s="24">
        <v>33.861910363930662</v>
      </c>
      <c r="AH120" s="24">
        <v>46.360370945645094</v>
      </c>
      <c r="AI120" s="24">
        <v>40.634679704014218</v>
      </c>
      <c r="AJ120" s="24">
        <v>25.01667358060126</v>
      </c>
      <c r="AK120" s="24">
        <v>18.95571226561416</v>
      </c>
      <c r="AL120" s="24">
        <v>40.283019604701522</v>
      </c>
      <c r="AM120" s="24">
        <v>22.42055927321428</v>
      </c>
      <c r="AN120" s="24">
        <v>50.121317275732743</v>
      </c>
      <c r="AO120" s="24">
        <v>30.479594298324567</v>
      </c>
      <c r="AP120" s="24">
        <v>33.674272980225993</v>
      </c>
      <c r="AQ120" s="24">
        <v>22.366557642796764</v>
      </c>
      <c r="AR120" s="24">
        <v>21.174250775121056</v>
      </c>
      <c r="AS120" s="24">
        <v>38.929500566380952</v>
      </c>
      <c r="AT120" s="24">
        <v>39.004928068664761</v>
      </c>
      <c r="AU120" s="24">
        <v>28.531636060494332</v>
      </c>
      <c r="AV120" s="24">
        <v>29.915978047571539</v>
      </c>
      <c r="AW120" s="24">
        <v>35.729427461056019</v>
      </c>
      <c r="AX120" s="24">
        <v>26.259871033397477</v>
      </c>
      <c r="AY120" s="24">
        <v>30.793792165483104</v>
      </c>
    </row>
    <row r="121" spans="1:51" x14ac:dyDescent="0.2">
      <c r="A121" s="23">
        <v>45559</v>
      </c>
      <c r="B121" s="24">
        <v>32.515275029508395</v>
      </c>
      <c r="C121" s="24">
        <v>39.526029886091948</v>
      </c>
      <c r="D121" s="24">
        <v>37.846766759373551</v>
      </c>
      <c r="E121" s="24">
        <v>20.794369623831923</v>
      </c>
      <c r="F121" s="24">
        <v>34.226052987672922</v>
      </c>
      <c r="G121" s="24">
        <v>33.367061664886329</v>
      </c>
      <c r="H121" s="24">
        <v>36.898779668362948</v>
      </c>
      <c r="I121" s="24">
        <v>29.347078297681254</v>
      </c>
      <c r="J121" s="24">
        <v>27.997072830224415</v>
      </c>
      <c r="K121" s="24">
        <v>32.711467562178647</v>
      </c>
      <c r="L121" s="24">
        <v>20.974699422091646</v>
      </c>
      <c r="M121" s="24">
        <v>25.9534658671434</v>
      </c>
      <c r="N121" s="24">
        <v>35.663872567803047</v>
      </c>
      <c r="O121" s="24">
        <v>31.867991031399377</v>
      </c>
      <c r="P121" s="24">
        <v>22.452285599485556</v>
      </c>
      <c r="Q121" s="24">
        <v>22.046667784929117</v>
      </c>
      <c r="R121" s="24">
        <v>38.586183386930095</v>
      </c>
      <c r="S121" s="24">
        <v>25.565502244066749</v>
      </c>
      <c r="T121" s="24">
        <v>43.271251632068427</v>
      </c>
      <c r="U121" s="24">
        <v>31.629275446789428</v>
      </c>
      <c r="V121" s="24">
        <v>39.862758916502415</v>
      </c>
      <c r="W121" s="24">
        <v>26.50278441161322</v>
      </c>
      <c r="X121" s="24">
        <v>24.2451769118748</v>
      </c>
      <c r="Y121" s="24">
        <v>37.417191966481532</v>
      </c>
      <c r="Z121" s="24">
        <v>50.99630456211738</v>
      </c>
      <c r="AA121" s="24">
        <v>30.618931929142587</v>
      </c>
      <c r="AB121" s="24">
        <v>38.705432952775553</v>
      </c>
      <c r="AC121" s="24">
        <v>30.912753218696533</v>
      </c>
      <c r="AD121" s="24">
        <v>44.771511664196872</v>
      </c>
      <c r="AE121" s="24">
        <v>67.649361778413606</v>
      </c>
      <c r="AF121" s="24">
        <v>23.134379726450472</v>
      </c>
      <c r="AG121" s="24">
        <v>30.960479748857082</v>
      </c>
      <c r="AH121" s="24">
        <v>49.334572309581745</v>
      </c>
      <c r="AI121" s="24">
        <v>40.884798926483349</v>
      </c>
      <c r="AJ121" s="24">
        <v>25.113847307110934</v>
      </c>
      <c r="AK121" s="24">
        <v>18.194866895469264</v>
      </c>
      <c r="AL121" s="24">
        <v>39.91934408683538</v>
      </c>
      <c r="AM121" s="24">
        <v>22.515246414275925</v>
      </c>
      <c r="AN121" s="24">
        <v>50.207689610236713</v>
      </c>
      <c r="AO121" s="24">
        <v>30.606007146030137</v>
      </c>
      <c r="AP121" s="24">
        <v>32.898303437487627</v>
      </c>
      <c r="AQ121" s="24">
        <v>21.064256771880085</v>
      </c>
      <c r="AR121" s="24">
        <v>20.693403320547052</v>
      </c>
      <c r="AS121" s="24">
        <v>39.33972096301332</v>
      </c>
      <c r="AT121" s="24">
        <v>34.705838943038984</v>
      </c>
      <c r="AU121" s="24">
        <v>28.094539397667123</v>
      </c>
      <c r="AV121" s="24">
        <v>29.72795304063574</v>
      </c>
      <c r="AW121" s="24">
        <v>35.534164799456804</v>
      </c>
      <c r="AX121" s="24">
        <v>25.784789381353235</v>
      </c>
      <c r="AY121" s="24">
        <v>30.892973026278039</v>
      </c>
    </row>
    <row r="122" spans="1:51" x14ac:dyDescent="0.2">
      <c r="A122" s="23">
        <v>45558</v>
      </c>
      <c r="B122" s="24">
        <v>26.77604191127228</v>
      </c>
      <c r="C122" s="24">
        <v>23.917133937671107</v>
      </c>
      <c r="D122" s="24">
        <v>34.99389522582257</v>
      </c>
      <c r="E122" s="24">
        <v>17.593786899576987</v>
      </c>
      <c r="F122" s="24">
        <v>29.27577187875119</v>
      </c>
      <c r="G122" s="24">
        <v>28.908677444178487</v>
      </c>
      <c r="H122" s="24">
        <v>33.131026883475258</v>
      </c>
      <c r="I122" s="24">
        <v>24.962345458795077</v>
      </c>
      <c r="J122" s="24">
        <v>20.15662051475157</v>
      </c>
      <c r="K122" s="24">
        <v>32.401610252369366</v>
      </c>
      <c r="L122" s="24">
        <v>19.027211126106859</v>
      </c>
      <c r="M122" s="24">
        <v>22.627886819784216</v>
      </c>
      <c r="N122" s="24">
        <v>33.689694210757231</v>
      </c>
      <c r="O122" s="24">
        <v>26.063243152124222</v>
      </c>
      <c r="P122" s="24">
        <v>19.70837601827148</v>
      </c>
      <c r="Q122" s="24">
        <v>20.7408416881356</v>
      </c>
      <c r="R122" s="24">
        <v>35.721910816807629</v>
      </c>
      <c r="S122" s="24">
        <v>26.403752246766171</v>
      </c>
      <c r="T122" s="24">
        <v>34.867940059157505</v>
      </c>
      <c r="U122" s="24">
        <v>28.210131799725847</v>
      </c>
      <c r="V122" s="24">
        <v>30.269305858980072</v>
      </c>
      <c r="W122" s="24">
        <v>24.289167428936949</v>
      </c>
      <c r="X122" s="24">
        <v>22.872066907465534</v>
      </c>
      <c r="Y122" s="24">
        <v>34.247308042079112</v>
      </c>
      <c r="Z122" s="24">
        <v>37.209147256607139</v>
      </c>
      <c r="AA122" s="24">
        <v>17.769025289660135</v>
      </c>
      <c r="AB122" s="24">
        <v>37.061825913984606</v>
      </c>
      <c r="AC122" s="24">
        <v>25.254906810873347</v>
      </c>
      <c r="AD122" s="24">
        <v>25.048728348908327</v>
      </c>
      <c r="AE122" s="24">
        <v>65.607676819397881</v>
      </c>
      <c r="AF122" s="24">
        <v>20.461814222809405</v>
      </c>
      <c r="AG122" s="24">
        <v>24.487471090223828</v>
      </c>
      <c r="AH122" s="24">
        <v>46.058692283477512</v>
      </c>
      <c r="AI122" s="24">
        <v>34.49030284647408</v>
      </c>
      <c r="AJ122" s="24">
        <v>23.867486002937614</v>
      </c>
      <c r="AK122" s="24">
        <v>17.982614438842983</v>
      </c>
      <c r="AL122" s="24">
        <v>34.87146156309359</v>
      </c>
      <c r="AM122" s="24">
        <v>19.785265037908882</v>
      </c>
      <c r="AN122" s="24">
        <v>43.108510229215895</v>
      </c>
      <c r="AO122" s="24">
        <v>27.381829362002133</v>
      </c>
      <c r="AP122" s="24">
        <v>33.737378875880978</v>
      </c>
      <c r="AQ122" s="24">
        <v>21.836304695135873</v>
      </c>
      <c r="AR122" s="24">
        <v>17.21650917297255</v>
      </c>
      <c r="AS122" s="24">
        <v>34.888343118723412</v>
      </c>
      <c r="AT122" s="24">
        <v>28.174840061585027</v>
      </c>
      <c r="AU122" s="24">
        <v>24.671343528138706</v>
      </c>
      <c r="AV122" s="24">
        <v>27.499936583866976</v>
      </c>
      <c r="AW122" s="24">
        <v>24.400735953127885</v>
      </c>
      <c r="AX122" s="24">
        <v>20.330126212804458</v>
      </c>
      <c r="AY122" s="24">
        <v>30.719228051403622</v>
      </c>
    </row>
    <row r="123" spans="1:51" x14ac:dyDescent="0.2">
      <c r="A123" s="23">
        <v>45555</v>
      </c>
      <c r="B123" s="24">
        <v>27.69995347585591</v>
      </c>
      <c r="C123" s="24">
        <v>23.879158801497613</v>
      </c>
      <c r="D123" s="24">
        <v>34.438484816997004</v>
      </c>
      <c r="E123" s="24">
        <v>17.980608466219014</v>
      </c>
      <c r="F123" s="24">
        <v>29.132137269986327</v>
      </c>
      <c r="G123" s="24">
        <v>30.117259485913095</v>
      </c>
      <c r="H123" s="24">
        <v>32.575790222666377</v>
      </c>
      <c r="I123" s="24">
        <v>26.141321676666255</v>
      </c>
      <c r="J123" s="24">
        <v>19.213778023411507</v>
      </c>
      <c r="K123" s="24">
        <v>31.004243492176442</v>
      </c>
      <c r="L123" s="24">
        <v>18.729646287992871</v>
      </c>
      <c r="M123" s="24">
        <v>22.805345036872662</v>
      </c>
      <c r="N123" s="24">
        <v>33.425056804653082</v>
      </c>
      <c r="O123" s="24">
        <v>25.428101385999923</v>
      </c>
      <c r="P123" s="24">
        <v>19.776777340021567</v>
      </c>
      <c r="Q123" s="24">
        <v>21.815983606297028</v>
      </c>
      <c r="R123" s="24">
        <v>35.464618218076488</v>
      </c>
      <c r="S123" s="24">
        <v>25.720959312293989</v>
      </c>
      <c r="T123" s="24">
        <v>33.97732639083511</v>
      </c>
      <c r="U123" s="24">
        <v>28.291950676399651</v>
      </c>
      <c r="V123" s="24">
        <v>29.513962579285298</v>
      </c>
      <c r="W123" s="24">
        <v>25.498971277086014</v>
      </c>
      <c r="X123" s="24">
        <v>21.757626644522059</v>
      </c>
      <c r="Y123" s="24">
        <v>34.237367110032679</v>
      </c>
      <c r="Z123" s="24">
        <v>37.522478017577157</v>
      </c>
      <c r="AA123" s="24">
        <v>18.327278675714659</v>
      </c>
      <c r="AB123" s="24">
        <v>37.07177278839643</v>
      </c>
      <c r="AC123" s="24">
        <v>23.827987364163953</v>
      </c>
      <c r="AD123" s="24">
        <v>27.628677450311809</v>
      </c>
      <c r="AE123" s="24">
        <v>64.795168709686124</v>
      </c>
      <c r="AF123" s="24">
        <v>20.742283863278402</v>
      </c>
      <c r="AG123" s="24">
        <v>23.941577081235053</v>
      </c>
      <c r="AH123" s="24">
        <v>45.478725242392585</v>
      </c>
      <c r="AI123" s="24">
        <v>34.755078682550526</v>
      </c>
      <c r="AJ123" s="24">
        <v>27.499978652043559</v>
      </c>
      <c r="AK123" s="24">
        <v>17.438932477261957</v>
      </c>
      <c r="AL123" s="24">
        <v>34.849130372993152</v>
      </c>
      <c r="AM123" s="24">
        <v>19.652876231980109</v>
      </c>
      <c r="AN123" s="24">
        <v>43.008515271699956</v>
      </c>
      <c r="AO123" s="24">
        <v>25.78117037443447</v>
      </c>
      <c r="AP123" s="24">
        <v>34.222823361820438</v>
      </c>
      <c r="AQ123" s="24">
        <v>21.903159157840079</v>
      </c>
      <c r="AR123" s="24">
        <v>16.323996889989196</v>
      </c>
      <c r="AS123" s="24">
        <v>34.927482688295392</v>
      </c>
      <c r="AT123" s="24">
        <v>28.360300294012923</v>
      </c>
      <c r="AU123" s="24">
        <v>24.755345131903105</v>
      </c>
      <c r="AV123" s="24">
        <v>26.704700211069014</v>
      </c>
      <c r="AW123" s="24">
        <v>24.888331140983297</v>
      </c>
      <c r="AX123" s="24">
        <v>19.49327749042741</v>
      </c>
      <c r="AY123" s="24">
        <v>30.919634758842076</v>
      </c>
    </row>
    <row r="124" spans="1:51" x14ac:dyDescent="0.2">
      <c r="A124" s="23">
        <v>45554</v>
      </c>
      <c r="B124" s="24">
        <v>27.668142978532583</v>
      </c>
      <c r="C124" s="24">
        <v>23.710970323296859</v>
      </c>
      <c r="D124" s="24">
        <v>34.20193685991471</v>
      </c>
      <c r="E124" s="24">
        <v>17.193894884876254</v>
      </c>
      <c r="F124" s="24">
        <v>28.765136174793543</v>
      </c>
      <c r="G124" s="24">
        <v>29.909702916104973</v>
      </c>
      <c r="H124" s="24">
        <v>32.441792157188303</v>
      </c>
      <c r="I124" s="24">
        <v>26.047825596840532</v>
      </c>
      <c r="J124" s="24">
        <v>19.048872940315459</v>
      </c>
      <c r="K124" s="24">
        <v>31.498878208131039</v>
      </c>
      <c r="L124" s="24">
        <v>18.852081470291189</v>
      </c>
      <c r="M124" s="24">
        <v>22.809987243061752</v>
      </c>
      <c r="N124" s="24">
        <v>33.373671303028836</v>
      </c>
      <c r="O124" s="24">
        <v>24.89297827723944</v>
      </c>
      <c r="P124" s="24">
        <v>19.409822844387076</v>
      </c>
      <c r="Q124" s="24">
        <v>21.87446486129193</v>
      </c>
      <c r="R124" s="24">
        <v>35.270546376901777</v>
      </c>
      <c r="S124" s="24">
        <v>25.475487937115791</v>
      </c>
      <c r="T124" s="24">
        <v>33.989412084344551</v>
      </c>
      <c r="U124" s="24">
        <v>27.284242539670316</v>
      </c>
      <c r="V124" s="24">
        <v>29.175798113849421</v>
      </c>
      <c r="W124" s="24">
        <v>25.937298875653742</v>
      </c>
      <c r="X124" s="24">
        <v>21.15107463607799</v>
      </c>
      <c r="Y124" s="24">
        <v>32.368002617562375</v>
      </c>
      <c r="Z124" s="24">
        <v>37.664288218454935</v>
      </c>
      <c r="AA124" s="24">
        <v>18.271760997709009</v>
      </c>
      <c r="AB124" s="24">
        <v>37.611711027592428</v>
      </c>
      <c r="AC124" s="24">
        <v>24.056853532689164</v>
      </c>
      <c r="AD124" s="24">
        <v>27.63589874531252</v>
      </c>
      <c r="AE124" s="24">
        <v>69.723938671161221</v>
      </c>
      <c r="AF124" s="24">
        <v>20.587483338197213</v>
      </c>
      <c r="AG124" s="24">
        <v>24.109381260591412</v>
      </c>
      <c r="AH124" s="24">
        <v>45.381128050076981</v>
      </c>
      <c r="AI124" s="24">
        <v>34.597310987902034</v>
      </c>
      <c r="AJ124" s="24">
        <v>19.485522835018166</v>
      </c>
      <c r="AK124" s="24">
        <v>17.287693518892375</v>
      </c>
      <c r="AL124" s="24">
        <v>35.532082583356242</v>
      </c>
      <c r="AM124" s="24">
        <v>19.65568755122753</v>
      </c>
      <c r="AN124" s="24">
        <v>42.652193247523996</v>
      </c>
      <c r="AO124" s="24">
        <v>25.685257133195922</v>
      </c>
      <c r="AP124" s="24">
        <v>34.692700166984565</v>
      </c>
      <c r="AQ124" s="24">
        <v>21.845751789460863</v>
      </c>
      <c r="AR124" s="24">
        <v>15.83440376749587</v>
      </c>
      <c r="AS124" s="24">
        <v>34.787688103068739</v>
      </c>
      <c r="AT124" s="24">
        <v>28.088521812090292</v>
      </c>
      <c r="AU124" s="24">
        <v>24.723800844586126</v>
      </c>
      <c r="AV124" s="24">
        <v>25.468865678022439</v>
      </c>
      <c r="AW124" s="24">
        <v>25.41739838302863</v>
      </c>
      <c r="AX124" s="24">
        <v>19.266354262816648</v>
      </c>
      <c r="AY124" s="24">
        <v>30.573134401075727</v>
      </c>
    </row>
    <row r="125" spans="1:51" x14ac:dyDescent="0.2">
      <c r="A125" s="23">
        <v>45553</v>
      </c>
      <c r="B125" s="24">
        <v>29.033660269710083</v>
      </c>
      <c r="C125" s="24">
        <v>23.751062465771753</v>
      </c>
      <c r="D125" s="24">
        <v>34.37138923040758</v>
      </c>
      <c r="E125" s="24">
        <v>17.07043639957546</v>
      </c>
      <c r="F125" s="24">
        <v>29.824851217831217</v>
      </c>
      <c r="G125" s="24">
        <v>30.123198511924784</v>
      </c>
      <c r="H125" s="24">
        <v>32.780284604420395</v>
      </c>
      <c r="I125" s="24">
        <v>26.179603310317447</v>
      </c>
      <c r="J125" s="24">
        <v>19.054489366266409</v>
      </c>
      <c r="K125" s="24">
        <v>30.957015992238297</v>
      </c>
      <c r="L125" s="24">
        <v>18.859895712408839</v>
      </c>
      <c r="M125" s="24">
        <v>22.822678752724237</v>
      </c>
      <c r="N125" s="24">
        <v>33.666122597403543</v>
      </c>
      <c r="O125" s="24">
        <v>25.361983757804779</v>
      </c>
      <c r="P125" s="24">
        <v>19.051632826666577</v>
      </c>
      <c r="Q125" s="24">
        <v>21.853211010723999</v>
      </c>
      <c r="R125" s="24">
        <v>35.205980945775508</v>
      </c>
      <c r="S125" s="24">
        <v>25.652249491370696</v>
      </c>
      <c r="T125" s="24">
        <v>31.50753095256017</v>
      </c>
      <c r="U125" s="24">
        <v>27.379540133137848</v>
      </c>
      <c r="V125" s="24">
        <v>29.444884562988669</v>
      </c>
      <c r="W125" s="24">
        <v>25.18037423953648</v>
      </c>
      <c r="X125" s="24">
        <v>21.194175567961032</v>
      </c>
      <c r="Y125" s="24">
        <v>31.049802489138976</v>
      </c>
      <c r="Z125" s="24">
        <v>37.490345922248068</v>
      </c>
      <c r="AA125" s="24">
        <v>17.123704961185449</v>
      </c>
      <c r="AB125" s="24">
        <v>37.536011099216012</v>
      </c>
      <c r="AC125" s="24">
        <v>23.74735900893997</v>
      </c>
      <c r="AD125" s="24">
        <v>25.482909906116138</v>
      </c>
      <c r="AE125" s="24">
        <v>70.011082122962932</v>
      </c>
      <c r="AF125" s="24">
        <v>20.699763681153886</v>
      </c>
      <c r="AG125" s="24">
        <v>22.332901598048423</v>
      </c>
      <c r="AH125" s="24">
        <v>45.329438311214524</v>
      </c>
      <c r="AI125" s="24">
        <v>34.591479523860407</v>
      </c>
      <c r="AJ125" s="24">
        <v>19.367411762354752</v>
      </c>
      <c r="AK125" s="24">
        <v>17.201171497406129</v>
      </c>
      <c r="AL125" s="24">
        <v>35.602365665594419</v>
      </c>
      <c r="AM125" s="24">
        <v>19.676615891498763</v>
      </c>
      <c r="AN125" s="24">
        <v>39.416333434044034</v>
      </c>
      <c r="AO125" s="24">
        <v>25.716934993797615</v>
      </c>
      <c r="AP125" s="24">
        <v>33.647628197147988</v>
      </c>
      <c r="AQ125" s="24">
        <v>21.868280639825784</v>
      </c>
      <c r="AR125" s="24">
        <v>15.87823887361675</v>
      </c>
      <c r="AS125" s="24">
        <v>35.007115291335069</v>
      </c>
      <c r="AT125" s="24">
        <v>26.530079663699592</v>
      </c>
      <c r="AU125" s="24">
        <v>21.855403826263395</v>
      </c>
      <c r="AV125" s="24">
        <v>24.619434492913662</v>
      </c>
      <c r="AW125" s="24">
        <v>25.958722909773325</v>
      </c>
      <c r="AX125" s="24">
        <v>18.953800724964474</v>
      </c>
      <c r="AY125" s="24">
        <v>30.631108094641711</v>
      </c>
    </row>
    <row r="126" spans="1:51" x14ac:dyDescent="0.2">
      <c r="A126" s="23">
        <v>45548</v>
      </c>
      <c r="B126" s="24">
        <v>28.987073862746083</v>
      </c>
      <c r="C126" s="24">
        <v>22.179657565845172</v>
      </c>
      <c r="D126" s="24">
        <v>35.568095566475002</v>
      </c>
      <c r="E126" s="24">
        <v>16.959878381098591</v>
      </c>
      <c r="F126" s="24">
        <v>30.431144622692742</v>
      </c>
      <c r="G126" s="24">
        <v>30.801418360952262</v>
      </c>
      <c r="H126" s="24">
        <v>31.730208794125261</v>
      </c>
      <c r="I126" s="24">
        <v>25.951255854971635</v>
      </c>
      <c r="J126" s="24">
        <v>18.113438118818646</v>
      </c>
      <c r="K126" s="24">
        <v>30.805733728528658</v>
      </c>
      <c r="L126" s="24">
        <v>17.797105584557031</v>
      </c>
      <c r="M126" s="24">
        <v>22.242353647907883</v>
      </c>
      <c r="N126" s="24">
        <v>33.491267180854678</v>
      </c>
      <c r="O126" s="24">
        <v>24.913020402299804</v>
      </c>
      <c r="P126" s="24">
        <v>19.180294550032382</v>
      </c>
      <c r="Q126" s="24">
        <v>21.933811256724045</v>
      </c>
      <c r="R126" s="24">
        <v>33.175027730394341</v>
      </c>
      <c r="S126" s="24">
        <v>24.182440863791349</v>
      </c>
      <c r="T126" s="24">
        <v>31.411666941520501</v>
      </c>
      <c r="U126" s="24">
        <v>27.658241501101891</v>
      </c>
      <c r="V126" s="24">
        <v>30.985795254309284</v>
      </c>
      <c r="W126" s="24">
        <v>23.635347933658561</v>
      </c>
      <c r="X126" s="24">
        <v>21.748183669671626</v>
      </c>
      <c r="Y126" s="24">
        <v>30.779508355008797</v>
      </c>
      <c r="Z126" s="24">
        <v>36.815512051336654</v>
      </c>
      <c r="AA126" s="24">
        <v>17.18443508427119</v>
      </c>
      <c r="AB126" s="24">
        <v>34.33460057713301</v>
      </c>
      <c r="AC126" s="24">
        <v>24.615968924494563</v>
      </c>
      <c r="AD126" s="24">
        <v>25.455982881205138</v>
      </c>
      <c r="AE126" s="24">
        <v>70.656372536444451</v>
      </c>
      <c r="AF126" s="24">
        <v>22.721037171179194</v>
      </c>
      <c r="AG126" s="24">
        <v>23.749483012709387</v>
      </c>
      <c r="AH126" s="24">
        <v>45.308668636269488</v>
      </c>
      <c r="AI126" s="24">
        <v>32.53390188785373</v>
      </c>
      <c r="AJ126" s="24">
        <v>21.479200830842696</v>
      </c>
      <c r="AK126" s="24">
        <v>17.057440553023543</v>
      </c>
      <c r="AL126" s="24">
        <v>35.659942484091637</v>
      </c>
      <c r="AM126" s="24">
        <v>20.282768074681691</v>
      </c>
      <c r="AN126" s="24">
        <v>39.590804936802584</v>
      </c>
      <c r="AO126" s="24">
        <v>25.541422412019671</v>
      </c>
      <c r="AP126" s="24">
        <v>32.563724892474646</v>
      </c>
      <c r="AQ126" s="24">
        <v>19.176476452826954</v>
      </c>
      <c r="AR126" s="24">
        <v>16.802566366743815</v>
      </c>
      <c r="AS126" s="24">
        <v>35.034213113343384</v>
      </c>
      <c r="AT126" s="24">
        <v>26.463705383457995</v>
      </c>
      <c r="AU126" s="24">
        <v>19.924947059957947</v>
      </c>
      <c r="AV126" s="24">
        <v>21.504584519433468</v>
      </c>
      <c r="AW126" s="24">
        <v>26.043869570312545</v>
      </c>
      <c r="AX126" s="24">
        <v>19.615325467549031</v>
      </c>
      <c r="AY126" s="24">
        <v>30.665257560009671</v>
      </c>
    </row>
    <row r="127" spans="1:51" x14ac:dyDescent="0.2">
      <c r="A127" s="23">
        <v>45547</v>
      </c>
      <c r="B127" s="24">
        <v>29.667696822637456</v>
      </c>
      <c r="C127" s="24">
        <v>21.200650122800106</v>
      </c>
      <c r="D127" s="24">
        <v>36.203451282949729</v>
      </c>
      <c r="E127" s="24">
        <v>16.031025237986874</v>
      </c>
      <c r="F127" s="24">
        <v>31.719038732149492</v>
      </c>
      <c r="G127" s="24">
        <v>31.066066215266428</v>
      </c>
      <c r="H127" s="24">
        <v>32.413724579210928</v>
      </c>
      <c r="I127" s="24">
        <v>22.726747285438829</v>
      </c>
      <c r="J127" s="24">
        <v>18.07570246415543</v>
      </c>
      <c r="K127" s="24">
        <v>30.724238697099221</v>
      </c>
      <c r="L127" s="24">
        <v>18.168099872319313</v>
      </c>
      <c r="M127" s="24">
        <v>22.248871568322759</v>
      </c>
      <c r="N127" s="24">
        <v>32.51858148575559</v>
      </c>
      <c r="O127" s="24">
        <v>25.027680347588952</v>
      </c>
      <c r="P127" s="24">
        <v>19.176012010211732</v>
      </c>
      <c r="Q127" s="24">
        <v>20.936717592565024</v>
      </c>
      <c r="R127" s="24">
        <v>33.141759243196248</v>
      </c>
      <c r="S127" s="24">
        <v>23.731933475669592</v>
      </c>
      <c r="T127" s="24">
        <v>29.38119285530767</v>
      </c>
      <c r="U127" s="24">
        <v>28.971564724102084</v>
      </c>
      <c r="V127" s="24">
        <v>32.255115826664358</v>
      </c>
      <c r="W127" s="24">
        <v>23.558346787149166</v>
      </c>
      <c r="X127" s="24">
        <v>22.022803556687521</v>
      </c>
      <c r="Y127" s="24">
        <v>28.85201561499839</v>
      </c>
      <c r="Z127" s="24">
        <v>36.609709938431983</v>
      </c>
      <c r="AA127" s="24">
        <v>17.216461809761437</v>
      </c>
      <c r="AB127" s="24">
        <v>33.233303905272813</v>
      </c>
      <c r="AC127" s="24">
        <v>25.301363878360508</v>
      </c>
      <c r="AD127" s="24">
        <v>25.552654094489291</v>
      </c>
      <c r="AE127" s="24">
        <v>69.97970277337123</v>
      </c>
      <c r="AF127" s="24">
        <v>22.860071013576651</v>
      </c>
      <c r="AG127" s="24">
        <v>23.946030321873437</v>
      </c>
      <c r="AH127" s="24">
        <v>45.386751279190904</v>
      </c>
      <c r="AI127" s="24">
        <v>32.049520739168528</v>
      </c>
      <c r="AJ127" s="24">
        <v>21.369068150028099</v>
      </c>
      <c r="AK127" s="24">
        <v>17.117473855321499</v>
      </c>
      <c r="AL127" s="24">
        <v>35.662472145403008</v>
      </c>
      <c r="AM127" s="24">
        <v>20.377484206923651</v>
      </c>
      <c r="AN127" s="24">
        <v>39.1588121209505</v>
      </c>
      <c r="AO127" s="24">
        <v>25.280544982358364</v>
      </c>
      <c r="AP127" s="24">
        <v>32.225773684939718</v>
      </c>
      <c r="AQ127" s="24">
        <v>18.945588188700615</v>
      </c>
      <c r="AR127" s="24">
        <v>17.303580715782442</v>
      </c>
      <c r="AS127" s="24">
        <v>35.187157547096476</v>
      </c>
      <c r="AT127" s="24">
        <v>27.119499097413811</v>
      </c>
      <c r="AU127" s="24">
        <v>19.981133989538133</v>
      </c>
      <c r="AV127" s="24">
        <v>22.026730705031031</v>
      </c>
      <c r="AW127" s="24">
        <v>26.071012975797458</v>
      </c>
      <c r="AX127" s="24">
        <v>20.326686222834979</v>
      </c>
      <c r="AY127" s="24">
        <v>30.614206145908774</v>
      </c>
    </row>
    <row r="128" spans="1:51" x14ac:dyDescent="0.2">
      <c r="A128" s="23">
        <v>45546</v>
      </c>
      <c r="B128" s="24">
        <v>29.813490357349032</v>
      </c>
      <c r="C128" s="24">
        <v>18.56887619142308</v>
      </c>
      <c r="D128" s="24">
        <v>36.198969043488354</v>
      </c>
      <c r="E128" s="24">
        <v>17.533915192193803</v>
      </c>
      <c r="F128" s="24">
        <v>32.059334009171664</v>
      </c>
      <c r="G128" s="24">
        <v>31.178653342202985</v>
      </c>
      <c r="H128" s="24">
        <v>32.250958886139763</v>
      </c>
      <c r="I128" s="24">
        <v>22.423818534957718</v>
      </c>
      <c r="J128" s="24">
        <v>21.069986209603496</v>
      </c>
      <c r="K128" s="24">
        <v>31.011779792216068</v>
      </c>
      <c r="L128" s="24">
        <v>19.444206653327981</v>
      </c>
      <c r="M128" s="24">
        <v>23.199612946288031</v>
      </c>
      <c r="N128" s="24">
        <v>32.367863746566961</v>
      </c>
      <c r="O128" s="24">
        <v>25.507875019737106</v>
      </c>
      <c r="P128" s="24">
        <v>16.738917842062627</v>
      </c>
      <c r="Q128" s="24">
        <v>21.262333645009129</v>
      </c>
      <c r="R128" s="24">
        <v>33.18105759486923</v>
      </c>
      <c r="S128" s="24">
        <v>23.427298775591904</v>
      </c>
      <c r="T128" s="24">
        <v>28.770756866341706</v>
      </c>
      <c r="U128" s="24">
        <v>29.298511326567453</v>
      </c>
      <c r="V128" s="24">
        <v>32.642895492648137</v>
      </c>
      <c r="W128" s="24">
        <v>24.782818245628214</v>
      </c>
      <c r="X128" s="24">
        <v>22.489535718566362</v>
      </c>
      <c r="Y128" s="24">
        <v>29.374788851029876</v>
      </c>
      <c r="Z128" s="24">
        <v>36.501765245507514</v>
      </c>
      <c r="AA128" s="24">
        <v>17.809145953763647</v>
      </c>
      <c r="AB128" s="24">
        <v>32.774094762419196</v>
      </c>
      <c r="AC128" s="24">
        <v>25.285728540079031</v>
      </c>
      <c r="AD128" s="24">
        <v>25.453152403639553</v>
      </c>
      <c r="AE128" s="24">
        <v>69.996648956364595</v>
      </c>
      <c r="AF128" s="24">
        <v>22.592525557909411</v>
      </c>
      <c r="AG128" s="24">
        <v>23.040539795851778</v>
      </c>
      <c r="AH128" s="24">
        <v>44.061296207936117</v>
      </c>
      <c r="AI128" s="24">
        <v>31.881144536639923</v>
      </c>
      <c r="AJ128" s="24">
        <v>21.003102005609541</v>
      </c>
      <c r="AK128" s="24">
        <v>17.647732650655261</v>
      </c>
      <c r="AL128" s="24">
        <v>35.216720994343703</v>
      </c>
      <c r="AM128" s="24">
        <v>20.720628232965556</v>
      </c>
      <c r="AN128" s="24">
        <v>37.901253160636088</v>
      </c>
      <c r="AO128" s="24">
        <v>25.223031245157802</v>
      </c>
      <c r="AP128" s="24">
        <v>32.048108791712252</v>
      </c>
      <c r="AQ128" s="24">
        <v>18.713508330913626</v>
      </c>
      <c r="AR128" s="24">
        <v>17.453455656221411</v>
      </c>
      <c r="AS128" s="24">
        <v>35.501726369100432</v>
      </c>
      <c r="AT128" s="24">
        <v>28.571146703825836</v>
      </c>
      <c r="AU128" s="24">
        <v>20.124465738143975</v>
      </c>
      <c r="AV128" s="24">
        <v>21.803456677852065</v>
      </c>
      <c r="AW128" s="24">
        <v>27.162050953764766</v>
      </c>
      <c r="AX128" s="24">
        <v>21.261266361434622</v>
      </c>
      <c r="AY128" s="24">
        <v>30.937345087088751</v>
      </c>
    </row>
    <row r="129" spans="1:51" x14ac:dyDescent="0.2">
      <c r="A129" s="23">
        <v>45545</v>
      </c>
      <c r="B129" s="24">
        <v>29.065135829200283</v>
      </c>
      <c r="C129" s="24">
        <v>18.643554428920059</v>
      </c>
      <c r="D129" s="24">
        <v>34.619486739599758</v>
      </c>
      <c r="E129" s="24">
        <v>16.866514999416115</v>
      </c>
      <c r="F129" s="24">
        <v>31.070902475550948</v>
      </c>
      <c r="G129" s="24">
        <v>28.395437386255118</v>
      </c>
      <c r="H129" s="24">
        <v>31.934661659652637</v>
      </c>
      <c r="I129" s="24">
        <v>20.793064527321352</v>
      </c>
      <c r="J129" s="24">
        <v>21.06835670383262</v>
      </c>
      <c r="K129" s="24">
        <v>29.832649156478958</v>
      </c>
      <c r="L129" s="24">
        <v>19.776014351900951</v>
      </c>
      <c r="M129" s="24">
        <v>23.360846933696898</v>
      </c>
      <c r="N129" s="24">
        <v>31.954072299982595</v>
      </c>
      <c r="O129" s="24">
        <v>24.752562523813847</v>
      </c>
      <c r="P129" s="24">
        <v>17.0061032567166</v>
      </c>
      <c r="Q129" s="24">
        <v>14.093295738805708</v>
      </c>
      <c r="R129" s="24">
        <v>31.484099375250953</v>
      </c>
      <c r="S129" s="24">
        <v>22.977860248484838</v>
      </c>
      <c r="T129" s="24">
        <v>28.866331074209004</v>
      </c>
      <c r="U129" s="24">
        <v>27.776881051477673</v>
      </c>
      <c r="V129" s="24">
        <v>32.042098998619146</v>
      </c>
      <c r="W129" s="24">
        <v>22.507751701953683</v>
      </c>
      <c r="X129" s="24">
        <v>21.766307934451717</v>
      </c>
      <c r="Y129" s="24">
        <v>29.407691406539655</v>
      </c>
      <c r="Z129" s="24">
        <v>38.347638356884417</v>
      </c>
      <c r="AA129" s="24">
        <v>18.254763158796965</v>
      </c>
      <c r="AB129" s="24">
        <v>32.789410966140132</v>
      </c>
      <c r="AC129" s="24">
        <v>24.410847741548036</v>
      </c>
      <c r="AD129" s="24">
        <v>25.530804536400346</v>
      </c>
      <c r="AE129" s="24">
        <v>69.878024089946678</v>
      </c>
      <c r="AF129" s="24">
        <v>22.695610614040099</v>
      </c>
      <c r="AG129" s="24">
        <v>20.622094986563507</v>
      </c>
      <c r="AH129" s="24">
        <v>44.356683107915259</v>
      </c>
      <c r="AI129" s="24">
        <v>31.943783106933651</v>
      </c>
      <c r="AJ129" s="24">
        <v>20.077998740182203</v>
      </c>
      <c r="AK129" s="24">
        <v>16.429529244885853</v>
      </c>
      <c r="AL129" s="24">
        <v>35.14577205599678</v>
      </c>
      <c r="AM129" s="24">
        <v>19.463442398939151</v>
      </c>
      <c r="AN129" s="24">
        <v>37.913682279327418</v>
      </c>
      <c r="AO129" s="24">
        <v>25.26873866348441</v>
      </c>
      <c r="AP129" s="24">
        <v>30.543893470029033</v>
      </c>
      <c r="AQ129" s="24">
        <v>18.771100616770447</v>
      </c>
      <c r="AR129" s="24">
        <v>15.039637433162572</v>
      </c>
      <c r="AS129" s="24">
        <v>35.201799514718267</v>
      </c>
      <c r="AT129" s="24">
        <v>27.966415100193508</v>
      </c>
      <c r="AU129" s="24">
        <v>22.194065941792033</v>
      </c>
      <c r="AV129" s="24">
        <v>22.411439924299966</v>
      </c>
      <c r="AW129" s="24">
        <v>29.807226910959777</v>
      </c>
      <c r="AX129" s="24">
        <v>19.776833235880964</v>
      </c>
      <c r="AY129" s="24">
        <v>31.309551268206437</v>
      </c>
    </row>
    <row r="130" spans="1:51" x14ac:dyDescent="0.2">
      <c r="A130" s="23">
        <v>45544</v>
      </c>
      <c r="B130" s="24">
        <v>28.69642690445222</v>
      </c>
      <c r="C130" s="24">
        <v>18.768444801844147</v>
      </c>
      <c r="D130" s="24">
        <v>34.027344473890807</v>
      </c>
      <c r="E130" s="24">
        <v>16.057692522024627</v>
      </c>
      <c r="F130" s="24">
        <v>29.673148943601682</v>
      </c>
      <c r="G130" s="24">
        <v>27.125746492614613</v>
      </c>
      <c r="H130" s="24">
        <v>31.871794448066947</v>
      </c>
      <c r="I130" s="24">
        <v>20.710155138728304</v>
      </c>
      <c r="J130" s="24">
        <v>21.085839579313706</v>
      </c>
      <c r="K130" s="24">
        <v>30.051226688014378</v>
      </c>
      <c r="L130" s="24">
        <v>19.67973869534757</v>
      </c>
      <c r="M130" s="24">
        <v>23.345486660388186</v>
      </c>
      <c r="N130" s="24">
        <v>32.072345793103842</v>
      </c>
      <c r="O130" s="24">
        <v>24.537216283591398</v>
      </c>
      <c r="P130" s="24">
        <v>17.038909197661873</v>
      </c>
      <c r="Q130" s="24">
        <v>13.908010229002901</v>
      </c>
      <c r="R130" s="24">
        <v>30.956956832391196</v>
      </c>
      <c r="S130" s="24">
        <v>22.901488872013818</v>
      </c>
      <c r="T130" s="24">
        <v>29.127045048887116</v>
      </c>
      <c r="U130" s="24">
        <v>28.686534068306635</v>
      </c>
      <c r="V130" s="24">
        <v>32.448551614526501</v>
      </c>
      <c r="W130" s="24">
        <v>22.946168942999709</v>
      </c>
      <c r="X130" s="24">
        <v>21.64896343124893</v>
      </c>
      <c r="Y130" s="24">
        <v>29.77534993627733</v>
      </c>
      <c r="Z130" s="24">
        <v>38.129140528891483</v>
      </c>
      <c r="AA130" s="24">
        <v>18.385519721268121</v>
      </c>
      <c r="AB130" s="24">
        <v>31.084630648361124</v>
      </c>
      <c r="AC130" s="24">
        <v>25.070037983096391</v>
      </c>
      <c r="AD130" s="24">
        <v>26.191849149203058</v>
      </c>
      <c r="AE130" s="24">
        <v>69.517535869813671</v>
      </c>
      <c r="AF130" s="24">
        <v>21.143518711072492</v>
      </c>
      <c r="AG130" s="24">
        <v>19.912471250947011</v>
      </c>
      <c r="AH130" s="24">
        <v>44.880162344589628</v>
      </c>
      <c r="AI130" s="24">
        <v>31.833430465508521</v>
      </c>
      <c r="AJ130" s="24">
        <v>21.793523784452859</v>
      </c>
      <c r="AK130" s="24">
        <v>16.506317998015032</v>
      </c>
      <c r="AL130" s="24">
        <v>34.965787916082959</v>
      </c>
      <c r="AM130" s="24">
        <v>19.36769536043192</v>
      </c>
      <c r="AN130" s="24">
        <v>37.856141459440281</v>
      </c>
      <c r="AO130" s="24">
        <v>25.037822902414376</v>
      </c>
      <c r="AP130" s="24">
        <v>31.018056369710813</v>
      </c>
      <c r="AQ130" s="24">
        <v>18.810907464493987</v>
      </c>
      <c r="AR130" s="24">
        <v>15.034470516778708</v>
      </c>
      <c r="AS130" s="24">
        <v>35.480224325706821</v>
      </c>
      <c r="AT130" s="24">
        <v>27.648223643704586</v>
      </c>
      <c r="AU130" s="24">
        <v>23.613791354539714</v>
      </c>
      <c r="AV130" s="24">
        <v>22.886488403523447</v>
      </c>
      <c r="AW130" s="24">
        <v>28.982250667487136</v>
      </c>
      <c r="AX130" s="24">
        <v>19.582412350426488</v>
      </c>
      <c r="AY130" s="24">
        <v>31.763592909323371</v>
      </c>
    </row>
    <row r="131" spans="1:51" x14ac:dyDescent="0.2">
      <c r="A131" s="23">
        <v>45541</v>
      </c>
      <c r="B131" s="24">
        <v>29.158087162550991</v>
      </c>
      <c r="C131" s="24">
        <v>18.004314174870625</v>
      </c>
      <c r="D131" s="24">
        <v>34.117131876812188</v>
      </c>
      <c r="E131" s="24">
        <v>16.377551025066989</v>
      </c>
      <c r="F131" s="24">
        <v>29.991594606005322</v>
      </c>
      <c r="G131" s="24">
        <v>27.010621288683168</v>
      </c>
      <c r="H131" s="24">
        <v>30.790439490420191</v>
      </c>
      <c r="I131" s="24">
        <v>20.805157894108213</v>
      </c>
      <c r="J131" s="24">
        <v>18.080849805244856</v>
      </c>
      <c r="K131" s="24">
        <v>30.000729299348581</v>
      </c>
      <c r="L131" s="24">
        <v>19.009498964067557</v>
      </c>
      <c r="M131" s="24">
        <v>22.639048223441453</v>
      </c>
      <c r="N131" s="24">
        <v>29.821212191626262</v>
      </c>
      <c r="O131" s="24">
        <v>23.67969704788517</v>
      </c>
      <c r="P131" s="24">
        <v>18.21043513572576</v>
      </c>
      <c r="Q131" s="24">
        <v>14.217929324888518</v>
      </c>
      <c r="R131" s="24">
        <v>28.561253918313266</v>
      </c>
      <c r="S131" s="24">
        <v>20.396681038958665</v>
      </c>
      <c r="T131" s="24">
        <v>29.033206850281172</v>
      </c>
      <c r="U131" s="24">
        <v>27.694879309133885</v>
      </c>
      <c r="V131" s="24">
        <v>32.607901035849629</v>
      </c>
      <c r="W131" s="24">
        <v>23.216931483406913</v>
      </c>
      <c r="X131" s="24">
        <v>19.699584118298496</v>
      </c>
      <c r="Y131" s="24">
        <v>26.285310847658792</v>
      </c>
      <c r="Z131" s="24">
        <v>37.632881462367706</v>
      </c>
      <c r="AA131" s="24">
        <v>18.291531116485764</v>
      </c>
      <c r="AB131" s="24">
        <v>31.976367895400159</v>
      </c>
      <c r="AC131" s="24">
        <v>24.620135128623485</v>
      </c>
      <c r="AD131" s="24">
        <v>26.358647737618668</v>
      </c>
      <c r="AE131" s="24">
        <v>69.612132162274463</v>
      </c>
      <c r="AF131" s="24">
        <v>18.36875632608951</v>
      </c>
      <c r="AG131" s="24">
        <v>19.975934355202224</v>
      </c>
      <c r="AH131" s="24">
        <v>44.81291868700459</v>
      </c>
      <c r="AI131" s="24">
        <v>31.856796145548273</v>
      </c>
      <c r="AJ131" s="24">
        <v>23.767206701602149</v>
      </c>
      <c r="AK131" s="24">
        <v>16.329970792003625</v>
      </c>
      <c r="AL131" s="24">
        <v>32.518626899521593</v>
      </c>
      <c r="AM131" s="24">
        <v>19.287269230413539</v>
      </c>
      <c r="AN131" s="24">
        <v>37.399350179475618</v>
      </c>
      <c r="AO131" s="24">
        <v>25.083191962449519</v>
      </c>
      <c r="AP131" s="24">
        <v>29.644434366024186</v>
      </c>
      <c r="AQ131" s="24">
        <v>15.75472249475321</v>
      </c>
      <c r="AR131" s="24">
        <v>12.651592874028946</v>
      </c>
      <c r="AS131" s="24">
        <v>35.413244049769091</v>
      </c>
      <c r="AT131" s="24">
        <v>26.419544619186986</v>
      </c>
      <c r="AU131" s="24">
        <v>23.718463101276548</v>
      </c>
      <c r="AV131" s="24">
        <v>22.287616134473705</v>
      </c>
      <c r="AW131" s="24">
        <v>29.642788111876239</v>
      </c>
      <c r="AX131" s="24">
        <v>19.573202161084037</v>
      </c>
      <c r="AY131" s="24">
        <v>32.023351921240653</v>
      </c>
    </row>
    <row r="132" spans="1:51" x14ac:dyDescent="0.2">
      <c r="A132" s="23">
        <v>45540</v>
      </c>
      <c r="B132" s="24">
        <v>29.376266975037545</v>
      </c>
      <c r="C132" s="24">
        <v>18.057810024232346</v>
      </c>
      <c r="D132" s="24">
        <v>34.273910971671413</v>
      </c>
      <c r="E132" s="24">
        <v>17.78718033739834</v>
      </c>
      <c r="F132" s="24">
        <v>30.20696153355998</v>
      </c>
      <c r="G132" s="24">
        <v>27.010853366506687</v>
      </c>
      <c r="H132" s="24">
        <v>31.98339290963121</v>
      </c>
      <c r="I132" s="24">
        <v>21.584141607894079</v>
      </c>
      <c r="J132" s="24">
        <v>18.723417479253648</v>
      </c>
      <c r="K132" s="24">
        <v>30.468456438392902</v>
      </c>
      <c r="L132" s="24">
        <v>19.303119602375094</v>
      </c>
      <c r="M132" s="24">
        <v>22.692852514795728</v>
      </c>
      <c r="N132" s="24">
        <v>31.49598683214294</v>
      </c>
      <c r="O132" s="24">
        <v>22.950491003729113</v>
      </c>
      <c r="P132" s="24">
        <v>19.257823232392308</v>
      </c>
      <c r="Q132" s="24">
        <v>14.448018849192108</v>
      </c>
      <c r="R132" s="24">
        <v>28.618779566816716</v>
      </c>
      <c r="S132" s="24">
        <v>20.3027863788177</v>
      </c>
      <c r="T132" s="24">
        <v>28.65605779821113</v>
      </c>
      <c r="U132" s="24">
        <v>26.372817885001705</v>
      </c>
      <c r="V132" s="24">
        <v>32.699288223986166</v>
      </c>
      <c r="W132" s="24">
        <v>23.967039423484064</v>
      </c>
      <c r="X132" s="24">
        <v>19.648151528595289</v>
      </c>
      <c r="Y132" s="24">
        <v>26.846643514204978</v>
      </c>
      <c r="Z132" s="24">
        <v>37.235355461340028</v>
      </c>
      <c r="AA132" s="24">
        <v>18.654413661105998</v>
      </c>
      <c r="AB132" s="24">
        <v>31.468352177500222</v>
      </c>
      <c r="AC132" s="24">
        <v>24.677914702510606</v>
      </c>
      <c r="AD132" s="24">
        <v>27.147776482246652</v>
      </c>
      <c r="AE132" s="24">
        <v>73.417265484817094</v>
      </c>
      <c r="AF132" s="24">
        <v>18.50371105858283</v>
      </c>
      <c r="AG132" s="24">
        <v>20.443668173087922</v>
      </c>
      <c r="AH132" s="24">
        <v>43.877378454175485</v>
      </c>
      <c r="AI132" s="24">
        <v>29.940506529502539</v>
      </c>
      <c r="AJ132" s="24">
        <v>23.177388397945172</v>
      </c>
      <c r="AK132" s="24">
        <v>16.014841928789405</v>
      </c>
      <c r="AL132" s="24">
        <v>31.884514437593655</v>
      </c>
      <c r="AM132" s="24">
        <v>18.966165962883558</v>
      </c>
      <c r="AN132" s="24">
        <v>36.86654511645704</v>
      </c>
      <c r="AO132" s="24">
        <v>24.74038708426237</v>
      </c>
      <c r="AP132" s="24">
        <v>29.465508634836326</v>
      </c>
      <c r="AQ132" s="24">
        <v>15.359044605555601</v>
      </c>
      <c r="AR132" s="24">
        <v>13.10991733663449</v>
      </c>
      <c r="AS132" s="24">
        <v>35.449071146724094</v>
      </c>
      <c r="AT132" s="24">
        <v>26.889233766683752</v>
      </c>
      <c r="AU132" s="24">
        <v>23.909925935718682</v>
      </c>
      <c r="AV132" s="24">
        <v>22.273347308209313</v>
      </c>
      <c r="AW132" s="24">
        <v>29.947143771506632</v>
      </c>
      <c r="AX132" s="24">
        <v>19.530830859768862</v>
      </c>
      <c r="AY132" s="24">
        <v>32.015049857630508</v>
      </c>
    </row>
    <row r="133" spans="1:51" x14ac:dyDescent="0.2">
      <c r="A133" s="23">
        <v>45539</v>
      </c>
      <c r="B133" s="24">
        <v>29.250954370116997</v>
      </c>
      <c r="C133" s="24">
        <v>18.454537236623782</v>
      </c>
      <c r="D133" s="24">
        <v>34.29139394530128</v>
      </c>
      <c r="E133" s="24">
        <v>17.321180082042154</v>
      </c>
      <c r="F133" s="24">
        <v>29.883279927169013</v>
      </c>
      <c r="G133" s="24">
        <v>26.880262414381598</v>
      </c>
      <c r="H133" s="24">
        <v>31.684466747361714</v>
      </c>
      <c r="I133" s="24">
        <v>21.859388356692513</v>
      </c>
      <c r="J133" s="24">
        <v>19.130897935597336</v>
      </c>
      <c r="K133" s="24">
        <v>30.94978746277615</v>
      </c>
      <c r="L133" s="24">
        <v>19.563916471278851</v>
      </c>
      <c r="M133" s="24">
        <v>22.007131392344842</v>
      </c>
      <c r="N133" s="24">
        <v>31.490809735147838</v>
      </c>
      <c r="O133" s="24">
        <v>21.216058768974765</v>
      </c>
      <c r="P133" s="24">
        <v>18.732503333074124</v>
      </c>
      <c r="Q133" s="24">
        <v>14.467259759930881</v>
      </c>
      <c r="R133" s="24">
        <v>28.550222176185198</v>
      </c>
      <c r="S133" s="24">
        <v>16.685407133416803</v>
      </c>
      <c r="T133" s="24">
        <v>28.979905767628676</v>
      </c>
      <c r="U133" s="24">
        <v>26.394522389903766</v>
      </c>
      <c r="V133" s="24">
        <v>32.692243855198015</v>
      </c>
      <c r="W133" s="24">
        <v>23.760263163085344</v>
      </c>
      <c r="X133" s="24">
        <v>19.78718816946423</v>
      </c>
      <c r="Y133" s="24">
        <v>27.424789453581262</v>
      </c>
      <c r="Z133" s="24">
        <v>37.307126810153846</v>
      </c>
      <c r="AA133" s="24">
        <v>18.689233562074101</v>
      </c>
      <c r="AB133" s="24">
        <v>30.201474482041405</v>
      </c>
      <c r="AC133" s="24">
        <v>24.556166234387668</v>
      </c>
      <c r="AD133" s="24">
        <v>26.31651135960497</v>
      </c>
      <c r="AE133" s="24">
        <v>52.388496982153804</v>
      </c>
      <c r="AF133" s="24">
        <v>18.57293043071207</v>
      </c>
      <c r="AG133" s="24">
        <v>20.67221214420751</v>
      </c>
      <c r="AH133" s="24">
        <v>43.752624094021414</v>
      </c>
      <c r="AI133" s="24">
        <v>29.320350620748552</v>
      </c>
      <c r="AJ133" s="24">
        <v>23.142681719298178</v>
      </c>
      <c r="AK133" s="24">
        <v>15.817663468230434</v>
      </c>
      <c r="AL133" s="24">
        <v>30.988004366893136</v>
      </c>
      <c r="AM133" s="24">
        <v>18.714373124365626</v>
      </c>
      <c r="AN133" s="24">
        <v>37.945367420089994</v>
      </c>
      <c r="AO133" s="24">
        <v>24.647418760684737</v>
      </c>
      <c r="AP133" s="24">
        <v>29.5151118232009</v>
      </c>
      <c r="AQ133" s="24">
        <v>15.148054957580845</v>
      </c>
      <c r="AR133" s="24">
        <v>13.01419901427268</v>
      </c>
      <c r="AS133" s="24">
        <v>36.048346292587091</v>
      </c>
      <c r="AT133" s="24">
        <v>26.596815535045778</v>
      </c>
      <c r="AU133" s="24">
        <v>28.125913955274871</v>
      </c>
      <c r="AV133" s="24">
        <v>24.906405407150675</v>
      </c>
      <c r="AW133" s="24">
        <v>29.894940323109697</v>
      </c>
      <c r="AX133" s="24">
        <v>19.469555638846355</v>
      </c>
      <c r="AY133" s="24">
        <v>32.164771993863894</v>
      </c>
    </row>
    <row r="134" spans="1:51" x14ac:dyDescent="0.2">
      <c r="A134" s="23">
        <v>45538</v>
      </c>
      <c r="B134" s="24">
        <v>29.144185013389801</v>
      </c>
      <c r="C134" s="24">
        <v>18.501137910291558</v>
      </c>
      <c r="D134" s="24">
        <v>34.145616218718445</v>
      </c>
      <c r="E134" s="24">
        <v>17.371122481254961</v>
      </c>
      <c r="F134" s="24">
        <v>29.92883679398896</v>
      </c>
      <c r="G134" s="24">
        <v>26.80479385903935</v>
      </c>
      <c r="H134" s="24">
        <v>25.460989753477783</v>
      </c>
      <c r="I134" s="24">
        <v>22.130158591956103</v>
      </c>
      <c r="J134" s="24">
        <v>18.955985913932459</v>
      </c>
      <c r="K134" s="24">
        <v>30.819758416379901</v>
      </c>
      <c r="L134" s="24">
        <v>21.420362784885647</v>
      </c>
      <c r="M134" s="24">
        <v>21.428760562504007</v>
      </c>
      <c r="N134" s="24">
        <v>24.812956958032505</v>
      </c>
      <c r="O134" s="24">
        <v>21.442522081769141</v>
      </c>
      <c r="P134" s="24">
        <v>19.113591783760537</v>
      </c>
      <c r="Q134" s="24">
        <v>14.939449951675073</v>
      </c>
      <c r="R134" s="24">
        <v>28.439241208373517</v>
      </c>
      <c r="S134" s="24">
        <v>16.437643176823212</v>
      </c>
      <c r="T134" s="24">
        <v>29.149505400893009</v>
      </c>
      <c r="U134" s="24">
        <v>26.39495958121331</v>
      </c>
      <c r="V134" s="24">
        <v>32.638408277408985</v>
      </c>
      <c r="W134" s="24">
        <v>23.186773299711216</v>
      </c>
      <c r="X134" s="24">
        <v>19.749696619007398</v>
      </c>
      <c r="Y134" s="24">
        <v>20.041523010948445</v>
      </c>
      <c r="Z134" s="24">
        <v>36.772262336473815</v>
      </c>
      <c r="AA134" s="24">
        <v>18.947814141266477</v>
      </c>
      <c r="AB134" s="24">
        <v>34.174673806700689</v>
      </c>
      <c r="AC134" s="24">
        <v>24.267158011996152</v>
      </c>
      <c r="AD134" s="24">
        <v>26.382447678854174</v>
      </c>
      <c r="AE134" s="24">
        <v>52.742243788480344</v>
      </c>
      <c r="AF134" s="24">
        <v>18.485116940249309</v>
      </c>
      <c r="AG134" s="24">
        <v>20.672746736109762</v>
      </c>
      <c r="AH134" s="24">
        <v>43.866912786967809</v>
      </c>
      <c r="AI134" s="24">
        <v>28.321687739056973</v>
      </c>
      <c r="AJ134" s="24">
        <v>24.211174929504864</v>
      </c>
      <c r="AK134" s="24">
        <v>15.024609641482401</v>
      </c>
      <c r="AL134" s="24">
        <v>31.547272080117473</v>
      </c>
      <c r="AM134" s="24">
        <v>15.963686797559987</v>
      </c>
      <c r="AN134" s="24">
        <v>40.17239510511466</v>
      </c>
      <c r="AO134" s="24">
        <v>24.227119849393976</v>
      </c>
      <c r="AP134" s="24">
        <v>29.480013880800612</v>
      </c>
      <c r="AQ134" s="24">
        <v>15.301822562419837</v>
      </c>
      <c r="AR134" s="24">
        <v>12.800348470781669</v>
      </c>
      <c r="AS134" s="24">
        <v>35.479837010608897</v>
      </c>
      <c r="AT134" s="24">
        <v>25.769828299689845</v>
      </c>
      <c r="AU134" s="24">
        <v>28.686190639750777</v>
      </c>
      <c r="AV134" s="24">
        <v>25.456534627349455</v>
      </c>
      <c r="AW134" s="24">
        <v>30.122891069346778</v>
      </c>
      <c r="AX134" s="24">
        <v>19.451133441788929</v>
      </c>
      <c r="AY134" s="24">
        <v>31.996325356338325</v>
      </c>
    </row>
    <row r="135" spans="1:51" x14ac:dyDescent="0.2">
      <c r="A135" s="23">
        <v>45537</v>
      </c>
      <c r="B135" s="24">
        <v>27.299174023407829</v>
      </c>
      <c r="C135" s="24">
        <v>18.130927726007204</v>
      </c>
      <c r="D135" s="24">
        <v>30.31082094554797</v>
      </c>
      <c r="E135" s="24">
        <v>17.656838386425417</v>
      </c>
      <c r="F135" s="24">
        <v>29.247096319985033</v>
      </c>
      <c r="G135" s="24">
        <v>24.968298245188262</v>
      </c>
      <c r="H135" s="24">
        <v>21.997303665964989</v>
      </c>
      <c r="I135" s="24">
        <v>21.217586613867656</v>
      </c>
      <c r="J135" s="24">
        <v>19.162209179144448</v>
      </c>
      <c r="K135" s="24">
        <v>30.179217681644396</v>
      </c>
      <c r="L135" s="24">
        <v>32.175401739515095</v>
      </c>
      <c r="M135" s="24">
        <v>23.624018462422718</v>
      </c>
      <c r="N135" s="24">
        <v>23.312158008455075</v>
      </c>
      <c r="O135" s="24">
        <v>19.875867976714162</v>
      </c>
      <c r="P135" s="24">
        <v>19.093315276699599</v>
      </c>
      <c r="Q135" s="24">
        <v>14.089485806604678</v>
      </c>
      <c r="R135" s="24">
        <v>22.9524256754896</v>
      </c>
      <c r="S135" s="24">
        <v>19.933986331362039</v>
      </c>
      <c r="T135" s="24">
        <v>28.744895619656862</v>
      </c>
      <c r="U135" s="24">
        <v>25.462224029884247</v>
      </c>
      <c r="V135" s="24">
        <v>31.650175500302982</v>
      </c>
      <c r="W135" s="24">
        <v>22.886395496078045</v>
      </c>
      <c r="X135" s="24">
        <v>19.872751937475535</v>
      </c>
      <c r="Y135" s="24">
        <v>20.917005174275346</v>
      </c>
      <c r="Z135" s="24">
        <v>37.497421746006879</v>
      </c>
      <c r="AA135" s="24">
        <v>18.644896762651179</v>
      </c>
      <c r="AB135" s="24">
        <v>34.29061119673225</v>
      </c>
      <c r="AC135" s="24">
        <v>23.913472304980502</v>
      </c>
      <c r="AD135" s="24">
        <v>26.282008105614359</v>
      </c>
      <c r="AE135" s="24">
        <v>49.878364107218161</v>
      </c>
      <c r="AF135" s="24">
        <v>18.37416324156991</v>
      </c>
      <c r="AG135" s="24">
        <v>20.674881013716053</v>
      </c>
      <c r="AH135" s="24">
        <v>43.840925484719207</v>
      </c>
      <c r="AI135" s="24">
        <v>29.219478612429889</v>
      </c>
      <c r="AJ135" s="24">
        <v>23.759133113375256</v>
      </c>
      <c r="AK135" s="24">
        <v>14.325559156434538</v>
      </c>
      <c r="AL135" s="24">
        <v>38.307239890878378</v>
      </c>
      <c r="AM135" s="24">
        <v>17.074579302614939</v>
      </c>
      <c r="AN135" s="24">
        <v>39.949207057496061</v>
      </c>
      <c r="AO135" s="24">
        <v>23.608674834085562</v>
      </c>
      <c r="AP135" s="24">
        <v>28.020953620958064</v>
      </c>
      <c r="AQ135" s="24">
        <v>15.355110951168459</v>
      </c>
      <c r="AR135" s="24">
        <v>13.510626166619142</v>
      </c>
      <c r="AS135" s="24">
        <v>35.644888375709947</v>
      </c>
      <c r="AT135" s="24">
        <v>23.684028851683966</v>
      </c>
      <c r="AU135" s="24">
        <v>28.543067344530591</v>
      </c>
      <c r="AV135" s="24">
        <v>24.888101488418833</v>
      </c>
      <c r="AW135" s="24">
        <v>30.233720145706425</v>
      </c>
      <c r="AX135" s="24">
        <v>19.213351457829766</v>
      </c>
      <c r="AY135" s="24">
        <v>30.918091888895457</v>
      </c>
    </row>
    <row r="136" spans="1:51" x14ac:dyDescent="0.2">
      <c r="A136" s="23">
        <v>45534</v>
      </c>
      <c r="B136" s="24">
        <v>27.182398002808053</v>
      </c>
      <c r="C136" s="24">
        <v>14.484786597764241</v>
      </c>
      <c r="D136" s="24">
        <v>27.225992225295013</v>
      </c>
      <c r="E136" s="24">
        <v>18.01981328352386</v>
      </c>
      <c r="F136" s="24">
        <v>29.166151718470164</v>
      </c>
      <c r="G136" s="24">
        <v>23.975240857590617</v>
      </c>
      <c r="H136" s="24">
        <v>28.937183820283593</v>
      </c>
      <c r="I136" s="24">
        <v>20.12616755384909</v>
      </c>
      <c r="J136" s="24">
        <v>19.110714764768886</v>
      </c>
      <c r="K136" s="24">
        <v>27.945414813445126</v>
      </c>
      <c r="L136" s="24">
        <v>31.810036065957807</v>
      </c>
      <c r="M136" s="24">
        <v>22.981052731657751</v>
      </c>
      <c r="N136" s="24">
        <v>30.899477112353228</v>
      </c>
      <c r="O136" s="24">
        <v>20.68241474311673</v>
      </c>
      <c r="P136" s="24">
        <v>19.337208038280689</v>
      </c>
      <c r="Q136" s="24">
        <v>13.921475564251406</v>
      </c>
      <c r="R136" s="24">
        <v>23.643285089444195</v>
      </c>
      <c r="S136" s="24">
        <v>21.577699412629507</v>
      </c>
      <c r="T136" s="24">
        <v>27.347352590100325</v>
      </c>
      <c r="U136" s="24">
        <v>25.518534485535572</v>
      </c>
      <c r="V136" s="24">
        <v>31.644428065233839</v>
      </c>
      <c r="W136" s="24">
        <v>21.7845971796756</v>
      </c>
      <c r="X136" s="24">
        <v>20.113676451067327</v>
      </c>
      <c r="Y136" s="24">
        <v>20.369994031315404</v>
      </c>
      <c r="Z136" s="24">
        <v>45.609521663392705</v>
      </c>
      <c r="AA136" s="24">
        <v>17.26258795137862</v>
      </c>
      <c r="AB136" s="24">
        <v>39.136935005578422</v>
      </c>
      <c r="AC136" s="24">
        <v>24.390324313737921</v>
      </c>
      <c r="AD136" s="24">
        <v>22.718630873122876</v>
      </c>
      <c r="AE136" s="24">
        <v>55.069379968498637</v>
      </c>
      <c r="AF136" s="24">
        <v>19.854210520873423</v>
      </c>
      <c r="AG136" s="24">
        <v>20.955036505193757</v>
      </c>
      <c r="AH136" s="24">
        <v>43.522642715579813</v>
      </c>
      <c r="AI136" s="24">
        <v>39.597950524916683</v>
      </c>
      <c r="AJ136" s="24">
        <v>23.865598351775947</v>
      </c>
      <c r="AK136" s="24">
        <v>13.648928996209246</v>
      </c>
      <c r="AL136" s="24">
        <v>38.417394749156799</v>
      </c>
      <c r="AM136" s="24">
        <v>16.830803371488869</v>
      </c>
      <c r="AN136" s="24">
        <v>37.8059484380043</v>
      </c>
      <c r="AO136" s="24">
        <v>25.150575067759817</v>
      </c>
      <c r="AP136" s="24">
        <v>28.35777150144586</v>
      </c>
      <c r="AQ136" s="24">
        <v>15.528504895654649</v>
      </c>
      <c r="AR136" s="24">
        <v>13.778651961413312</v>
      </c>
      <c r="AS136" s="24">
        <v>33.88589639832977</v>
      </c>
      <c r="AT136" s="24">
        <v>23.022652759731493</v>
      </c>
      <c r="AU136" s="24">
        <v>27.740185900633744</v>
      </c>
      <c r="AV136" s="24">
        <v>27.053194792332416</v>
      </c>
      <c r="AW136" s="24">
        <v>28.748298117484122</v>
      </c>
      <c r="AX136" s="24">
        <v>19.2246843526103</v>
      </c>
      <c r="AY136" s="24">
        <v>30.868538753032954</v>
      </c>
    </row>
    <row r="137" spans="1:51" x14ac:dyDescent="0.2">
      <c r="A137" s="23">
        <v>45533</v>
      </c>
      <c r="B137" s="24">
        <v>22.818520224924935</v>
      </c>
      <c r="C137" s="24">
        <v>12.715667918581854</v>
      </c>
      <c r="D137" s="24">
        <v>22.985157927163709</v>
      </c>
      <c r="E137" s="24">
        <v>18.180606866957898</v>
      </c>
      <c r="F137" s="24">
        <v>22.78141037038645</v>
      </c>
      <c r="G137" s="24">
        <v>22.027734110084701</v>
      </c>
      <c r="H137" s="24">
        <v>29.690425931931223</v>
      </c>
      <c r="I137" s="24">
        <v>20.211936890145509</v>
      </c>
      <c r="J137" s="24">
        <v>17.706402217397006</v>
      </c>
      <c r="K137" s="24">
        <v>22.958352435209243</v>
      </c>
      <c r="L137" s="24">
        <v>31.104334460499594</v>
      </c>
      <c r="M137" s="24">
        <v>21.050318830062956</v>
      </c>
      <c r="N137" s="24">
        <v>32.859572981947338</v>
      </c>
      <c r="O137" s="24">
        <v>20.818051824165646</v>
      </c>
      <c r="P137" s="24">
        <v>18.750969478121402</v>
      </c>
      <c r="Q137" s="24">
        <v>14.033610222952339</v>
      </c>
      <c r="R137" s="24">
        <v>23.344683236839231</v>
      </c>
      <c r="S137" s="24">
        <v>21.483812451008387</v>
      </c>
      <c r="T137" s="24">
        <v>24.031940555123388</v>
      </c>
      <c r="U137" s="24">
        <v>22.159773439192211</v>
      </c>
      <c r="V137" s="24">
        <v>22.923063295033263</v>
      </c>
      <c r="W137" s="24">
        <v>20.896182940766682</v>
      </c>
      <c r="X137" s="24">
        <v>19.902193237455933</v>
      </c>
      <c r="Y137" s="24">
        <v>24.950056657756058</v>
      </c>
      <c r="Z137" s="24">
        <v>44.696152848786426</v>
      </c>
      <c r="AA137" s="24">
        <v>16.116343416926988</v>
      </c>
      <c r="AB137" s="24">
        <v>33.947229047263917</v>
      </c>
      <c r="AC137" s="24">
        <v>20.628187491387646</v>
      </c>
      <c r="AD137" s="24">
        <v>18.625766432516627</v>
      </c>
      <c r="AE137" s="24">
        <v>52.829691415230997</v>
      </c>
      <c r="AF137" s="24">
        <v>18.110966541349363</v>
      </c>
      <c r="AG137" s="24">
        <v>20.765964047878075</v>
      </c>
      <c r="AH137" s="24">
        <v>26.895934461640149</v>
      </c>
      <c r="AI137" s="24">
        <v>34.705505349665721</v>
      </c>
      <c r="AJ137" s="24">
        <v>23.760229611508201</v>
      </c>
      <c r="AK137" s="24">
        <v>13.441984587331202</v>
      </c>
      <c r="AL137" s="24">
        <v>31.216768842516668</v>
      </c>
      <c r="AM137" s="24">
        <v>13.819429533243886</v>
      </c>
      <c r="AN137" s="24">
        <v>30.792637617575387</v>
      </c>
      <c r="AO137" s="24">
        <v>20.099874942447023</v>
      </c>
      <c r="AP137" s="24">
        <v>22.613610910271074</v>
      </c>
      <c r="AQ137" s="24">
        <v>13.466996777126232</v>
      </c>
      <c r="AR137" s="24">
        <v>14.438143132997652</v>
      </c>
      <c r="AS137" s="24">
        <v>15.674449654666674</v>
      </c>
      <c r="AT137" s="24">
        <v>20.822331404038465</v>
      </c>
      <c r="AU137" s="24">
        <v>25.282995232223215</v>
      </c>
      <c r="AV137" s="24">
        <v>24.224765101893084</v>
      </c>
      <c r="AW137" s="24">
        <v>28.506946414634132</v>
      </c>
      <c r="AX137" s="24">
        <v>18.853479433074639</v>
      </c>
      <c r="AY137" s="24">
        <v>30.394626097732839</v>
      </c>
    </row>
    <row r="138" spans="1:51" x14ac:dyDescent="0.2">
      <c r="A138" s="23">
        <v>45532</v>
      </c>
      <c r="B138" s="24">
        <v>15.559780335641273</v>
      </c>
      <c r="C138" s="24">
        <v>14.235438930782209</v>
      </c>
      <c r="D138" s="24">
        <v>14.559752269614298</v>
      </c>
      <c r="E138" s="24">
        <v>17.576768429358214</v>
      </c>
      <c r="F138" s="24">
        <v>15.186749869402513</v>
      </c>
      <c r="G138" s="24">
        <v>14.858385788107602</v>
      </c>
      <c r="H138" s="24">
        <v>27.59400994273652</v>
      </c>
      <c r="I138" s="24">
        <v>22.999761311047752</v>
      </c>
      <c r="J138" s="24">
        <v>15.594234774430474</v>
      </c>
      <c r="K138" s="24">
        <v>23.098458609470761</v>
      </c>
      <c r="L138" s="24">
        <v>31.077972774403893</v>
      </c>
      <c r="M138" s="24">
        <v>20.474026153858166</v>
      </c>
      <c r="N138" s="24">
        <v>32.736639537952982</v>
      </c>
      <c r="O138" s="24">
        <v>20.150361812451553</v>
      </c>
      <c r="P138" s="24">
        <v>18.53625125674613</v>
      </c>
      <c r="Q138" s="24">
        <v>13.404078214731161</v>
      </c>
      <c r="R138" s="24">
        <v>19.537072441416687</v>
      </c>
      <c r="S138" s="24">
        <v>20.756824451550713</v>
      </c>
      <c r="T138" s="24">
        <v>19.112792559573567</v>
      </c>
      <c r="U138" s="24">
        <v>15.746150627505191</v>
      </c>
      <c r="V138" s="24">
        <v>13.600516320788557</v>
      </c>
      <c r="W138" s="24">
        <v>20.909148408768282</v>
      </c>
      <c r="X138" s="24">
        <v>16.602431132589725</v>
      </c>
      <c r="Y138" s="24">
        <v>24.81017839992781</v>
      </c>
      <c r="Z138" s="24">
        <v>44.44673131250655</v>
      </c>
      <c r="AA138" s="24">
        <v>14.668728085941021</v>
      </c>
      <c r="AB138" s="24">
        <v>33.904708689522657</v>
      </c>
      <c r="AC138" s="24">
        <v>16.823119796425175</v>
      </c>
      <c r="AD138" s="24">
        <v>17.623229354902541</v>
      </c>
      <c r="AE138" s="24">
        <v>53.246990020224224</v>
      </c>
      <c r="AF138" s="24">
        <v>18.162989090881357</v>
      </c>
      <c r="AG138" s="24">
        <v>18.521173414223405</v>
      </c>
      <c r="AH138" s="24">
        <v>26.469560786491286</v>
      </c>
      <c r="AI138" s="24">
        <v>34.213833509307655</v>
      </c>
      <c r="AJ138" s="24">
        <v>23.197630474638618</v>
      </c>
      <c r="AK138" s="24">
        <v>13.081927755167909</v>
      </c>
      <c r="AL138" s="24">
        <v>29.408856442682268</v>
      </c>
      <c r="AM138" s="24">
        <v>13.739158571426277</v>
      </c>
      <c r="AN138" s="24">
        <v>32.324574498042729</v>
      </c>
      <c r="AO138" s="24">
        <v>20.36126797110445</v>
      </c>
      <c r="AP138" s="24">
        <v>23.030334581208585</v>
      </c>
      <c r="AQ138" s="24">
        <v>14.363155620370812</v>
      </c>
      <c r="AR138" s="24">
        <v>12.6557091837867</v>
      </c>
      <c r="AS138" s="24">
        <v>16.241284288746982</v>
      </c>
      <c r="AT138" s="24">
        <v>15.206760218408316</v>
      </c>
      <c r="AU138" s="24">
        <v>27.909666633526466</v>
      </c>
      <c r="AV138" s="24">
        <v>24.005018122596177</v>
      </c>
      <c r="AW138" s="24">
        <v>27.454224843086354</v>
      </c>
      <c r="AX138" s="24">
        <v>13.285117083317656</v>
      </c>
      <c r="AY138" s="24">
        <v>17.1620486158399</v>
      </c>
    </row>
    <row r="139" spans="1:51" x14ac:dyDescent="0.2">
      <c r="A139" s="23">
        <v>45531</v>
      </c>
      <c r="B139" s="24">
        <v>18.188446588811853</v>
      </c>
      <c r="C139" s="24">
        <v>17.354603344687661</v>
      </c>
      <c r="D139" s="24">
        <v>17.004350813768159</v>
      </c>
      <c r="E139" s="24">
        <v>19.667276742866921</v>
      </c>
      <c r="F139" s="24">
        <v>16.050089470742655</v>
      </c>
      <c r="G139" s="24">
        <v>17.149712654494646</v>
      </c>
      <c r="H139" s="24">
        <v>27.775497307369371</v>
      </c>
      <c r="I139" s="24">
        <v>23.166745356650839</v>
      </c>
      <c r="J139" s="24">
        <v>15.824781326337343</v>
      </c>
      <c r="K139" s="24">
        <v>23.016571500172425</v>
      </c>
      <c r="L139" s="24">
        <v>33.844981204141604</v>
      </c>
      <c r="M139" s="24">
        <v>22.790175822179119</v>
      </c>
      <c r="N139" s="24">
        <v>33.849501409635245</v>
      </c>
      <c r="O139" s="24">
        <v>19.918112206693515</v>
      </c>
      <c r="P139" s="24">
        <v>19.534312785753745</v>
      </c>
      <c r="Q139" s="24">
        <v>13.707519135457781</v>
      </c>
      <c r="R139" s="24">
        <v>18.677958847206309</v>
      </c>
      <c r="S139" s="24">
        <v>24.529774193745453</v>
      </c>
      <c r="T139" s="24">
        <v>19.964745266783648</v>
      </c>
      <c r="U139" s="24">
        <v>16.474211077054488</v>
      </c>
      <c r="V139" s="24">
        <v>14.879958441226933</v>
      </c>
      <c r="W139" s="24">
        <v>23.315220792804865</v>
      </c>
      <c r="X139" s="24">
        <v>16.330294575146052</v>
      </c>
      <c r="Y139" s="24">
        <v>28.494852879329365</v>
      </c>
      <c r="Z139" s="24">
        <v>47.765581120874231</v>
      </c>
      <c r="AA139" s="24">
        <v>22.25882473958168</v>
      </c>
      <c r="AB139" s="24">
        <v>40.051921772489514</v>
      </c>
      <c r="AC139" s="24">
        <v>15.531249246116275</v>
      </c>
      <c r="AD139" s="24">
        <v>31.629672869282658</v>
      </c>
      <c r="AE139" s="24">
        <v>60.261970155574353</v>
      </c>
      <c r="AF139" s="24">
        <v>19.199144981741643</v>
      </c>
      <c r="AG139" s="24">
        <v>18.217175313464192</v>
      </c>
      <c r="AH139" s="24">
        <v>27.345135257165847</v>
      </c>
      <c r="AI139" s="24">
        <v>35.098102932806583</v>
      </c>
      <c r="AJ139" s="24">
        <v>29.467476663167108</v>
      </c>
      <c r="AK139" s="24">
        <v>12.505454720757479</v>
      </c>
      <c r="AL139" s="24">
        <v>32.359360898554584</v>
      </c>
      <c r="AM139" s="24">
        <v>13.980962573746604</v>
      </c>
      <c r="AN139" s="24">
        <v>26.602129574851979</v>
      </c>
      <c r="AO139" s="24">
        <v>21.463073207331295</v>
      </c>
      <c r="AP139" s="24">
        <v>30.471263700895157</v>
      </c>
      <c r="AQ139" s="24">
        <v>15.276651254688172</v>
      </c>
      <c r="AR139" s="24">
        <v>13.633460567697389</v>
      </c>
      <c r="AS139" s="24">
        <v>22.641157990130068</v>
      </c>
      <c r="AT139" s="24">
        <v>14.590878210639827</v>
      </c>
      <c r="AU139" s="24">
        <v>30.828573794223072</v>
      </c>
      <c r="AV139" s="24">
        <v>25.213247789514497</v>
      </c>
      <c r="AW139" s="24">
        <v>29.976480960337245</v>
      </c>
      <c r="AX139" s="24">
        <v>12.464162619062597</v>
      </c>
      <c r="AY139" s="24">
        <v>20.61859368782584</v>
      </c>
    </row>
    <row r="140" spans="1:51" x14ac:dyDescent="0.2">
      <c r="A140" s="23">
        <v>45530</v>
      </c>
      <c r="B140" s="24">
        <v>17.735992045888665</v>
      </c>
      <c r="C140" s="24">
        <v>17.891636360025981</v>
      </c>
      <c r="D140" s="24">
        <v>16.682311766085391</v>
      </c>
      <c r="E140" s="24">
        <v>19.23161717950358</v>
      </c>
      <c r="F140" s="24">
        <v>15.702796593861263</v>
      </c>
      <c r="G140" s="24">
        <v>16.442179634658345</v>
      </c>
      <c r="H140" s="24">
        <v>29.842796825671876</v>
      </c>
      <c r="I140" s="24">
        <v>23.169169364921114</v>
      </c>
      <c r="J140" s="24">
        <v>15.792278041557738</v>
      </c>
      <c r="K140" s="24">
        <v>23.948227638956041</v>
      </c>
      <c r="L140" s="24">
        <v>33.976022371535727</v>
      </c>
      <c r="M140" s="24">
        <v>22.666836359493551</v>
      </c>
      <c r="N140" s="24">
        <v>37.62655585094231</v>
      </c>
      <c r="O140" s="24">
        <v>18.866809679459877</v>
      </c>
      <c r="P140" s="24">
        <v>20.015068208446632</v>
      </c>
      <c r="Q140" s="24">
        <v>13.734751596471295</v>
      </c>
      <c r="R140" s="24">
        <v>18.758614064831672</v>
      </c>
      <c r="S140" s="24">
        <v>27.024420240769626</v>
      </c>
      <c r="T140" s="24">
        <v>20.015996213695896</v>
      </c>
      <c r="U140" s="24">
        <v>16.763353826163534</v>
      </c>
      <c r="V140" s="24">
        <v>14.719217523230064</v>
      </c>
      <c r="W140" s="24">
        <v>23.84246443068383</v>
      </c>
      <c r="X140" s="24">
        <v>15.934441626178069</v>
      </c>
      <c r="Y140" s="24">
        <v>28.689742851761476</v>
      </c>
      <c r="Z140" s="24">
        <v>49.133456229291021</v>
      </c>
      <c r="AA140" s="24">
        <v>22.270961780564853</v>
      </c>
      <c r="AB140" s="24">
        <v>40.370491817389926</v>
      </c>
      <c r="AC140" s="24">
        <v>15.707560691604678</v>
      </c>
      <c r="AD140" s="24">
        <v>31.381088721669194</v>
      </c>
      <c r="AE140" s="24">
        <v>60.168777977264405</v>
      </c>
      <c r="AF140" s="24">
        <v>19.500065864057817</v>
      </c>
      <c r="AG140" s="24">
        <v>19.430034443924953</v>
      </c>
      <c r="AH140" s="24">
        <v>29.430722886841245</v>
      </c>
      <c r="AI140" s="24">
        <v>35.284748862838761</v>
      </c>
      <c r="AJ140" s="24">
        <v>30.009164452553744</v>
      </c>
      <c r="AK140" s="24">
        <v>12.505189471695905</v>
      </c>
      <c r="AL140" s="24">
        <v>32.399036794796316</v>
      </c>
      <c r="AM140" s="24">
        <v>14.572879476321488</v>
      </c>
      <c r="AN140" s="24">
        <v>26.996035481089717</v>
      </c>
      <c r="AO140" s="24">
        <v>21.65667317394276</v>
      </c>
      <c r="AP140" s="24">
        <v>31.881008382217036</v>
      </c>
      <c r="AQ140" s="24">
        <v>17.223222970952925</v>
      </c>
      <c r="AR140" s="24">
        <v>13.472239860167047</v>
      </c>
      <c r="AS140" s="24">
        <v>22.591216972312615</v>
      </c>
      <c r="AT140" s="24">
        <v>13.986846078940742</v>
      </c>
      <c r="AU140" s="24">
        <v>32.327059546692531</v>
      </c>
      <c r="AV140" s="24">
        <v>25.473268740999966</v>
      </c>
      <c r="AW140" s="24">
        <v>29.120875649406845</v>
      </c>
      <c r="AX140" s="24">
        <v>12.457386993658721</v>
      </c>
      <c r="AY140" s="24">
        <v>20.546110620793243</v>
      </c>
    </row>
    <row r="141" spans="1:51" x14ac:dyDescent="0.2">
      <c r="A141" s="23">
        <v>45527</v>
      </c>
      <c r="B141" s="24">
        <v>17.537211191299487</v>
      </c>
      <c r="C141" s="24">
        <v>18.918043688837265</v>
      </c>
      <c r="D141" s="24">
        <v>17.443548472352266</v>
      </c>
      <c r="E141" s="24">
        <v>19.268072813389374</v>
      </c>
      <c r="F141" s="24">
        <v>16.389603082127966</v>
      </c>
      <c r="G141" s="24">
        <v>17.80191219596556</v>
      </c>
      <c r="H141" s="24">
        <v>29.469235968722693</v>
      </c>
      <c r="I141" s="24">
        <v>24.384574567603444</v>
      </c>
      <c r="J141" s="24">
        <v>15.793139584399359</v>
      </c>
      <c r="K141" s="24">
        <v>24.134296868710692</v>
      </c>
      <c r="L141" s="24">
        <v>34.439329929616868</v>
      </c>
      <c r="M141" s="24">
        <v>22.674880838841656</v>
      </c>
      <c r="N141" s="24">
        <v>37.675416745885023</v>
      </c>
      <c r="O141" s="24">
        <v>18.856567792842007</v>
      </c>
      <c r="P141" s="24">
        <v>20.043413088378045</v>
      </c>
      <c r="Q141" s="24">
        <v>13.727649953391454</v>
      </c>
      <c r="R141" s="24">
        <v>19.424824412083019</v>
      </c>
      <c r="S141" s="24">
        <v>26.757007727863602</v>
      </c>
      <c r="T141" s="24">
        <v>19.00437881506577</v>
      </c>
      <c r="U141" s="24">
        <v>17.513287311376779</v>
      </c>
      <c r="V141" s="24">
        <v>14.530313732258866</v>
      </c>
      <c r="W141" s="24">
        <v>32.621396379998238</v>
      </c>
      <c r="X141" s="24">
        <v>16.27681717339437</v>
      </c>
      <c r="Y141" s="24">
        <v>29.062526324670873</v>
      </c>
      <c r="Z141" s="24">
        <v>49.460856858131301</v>
      </c>
      <c r="AA141" s="24">
        <v>23.15066646745456</v>
      </c>
      <c r="AB141" s="24">
        <v>39.866224770117348</v>
      </c>
      <c r="AC141" s="24">
        <v>17.742873834313649</v>
      </c>
      <c r="AD141" s="24">
        <v>31.592211443169951</v>
      </c>
      <c r="AE141" s="24">
        <v>59.89517035543674</v>
      </c>
      <c r="AF141" s="24">
        <v>19.813764581266341</v>
      </c>
      <c r="AG141" s="24">
        <v>19.967958878322211</v>
      </c>
      <c r="AH141" s="24">
        <v>28.000477210435033</v>
      </c>
      <c r="AI141" s="24">
        <v>35.241444050080808</v>
      </c>
      <c r="AJ141" s="24">
        <v>30.438887880287115</v>
      </c>
      <c r="AK141" s="24">
        <v>12.899220400358786</v>
      </c>
      <c r="AL141" s="24">
        <v>33.064887869271992</v>
      </c>
      <c r="AM141" s="24">
        <v>15.746219500892769</v>
      </c>
      <c r="AN141" s="24">
        <v>27.620768103412708</v>
      </c>
      <c r="AO141" s="24">
        <v>21.782641353737397</v>
      </c>
      <c r="AP141" s="24">
        <v>32.074039257372156</v>
      </c>
      <c r="AQ141" s="24">
        <v>17.235829002889755</v>
      </c>
      <c r="AR141" s="24">
        <v>13.640500975601904</v>
      </c>
      <c r="AS141" s="24">
        <v>23.812475068505162</v>
      </c>
      <c r="AT141" s="24">
        <v>15.909304583708504</v>
      </c>
      <c r="AU141" s="24">
        <v>32.810491663950799</v>
      </c>
      <c r="AV141" s="24">
        <v>26.188488300584631</v>
      </c>
      <c r="AW141" s="24">
        <v>33.246667279398437</v>
      </c>
      <c r="AX141" s="24">
        <v>14.957540760260502</v>
      </c>
      <c r="AY141" s="24">
        <v>21.804306218857636</v>
      </c>
    </row>
    <row r="142" spans="1:51" x14ac:dyDescent="0.2">
      <c r="A142" s="23">
        <v>45526</v>
      </c>
      <c r="B142" s="24">
        <v>19.722955784056623</v>
      </c>
      <c r="C142" s="24">
        <v>18.960809366549135</v>
      </c>
      <c r="D142" s="24">
        <v>19.451273380290292</v>
      </c>
      <c r="E142" s="24">
        <v>25.038783398451624</v>
      </c>
      <c r="F142" s="24">
        <v>19.316568671853652</v>
      </c>
      <c r="G142" s="24">
        <v>19.992194663477317</v>
      </c>
      <c r="H142" s="24">
        <v>29.487144484378259</v>
      </c>
      <c r="I142" s="24">
        <v>23.744192978322662</v>
      </c>
      <c r="J142" s="24">
        <v>16.305339916782458</v>
      </c>
      <c r="K142" s="24">
        <v>25.160156698298266</v>
      </c>
      <c r="L142" s="24">
        <v>33.80135798216979</v>
      </c>
      <c r="M142" s="24">
        <v>18.421760371932763</v>
      </c>
      <c r="N142" s="24">
        <v>37.65686452351725</v>
      </c>
      <c r="O142" s="24">
        <v>18.854841967375805</v>
      </c>
      <c r="P142" s="24">
        <v>25.610786516050027</v>
      </c>
      <c r="Q142" s="24">
        <v>15.332027182266017</v>
      </c>
      <c r="R142" s="24">
        <v>19.51716400937638</v>
      </c>
      <c r="S142" s="24">
        <v>32.256205713673189</v>
      </c>
      <c r="T142" s="24">
        <v>19.070414800900405</v>
      </c>
      <c r="U142" s="24">
        <v>19.543353353840001</v>
      </c>
      <c r="V142" s="24">
        <v>15.973335615826182</v>
      </c>
      <c r="W142" s="24">
        <v>33.286148081323041</v>
      </c>
      <c r="X142" s="24">
        <v>13.86382967998043</v>
      </c>
      <c r="Y142" s="24">
        <v>30.260995873726959</v>
      </c>
      <c r="Z142" s="24">
        <v>49.7901899332619</v>
      </c>
      <c r="AA142" s="24">
        <v>22.490252781468229</v>
      </c>
      <c r="AB142" s="24">
        <v>39.598993412837054</v>
      </c>
      <c r="AC142" s="24">
        <v>19.394933803163571</v>
      </c>
      <c r="AD142" s="24">
        <v>32.561918494313758</v>
      </c>
      <c r="AE142" s="24">
        <v>59.349240144736775</v>
      </c>
      <c r="AF142" s="24">
        <v>19.392815091008178</v>
      </c>
      <c r="AG142" s="24">
        <v>21.967538294914423</v>
      </c>
      <c r="AH142" s="24">
        <v>27.818099382433164</v>
      </c>
      <c r="AI142" s="24">
        <v>36.08425771293615</v>
      </c>
      <c r="AJ142" s="24">
        <v>30.551294959404402</v>
      </c>
      <c r="AK142" s="24">
        <v>13.002322463568385</v>
      </c>
      <c r="AL142" s="24">
        <v>31.980668746602685</v>
      </c>
      <c r="AM142" s="24">
        <v>16.245097859098362</v>
      </c>
      <c r="AN142" s="24">
        <v>27.664116429233271</v>
      </c>
      <c r="AO142" s="24">
        <v>21.659663471985148</v>
      </c>
      <c r="AP142" s="24">
        <v>42.243573535550254</v>
      </c>
      <c r="AQ142" s="24">
        <v>26.896696179306861</v>
      </c>
      <c r="AR142" s="24">
        <v>13.702083374018283</v>
      </c>
      <c r="AS142" s="24">
        <v>23.633536874407845</v>
      </c>
      <c r="AT142" s="24">
        <v>16.495485824675811</v>
      </c>
      <c r="AU142" s="24">
        <v>32.863842185643669</v>
      </c>
      <c r="AV142" s="24">
        <v>25.703054101669046</v>
      </c>
      <c r="AW142" s="24">
        <v>34.066513084352778</v>
      </c>
      <c r="AX142" s="24">
        <v>16.80467094909638</v>
      </c>
      <c r="AY142" s="24">
        <v>21.241317839837887</v>
      </c>
    </row>
    <row r="143" spans="1:51" x14ac:dyDescent="0.2">
      <c r="A143" s="23">
        <v>45525</v>
      </c>
      <c r="B143" s="24">
        <v>18.836997208904791</v>
      </c>
      <c r="C143" s="24">
        <v>19.007490524584753</v>
      </c>
      <c r="D143" s="24">
        <v>19.781517529197636</v>
      </c>
      <c r="E143" s="24">
        <v>24.69490423662219</v>
      </c>
      <c r="F143" s="24">
        <v>19.007588997718631</v>
      </c>
      <c r="G143" s="24">
        <v>18.762933456760226</v>
      </c>
      <c r="H143" s="24">
        <v>32.847837864660967</v>
      </c>
      <c r="I143" s="24">
        <v>21.476072966256957</v>
      </c>
      <c r="J143" s="24">
        <v>16.769835814613234</v>
      </c>
      <c r="K143" s="24">
        <v>25.180619700872995</v>
      </c>
      <c r="L143" s="24">
        <v>33.791327114537509</v>
      </c>
      <c r="M143" s="24">
        <v>18.244318113557558</v>
      </c>
      <c r="N143" s="24">
        <v>41.165220731379897</v>
      </c>
      <c r="O143" s="24">
        <v>19.087837006585595</v>
      </c>
      <c r="P143" s="24">
        <v>26.057638218268774</v>
      </c>
      <c r="Q143" s="24">
        <v>14.049571153314734</v>
      </c>
      <c r="R143" s="24">
        <v>19.191322455120908</v>
      </c>
      <c r="S143" s="24">
        <v>32.415100372596825</v>
      </c>
      <c r="T143" s="24">
        <v>18.842321479160006</v>
      </c>
      <c r="U143" s="24">
        <v>19.412531158089141</v>
      </c>
      <c r="V143" s="24">
        <v>16.884793204451487</v>
      </c>
      <c r="W143" s="24">
        <v>32.095745167496723</v>
      </c>
      <c r="X143" s="24">
        <v>14.066300283227411</v>
      </c>
      <c r="Y143" s="24">
        <v>39.292744379758602</v>
      </c>
      <c r="Z143" s="24">
        <v>51.67498594919099</v>
      </c>
      <c r="AA143" s="24">
        <v>22.387650098364354</v>
      </c>
      <c r="AB143" s="24">
        <v>39.743638110631132</v>
      </c>
      <c r="AC143" s="24">
        <v>21.491437206683514</v>
      </c>
      <c r="AD143" s="24">
        <v>30.822639377027141</v>
      </c>
      <c r="AE143" s="24">
        <v>59.688565416768803</v>
      </c>
      <c r="AF143" s="24">
        <v>19.323377269592953</v>
      </c>
      <c r="AG143" s="24">
        <v>22.049675558795947</v>
      </c>
      <c r="AH143" s="24">
        <v>27.815029522200515</v>
      </c>
      <c r="AI143" s="24">
        <v>36.688241184253116</v>
      </c>
      <c r="AJ143" s="24">
        <v>27.751508210808591</v>
      </c>
      <c r="AK143" s="24">
        <v>13.515246100354943</v>
      </c>
      <c r="AL143" s="24">
        <v>32.041875084054261</v>
      </c>
      <c r="AM143" s="24">
        <v>16.146119058052253</v>
      </c>
      <c r="AN143" s="24">
        <v>27.375957291439537</v>
      </c>
      <c r="AO143" s="24">
        <v>21.149728097605028</v>
      </c>
      <c r="AP143" s="24">
        <v>41.310115400669574</v>
      </c>
      <c r="AQ143" s="24">
        <v>26.824210320914165</v>
      </c>
      <c r="AR143" s="24">
        <v>13.816148819071728</v>
      </c>
      <c r="AS143" s="24">
        <v>23.651613210644101</v>
      </c>
      <c r="AT143" s="24">
        <v>16.340911864407442</v>
      </c>
      <c r="AU143" s="24">
        <v>32.878413147949814</v>
      </c>
      <c r="AV143" s="24">
        <v>25.94827989486571</v>
      </c>
      <c r="AW143" s="24">
        <v>34.464786020754424</v>
      </c>
      <c r="AX143" s="24">
        <v>17.140509739298583</v>
      </c>
      <c r="AY143" s="24">
        <v>21.185466172460078</v>
      </c>
    </row>
    <row r="144" spans="1:51" x14ac:dyDescent="0.2">
      <c r="A144" s="23">
        <v>45524</v>
      </c>
      <c r="B144" s="24">
        <v>17.978606680622509</v>
      </c>
      <c r="C144" s="24">
        <v>19.280842588009609</v>
      </c>
      <c r="D144" s="24">
        <v>19.411494547796639</v>
      </c>
      <c r="E144" s="24">
        <v>25.056792208672309</v>
      </c>
      <c r="F144" s="24">
        <v>18.517141533931955</v>
      </c>
      <c r="G144" s="24">
        <v>18.721048205025916</v>
      </c>
      <c r="H144" s="24">
        <v>32.872282969052996</v>
      </c>
      <c r="I144" s="24">
        <v>21.514040081999642</v>
      </c>
      <c r="J144" s="24">
        <v>16.656689208388723</v>
      </c>
      <c r="K144" s="24">
        <v>24.34530085929546</v>
      </c>
      <c r="L144" s="24">
        <v>34.334115405870691</v>
      </c>
      <c r="M144" s="24">
        <v>18.384157183861763</v>
      </c>
      <c r="N144" s="24">
        <v>41.21988780617172</v>
      </c>
      <c r="O144" s="24">
        <v>20.214272149527925</v>
      </c>
      <c r="P144" s="24">
        <v>25.026929358762018</v>
      </c>
      <c r="Q144" s="24">
        <v>14.788933349760898</v>
      </c>
      <c r="R144" s="24">
        <v>22.789012326344448</v>
      </c>
      <c r="S144" s="24">
        <v>35.320451202582134</v>
      </c>
      <c r="T144" s="24">
        <v>18.773726127703263</v>
      </c>
      <c r="U144" s="24">
        <v>19.591827705635168</v>
      </c>
      <c r="V144" s="24">
        <v>17.137472898014234</v>
      </c>
      <c r="W144" s="24">
        <v>31.470041500669325</v>
      </c>
      <c r="X144" s="24">
        <v>14.175766353211579</v>
      </c>
      <c r="Y144" s="24">
        <v>39.197115706921075</v>
      </c>
      <c r="Z144" s="24">
        <v>51.485692141524837</v>
      </c>
      <c r="AA144" s="24">
        <v>23.158833075397503</v>
      </c>
      <c r="AB144" s="24">
        <v>39.285227717565476</v>
      </c>
      <c r="AC144" s="24">
        <v>21.46336581329469</v>
      </c>
      <c r="AD144" s="24">
        <v>31.791049659092774</v>
      </c>
      <c r="AE144" s="24">
        <v>58.246357710071869</v>
      </c>
      <c r="AF144" s="24">
        <v>19.110877858135975</v>
      </c>
      <c r="AG144" s="24">
        <v>22.146761551202353</v>
      </c>
      <c r="AH144" s="24">
        <v>28.433282776100786</v>
      </c>
      <c r="AI144" s="24">
        <v>36.100264209155725</v>
      </c>
      <c r="AJ144" s="24">
        <v>27.755032830553549</v>
      </c>
      <c r="AK144" s="24">
        <v>13.584364380628436</v>
      </c>
      <c r="AL144" s="24">
        <v>31.706068327516402</v>
      </c>
      <c r="AM144" s="24">
        <v>16.240303854035599</v>
      </c>
      <c r="AN144" s="24">
        <v>28.479960965231111</v>
      </c>
      <c r="AO144" s="24">
        <v>21.250630448901404</v>
      </c>
      <c r="AP144" s="24">
        <v>41.63528603286295</v>
      </c>
      <c r="AQ144" s="24">
        <v>28.6726557745436</v>
      </c>
      <c r="AR144" s="24">
        <v>13.97496742059627</v>
      </c>
      <c r="AS144" s="24">
        <v>24.074304008717036</v>
      </c>
      <c r="AT144" s="24">
        <v>18.49929180925302</v>
      </c>
      <c r="AU144" s="24">
        <v>32.657106713689366</v>
      </c>
      <c r="AV144" s="24">
        <v>25.63389420885844</v>
      </c>
      <c r="AW144" s="24">
        <v>35.618094699215575</v>
      </c>
      <c r="AX144" s="24">
        <v>17.044096851359591</v>
      </c>
      <c r="AY144" s="24">
        <v>21.378448700354134</v>
      </c>
    </row>
    <row r="145" spans="1:51" x14ac:dyDescent="0.2">
      <c r="A145" s="23">
        <v>45523</v>
      </c>
      <c r="B145" s="24">
        <v>19.35835784674466</v>
      </c>
      <c r="C145" s="24">
        <v>21.740589517147182</v>
      </c>
      <c r="D145" s="24">
        <v>20.538025265205647</v>
      </c>
      <c r="E145" s="24">
        <v>25.227131749782593</v>
      </c>
      <c r="F145" s="24">
        <v>18.902547124138422</v>
      </c>
      <c r="G145" s="24">
        <v>20.072234571022857</v>
      </c>
      <c r="H145" s="24">
        <v>32.484017974454382</v>
      </c>
      <c r="I145" s="24">
        <v>22.108394519634</v>
      </c>
      <c r="J145" s="24">
        <v>16.646518926328895</v>
      </c>
      <c r="K145" s="24">
        <v>28.782536225818927</v>
      </c>
      <c r="L145" s="24">
        <v>35.007147333421209</v>
      </c>
      <c r="M145" s="24">
        <v>18.430109168228036</v>
      </c>
      <c r="N145" s="24">
        <v>40.577590809536154</v>
      </c>
      <c r="O145" s="24">
        <v>20.185632625000423</v>
      </c>
      <c r="P145" s="24">
        <v>25.000144294378696</v>
      </c>
      <c r="Q145" s="24">
        <v>15.289698021551171</v>
      </c>
      <c r="R145" s="24">
        <v>22.445384179316672</v>
      </c>
      <c r="S145" s="24">
        <v>35.805747187634267</v>
      </c>
      <c r="T145" s="24">
        <v>21.97704779872458</v>
      </c>
      <c r="U145" s="24">
        <v>20.317770458419957</v>
      </c>
      <c r="V145" s="24">
        <v>18.04778794684292</v>
      </c>
      <c r="W145" s="24">
        <v>33.265166420172271</v>
      </c>
      <c r="X145" s="24">
        <v>14.376023301160785</v>
      </c>
      <c r="Y145" s="24">
        <v>44.789450282963017</v>
      </c>
      <c r="Z145" s="24">
        <v>51.554170883031865</v>
      </c>
      <c r="AA145" s="24">
        <v>28.93222439552412</v>
      </c>
      <c r="AB145" s="24">
        <v>41.88389493912161</v>
      </c>
      <c r="AC145" s="24">
        <v>21.483665014434763</v>
      </c>
      <c r="AD145" s="24">
        <v>33.724994273191776</v>
      </c>
      <c r="AE145" s="24">
        <v>61.900651936043268</v>
      </c>
      <c r="AF145" s="24">
        <v>20.404983456779359</v>
      </c>
      <c r="AG145" s="24">
        <v>21.534629124289264</v>
      </c>
      <c r="AH145" s="24">
        <v>29.119755508814805</v>
      </c>
      <c r="AI145" s="24">
        <v>37.657520305637412</v>
      </c>
      <c r="AJ145" s="24">
        <v>30.076778689610727</v>
      </c>
      <c r="AK145" s="24">
        <v>13.409797359752849</v>
      </c>
      <c r="AL145" s="24">
        <v>32.080114005518524</v>
      </c>
      <c r="AM145" s="24">
        <v>16.189179300205417</v>
      </c>
      <c r="AN145" s="24">
        <v>35.411988438968997</v>
      </c>
      <c r="AO145" s="24">
        <v>27.163549398774119</v>
      </c>
      <c r="AP145" s="24">
        <v>42.758092837705505</v>
      </c>
      <c r="AQ145" s="24">
        <v>29.800536760543</v>
      </c>
      <c r="AR145" s="24">
        <v>14.025437212650552</v>
      </c>
      <c r="AS145" s="24">
        <v>27.139628605983276</v>
      </c>
      <c r="AT145" s="24">
        <v>18.455205944425249</v>
      </c>
      <c r="AU145" s="24">
        <v>33.183498469367791</v>
      </c>
      <c r="AV145" s="24">
        <v>24.509095398251525</v>
      </c>
      <c r="AW145" s="24">
        <v>37.332790224153065</v>
      </c>
      <c r="AX145" s="24">
        <v>16.970874966946148</v>
      </c>
      <c r="AY145" s="24">
        <v>22.12084614698805</v>
      </c>
    </row>
    <row r="146" spans="1:51" x14ac:dyDescent="0.2">
      <c r="A146" s="23">
        <v>45520</v>
      </c>
      <c r="B146" s="24">
        <v>18.962948725588877</v>
      </c>
      <c r="C146" s="24">
        <v>22.372285288094883</v>
      </c>
      <c r="D146" s="24">
        <v>19.342713227499964</v>
      </c>
      <c r="E146" s="24">
        <v>26.606183071528218</v>
      </c>
      <c r="F146" s="24">
        <v>19.007255677368537</v>
      </c>
      <c r="G146" s="24">
        <v>18.821676488927871</v>
      </c>
      <c r="H146" s="24">
        <v>34.085532664440471</v>
      </c>
      <c r="I146" s="24">
        <v>21.464275803857554</v>
      </c>
      <c r="J146" s="24">
        <v>18.849270112363101</v>
      </c>
      <c r="K146" s="24">
        <v>28.962654720919989</v>
      </c>
      <c r="L146" s="24">
        <v>34.10328176431225</v>
      </c>
      <c r="M146" s="24">
        <v>18.03714547785308</v>
      </c>
      <c r="N146" s="24">
        <v>41.698373902907534</v>
      </c>
      <c r="O146" s="24">
        <v>20.213326568675811</v>
      </c>
      <c r="P146" s="24">
        <v>24.794685196237477</v>
      </c>
      <c r="Q146" s="24">
        <v>15.297432226433827</v>
      </c>
      <c r="R146" s="24">
        <v>22.969808519527099</v>
      </c>
      <c r="S146" s="24">
        <v>35.58295394931924</v>
      </c>
      <c r="T146" s="24">
        <v>22.425473997472178</v>
      </c>
      <c r="U146" s="24">
        <v>19.824456953578419</v>
      </c>
      <c r="V146" s="24">
        <v>16.267298600507708</v>
      </c>
      <c r="W146" s="24">
        <v>33.274044689214911</v>
      </c>
      <c r="X146" s="24">
        <v>15.3109268628449</v>
      </c>
      <c r="Y146" s="24">
        <v>44.062437799097914</v>
      </c>
      <c r="Z146" s="24">
        <v>51.87331792531802</v>
      </c>
      <c r="AA146" s="24">
        <v>32.669288783149973</v>
      </c>
      <c r="AB146" s="24">
        <v>41.950070365448703</v>
      </c>
      <c r="AC146" s="24">
        <v>22.538755999898765</v>
      </c>
      <c r="AD146" s="24">
        <v>33.690483852052544</v>
      </c>
      <c r="AE146" s="24">
        <v>59.839808170076559</v>
      </c>
      <c r="AF146" s="24">
        <v>18.542087437371936</v>
      </c>
      <c r="AG146" s="24">
        <v>21.69596929920327</v>
      </c>
      <c r="AH146" s="24">
        <v>28.808293272652058</v>
      </c>
      <c r="AI146" s="24">
        <v>37.698615232035742</v>
      </c>
      <c r="AJ146" s="24">
        <v>29.184696449141686</v>
      </c>
      <c r="AK146" s="24">
        <v>13.357167799393908</v>
      </c>
      <c r="AL146" s="24">
        <v>30.304549384956708</v>
      </c>
      <c r="AM146" s="24">
        <v>15.020385483804946</v>
      </c>
      <c r="AN146" s="24">
        <v>37.029632517729048</v>
      </c>
      <c r="AO146" s="24">
        <v>27.077658149130443</v>
      </c>
      <c r="AP146" s="24">
        <v>42.822536203611428</v>
      </c>
      <c r="AQ146" s="24">
        <v>29.9454292571208</v>
      </c>
      <c r="AR146" s="24">
        <v>13.621823042217599</v>
      </c>
      <c r="AS146" s="24">
        <v>27.573549145259136</v>
      </c>
      <c r="AT146" s="24">
        <v>18.612715194159986</v>
      </c>
      <c r="AU146" s="24">
        <v>33.136778824670905</v>
      </c>
      <c r="AV146" s="24">
        <v>24.482091250942794</v>
      </c>
      <c r="AW146" s="24">
        <v>37.360310242583829</v>
      </c>
      <c r="AX146" s="24">
        <v>17.44675383489831</v>
      </c>
      <c r="AY146" s="24">
        <v>22.054348803355296</v>
      </c>
    </row>
    <row r="147" spans="1:51" x14ac:dyDescent="0.2">
      <c r="A147" s="23">
        <v>45519</v>
      </c>
      <c r="B147" s="24">
        <v>18.366829418403587</v>
      </c>
      <c r="C147" s="24">
        <v>23.562977997519678</v>
      </c>
      <c r="D147" s="24">
        <v>18.382805957810803</v>
      </c>
      <c r="E147" s="24">
        <v>27.048525080804719</v>
      </c>
      <c r="F147" s="24">
        <v>17.852744124769547</v>
      </c>
      <c r="G147" s="24">
        <v>18.379242547811184</v>
      </c>
      <c r="H147" s="24">
        <v>33.626665878960495</v>
      </c>
      <c r="I147" s="24">
        <v>21.673339794139988</v>
      </c>
      <c r="J147" s="24">
        <v>18.349994281006087</v>
      </c>
      <c r="K147" s="24">
        <v>28.515533470554871</v>
      </c>
      <c r="L147" s="24">
        <v>33.475878338422177</v>
      </c>
      <c r="M147" s="24">
        <v>18.685590143942139</v>
      </c>
      <c r="N147" s="24">
        <v>42.602644812234324</v>
      </c>
      <c r="O147" s="24">
        <v>19.863471311873845</v>
      </c>
      <c r="P147" s="24">
        <v>24.52591630728277</v>
      </c>
      <c r="Q147" s="24">
        <v>15.237435145210748</v>
      </c>
      <c r="R147" s="24">
        <v>23.001735223678768</v>
      </c>
      <c r="S147" s="24">
        <v>35.242378882361578</v>
      </c>
      <c r="T147" s="24">
        <v>23.558392072664368</v>
      </c>
      <c r="U147" s="24">
        <v>18.009619720060314</v>
      </c>
      <c r="V147" s="24">
        <v>15.296850756568311</v>
      </c>
      <c r="W147" s="24">
        <v>37.683735171028133</v>
      </c>
      <c r="X147" s="24">
        <v>14.99458192542405</v>
      </c>
      <c r="Y147" s="24">
        <v>43.766636918148222</v>
      </c>
      <c r="Z147" s="24">
        <v>51.585300259994298</v>
      </c>
      <c r="AA147" s="24">
        <v>33.602486996277207</v>
      </c>
      <c r="AB147" s="24">
        <v>44.020250250041045</v>
      </c>
      <c r="AC147" s="24">
        <v>22.430319689879809</v>
      </c>
      <c r="AD147" s="24">
        <v>33.954083633397317</v>
      </c>
      <c r="AE147" s="24">
        <v>63.151357426569049</v>
      </c>
      <c r="AF147" s="24">
        <v>18.992388656589295</v>
      </c>
      <c r="AG147" s="24">
        <v>21.315823167448247</v>
      </c>
      <c r="AH147" s="24">
        <v>28.608608823572744</v>
      </c>
      <c r="AI147" s="24">
        <v>37.761530855532868</v>
      </c>
      <c r="AJ147" s="24">
        <v>29.156725313964795</v>
      </c>
      <c r="AK147" s="24">
        <v>12.790167802053668</v>
      </c>
      <c r="AL147" s="24">
        <v>30.022952852013955</v>
      </c>
      <c r="AM147" s="24">
        <v>14.836130890946977</v>
      </c>
      <c r="AN147" s="24">
        <v>37.909744562204693</v>
      </c>
      <c r="AO147" s="24">
        <v>26.733404935778545</v>
      </c>
      <c r="AP147" s="24">
        <v>42.849673409190032</v>
      </c>
      <c r="AQ147" s="24">
        <v>29.756484445491889</v>
      </c>
      <c r="AR147" s="24">
        <v>13.015132823342972</v>
      </c>
      <c r="AS147" s="24">
        <v>27.974043587048033</v>
      </c>
      <c r="AT147" s="24">
        <v>18.456519789800268</v>
      </c>
      <c r="AU147" s="24">
        <v>33.381736987822471</v>
      </c>
      <c r="AV147" s="24">
        <v>23.681009770627362</v>
      </c>
      <c r="AW147" s="24">
        <v>38.216609110031648</v>
      </c>
      <c r="AX147" s="24">
        <v>16.862397470721312</v>
      </c>
      <c r="AY147" s="24">
        <v>22.117562912692723</v>
      </c>
    </row>
    <row r="148" spans="1:51" x14ac:dyDescent="0.2">
      <c r="A148" s="23">
        <v>45518</v>
      </c>
      <c r="B148" s="24">
        <v>18.316534144563231</v>
      </c>
      <c r="C148" s="24">
        <v>23.146090089255242</v>
      </c>
      <c r="D148" s="24">
        <v>18.302302079743889</v>
      </c>
      <c r="E148" s="24">
        <v>28.571521090996569</v>
      </c>
      <c r="F148" s="24">
        <v>17.667143691115893</v>
      </c>
      <c r="G148" s="24">
        <v>18.273595404939304</v>
      </c>
      <c r="H148" s="24">
        <v>33.741709102919536</v>
      </c>
      <c r="I148" s="24">
        <v>26.508881509212728</v>
      </c>
      <c r="J148" s="24">
        <v>14.761903285294766</v>
      </c>
      <c r="K148" s="24">
        <v>27.210000499666037</v>
      </c>
      <c r="L148" s="24">
        <v>31.906397966265668</v>
      </c>
      <c r="M148" s="24">
        <v>17.228879831624447</v>
      </c>
      <c r="N148" s="24">
        <v>43.691775775765649</v>
      </c>
      <c r="O148" s="24">
        <v>17.238064510137928</v>
      </c>
      <c r="P148" s="24">
        <v>24.763722131096696</v>
      </c>
      <c r="Q148" s="24">
        <v>16.3503322447113</v>
      </c>
      <c r="R148" s="24">
        <v>23.373703670153414</v>
      </c>
      <c r="S148" s="24">
        <v>35.861972786143475</v>
      </c>
      <c r="T148" s="24">
        <v>23.476951775657053</v>
      </c>
      <c r="U148" s="24">
        <v>17.269043891900637</v>
      </c>
      <c r="V148" s="24">
        <v>15.020356821382757</v>
      </c>
      <c r="W148" s="24">
        <v>37.436359457570987</v>
      </c>
      <c r="X148" s="24">
        <v>13.029548581136645</v>
      </c>
      <c r="Y148" s="24">
        <v>43.250435823521286</v>
      </c>
      <c r="Z148" s="24">
        <v>51.747842339469216</v>
      </c>
      <c r="AA148" s="24">
        <v>33.207619594858294</v>
      </c>
      <c r="AB148" s="24">
        <v>41.884022804474711</v>
      </c>
      <c r="AC148" s="24">
        <v>21.468305908411896</v>
      </c>
      <c r="AD148" s="24">
        <v>33.970012623216618</v>
      </c>
      <c r="AE148" s="24">
        <v>63.841121768205142</v>
      </c>
      <c r="AF148" s="24">
        <v>18.530411495175521</v>
      </c>
      <c r="AG148" s="24">
        <v>20.173324851689397</v>
      </c>
      <c r="AH148" s="24">
        <v>29.641205695528239</v>
      </c>
      <c r="AI148" s="24">
        <v>38.28810982281297</v>
      </c>
      <c r="AJ148" s="24">
        <v>29.154400447598363</v>
      </c>
      <c r="AK148" s="24">
        <v>12.080101828023162</v>
      </c>
      <c r="AL148" s="24">
        <v>30.856035623837133</v>
      </c>
      <c r="AM148" s="24">
        <v>14.053272517361453</v>
      </c>
      <c r="AN148" s="24">
        <v>38.015080860639095</v>
      </c>
      <c r="AO148" s="24">
        <v>28.619653988662513</v>
      </c>
      <c r="AP148" s="24">
        <v>43.033350237595322</v>
      </c>
      <c r="AQ148" s="24">
        <v>30.707288191986461</v>
      </c>
      <c r="AR148" s="24">
        <v>12.179949374517884</v>
      </c>
      <c r="AS148" s="24">
        <v>28.123957047455967</v>
      </c>
      <c r="AT148" s="24">
        <v>17.552969899938663</v>
      </c>
      <c r="AU148" s="24">
        <v>33.380708527692278</v>
      </c>
      <c r="AV148" s="24">
        <v>22.703778638364433</v>
      </c>
      <c r="AW148" s="24">
        <v>39.097822226727232</v>
      </c>
      <c r="AX148" s="24">
        <v>15.291552086543939</v>
      </c>
      <c r="AY148" s="24">
        <v>21.31424397116557</v>
      </c>
    </row>
    <row r="149" spans="1:51" x14ac:dyDescent="0.2">
      <c r="A149" s="23">
        <v>45517</v>
      </c>
      <c r="B149" s="24">
        <v>18.317597765181599</v>
      </c>
      <c r="C149" s="24">
        <v>24.128682419094101</v>
      </c>
      <c r="D149" s="24">
        <v>18.326897323465197</v>
      </c>
      <c r="E149" s="24">
        <v>27.440040304294747</v>
      </c>
      <c r="F149" s="24">
        <v>17.632493843493329</v>
      </c>
      <c r="G149" s="24">
        <v>18.275000399843009</v>
      </c>
      <c r="H149" s="24">
        <v>35.659169975316111</v>
      </c>
      <c r="I149" s="24">
        <v>26.672781758920483</v>
      </c>
      <c r="J149" s="24">
        <v>15.311535824216003</v>
      </c>
      <c r="K149" s="24">
        <v>27.328714878530153</v>
      </c>
      <c r="L149" s="24">
        <v>33.852028090929707</v>
      </c>
      <c r="M149" s="24">
        <v>19.390671548729738</v>
      </c>
      <c r="N149" s="24">
        <v>46.240969748408048</v>
      </c>
      <c r="O149" s="24">
        <v>17.748456759126828</v>
      </c>
      <c r="P149" s="24">
        <v>25.070744446607467</v>
      </c>
      <c r="Q149" s="24">
        <v>15.882844567658552</v>
      </c>
      <c r="R149" s="24">
        <v>23.687399426707401</v>
      </c>
      <c r="S149" s="24">
        <v>36.570841081435248</v>
      </c>
      <c r="T149" s="24">
        <v>25.219780818062929</v>
      </c>
      <c r="U149" s="24">
        <v>17.393705731387463</v>
      </c>
      <c r="V149" s="24">
        <v>14.522338939043886</v>
      </c>
      <c r="W149" s="24">
        <v>37.912028781600007</v>
      </c>
      <c r="X149" s="24">
        <v>13.977538988901056</v>
      </c>
      <c r="Y149" s="24">
        <v>44.551522486114507</v>
      </c>
      <c r="Z149" s="24">
        <v>52.219331947718345</v>
      </c>
      <c r="AA149" s="24">
        <v>33.018344163693847</v>
      </c>
      <c r="AB149" s="24">
        <v>42.141233859678188</v>
      </c>
      <c r="AC149" s="24">
        <v>20.87527846471211</v>
      </c>
      <c r="AD149" s="24">
        <v>33.889043007937552</v>
      </c>
      <c r="AE149" s="24">
        <v>63.84618532208367</v>
      </c>
      <c r="AF149" s="24">
        <v>18.386483157232203</v>
      </c>
      <c r="AG149" s="24">
        <v>21.452196420680174</v>
      </c>
      <c r="AH149" s="24">
        <v>32.263726481858612</v>
      </c>
      <c r="AI149" s="24">
        <v>38.856185733691198</v>
      </c>
      <c r="AJ149" s="24">
        <v>29.768944464542422</v>
      </c>
      <c r="AK149" s="24">
        <v>12.39915169291964</v>
      </c>
      <c r="AL149" s="24">
        <v>33.892966963356294</v>
      </c>
      <c r="AM149" s="24">
        <v>14.005067895427043</v>
      </c>
      <c r="AN149" s="24">
        <v>39.547356404387486</v>
      </c>
      <c r="AO149" s="24">
        <v>28.52225362380916</v>
      </c>
      <c r="AP149" s="24">
        <v>42.719585792405709</v>
      </c>
      <c r="AQ149" s="24">
        <v>30.690026941162841</v>
      </c>
      <c r="AR149" s="24">
        <v>12.880338676845474</v>
      </c>
      <c r="AS149" s="24">
        <v>29.119450591220648</v>
      </c>
      <c r="AT149" s="24">
        <v>17.727621872130282</v>
      </c>
      <c r="AU149" s="24">
        <v>32.581276841041984</v>
      </c>
      <c r="AV149" s="24">
        <v>22.848826543546405</v>
      </c>
      <c r="AW149" s="24">
        <v>38.036189760121232</v>
      </c>
      <c r="AX149" s="24">
        <v>15.699428763850552</v>
      </c>
      <c r="AY149" s="24">
        <v>23.230166996565057</v>
      </c>
    </row>
    <row r="150" spans="1:51" x14ac:dyDescent="0.2">
      <c r="A150" s="23">
        <v>45516</v>
      </c>
      <c r="B150" s="24">
        <v>18.318177942375986</v>
      </c>
      <c r="C150" s="24">
        <v>23.989361506304277</v>
      </c>
      <c r="D150" s="24">
        <v>18.246097497434228</v>
      </c>
      <c r="E150" s="24">
        <v>27.825292479306412</v>
      </c>
      <c r="F150" s="24">
        <v>17.494445255173535</v>
      </c>
      <c r="G150" s="24">
        <v>18.160862920758468</v>
      </c>
      <c r="H150" s="24">
        <v>35.35826508352423</v>
      </c>
      <c r="I150" s="24">
        <v>24.601647464394787</v>
      </c>
      <c r="J150" s="24">
        <v>15.311810629753269</v>
      </c>
      <c r="K150" s="24">
        <v>27.376298087432065</v>
      </c>
      <c r="L150" s="24">
        <v>33.750136856422046</v>
      </c>
      <c r="M150" s="24">
        <v>22.57679007005839</v>
      </c>
      <c r="N150" s="24">
        <v>45.857202635268855</v>
      </c>
      <c r="O150" s="24">
        <v>17.808727532407822</v>
      </c>
      <c r="P150" s="24">
        <v>25.24070553443266</v>
      </c>
      <c r="Q150" s="24">
        <v>16.509345696868603</v>
      </c>
      <c r="R150" s="24">
        <v>24.572768873342174</v>
      </c>
      <c r="S150" s="24">
        <v>36.669188070474029</v>
      </c>
      <c r="T150" s="24">
        <v>24.528696760147252</v>
      </c>
      <c r="U150" s="24">
        <v>15.613665778373219</v>
      </c>
      <c r="V150" s="24">
        <v>13.953024819132455</v>
      </c>
      <c r="W150" s="24">
        <v>37.833785049869526</v>
      </c>
      <c r="X150" s="24">
        <v>13.880252475232849</v>
      </c>
      <c r="Y150" s="24">
        <v>45.216651039058227</v>
      </c>
      <c r="Z150" s="24">
        <v>52.965936772400518</v>
      </c>
      <c r="AA150" s="24">
        <v>33.216126424019059</v>
      </c>
      <c r="AB150" s="24">
        <v>50.763509587765405</v>
      </c>
      <c r="AC150" s="24">
        <v>19.90220606672862</v>
      </c>
      <c r="AD150" s="24">
        <v>33.675666604229576</v>
      </c>
      <c r="AE150" s="24">
        <v>90.735839039185933</v>
      </c>
      <c r="AF150" s="24">
        <v>18.807829167597664</v>
      </c>
      <c r="AG150" s="24">
        <v>21.466869568131866</v>
      </c>
      <c r="AH150" s="24">
        <v>32.135739502237897</v>
      </c>
      <c r="AI150" s="24">
        <v>43.458472594963048</v>
      </c>
      <c r="AJ150" s="24">
        <v>28.391605370574798</v>
      </c>
      <c r="AK150" s="24">
        <v>12.741788427093985</v>
      </c>
      <c r="AL150" s="24">
        <v>33.804861085672272</v>
      </c>
      <c r="AM150" s="24">
        <v>14.177644170942552</v>
      </c>
      <c r="AN150" s="24">
        <v>39.599045449124567</v>
      </c>
      <c r="AO150" s="24">
        <v>31.922372173632876</v>
      </c>
      <c r="AP150" s="24">
        <v>42.49521686912388</v>
      </c>
      <c r="AQ150" s="24">
        <v>30.721807236873527</v>
      </c>
      <c r="AR150" s="24">
        <v>12.792754361963375</v>
      </c>
      <c r="AS150" s="24">
        <v>28.672779976810652</v>
      </c>
      <c r="AT150" s="24">
        <v>17.887006097313673</v>
      </c>
      <c r="AU150" s="24">
        <v>31.809691304675457</v>
      </c>
      <c r="AV150" s="24">
        <v>22.344991152493446</v>
      </c>
      <c r="AW150" s="24">
        <v>38.738991282740912</v>
      </c>
      <c r="AX150" s="24">
        <v>15.674926509859196</v>
      </c>
      <c r="AY150" s="24">
        <v>22.85342556267732</v>
      </c>
    </row>
    <row r="151" spans="1:51" x14ac:dyDescent="0.2">
      <c r="A151" s="23">
        <v>45513</v>
      </c>
      <c r="B151" s="24">
        <v>19.102678040391432</v>
      </c>
      <c r="C151" s="24">
        <v>23.991500758488765</v>
      </c>
      <c r="D151" s="24">
        <v>20.368235675132578</v>
      </c>
      <c r="E151" s="24">
        <v>27.869241112232185</v>
      </c>
      <c r="F151" s="24">
        <v>20.014295236732504</v>
      </c>
      <c r="G151" s="24">
        <v>18.922714581268561</v>
      </c>
      <c r="H151" s="24">
        <v>36.198281910083637</v>
      </c>
      <c r="I151" s="24">
        <v>24.691584880822965</v>
      </c>
      <c r="J151" s="24">
        <v>15.31096856048018</v>
      </c>
      <c r="K151" s="24">
        <v>27.387702548462492</v>
      </c>
      <c r="L151" s="24">
        <v>33.63728246101202</v>
      </c>
      <c r="M151" s="24">
        <v>22.598876002333846</v>
      </c>
      <c r="N151" s="24">
        <v>46.806488234350525</v>
      </c>
      <c r="O151" s="24">
        <v>20.806726198084114</v>
      </c>
      <c r="P151" s="24">
        <v>25.140554566215915</v>
      </c>
      <c r="Q151" s="24">
        <v>17.208952675037047</v>
      </c>
      <c r="R151" s="24">
        <v>25.694426922026363</v>
      </c>
      <c r="S151" s="24">
        <v>36.126967158481378</v>
      </c>
      <c r="T151" s="24">
        <v>24.504935985221223</v>
      </c>
      <c r="U151" s="24">
        <v>17.603907627659627</v>
      </c>
      <c r="V151" s="24">
        <v>14.295098290859118</v>
      </c>
      <c r="W151" s="24">
        <v>37.837725087438386</v>
      </c>
      <c r="X151" s="24">
        <v>14.347307174010732</v>
      </c>
      <c r="Y151" s="24">
        <v>46.13288116963065</v>
      </c>
      <c r="Z151" s="24">
        <v>52.925897173385209</v>
      </c>
      <c r="AA151" s="24">
        <v>33.239443226004589</v>
      </c>
      <c r="AB151" s="24">
        <v>50.585912686161066</v>
      </c>
      <c r="AC151" s="24">
        <v>20.816967568497361</v>
      </c>
      <c r="AD151" s="24">
        <v>33.584794749710355</v>
      </c>
      <c r="AE151" s="24">
        <v>90.781012903870888</v>
      </c>
      <c r="AF151" s="24">
        <v>18.873523825578438</v>
      </c>
      <c r="AG151" s="24">
        <v>21.425856510367815</v>
      </c>
      <c r="AH151" s="24">
        <v>32.018349441178913</v>
      </c>
      <c r="AI151" s="24">
        <v>43.43332082311813</v>
      </c>
      <c r="AJ151" s="24">
        <v>27.331873995487474</v>
      </c>
      <c r="AK151" s="24">
        <v>13.087832393475534</v>
      </c>
      <c r="AL151" s="24">
        <v>34.340354084568496</v>
      </c>
      <c r="AM151" s="24">
        <v>14.327052599869152</v>
      </c>
      <c r="AN151" s="24">
        <v>39.474087673829246</v>
      </c>
      <c r="AO151" s="24">
        <v>32.688930015718469</v>
      </c>
      <c r="AP151" s="24">
        <v>43.249552285175163</v>
      </c>
      <c r="AQ151" s="24">
        <v>30.858497861587498</v>
      </c>
      <c r="AR151" s="24">
        <v>12.838536540735936</v>
      </c>
      <c r="AS151" s="24">
        <v>28.895704527150855</v>
      </c>
      <c r="AT151" s="24">
        <v>17.887672350302488</v>
      </c>
      <c r="AU151" s="24">
        <v>32.301206835590847</v>
      </c>
      <c r="AV151" s="24">
        <v>22.08905818634824</v>
      </c>
      <c r="AW151" s="24">
        <v>38.368154525246432</v>
      </c>
      <c r="AX151" s="24">
        <v>15.496236593243875</v>
      </c>
      <c r="AY151" s="24">
        <v>22.767280497190278</v>
      </c>
    </row>
    <row r="152" spans="1:51" x14ac:dyDescent="0.2">
      <c r="A152" s="23">
        <v>45512</v>
      </c>
      <c r="B152" s="24">
        <v>20.714924468664968</v>
      </c>
      <c r="C152" s="24">
        <v>24.336411641345148</v>
      </c>
      <c r="D152" s="24">
        <v>21.314795904947168</v>
      </c>
      <c r="E152" s="24">
        <v>27.401545882197208</v>
      </c>
      <c r="F152" s="24">
        <v>20.170481893185073</v>
      </c>
      <c r="G152" s="24">
        <v>19.525946129013914</v>
      </c>
      <c r="H152" s="24">
        <v>34.44127193364897</v>
      </c>
      <c r="I152" s="24">
        <v>25.132300414617067</v>
      </c>
      <c r="J152" s="24">
        <v>19.091652447383662</v>
      </c>
      <c r="K152" s="24">
        <v>29.690688284020798</v>
      </c>
      <c r="L152" s="24">
        <v>34.75397332003201</v>
      </c>
      <c r="M152" s="24">
        <v>23.399416027855128</v>
      </c>
      <c r="N152" s="24">
        <v>45.29284588093433</v>
      </c>
      <c r="O152" s="24">
        <v>20.858287717972832</v>
      </c>
      <c r="P152" s="24">
        <v>25.305852284688491</v>
      </c>
      <c r="Q152" s="24">
        <v>17.373618619048599</v>
      </c>
      <c r="R152" s="24">
        <v>25.660015039028622</v>
      </c>
      <c r="S152" s="24">
        <v>36.799533970080518</v>
      </c>
      <c r="T152" s="24">
        <v>24.856895819508281</v>
      </c>
      <c r="U152" s="24">
        <v>18.906429215241879</v>
      </c>
      <c r="V152" s="24">
        <v>14.774569217247123</v>
      </c>
      <c r="W152" s="24">
        <v>37.153551743469727</v>
      </c>
      <c r="X152" s="24">
        <v>16.843092750172246</v>
      </c>
      <c r="Y152" s="24">
        <v>45.42396348048306</v>
      </c>
      <c r="Z152" s="24">
        <v>53.591605545730864</v>
      </c>
      <c r="AA152" s="24">
        <v>32.995734265168437</v>
      </c>
      <c r="AB152" s="24">
        <v>51.978766344713122</v>
      </c>
      <c r="AC152" s="24">
        <v>21.702098415590207</v>
      </c>
      <c r="AD152" s="24">
        <v>32.864788992732038</v>
      </c>
      <c r="AE152" s="24">
        <v>88.058419758257358</v>
      </c>
      <c r="AF152" s="24">
        <v>18.575757340834386</v>
      </c>
      <c r="AG152" s="24">
        <v>22.704872023664883</v>
      </c>
      <c r="AH152" s="24">
        <v>31.702756408347526</v>
      </c>
      <c r="AI152" s="24">
        <v>42.403561701867083</v>
      </c>
      <c r="AJ152" s="24">
        <v>28.121195896602391</v>
      </c>
      <c r="AK152" s="24">
        <v>14.009393883283449</v>
      </c>
      <c r="AL152" s="24">
        <v>34.692745034473035</v>
      </c>
      <c r="AM152" s="24">
        <v>14.424085586884061</v>
      </c>
      <c r="AN152" s="24">
        <v>40.10364571730495</v>
      </c>
      <c r="AO152" s="24">
        <v>36.899070283232888</v>
      </c>
      <c r="AP152" s="24">
        <v>44.039134822321095</v>
      </c>
      <c r="AQ152" s="24">
        <v>30.78731198081438</v>
      </c>
      <c r="AR152" s="24">
        <v>13.933336336260515</v>
      </c>
      <c r="AS152" s="24">
        <v>28.746884494148187</v>
      </c>
      <c r="AT152" s="24">
        <v>17.902527791739576</v>
      </c>
      <c r="AU152" s="24">
        <v>34.915389219065013</v>
      </c>
      <c r="AV152" s="24">
        <v>26.695139603406112</v>
      </c>
      <c r="AW152" s="24">
        <v>41.385825556024919</v>
      </c>
      <c r="AX152" s="24">
        <v>16.333963309974422</v>
      </c>
      <c r="AY152" s="24">
        <v>22.523300225931091</v>
      </c>
    </row>
    <row r="153" spans="1:51" x14ac:dyDescent="0.2">
      <c r="A153" s="23">
        <v>45511</v>
      </c>
      <c r="B153" s="24">
        <v>21.107705553821333</v>
      </c>
      <c r="C153" s="24">
        <v>24.817043393371939</v>
      </c>
      <c r="D153" s="24">
        <v>21.517903820777207</v>
      </c>
      <c r="E153" s="24">
        <v>27.402308753032553</v>
      </c>
      <c r="F153" s="24">
        <v>20.345024556303816</v>
      </c>
      <c r="G153" s="24">
        <v>19.987974193932061</v>
      </c>
      <c r="H153" s="24">
        <v>35.303097514482936</v>
      </c>
      <c r="I153" s="24">
        <v>26.364830359730938</v>
      </c>
      <c r="J153" s="24">
        <v>18.733841810689551</v>
      </c>
      <c r="K153" s="24">
        <v>29.70395200575091</v>
      </c>
      <c r="L153" s="24">
        <v>34.76442871287869</v>
      </c>
      <c r="M153" s="24">
        <v>23.387868859471421</v>
      </c>
      <c r="N153" s="24">
        <v>45.165790966174129</v>
      </c>
      <c r="O153" s="24">
        <v>20.838610232296023</v>
      </c>
      <c r="P153" s="24">
        <v>25.345380783177671</v>
      </c>
      <c r="Q153" s="24">
        <v>17.392780637261559</v>
      </c>
      <c r="R153" s="24">
        <v>25.601550482591186</v>
      </c>
      <c r="S153" s="24">
        <v>36.746608959371187</v>
      </c>
      <c r="T153" s="24">
        <v>26.774916103015386</v>
      </c>
      <c r="U153" s="24">
        <v>19.039554756845579</v>
      </c>
      <c r="V153" s="24">
        <v>14.809020002881459</v>
      </c>
      <c r="W153" s="24">
        <v>37.160885286107984</v>
      </c>
      <c r="X153" s="24">
        <v>16.815705726798306</v>
      </c>
      <c r="Y153" s="24">
        <v>47.141489087387733</v>
      </c>
      <c r="Z153" s="24">
        <v>53.18834384067987</v>
      </c>
      <c r="AA153" s="24">
        <v>33.049657536433358</v>
      </c>
      <c r="AB153" s="24">
        <v>51.842155287330073</v>
      </c>
      <c r="AC153" s="24">
        <v>21.978510565444985</v>
      </c>
      <c r="AD153" s="24">
        <v>34.380333860641251</v>
      </c>
      <c r="AE153" s="24">
        <v>89.946441268686698</v>
      </c>
      <c r="AF153" s="24">
        <v>20.777381442646799</v>
      </c>
      <c r="AG153" s="24">
        <v>22.816436787047859</v>
      </c>
      <c r="AH153" s="24">
        <v>32.045301522985802</v>
      </c>
      <c r="AI153" s="24">
        <v>43.329345458327026</v>
      </c>
      <c r="AJ153" s="24">
        <v>29.595169321530886</v>
      </c>
      <c r="AK153" s="24">
        <v>14.029141744626857</v>
      </c>
      <c r="AL153" s="24">
        <v>35.652428972299589</v>
      </c>
      <c r="AM153" s="24">
        <v>14.429299005241269</v>
      </c>
      <c r="AN153" s="24">
        <v>39.608518000259096</v>
      </c>
      <c r="AO153" s="24">
        <v>37.574567536613586</v>
      </c>
      <c r="AP153" s="24">
        <v>44.872099408284328</v>
      </c>
      <c r="AQ153" s="24">
        <v>31.453299004040957</v>
      </c>
      <c r="AR153" s="24">
        <v>13.914758011573637</v>
      </c>
      <c r="AS153" s="24">
        <v>28.309472647056655</v>
      </c>
      <c r="AT153" s="24">
        <v>19.930707946199895</v>
      </c>
      <c r="AU153" s="24">
        <v>34.161032321871261</v>
      </c>
      <c r="AV153" s="24">
        <v>24.593676429422867</v>
      </c>
      <c r="AW153" s="24">
        <v>41.76032485215471</v>
      </c>
      <c r="AX153" s="24">
        <v>16.711361792846702</v>
      </c>
      <c r="AY153" s="24">
        <v>21.840713730545264</v>
      </c>
    </row>
    <row r="154" spans="1:51" x14ac:dyDescent="0.2">
      <c r="A154" s="23">
        <v>45510</v>
      </c>
      <c r="B154" s="24">
        <v>21.330151144018014</v>
      </c>
      <c r="C154" s="24">
        <v>24.623850192288021</v>
      </c>
      <c r="D154" s="24">
        <v>21.506831341873216</v>
      </c>
      <c r="E154" s="24">
        <v>27.582907335712203</v>
      </c>
      <c r="F154" s="24">
        <v>20.523751168728189</v>
      </c>
      <c r="G154" s="24">
        <v>19.987589444908515</v>
      </c>
      <c r="H154" s="24">
        <v>35.102697942242756</v>
      </c>
      <c r="I154" s="24">
        <v>26.822676955101212</v>
      </c>
      <c r="J154" s="24">
        <v>18.913068930758289</v>
      </c>
      <c r="K154" s="24">
        <v>29.696090678721465</v>
      </c>
      <c r="L154" s="24">
        <v>34.760510976380161</v>
      </c>
      <c r="M154" s="24">
        <v>23.454296146399198</v>
      </c>
      <c r="N154" s="24">
        <v>44.002325288246126</v>
      </c>
      <c r="O154" s="24">
        <v>22.715454248338457</v>
      </c>
      <c r="P154" s="24">
        <v>25.384817538757638</v>
      </c>
      <c r="Q154" s="24">
        <v>17.255615328600417</v>
      </c>
      <c r="R154" s="24">
        <v>26.312731192221854</v>
      </c>
      <c r="S154" s="24">
        <v>36.306659874342984</v>
      </c>
      <c r="T154" s="24">
        <v>26.739046594432711</v>
      </c>
      <c r="U154" s="24">
        <v>19.59298627935361</v>
      </c>
      <c r="V154" s="24">
        <v>14.80880919894301</v>
      </c>
      <c r="W154" s="24">
        <v>37.173148566761654</v>
      </c>
      <c r="X154" s="24">
        <v>17.11746624424087</v>
      </c>
      <c r="Y154" s="24">
        <v>46.985322980043009</v>
      </c>
      <c r="Z154" s="24">
        <v>53.462351257408486</v>
      </c>
      <c r="AA154" s="24">
        <v>33.25593612259518</v>
      </c>
      <c r="AB154" s="24">
        <v>49.365410003267712</v>
      </c>
      <c r="AC154" s="24">
        <v>22.452431536519423</v>
      </c>
      <c r="AD154" s="24">
        <v>34.242960506527439</v>
      </c>
      <c r="AE154" s="24">
        <v>89.717410252395894</v>
      </c>
      <c r="AF154" s="24">
        <v>20.753147086960453</v>
      </c>
      <c r="AG154" s="24">
        <v>22.70041054005436</v>
      </c>
      <c r="AH154" s="24">
        <v>31.878690832814804</v>
      </c>
      <c r="AI154" s="24">
        <v>43.326823252260517</v>
      </c>
      <c r="AJ154" s="24">
        <v>28.594321577071863</v>
      </c>
      <c r="AK154" s="24">
        <v>15.203880940630091</v>
      </c>
      <c r="AL154" s="24">
        <v>35.3598486106672</v>
      </c>
      <c r="AM154" s="24">
        <v>14.22282563498916</v>
      </c>
      <c r="AN154" s="24">
        <v>37.960967009169451</v>
      </c>
      <c r="AO154" s="24">
        <v>37.904177450057752</v>
      </c>
      <c r="AP154" s="24">
        <v>44.885634513311693</v>
      </c>
      <c r="AQ154" s="24">
        <v>31.849528363946071</v>
      </c>
      <c r="AR154" s="24">
        <v>14.190430092819291</v>
      </c>
      <c r="AS154" s="24">
        <v>28.227342671092782</v>
      </c>
      <c r="AT154" s="24">
        <v>20.245147476143114</v>
      </c>
      <c r="AU154" s="24">
        <v>33.509571290977334</v>
      </c>
      <c r="AV154" s="24">
        <v>23.720218406095718</v>
      </c>
      <c r="AW154" s="24">
        <v>41.95831554047809</v>
      </c>
      <c r="AX154" s="24">
        <v>16.402826813234107</v>
      </c>
      <c r="AY154" s="24">
        <v>21.885002439405831</v>
      </c>
    </row>
    <row r="155" spans="1:51" x14ac:dyDescent="0.2">
      <c r="A155" s="23">
        <v>45509</v>
      </c>
      <c r="B155" s="24">
        <v>20.873390978502705</v>
      </c>
      <c r="C155" s="24">
        <v>25.064921070779903</v>
      </c>
      <c r="D155" s="24">
        <v>21.013496529723856</v>
      </c>
      <c r="E155" s="24">
        <v>27.501993232189808</v>
      </c>
      <c r="F155" s="24">
        <v>19.946952603159396</v>
      </c>
      <c r="G155" s="24">
        <v>19.544969324923684</v>
      </c>
      <c r="H155" s="24">
        <v>34.51514614867628</v>
      </c>
      <c r="I155" s="24">
        <v>26.494020047602334</v>
      </c>
      <c r="J155" s="24">
        <v>19.154615950763127</v>
      </c>
      <c r="K155" s="24">
        <v>32.009187772994281</v>
      </c>
      <c r="L155" s="24">
        <v>26.017490287125309</v>
      </c>
      <c r="M155" s="24">
        <v>21.70403369353761</v>
      </c>
      <c r="N155" s="24">
        <v>43.730006249163203</v>
      </c>
      <c r="O155" s="24">
        <v>22.829261286158772</v>
      </c>
      <c r="P155" s="24">
        <v>25.576716564022</v>
      </c>
      <c r="Q155" s="24">
        <v>16.934173325985213</v>
      </c>
      <c r="R155" s="24">
        <v>26.376812893849685</v>
      </c>
      <c r="S155" s="24">
        <v>35.11011009341356</v>
      </c>
      <c r="T155" s="24">
        <v>26.862712936017157</v>
      </c>
      <c r="U155" s="24">
        <v>19.294556987752323</v>
      </c>
      <c r="V155" s="24">
        <v>14.604429235842712</v>
      </c>
      <c r="W155" s="24">
        <v>38.79754555736001</v>
      </c>
      <c r="X155" s="24">
        <v>17.23702802688106</v>
      </c>
      <c r="Y155" s="24">
        <v>48.028454377302339</v>
      </c>
      <c r="Z155" s="24">
        <v>60.913808745583367</v>
      </c>
      <c r="AA155" s="24">
        <v>33.739551694721605</v>
      </c>
      <c r="AB155" s="24">
        <v>50.172168130846174</v>
      </c>
      <c r="AC155" s="24">
        <v>21.734509380441782</v>
      </c>
      <c r="AD155" s="24">
        <v>34.58420609772115</v>
      </c>
      <c r="AE155" s="24">
        <v>92.821367369701179</v>
      </c>
      <c r="AF155" s="24">
        <v>20.52651472860612</v>
      </c>
      <c r="AG155" s="24">
        <v>23.489853715374718</v>
      </c>
      <c r="AH155" s="24">
        <v>31.884952658357665</v>
      </c>
      <c r="AI155" s="24">
        <v>46.498811889390545</v>
      </c>
      <c r="AJ155" s="24">
        <v>28.831840241472175</v>
      </c>
      <c r="AK155" s="24">
        <v>15.169071250455287</v>
      </c>
      <c r="AL155" s="24">
        <v>29.044281331314778</v>
      </c>
      <c r="AM155" s="24">
        <v>13.759156519487959</v>
      </c>
      <c r="AN155" s="24">
        <v>37.787731830535691</v>
      </c>
      <c r="AO155" s="24">
        <v>38.952228134700022</v>
      </c>
      <c r="AP155" s="24">
        <v>44.524728312619736</v>
      </c>
      <c r="AQ155" s="24">
        <v>31.576880872600043</v>
      </c>
      <c r="AR155" s="24">
        <v>14.435032988826377</v>
      </c>
      <c r="AS155" s="24">
        <v>28.412992909904137</v>
      </c>
      <c r="AT155" s="24">
        <v>20.351220597434047</v>
      </c>
      <c r="AU155" s="24">
        <v>33.503399165528833</v>
      </c>
      <c r="AV155" s="24">
        <v>24.282350385569028</v>
      </c>
      <c r="AW155" s="24">
        <v>42.26995682658913</v>
      </c>
      <c r="AX155" s="24">
        <v>16.287962759438631</v>
      </c>
      <c r="AY155" s="24">
        <v>22.002253166453141</v>
      </c>
    </row>
    <row r="156" spans="1:51" x14ac:dyDescent="0.2">
      <c r="A156" s="23">
        <v>45506</v>
      </c>
      <c r="B156" s="24">
        <v>20.989275635676961</v>
      </c>
      <c r="C156" s="24">
        <v>25.341693630632761</v>
      </c>
      <c r="D156" s="24">
        <v>21.058470799245143</v>
      </c>
      <c r="E156" s="24">
        <v>27.755256413673902</v>
      </c>
      <c r="F156" s="24">
        <v>20.342085075241094</v>
      </c>
      <c r="G156" s="24">
        <v>19.601652592985509</v>
      </c>
      <c r="H156" s="24">
        <v>32.300892551956075</v>
      </c>
      <c r="I156" s="24">
        <v>26.723692939282238</v>
      </c>
      <c r="J156" s="24">
        <v>19.067623857810862</v>
      </c>
      <c r="K156" s="24">
        <v>32.003722320272857</v>
      </c>
      <c r="L156" s="24">
        <v>25.5478137142916</v>
      </c>
      <c r="M156" s="24">
        <v>21.978147588318706</v>
      </c>
      <c r="N156" s="24">
        <v>41.346128314022216</v>
      </c>
      <c r="O156" s="24">
        <v>23.363010866675776</v>
      </c>
      <c r="P156" s="24">
        <v>25.355654139311152</v>
      </c>
      <c r="Q156" s="24">
        <v>17.500262469430421</v>
      </c>
      <c r="R156" s="24">
        <v>25.012323565661887</v>
      </c>
      <c r="S156" s="24">
        <v>34.408765512357732</v>
      </c>
      <c r="T156" s="24">
        <v>27.567549920904838</v>
      </c>
      <c r="U156" s="24">
        <v>19.995684865639895</v>
      </c>
      <c r="V156" s="24">
        <v>15.149351771839337</v>
      </c>
      <c r="W156" s="24">
        <v>37.756191378085539</v>
      </c>
      <c r="X156" s="24">
        <v>16.986924168304366</v>
      </c>
      <c r="Y156" s="24">
        <v>47.812357359203062</v>
      </c>
      <c r="Z156" s="24">
        <v>54.221300221954024</v>
      </c>
      <c r="AA156" s="24">
        <v>34.480278125495119</v>
      </c>
      <c r="AB156" s="24">
        <v>45.803191593502973</v>
      </c>
      <c r="AC156" s="24">
        <v>21.553919934840366</v>
      </c>
      <c r="AD156" s="24">
        <v>35.906164067295101</v>
      </c>
      <c r="AE156" s="24">
        <v>88.893987792467428</v>
      </c>
      <c r="AF156" s="24">
        <v>18.676250378526852</v>
      </c>
      <c r="AG156" s="24">
        <v>23.251817919789627</v>
      </c>
      <c r="AH156" s="24">
        <v>32.328563897786822</v>
      </c>
      <c r="AI156" s="24">
        <v>39.600249982870331</v>
      </c>
      <c r="AJ156" s="24">
        <v>30.00237729654318</v>
      </c>
      <c r="AK156" s="24">
        <v>14.636560781167807</v>
      </c>
      <c r="AL156" s="24">
        <v>29.054558908740962</v>
      </c>
      <c r="AM156" s="24">
        <v>12.975094687355556</v>
      </c>
      <c r="AN156" s="24">
        <v>35.552514985139524</v>
      </c>
      <c r="AO156" s="24">
        <v>35.477019152370168</v>
      </c>
      <c r="AP156" s="24">
        <v>44.167209209253514</v>
      </c>
      <c r="AQ156" s="24">
        <v>31.481021836997016</v>
      </c>
      <c r="AR156" s="24">
        <v>14.117087774088187</v>
      </c>
      <c r="AS156" s="24">
        <v>28.72187159125367</v>
      </c>
      <c r="AT156" s="24">
        <v>20.22385795095326</v>
      </c>
      <c r="AU156" s="24">
        <v>33.500585089960246</v>
      </c>
      <c r="AV156" s="24">
        <v>30.146308158607898</v>
      </c>
      <c r="AW156" s="24">
        <v>42.638578960198302</v>
      </c>
      <c r="AX156" s="24">
        <v>16.143892434159628</v>
      </c>
      <c r="AY156" s="24">
        <v>22.001993382900583</v>
      </c>
    </row>
    <row r="157" spans="1:51" x14ac:dyDescent="0.2">
      <c r="A157" s="23">
        <v>45505</v>
      </c>
      <c r="B157" s="24">
        <v>22.740784452296722</v>
      </c>
      <c r="C157" s="24">
        <v>26.263513385642216</v>
      </c>
      <c r="D157" s="24">
        <v>21.919935560009876</v>
      </c>
      <c r="E157" s="24">
        <v>27.348641600638192</v>
      </c>
      <c r="F157" s="24">
        <v>21.433949697282582</v>
      </c>
      <c r="G157" s="24">
        <v>21.728144786454148</v>
      </c>
      <c r="H157" s="24">
        <v>32.079414209008782</v>
      </c>
      <c r="I157" s="24">
        <v>26.236430582851469</v>
      </c>
      <c r="J157" s="24">
        <v>20.425052808675805</v>
      </c>
      <c r="K157" s="24">
        <v>28.99713715656226</v>
      </c>
      <c r="L157" s="24">
        <v>26.55754056516405</v>
      </c>
      <c r="M157" s="24">
        <v>22.507015229210779</v>
      </c>
      <c r="N157" s="24">
        <v>40.73824685186586</v>
      </c>
      <c r="O157" s="24">
        <v>23.348455830531002</v>
      </c>
      <c r="P157" s="24">
        <v>25.28149651100064</v>
      </c>
      <c r="Q157" s="24">
        <v>17.589775883014667</v>
      </c>
      <c r="R157" s="24">
        <v>25.552556173243484</v>
      </c>
      <c r="S157" s="24">
        <v>34.409032657986153</v>
      </c>
      <c r="T157" s="24">
        <v>27.900917721957594</v>
      </c>
      <c r="U157" s="24">
        <v>22.235031306967269</v>
      </c>
      <c r="V157" s="24">
        <v>17.678378643251961</v>
      </c>
      <c r="W157" s="24">
        <v>37.387351164307432</v>
      </c>
      <c r="X157" s="24">
        <v>19.067592909446901</v>
      </c>
      <c r="Y157" s="24">
        <v>47.506165612900183</v>
      </c>
      <c r="Z157" s="24">
        <v>49.306465539496692</v>
      </c>
      <c r="AA157" s="24">
        <v>34.012387207204668</v>
      </c>
      <c r="AB157" s="24">
        <v>46.108149287628976</v>
      </c>
      <c r="AC157" s="24">
        <v>24.134007937289081</v>
      </c>
      <c r="AD157" s="24">
        <v>35.083136912526832</v>
      </c>
      <c r="AE157" s="24">
        <v>86.031603931593807</v>
      </c>
      <c r="AF157" s="24">
        <v>18.288982168055991</v>
      </c>
      <c r="AG157" s="24">
        <v>23.956892723265948</v>
      </c>
      <c r="AH157" s="24">
        <v>31.35697494769272</v>
      </c>
      <c r="AI157" s="24">
        <v>39.20144239030946</v>
      </c>
      <c r="AJ157" s="24">
        <v>32.742198970354856</v>
      </c>
      <c r="AK157" s="24">
        <v>14.398357009102217</v>
      </c>
      <c r="AL157" s="24">
        <v>28.934423655665295</v>
      </c>
      <c r="AM157" s="24">
        <v>15.440950191370584</v>
      </c>
      <c r="AN157" s="24">
        <v>35.853506308345906</v>
      </c>
      <c r="AO157" s="24">
        <v>34.256641218274609</v>
      </c>
      <c r="AP157" s="24">
        <v>43.866587796708167</v>
      </c>
      <c r="AQ157" s="24">
        <v>31.758152805607136</v>
      </c>
      <c r="AR157" s="24">
        <v>16.917758903090661</v>
      </c>
      <c r="AS157" s="24">
        <v>29.289877251505647</v>
      </c>
      <c r="AT157" s="24">
        <v>19.893869668737487</v>
      </c>
      <c r="AU157" s="24">
        <v>33.558129258775089</v>
      </c>
      <c r="AV157" s="24">
        <v>30.145384639705632</v>
      </c>
      <c r="AW157" s="24">
        <v>42.652728041959477</v>
      </c>
      <c r="AX157" s="24">
        <v>17.428586949393402</v>
      </c>
      <c r="AY157" s="24">
        <v>21.840778448569068</v>
      </c>
    </row>
    <row r="158" spans="1:51" x14ac:dyDescent="0.2">
      <c r="A158" s="23">
        <v>45504</v>
      </c>
      <c r="B158" s="24">
        <v>22.982932124592736</v>
      </c>
      <c r="C158" s="24">
        <v>25.161641552022434</v>
      </c>
      <c r="D158" s="24">
        <v>21.928621972172394</v>
      </c>
      <c r="E158" s="24">
        <v>27.478219246506139</v>
      </c>
      <c r="F158" s="24">
        <v>21.632170470603818</v>
      </c>
      <c r="G158" s="24">
        <v>21.726374120631679</v>
      </c>
      <c r="H158" s="24">
        <v>32.075476877468631</v>
      </c>
      <c r="I158" s="24">
        <v>23.257416578786174</v>
      </c>
      <c r="J158" s="24">
        <v>20.580660572631668</v>
      </c>
      <c r="K158" s="24">
        <v>28.706687040891527</v>
      </c>
      <c r="L158" s="24">
        <v>26.747468737163889</v>
      </c>
      <c r="M158" s="24">
        <v>22.712001343380656</v>
      </c>
      <c r="N158" s="24">
        <v>39.892577889735961</v>
      </c>
      <c r="O158" s="24">
        <v>23.451160816312221</v>
      </c>
      <c r="P158" s="24">
        <v>25.269463629927284</v>
      </c>
      <c r="Q158" s="24">
        <v>17.447220239898463</v>
      </c>
      <c r="R158" s="24">
        <v>25.631504160367992</v>
      </c>
      <c r="S158" s="24">
        <v>35.521624596497034</v>
      </c>
      <c r="T158" s="24">
        <v>26.722203253359918</v>
      </c>
      <c r="U158" s="24">
        <v>22.510456702316073</v>
      </c>
      <c r="V158" s="24">
        <v>18.879243411341452</v>
      </c>
      <c r="W158" s="24">
        <v>37.42015158937965</v>
      </c>
      <c r="X158" s="24">
        <v>18.985923405338511</v>
      </c>
      <c r="Y158" s="24">
        <v>47.958860680992167</v>
      </c>
      <c r="Z158" s="24">
        <v>49.123170368716472</v>
      </c>
      <c r="AA158" s="24">
        <v>34.543553150536511</v>
      </c>
      <c r="AB158" s="24">
        <v>48.154578963899702</v>
      </c>
      <c r="AC158" s="24">
        <v>23.912284467118745</v>
      </c>
      <c r="AD158" s="24">
        <v>34.971491592958728</v>
      </c>
      <c r="AE158" s="24">
        <v>85.427334429293822</v>
      </c>
      <c r="AF158" s="24">
        <v>18.555124779369145</v>
      </c>
      <c r="AG158" s="24">
        <v>23.100432764209753</v>
      </c>
      <c r="AH158" s="24">
        <v>31.926373353678127</v>
      </c>
      <c r="AI158" s="24">
        <v>39.043652512755465</v>
      </c>
      <c r="AJ158" s="24">
        <v>32.722514673939244</v>
      </c>
      <c r="AK158" s="24">
        <v>12.800835679585765</v>
      </c>
      <c r="AL158" s="24">
        <v>29.054326044556628</v>
      </c>
      <c r="AM158" s="24">
        <v>15.492437107091451</v>
      </c>
      <c r="AN158" s="24">
        <v>34.344209326821257</v>
      </c>
      <c r="AO158" s="24">
        <v>34.404313017462485</v>
      </c>
      <c r="AP158" s="24">
        <v>43.353287548657626</v>
      </c>
      <c r="AQ158" s="24">
        <v>31.531293165023218</v>
      </c>
      <c r="AR158" s="24">
        <v>17.004904376364735</v>
      </c>
      <c r="AS158" s="24">
        <v>28.709201935592077</v>
      </c>
      <c r="AT158" s="24">
        <v>19.941927118309771</v>
      </c>
      <c r="AU158" s="24">
        <v>30.375301618299371</v>
      </c>
      <c r="AV158" s="24">
        <v>29.874969839385603</v>
      </c>
      <c r="AW158" s="24">
        <v>42.343386957427349</v>
      </c>
      <c r="AX158" s="24">
        <v>17.339455835524241</v>
      </c>
      <c r="AY158" s="24">
        <v>21.425813456039151</v>
      </c>
    </row>
    <row r="159" spans="1:51" x14ac:dyDescent="0.2">
      <c r="A159" s="23">
        <v>45503</v>
      </c>
      <c r="B159" s="24">
        <v>21.750188281078199</v>
      </c>
      <c r="C159" s="24">
        <v>22.502448450049318</v>
      </c>
      <c r="D159" s="24">
        <v>20.188060010715322</v>
      </c>
      <c r="E159" s="24">
        <v>26.690936647331135</v>
      </c>
      <c r="F159" s="24">
        <v>21.08724200668513</v>
      </c>
      <c r="G159" s="24">
        <v>20.214482525751013</v>
      </c>
      <c r="H159" s="24">
        <v>30.165972614104078</v>
      </c>
      <c r="I159" s="24">
        <v>23.971821778823692</v>
      </c>
      <c r="J159" s="24">
        <v>21.225583642903825</v>
      </c>
      <c r="K159" s="24">
        <v>28.440762629000705</v>
      </c>
      <c r="L159" s="24">
        <v>22.974351652860033</v>
      </c>
      <c r="M159" s="24">
        <v>20.389614709514266</v>
      </c>
      <c r="N159" s="24">
        <v>37.762566034772682</v>
      </c>
      <c r="O159" s="24">
        <v>23.598865726845045</v>
      </c>
      <c r="P159" s="24">
        <v>24.099736368602048</v>
      </c>
      <c r="Q159" s="24">
        <v>17.290189885777586</v>
      </c>
      <c r="R159" s="24">
        <v>25.689680846103954</v>
      </c>
      <c r="S159" s="24">
        <v>31.85821579480627</v>
      </c>
      <c r="T159" s="24">
        <v>24.622107741712231</v>
      </c>
      <c r="U159" s="24">
        <v>21.695857495270303</v>
      </c>
      <c r="V159" s="24">
        <v>17.517034306420772</v>
      </c>
      <c r="W159" s="24">
        <v>36.395410875660275</v>
      </c>
      <c r="X159" s="24">
        <v>19.448961996122978</v>
      </c>
      <c r="Y159" s="24">
        <v>45.104566894962772</v>
      </c>
      <c r="Z159" s="24">
        <v>45.777412457716146</v>
      </c>
      <c r="AA159" s="24">
        <v>31.086858970478776</v>
      </c>
      <c r="AB159" s="24">
        <v>44.058170363328067</v>
      </c>
      <c r="AC159" s="24">
        <v>24.673494930015796</v>
      </c>
      <c r="AD159" s="24">
        <v>24.944271888396727</v>
      </c>
      <c r="AE159" s="24">
        <v>82.561567016523412</v>
      </c>
      <c r="AF159" s="24">
        <v>17.694419562299238</v>
      </c>
      <c r="AG159" s="24">
        <v>23.103150434565457</v>
      </c>
      <c r="AH159" s="24">
        <v>28.550607433792109</v>
      </c>
      <c r="AI159" s="24">
        <v>38.301650458729462</v>
      </c>
      <c r="AJ159" s="24">
        <v>29.14345028351811</v>
      </c>
      <c r="AK159" s="24">
        <v>12.290097018225525</v>
      </c>
      <c r="AL159" s="24">
        <v>26.317684355943417</v>
      </c>
      <c r="AM159" s="24">
        <v>15.244841859321953</v>
      </c>
      <c r="AN159" s="24">
        <v>33.998791345985893</v>
      </c>
      <c r="AO159" s="24">
        <v>33.918345998135962</v>
      </c>
      <c r="AP159" s="24">
        <v>39.457421387975394</v>
      </c>
      <c r="AQ159" s="24">
        <v>30.345288505068531</v>
      </c>
      <c r="AR159" s="24">
        <v>15.739845719114225</v>
      </c>
      <c r="AS159" s="24">
        <v>23.849937092015857</v>
      </c>
      <c r="AT159" s="24">
        <v>19.47586680980428</v>
      </c>
      <c r="AU159" s="24">
        <v>27.772885886787609</v>
      </c>
      <c r="AV159" s="24">
        <v>29.700866955659006</v>
      </c>
      <c r="AW159" s="24">
        <v>39.258046607300955</v>
      </c>
      <c r="AX159" s="24">
        <v>17.287873510451831</v>
      </c>
      <c r="AY159" s="24">
        <v>17.333905797018993</v>
      </c>
    </row>
    <row r="160" spans="1:51" x14ac:dyDescent="0.2">
      <c r="A160" s="23">
        <v>45502</v>
      </c>
      <c r="B160" s="24">
        <v>23.147628201886896</v>
      </c>
      <c r="C160" s="24">
        <v>25.871452120830071</v>
      </c>
      <c r="D160" s="24">
        <v>20.91961302994941</v>
      </c>
      <c r="E160" s="24">
        <v>26.897389348135256</v>
      </c>
      <c r="F160" s="24">
        <v>21.745620303050085</v>
      </c>
      <c r="G160" s="24">
        <v>20.994486573918635</v>
      </c>
      <c r="H160" s="24">
        <v>29.890506218016395</v>
      </c>
      <c r="I160" s="24">
        <v>23.985975044298758</v>
      </c>
      <c r="J160" s="24">
        <v>22.550755973610624</v>
      </c>
      <c r="K160" s="24">
        <v>27.691283012016914</v>
      </c>
      <c r="L160" s="24">
        <v>23.332039866845058</v>
      </c>
      <c r="M160" s="24">
        <v>20.839997724814271</v>
      </c>
      <c r="N160" s="24">
        <v>36.999030853711517</v>
      </c>
      <c r="O160" s="24">
        <v>22.84079680877409</v>
      </c>
      <c r="P160" s="24">
        <v>23.390290081129624</v>
      </c>
      <c r="Q160" s="24">
        <v>17.202067186553148</v>
      </c>
      <c r="R160" s="24">
        <v>21.949211325206775</v>
      </c>
      <c r="S160" s="24">
        <v>30.750853988743977</v>
      </c>
      <c r="T160" s="24">
        <v>26.211967376732353</v>
      </c>
      <c r="U160" s="24">
        <v>22.108125067219994</v>
      </c>
      <c r="V160" s="24">
        <v>17.970296392681721</v>
      </c>
      <c r="W160" s="24">
        <v>36.006684209237008</v>
      </c>
      <c r="X160" s="24">
        <v>19.749796586028452</v>
      </c>
      <c r="Y160" s="24">
        <v>45.081011069267952</v>
      </c>
      <c r="Z160" s="24">
        <v>44.603353590378219</v>
      </c>
      <c r="AA160" s="24">
        <v>31.099212493257372</v>
      </c>
      <c r="AB160" s="24">
        <v>43.857989298494942</v>
      </c>
      <c r="AC160" s="24">
        <v>26.877108389423324</v>
      </c>
      <c r="AD160" s="24">
        <v>25.887207343794451</v>
      </c>
      <c r="AE160" s="24">
        <v>84.152890188491483</v>
      </c>
      <c r="AF160" s="24">
        <v>18.554193370460862</v>
      </c>
      <c r="AG160" s="24">
        <v>24.229867457315123</v>
      </c>
      <c r="AH160" s="24">
        <v>26.57488366304128</v>
      </c>
      <c r="AI160" s="24">
        <v>37.438063116572941</v>
      </c>
      <c r="AJ160" s="24">
        <v>29.922694202754194</v>
      </c>
      <c r="AK160" s="24">
        <v>13.699935856932219</v>
      </c>
      <c r="AL160" s="24">
        <v>26.362229156292521</v>
      </c>
      <c r="AM160" s="24">
        <v>14.760034192548332</v>
      </c>
      <c r="AN160" s="24">
        <v>33.749004386515537</v>
      </c>
      <c r="AO160" s="24">
        <v>34.951232150235818</v>
      </c>
      <c r="AP160" s="24">
        <v>39.427920487223368</v>
      </c>
      <c r="AQ160" s="24">
        <v>29.940641797030079</v>
      </c>
      <c r="AR160" s="24">
        <v>15.885440185075051</v>
      </c>
      <c r="AS160" s="24">
        <v>23.938620020560542</v>
      </c>
      <c r="AT160" s="24">
        <v>19.474461188144929</v>
      </c>
      <c r="AU160" s="24">
        <v>26.936946869684522</v>
      </c>
      <c r="AV160" s="24">
        <v>30.986886597784459</v>
      </c>
      <c r="AW160" s="24">
        <v>38.541200611598576</v>
      </c>
      <c r="AX160" s="24">
        <v>18.701794826954512</v>
      </c>
      <c r="AY160" s="24">
        <v>17.106452832511565</v>
      </c>
    </row>
    <row r="161" spans="1:51" x14ac:dyDescent="0.2">
      <c r="A161" s="23">
        <v>45499</v>
      </c>
      <c r="B161" s="24">
        <v>23.856222965438011</v>
      </c>
      <c r="C161" s="24">
        <v>25.988185957194201</v>
      </c>
      <c r="D161" s="24">
        <v>21.01198652109656</v>
      </c>
      <c r="E161" s="24">
        <v>26.805268977281269</v>
      </c>
      <c r="F161" s="24">
        <v>22.170584506094347</v>
      </c>
      <c r="G161" s="24">
        <v>19.856591963933813</v>
      </c>
      <c r="H161" s="24">
        <v>30.262044445847035</v>
      </c>
      <c r="I161" s="24">
        <v>23.476769814629087</v>
      </c>
      <c r="J161" s="24">
        <v>22.601806474093017</v>
      </c>
      <c r="K161" s="24">
        <v>27.872284271431678</v>
      </c>
      <c r="L161" s="24">
        <v>22.397770544160583</v>
      </c>
      <c r="M161" s="24">
        <v>20.859001054773529</v>
      </c>
      <c r="N161" s="24">
        <v>37.885318434993927</v>
      </c>
      <c r="O161" s="24">
        <v>24.191388500742594</v>
      </c>
      <c r="P161" s="24">
        <v>23.452208347813631</v>
      </c>
      <c r="Q161" s="24">
        <v>18.154035760563023</v>
      </c>
      <c r="R161" s="24">
        <v>21.49669986242511</v>
      </c>
      <c r="S161" s="24">
        <v>30.802038921050322</v>
      </c>
      <c r="T161" s="24">
        <v>25.460578801646665</v>
      </c>
      <c r="U161" s="24">
        <v>21.425171962680473</v>
      </c>
      <c r="V161" s="24">
        <v>18.114061469113715</v>
      </c>
      <c r="W161" s="24">
        <v>27.394192035022009</v>
      </c>
      <c r="X161" s="24">
        <v>19.292529028187428</v>
      </c>
      <c r="Y161" s="24">
        <v>45.849080449612323</v>
      </c>
      <c r="Z161" s="24">
        <v>45.249378077164586</v>
      </c>
      <c r="AA161" s="24">
        <v>30.091616504969462</v>
      </c>
      <c r="AB161" s="24">
        <v>43.745283091918466</v>
      </c>
      <c r="AC161" s="24">
        <v>25.335757564288169</v>
      </c>
      <c r="AD161" s="24">
        <v>25.745291466881223</v>
      </c>
      <c r="AE161" s="24">
        <v>83.888652322771478</v>
      </c>
      <c r="AF161" s="24">
        <v>18.008535011446671</v>
      </c>
      <c r="AG161" s="24">
        <v>23.069589851315115</v>
      </c>
      <c r="AH161" s="24">
        <v>23.838483401455132</v>
      </c>
      <c r="AI161" s="24">
        <v>37.300300477318835</v>
      </c>
      <c r="AJ161" s="24">
        <v>29.403405830430895</v>
      </c>
      <c r="AK161" s="24">
        <v>12.895251612775466</v>
      </c>
      <c r="AL161" s="24">
        <v>26.717615107052254</v>
      </c>
      <c r="AM161" s="24">
        <v>14.109267893376156</v>
      </c>
      <c r="AN161" s="24">
        <v>33.63723021745178</v>
      </c>
      <c r="AO161" s="24">
        <v>35.217152502996221</v>
      </c>
      <c r="AP161" s="24">
        <v>39.164367930075713</v>
      </c>
      <c r="AQ161" s="24">
        <v>30.119095305156161</v>
      </c>
      <c r="AR161" s="24">
        <v>17.202978579654832</v>
      </c>
      <c r="AS161" s="24">
        <v>22.570084457258346</v>
      </c>
      <c r="AT161" s="24">
        <v>19.589071074317363</v>
      </c>
      <c r="AU161" s="24">
        <v>26.89110987169617</v>
      </c>
      <c r="AV161" s="24">
        <v>31.294544514128813</v>
      </c>
      <c r="AW161" s="24">
        <v>35.09754230368025</v>
      </c>
      <c r="AX161" s="24">
        <v>16.723499742760751</v>
      </c>
      <c r="AY161" s="24">
        <v>16.032409662272521</v>
      </c>
    </row>
    <row r="162" spans="1:51" x14ac:dyDescent="0.2">
      <c r="A162" s="23">
        <v>45498</v>
      </c>
      <c r="B162" s="24">
        <v>21.909889077414153</v>
      </c>
      <c r="C162" s="24">
        <v>26.417906233592493</v>
      </c>
      <c r="D162" s="24">
        <v>19.089249970331881</v>
      </c>
      <c r="E162" s="24">
        <v>22.601421411014755</v>
      </c>
      <c r="F162" s="24">
        <v>19.90988107900359</v>
      </c>
      <c r="G162" s="24">
        <v>17.789868293443252</v>
      </c>
      <c r="H162" s="24">
        <v>38.774881803314891</v>
      </c>
      <c r="I162" s="24">
        <v>25.540313538640305</v>
      </c>
      <c r="J162" s="24">
        <v>22.004077472012725</v>
      </c>
      <c r="K162" s="24">
        <v>27.169385543934752</v>
      </c>
      <c r="L162" s="24">
        <v>22.339342641527036</v>
      </c>
      <c r="M162" s="24">
        <v>20.880077634586069</v>
      </c>
      <c r="N162" s="24">
        <v>39.686987892490215</v>
      </c>
      <c r="O162" s="24">
        <v>25.041042673115388</v>
      </c>
      <c r="P162" s="24">
        <v>19.738044624694155</v>
      </c>
      <c r="Q162" s="24">
        <v>15.493527700472615</v>
      </c>
      <c r="R162" s="24">
        <v>22.151268850537253</v>
      </c>
      <c r="S162" s="24">
        <v>22.628817605208638</v>
      </c>
      <c r="T162" s="24">
        <v>25.880725750819085</v>
      </c>
      <c r="U162" s="24">
        <v>19.879911401202737</v>
      </c>
      <c r="V162" s="24">
        <v>16.808343623754979</v>
      </c>
      <c r="W162" s="24">
        <v>26.695009577206211</v>
      </c>
      <c r="X162" s="24">
        <v>18.961075560311432</v>
      </c>
      <c r="Y162" s="24">
        <v>47.107260251724455</v>
      </c>
      <c r="Z162" s="24">
        <v>45.874494658118515</v>
      </c>
      <c r="AA162" s="24">
        <v>30.145234876553946</v>
      </c>
      <c r="AB162" s="24">
        <v>43.868151935854534</v>
      </c>
      <c r="AC162" s="24">
        <v>24.55871091830997</v>
      </c>
      <c r="AD162" s="24">
        <v>34.348806074443118</v>
      </c>
      <c r="AE162" s="24">
        <v>83.198513965833172</v>
      </c>
      <c r="AF162" s="24">
        <v>17.867391619329709</v>
      </c>
      <c r="AG162" s="24">
        <v>21.175923822042304</v>
      </c>
      <c r="AH162" s="24">
        <v>23.993150686943014</v>
      </c>
      <c r="AI162" s="24">
        <v>36.626473517236775</v>
      </c>
      <c r="AJ162" s="24">
        <v>30.231926461170954</v>
      </c>
      <c r="AK162" s="24">
        <v>15.049178981269582</v>
      </c>
      <c r="AL162" s="24">
        <v>25.727216801503207</v>
      </c>
      <c r="AM162" s="24">
        <v>13.681842364586069</v>
      </c>
      <c r="AN162" s="24">
        <v>33.935438208496663</v>
      </c>
      <c r="AO162" s="24">
        <v>35.125211717768835</v>
      </c>
      <c r="AP162" s="24">
        <v>25.195466133381871</v>
      </c>
      <c r="AQ162" s="24">
        <v>19.491686294246488</v>
      </c>
      <c r="AR162" s="24">
        <v>17.107548660680877</v>
      </c>
      <c r="AS162" s="24">
        <v>22.906332333612291</v>
      </c>
      <c r="AT162" s="24">
        <v>19.297765799927884</v>
      </c>
      <c r="AU162" s="24">
        <v>28.059450539060151</v>
      </c>
      <c r="AV162" s="24">
        <v>34.320844029759542</v>
      </c>
      <c r="AW162" s="24">
        <v>34.458895268452089</v>
      </c>
      <c r="AX162" s="24">
        <v>14.931324946895932</v>
      </c>
      <c r="AY162" s="24">
        <v>16.504220347754664</v>
      </c>
    </row>
    <row r="163" spans="1:51" x14ac:dyDescent="0.2">
      <c r="A163" s="23">
        <v>45497</v>
      </c>
      <c r="B163" s="24">
        <v>21.927524653913416</v>
      </c>
      <c r="C163" s="24">
        <v>26.380333018917085</v>
      </c>
      <c r="D163" s="24">
        <v>18.331590503795322</v>
      </c>
      <c r="E163" s="24">
        <v>22.964729266517022</v>
      </c>
      <c r="F163" s="24">
        <v>20.085873272770421</v>
      </c>
      <c r="G163" s="24">
        <v>17.662294314576094</v>
      </c>
      <c r="H163" s="24">
        <v>35.876152861516395</v>
      </c>
      <c r="I163" s="24">
        <v>25.440457278304716</v>
      </c>
      <c r="J163" s="24">
        <v>21.656147302240608</v>
      </c>
      <c r="K163" s="24">
        <v>27.53852951327346</v>
      </c>
      <c r="L163" s="24">
        <v>22.253588970352087</v>
      </c>
      <c r="M163" s="24">
        <v>21.017806457613293</v>
      </c>
      <c r="N163" s="24">
        <v>36.050959783874788</v>
      </c>
      <c r="O163" s="24">
        <v>24.732270167459088</v>
      </c>
      <c r="P163" s="24">
        <v>19.430271800926423</v>
      </c>
      <c r="Q163" s="24">
        <v>14.906186493154037</v>
      </c>
      <c r="R163" s="24">
        <v>22.052841107007715</v>
      </c>
      <c r="S163" s="24">
        <v>22.459184015418526</v>
      </c>
      <c r="T163" s="24">
        <v>26.266364417881871</v>
      </c>
      <c r="U163" s="24">
        <v>20.232082505242676</v>
      </c>
      <c r="V163" s="24">
        <v>16.109207592081297</v>
      </c>
      <c r="W163" s="24">
        <v>27.50030284938741</v>
      </c>
      <c r="X163" s="24">
        <v>18.825234629848349</v>
      </c>
      <c r="Y163" s="24">
        <v>41.306731129266701</v>
      </c>
      <c r="Z163" s="24">
        <v>43.648586023216808</v>
      </c>
      <c r="AA163" s="24">
        <v>30.07494509832236</v>
      </c>
      <c r="AB163" s="24">
        <v>44.574706236609586</v>
      </c>
      <c r="AC163" s="24">
        <v>23.442195214788928</v>
      </c>
      <c r="AD163" s="24">
        <v>34.798532128051058</v>
      </c>
      <c r="AE163" s="24">
        <v>83.23190719060068</v>
      </c>
      <c r="AF163" s="24">
        <v>18.088807261603417</v>
      </c>
      <c r="AG163" s="24">
        <v>21.035369473590702</v>
      </c>
      <c r="AH163" s="24">
        <v>24.011387187979661</v>
      </c>
      <c r="AI163" s="24">
        <v>36.479374688853852</v>
      </c>
      <c r="AJ163" s="24">
        <v>31.007633604947316</v>
      </c>
      <c r="AK163" s="24">
        <v>15.699333103126337</v>
      </c>
      <c r="AL163" s="24">
        <v>25.449833688709848</v>
      </c>
      <c r="AM163" s="24">
        <v>14.082792132220899</v>
      </c>
      <c r="AN163" s="24">
        <v>33.729230898189655</v>
      </c>
      <c r="AO163" s="24">
        <v>34.846556750261009</v>
      </c>
      <c r="AP163" s="24">
        <v>26.892002490931304</v>
      </c>
      <c r="AQ163" s="24">
        <v>19.399969459967181</v>
      </c>
      <c r="AR163" s="24">
        <v>17.139131648108286</v>
      </c>
      <c r="AS163" s="24">
        <v>22.658559873325839</v>
      </c>
      <c r="AT163" s="24">
        <v>19.161396482400221</v>
      </c>
      <c r="AU163" s="24">
        <v>29.243531650854347</v>
      </c>
      <c r="AV163" s="24">
        <v>35.231494771576862</v>
      </c>
      <c r="AW163" s="24">
        <v>33.766190787102701</v>
      </c>
      <c r="AX163" s="24">
        <v>14.690342590929202</v>
      </c>
      <c r="AY163" s="24">
        <v>17.320246133269226</v>
      </c>
    </row>
    <row r="164" spans="1:51" x14ac:dyDescent="0.2">
      <c r="A164" s="23">
        <v>45496</v>
      </c>
      <c r="B164" s="24">
        <v>21.916399813841309</v>
      </c>
      <c r="C164" s="24">
        <v>26.206633444516267</v>
      </c>
      <c r="D164" s="24">
        <v>18.330247362403625</v>
      </c>
      <c r="E164" s="24">
        <v>22.902855292678705</v>
      </c>
      <c r="F164" s="24">
        <v>20.051679072930913</v>
      </c>
      <c r="G164" s="24">
        <v>17.583137231471838</v>
      </c>
      <c r="H164" s="24">
        <v>36.024646254757357</v>
      </c>
      <c r="I164" s="24">
        <v>25.489816286337113</v>
      </c>
      <c r="J164" s="24">
        <v>21.754351818334744</v>
      </c>
      <c r="K164" s="24">
        <v>27.221873772201111</v>
      </c>
      <c r="L164" s="24">
        <v>21.422142100406081</v>
      </c>
      <c r="M164" s="24">
        <v>20.885020103851037</v>
      </c>
      <c r="N164" s="24">
        <v>36.102546440940827</v>
      </c>
      <c r="O164" s="24">
        <v>23.989172573153898</v>
      </c>
      <c r="P164" s="24">
        <v>19.218245612896872</v>
      </c>
      <c r="Q164" s="24">
        <v>14.805775527774752</v>
      </c>
      <c r="R164" s="24">
        <v>19.186208926806501</v>
      </c>
      <c r="S164" s="24">
        <v>19.269249299461265</v>
      </c>
      <c r="T164" s="24">
        <v>26.19068144260654</v>
      </c>
      <c r="U164" s="24">
        <v>20.405238678219298</v>
      </c>
      <c r="V164" s="24">
        <v>15.993624588980376</v>
      </c>
      <c r="W164" s="24">
        <v>27.838492866991142</v>
      </c>
      <c r="X164" s="24">
        <v>18.59129714798172</v>
      </c>
      <c r="Y164" s="24">
        <v>41.306585239394494</v>
      </c>
      <c r="Z164" s="24">
        <v>45.087582555767796</v>
      </c>
      <c r="AA164" s="24">
        <v>29.682730920412975</v>
      </c>
      <c r="AB164" s="24">
        <v>45.059637252381719</v>
      </c>
      <c r="AC164" s="24">
        <v>23.400443427915452</v>
      </c>
      <c r="AD164" s="24">
        <v>35.104855048353272</v>
      </c>
      <c r="AE164" s="24">
        <v>82.319325376711291</v>
      </c>
      <c r="AF164" s="24">
        <v>18.093807986907166</v>
      </c>
      <c r="AG164" s="24">
        <v>20.828594718694546</v>
      </c>
      <c r="AH164" s="24">
        <v>23.453796366260928</v>
      </c>
      <c r="AI164" s="24">
        <v>37.301464873555673</v>
      </c>
      <c r="AJ164" s="24">
        <v>31.011312906348937</v>
      </c>
      <c r="AK164" s="24">
        <v>15.912442010425307</v>
      </c>
      <c r="AL164" s="24">
        <v>26.054650371162186</v>
      </c>
      <c r="AM164" s="24">
        <v>13.866648530291801</v>
      </c>
      <c r="AN164" s="24">
        <v>33.291628415383521</v>
      </c>
      <c r="AO164" s="24">
        <v>34.883764082779095</v>
      </c>
      <c r="AP164" s="24">
        <v>26.773931419975142</v>
      </c>
      <c r="AQ164" s="24">
        <v>18.100884561381488</v>
      </c>
      <c r="AR164" s="24">
        <v>17.033888047689501</v>
      </c>
      <c r="AS164" s="24">
        <v>22.444128031034285</v>
      </c>
      <c r="AT164" s="24">
        <v>17.230309190931379</v>
      </c>
      <c r="AU164" s="24">
        <v>29.240442074103768</v>
      </c>
      <c r="AV164" s="24">
        <v>35.256183299901686</v>
      </c>
      <c r="AW164" s="24">
        <v>32.268524023785993</v>
      </c>
      <c r="AX164" s="24">
        <v>14.651534875828622</v>
      </c>
      <c r="AY164" s="24">
        <v>17.077653704119538</v>
      </c>
    </row>
    <row r="165" spans="1:51" x14ac:dyDescent="0.2">
      <c r="A165" s="23">
        <v>45495</v>
      </c>
      <c r="B165" s="24">
        <v>20.27435736121927</v>
      </c>
      <c r="C165" s="24">
        <v>24.079994755179126</v>
      </c>
      <c r="D165" s="24">
        <v>17.374767433990865</v>
      </c>
      <c r="E165" s="24">
        <v>22.939566040221678</v>
      </c>
      <c r="F165" s="24">
        <v>19.243547033380686</v>
      </c>
      <c r="G165" s="24">
        <v>16.2672222658653</v>
      </c>
      <c r="H165" s="24">
        <v>35.814256048972688</v>
      </c>
      <c r="I165" s="24">
        <v>24.696077723824082</v>
      </c>
      <c r="J165" s="24">
        <v>21.821690265258816</v>
      </c>
      <c r="K165" s="24">
        <v>21.380418381011324</v>
      </c>
      <c r="L165" s="24">
        <v>20.873168131763336</v>
      </c>
      <c r="M165" s="24">
        <v>20.931894832235891</v>
      </c>
      <c r="N165" s="24">
        <v>35.904935999644152</v>
      </c>
      <c r="O165" s="24">
        <v>23.448597154458682</v>
      </c>
      <c r="P165" s="24">
        <v>19.164772242050667</v>
      </c>
      <c r="Q165" s="24">
        <v>15.370902157004281</v>
      </c>
      <c r="R165" s="24">
        <v>19.342442290009572</v>
      </c>
      <c r="S165" s="24">
        <v>18.347346089546733</v>
      </c>
      <c r="T165" s="24">
        <v>22.957077692188498</v>
      </c>
      <c r="U165" s="24">
        <v>19.92284655486641</v>
      </c>
      <c r="V165" s="24">
        <v>15.165042926495055</v>
      </c>
      <c r="W165" s="24">
        <v>28.408454945897887</v>
      </c>
      <c r="X165" s="24">
        <v>18.564498641920807</v>
      </c>
      <c r="Y165" s="24">
        <v>34.790486230024946</v>
      </c>
      <c r="Z165" s="24">
        <v>46.824399553719672</v>
      </c>
      <c r="AA165" s="24">
        <v>23.605437703287038</v>
      </c>
      <c r="AB165" s="24">
        <v>43.885289119382676</v>
      </c>
      <c r="AC165" s="24">
        <v>23.530917863375297</v>
      </c>
      <c r="AD165" s="24">
        <v>34.279578837416771</v>
      </c>
      <c r="AE165" s="24">
        <v>80.171388758394613</v>
      </c>
      <c r="AF165" s="24">
        <v>16.619181900873798</v>
      </c>
      <c r="AG165" s="24">
        <v>20.809934041913671</v>
      </c>
      <c r="AH165" s="24">
        <v>21.809798063312947</v>
      </c>
      <c r="AI165" s="24">
        <v>35.913682059362799</v>
      </c>
      <c r="AJ165" s="24">
        <v>29.025092518730702</v>
      </c>
      <c r="AK165" s="24">
        <v>15.947879724424604</v>
      </c>
      <c r="AL165" s="24">
        <v>25.536648030883786</v>
      </c>
      <c r="AM165" s="24">
        <v>13.876756112425749</v>
      </c>
      <c r="AN165" s="24">
        <v>26.689412353625887</v>
      </c>
      <c r="AO165" s="24">
        <v>31.749303209854229</v>
      </c>
      <c r="AP165" s="24">
        <v>25.575054186862811</v>
      </c>
      <c r="AQ165" s="24">
        <v>17.483941720151574</v>
      </c>
      <c r="AR165" s="24">
        <v>17.220841812310038</v>
      </c>
      <c r="AS165" s="24">
        <v>18.345062110302095</v>
      </c>
      <c r="AT165" s="24">
        <v>17.221527241268042</v>
      </c>
      <c r="AU165" s="24">
        <v>29.147467881301569</v>
      </c>
      <c r="AV165" s="24">
        <v>35.187650787004372</v>
      </c>
      <c r="AW165" s="24">
        <v>29.768546304878733</v>
      </c>
      <c r="AX165" s="24">
        <v>14.692953458145613</v>
      </c>
      <c r="AY165" s="24">
        <v>15.753970253196041</v>
      </c>
    </row>
    <row r="166" spans="1:51" x14ac:dyDescent="0.2">
      <c r="A166" s="23">
        <v>45492</v>
      </c>
      <c r="B166" s="24">
        <v>19.38053850032464</v>
      </c>
      <c r="C166" s="24">
        <v>23.121810786865986</v>
      </c>
      <c r="D166" s="24">
        <v>16.139928579372828</v>
      </c>
      <c r="E166" s="24">
        <v>20.084802605630571</v>
      </c>
      <c r="F166" s="24">
        <v>17.791535549718539</v>
      </c>
      <c r="G166" s="24">
        <v>15.958553053776248</v>
      </c>
      <c r="H166" s="24">
        <v>33.62427260224473</v>
      </c>
      <c r="I166" s="24">
        <v>24.900143524956167</v>
      </c>
      <c r="J166" s="24">
        <v>19.257400073234052</v>
      </c>
      <c r="K166" s="24">
        <v>21.451858313962518</v>
      </c>
      <c r="L166" s="24">
        <v>20.461713839554786</v>
      </c>
      <c r="M166" s="24">
        <v>20.924806615839127</v>
      </c>
      <c r="N166" s="24">
        <v>34.717901032172733</v>
      </c>
      <c r="O166" s="24">
        <v>23.392502578043196</v>
      </c>
      <c r="P166" s="24">
        <v>18.578435000224744</v>
      </c>
      <c r="Q166" s="24">
        <v>15.806231629599164</v>
      </c>
      <c r="R166" s="24">
        <v>18.526763817059653</v>
      </c>
      <c r="S166" s="24">
        <v>19.123853801322603</v>
      </c>
      <c r="T166" s="24">
        <v>21.953402689535082</v>
      </c>
      <c r="U166" s="24">
        <v>19.124383110877861</v>
      </c>
      <c r="V166" s="24">
        <v>15.17894245179088</v>
      </c>
      <c r="W166" s="24">
        <v>30.828677422605264</v>
      </c>
      <c r="X166" s="24">
        <v>16.733692667814996</v>
      </c>
      <c r="Y166" s="24">
        <v>34.134099732720749</v>
      </c>
      <c r="Z166" s="24">
        <v>47.443502127326866</v>
      </c>
      <c r="AA166" s="24">
        <v>19.611167170365029</v>
      </c>
      <c r="AB166" s="24">
        <v>46.582473663437412</v>
      </c>
      <c r="AC166" s="24">
        <v>23.440542663759135</v>
      </c>
      <c r="AD166" s="24">
        <v>34.326677562781271</v>
      </c>
      <c r="AE166" s="24">
        <v>82.076369882211395</v>
      </c>
      <c r="AF166" s="24">
        <v>17.050993707596138</v>
      </c>
      <c r="AG166" s="24">
        <v>19.413556825225541</v>
      </c>
      <c r="AH166" s="24">
        <v>22.568420014170695</v>
      </c>
      <c r="AI166" s="24">
        <v>35.568378568500087</v>
      </c>
      <c r="AJ166" s="24">
        <v>28.840395039951744</v>
      </c>
      <c r="AK166" s="24">
        <v>15.837009405345622</v>
      </c>
      <c r="AL166" s="24">
        <v>25.261287142189232</v>
      </c>
      <c r="AM166" s="24">
        <v>13.755742524153034</v>
      </c>
      <c r="AN166" s="24">
        <v>24.555979052908956</v>
      </c>
      <c r="AO166" s="24">
        <v>32.217124898967064</v>
      </c>
      <c r="AP166" s="24">
        <v>26.628076397924403</v>
      </c>
      <c r="AQ166" s="24">
        <v>17.526920054891097</v>
      </c>
      <c r="AR166" s="24">
        <v>16.39166637141733</v>
      </c>
      <c r="AS166" s="24">
        <v>19.954787257379852</v>
      </c>
      <c r="AT166" s="24">
        <v>17.059205928244879</v>
      </c>
      <c r="AU166" s="24">
        <v>29.281485684983011</v>
      </c>
      <c r="AV166" s="24">
        <v>35.68894830927119</v>
      </c>
      <c r="AW166" s="24">
        <v>29.805238422488557</v>
      </c>
      <c r="AX166" s="24">
        <v>13.046613949533729</v>
      </c>
      <c r="AY166" s="24">
        <v>17.004278578430057</v>
      </c>
    </row>
    <row r="167" spans="1:51" x14ac:dyDescent="0.2">
      <c r="A167" s="23">
        <v>45491</v>
      </c>
      <c r="B167" s="24">
        <v>19.463964564696372</v>
      </c>
      <c r="C167" s="24">
        <v>23.410560776503701</v>
      </c>
      <c r="D167" s="24">
        <v>17.092287931582685</v>
      </c>
      <c r="E167" s="24">
        <v>20.084509317577048</v>
      </c>
      <c r="F167" s="24">
        <v>17.3253642113647</v>
      </c>
      <c r="G167" s="24">
        <v>16.260317897206622</v>
      </c>
      <c r="H167" s="24">
        <v>32.689050224172881</v>
      </c>
      <c r="I167" s="24">
        <v>25.470282265590249</v>
      </c>
      <c r="J167" s="24">
        <v>19.771758159352753</v>
      </c>
      <c r="K167" s="24">
        <v>21.364999795999598</v>
      </c>
      <c r="L167" s="24">
        <v>20.337570311369642</v>
      </c>
      <c r="M167" s="24">
        <v>20.31962170869528</v>
      </c>
      <c r="N167" s="24">
        <v>31.461210486084603</v>
      </c>
      <c r="O167" s="24">
        <v>23.749613353369515</v>
      </c>
      <c r="P167" s="24">
        <v>18.65549928001607</v>
      </c>
      <c r="Q167" s="24">
        <v>15.868831290086062</v>
      </c>
      <c r="R167" s="24">
        <v>18.630908639655676</v>
      </c>
      <c r="S167" s="24">
        <v>19.26159250976011</v>
      </c>
      <c r="T167" s="24">
        <v>22.159547202361882</v>
      </c>
      <c r="U167" s="24">
        <v>18.899179930100683</v>
      </c>
      <c r="V167" s="24">
        <v>15.043728580277769</v>
      </c>
      <c r="W167" s="24">
        <v>25.612521368885407</v>
      </c>
      <c r="X167" s="24">
        <v>16.732169197569974</v>
      </c>
      <c r="Y167" s="24">
        <v>32.870205072340056</v>
      </c>
      <c r="Z167" s="24">
        <v>46.697019245866436</v>
      </c>
      <c r="AA167" s="24">
        <v>18.274699316874194</v>
      </c>
      <c r="AB167" s="24">
        <v>45.487103236851098</v>
      </c>
      <c r="AC167" s="24">
        <v>24.063144845888814</v>
      </c>
      <c r="AD167" s="24">
        <v>33.560172945283881</v>
      </c>
      <c r="AE167" s="24">
        <v>80.479468921762646</v>
      </c>
      <c r="AF167" s="24">
        <v>16.815514101605803</v>
      </c>
      <c r="AG167" s="24">
        <v>19.357753457571434</v>
      </c>
      <c r="AH167" s="24">
        <v>22.960146601858511</v>
      </c>
      <c r="AI167" s="24">
        <v>34.625763433436539</v>
      </c>
      <c r="AJ167" s="24">
        <v>29.434972198125504</v>
      </c>
      <c r="AK167" s="24">
        <v>16.009437335826121</v>
      </c>
      <c r="AL167" s="24">
        <v>25.15756049894269</v>
      </c>
      <c r="AM167" s="24">
        <v>14.371289900182921</v>
      </c>
      <c r="AN167" s="24">
        <v>25.586527341828813</v>
      </c>
      <c r="AO167" s="24">
        <v>32.205840948059389</v>
      </c>
      <c r="AP167" s="24">
        <v>26.442026118655811</v>
      </c>
      <c r="AQ167" s="24">
        <v>17.511705738918351</v>
      </c>
      <c r="AR167" s="24">
        <v>16.447122242401029</v>
      </c>
      <c r="AS167" s="24">
        <v>19.952276344178873</v>
      </c>
      <c r="AT167" s="24">
        <v>16.997394493088265</v>
      </c>
      <c r="AU167" s="24">
        <v>29.192612434262948</v>
      </c>
      <c r="AV167" s="24">
        <v>35.878978730608587</v>
      </c>
      <c r="AW167" s="24">
        <v>29.339629063675847</v>
      </c>
      <c r="AX167" s="24">
        <v>13.232796566132182</v>
      </c>
      <c r="AY167" s="24">
        <v>16.848915068292449</v>
      </c>
    </row>
    <row r="168" spans="1:51" x14ac:dyDescent="0.2">
      <c r="A168" s="23">
        <v>45490</v>
      </c>
      <c r="B168" s="24">
        <v>19.361400359387055</v>
      </c>
      <c r="C168" s="24">
        <v>23.393411179367327</v>
      </c>
      <c r="D168" s="24">
        <v>16.980761855802474</v>
      </c>
      <c r="E168" s="24">
        <v>17.708588069539672</v>
      </c>
      <c r="F168" s="24">
        <v>17.32571559903073</v>
      </c>
      <c r="G168" s="24">
        <v>16.201498132743083</v>
      </c>
      <c r="H168" s="24">
        <v>32.979763736076848</v>
      </c>
      <c r="I168" s="24">
        <v>20.724541573888295</v>
      </c>
      <c r="J168" s="24">
        <v>19.914683937705963</v>
      </c>
      <c r="K168" s="24">
        <v>21.65111984145917</v>
      </c>
      <c r="L168" s="24">
        <v>20.395787345400404</v>
      </c>
      <c r="M168" s="24">
        <v>20.7988094565215</v>
      </c>
      <c r="N168" s="24">
        <v>31.053413199745009</v>
      </c>
      <c r="O168" s="24">
        <v>25.492471466725963</v>
      </c>
      <c r="P168" s="24">
        <v>17.881212985008279</v>
      </c>
      <c r="Q168" s="24">
        <v>15.291810982877589</v>
      </c>
      <c r="R168" s="24">
        <v>18.811599217386725</v>
      </c>
      <c r="S168" s="24">
        <v>18.424315992745502</v>
      </c>
      <c r="T168" s="24">
        <v>22.896027603286612</v>
      </c>
      <c r="U168" s="24">
        <v>18.714769972123165</v>
      </c>
      <c r="V168" s="24">
        <v>14.815955078895982</v>
      </c>
      <c r="W168" s="24">
        <v>27.118597338184259</v>
      </c>
      <c r="X168" s="24">
        <v>18.056006797395831</v>
      </c>
      <c r="Y168" s="24">
        <v>33.073170291826166</v>
      </c>
      <c r="Z168" s="24">
        <v>46.497551142850078</v>
      </c>
      <c r="AA168" s="24">
        <v>18.488829096741224</v>
      </c>
      <c r="AB168" s="24">
        <v>45.122151945296807</v>
      </c>
      <c r="AC168" s="24">
        <v>24.011191383130541</v>
      </c>
      <c r="AD168" s="24">
        <v>33.711618418615352</v>
      </c>
      <c r="AE168" s="24">
        <v>80.558487463404731</v>
      </c>
      <c r="AF168" s="24">
        <v>17.56721703272137</v>
      </c>
      <c r="AG168" s="24">
        <v>19.537109380913169</v>
      </c>
      <c r="AH168" s="24">
        <v>21.995349871042485</v>
      </c>
      <c r="AI168" s="24">
        <v>34.077188398967941</v>
      </c>
      <c r="AJ168" s="24">
        <v>30.145721269640521</v>
      </c>
      <c r="AK168" s="24">
        <v>16.051327605046374</v>
      </c>
      <c r="AL168" s="24">
        <v>24.778624453251766</v>
      </c>
      <c r="AM168" s="24">
        <v>14.041373354807028</v>
      </c>
      <c r="AN168" s="24">
        <v>25.371934910181444</v>
      </c>
      <c r="AO168" s="24">
        <v>31.435444746679522</v>
      </c>
      <c r="AP168" s="24">
        <v>26.045358589065213</v>
      </c>
      <c r="AQ168" s="24">
        <v>14.953530425369387</v>
      </c>
      <c r="AR168" s="24">
        <v>16.946927648900026</v>
      </c>
      <c r="AS168" s="24">
        <v>19.235316786338416</v>
      </c>
      <c r="AT168" s="24">
        <v>17.90114644938765</v>
      </c>
      <c r="AU168" s="24">
        <v>29.133525815966621</v>
      </c>
      <c r="AV168" s="24">
        <v>40.147141067217156</v>
      </c>
      <c r="AW168" s="24">
        <v>29.894624437182618</v>
      </c>
      <c r="AX168" s="24">
        <v>13.678382467563059</v>
      </c>
      <c r="AY168" s="24">
        <v>16.619857787038232</v>
      </c>
    </row>
    <row r="169" spans="1:51" x14ac:dyDescent="0.2">
      <c r="A169" s="23">
        <v>45489</v>
      </c>
      <c r="B169" s="24">
        <v>19.359795383043032</v>
      </c>
      <c r="C169" s="24">
        <v>22.700131529546056</v>
      </c>
      <c r="D169" s="24">
        <v>16.982933253312268</v>
      </c>
      <c r="E169" s="24">
        <v>16.426025578836999</v>
      </c>
      <c r="F169" s="24">
        <v>17.445405581817631</v>
      </c>
      <c r="G169" s="24">
        <v>16.27662633958418</v>
      </c>
      <c r="H169" s="24">
        <v>29.101477472177624</v>
      </c>
      <c r="I169" s="24">
        <v>20.375338542159373</v>
      </c>
      <c r="J169" s="24">
        <v>20.147987196632201</v>
      </c>
      <c r="K169" s="24">
        <v>21.805275289528542</v>
      </c>
      <c r="L169" s="24">
        <v>17.920134051039817</v>
      </c>
      <c r="M169" s="24">
        <v>18.644017279390201</v>
      </c>
      <c r="N169" s="24">
        <v>26.23474550703299</v>
      </c>
      <c r="O169" s="24">
        <v>24.7640031727259</v>
      </c>
      <c r="P169" s="24">
        <v>15.087533511153953</v>
      </c>
      <c r="Q169" s="24">
        <v>15.247457076221895</v>
      </c>
      <c r="R169" s="24">
        <v>18.1526695953645</v>
      </c>
      <c r="S169" s="24">
        <v>17.229614988267929</v>
      </c>
      <c r="T169" s="24">
        <v>21.01079519638316</v>
      </c>
      <c r="U169" s="24">
        <v>18.813989754097101</v>
      </c>
      <c r="V169" s="24">
        <v>17.078861297437147</v>
      </c>
      <c r="W169" s="24">
        <v>26.763526221492278</v>
      </c>
      <c r="X169" s="24">
        <v>18.16374646532298</v>
      </c>
      <c r="Y169" s="24">
        <v>29.79946426519157</v>
      </c>
      <c r="Z169" s="24">
        <v>42.396174547553734</v>
      </c>
      <c r="AA169" s="24">
        <v>18.721933185088385</v>
      </c>
      <c r="AB169" s="24">
        <v>44.779508399969437</v>
      </c>
      <c r="AC169" s="24">
        <v>23.896031908264799</v>
      </c>
      <c r="AD169" s="24">
        <v>33.508055706687024</v>
      </c>
      <c r="AE169" s="24">
        <v>81.124697607787908</v>
      </c>
      <c r="AF169" s="24">
        <v>17.551553922060485</v>
      </c>
      <c r="AG169" s="24">
        <v>19.165327275137894</v>
      </c>
      <c r="AH169" s="24">
        <v>17.802095242087383</v>
      </c>
      <c r="AI169" s="24">
        <v>32.069385706207029</v>
      </c>
      <c r="AJ169" s="24">
        <v>29.801164538991952</v>
      </c>
      <c r="AK169" s="24">
        <v>15.971873131802392</v>
      </c>
      <c r="AL169" s="24">
        <v>21.400194465271312</v>
      </c>
      <c r="AM169" s="24">
        <v>13.954023140781803</v>
      </c>
      <c r="AN169" s="24">
        <v>21.564359006122299</v>
      </c>
      <c r="AO169" s="24">
        <v>32.042647328280218</v>
      </c>
      <c r="AP169" s="24">
        <v>26.33184372700234</v>
      </c>
      <c r="AQ169" s="24">
        <v>15.259234601970034</v>
      </c>
      <c r="AR169" s="24">
        <v>16.797264843913204</v>
      </c>
      <c r="AS169" s="24">
        <v>17.263169056473746</v>
      </c>
      <c r="AT169" s="24">
        <v>17.690558229891863</v>
      </c>
      <c r="AU169" s="24">
        <v>29.182228963649209</v>
      </c>
      <c r="AV169" s="24">
        <v>39.990304557528042</v>
      </c>
      <c r="AW169" s="24">
        <v>31.537890868307237</v>
      </c>
      <c r="AX169" s="24">
        <v>13.54996968103395</v>
      </c>
      <c r="AY169" s="24">
        <v>13.873634357658592</v>
      </c>
    </row>
    <row r="170" spans="1:51" x14ac:dyDescent="0.2">
      <c r="A170" s="23">
        <v>45488</v>
      </c>
      <c r="B170" s="24">
        <v>19.244354350248226</v>
      </c>
      <c r="C170" s="24">
        <v>23.113467225697264</v>
      </c>
      <c r="D170" s="24">
        <v>16.777857399442684</v>
      </c>
      <c r="E170" s="24">
        <v>16.368207457313179</v>
      </c>
      <c r="F170" s="24">
        <v>17.085685224106385</v>
      </c>
      <c r="G170" s="24">
        <v>16.289515872468442</v>
      </c>
      <c r="H170" s="24">
        <v>29.18555531546988</v>
      </c>
      <c r="I170" s="24">
        <v>20.719692426970877</v>
      </c>
      <c r="J170" s="24">
        <v>20.166011542733855</v>
      </c>
      <c r="K170" s="24">
        <v>21.572723546164781</v>
      </c>
      <c r="L170" s="24">
        <v>17.678010091376041</v>
      </c>
      <c r="M170" s="24">
        <v>14.660001643395137</v>
      </c>
      <c r="N170" s="24">
        <v>26.195803788745287</v>
      </c>
      <c r="O170" s="24">
        <v>24.763272431173011</v>
      </c>
      <c r="P170" s="24">
        <v>15.023299810520673</v>
      </c>
      <c r="Q170" s="24">
        <v>15.288107064064134</v>
      </c>
      <c r="R170" s="24">
        <v>17.105860477324676</v>
      </c>
      <c r="S170" s="24">
        <v>16.917344269440942</v>
      </c>
      <c r="T170" s="24">
        <v>21.496625832798962</v>
      </c>
      <c r="U170" s="24">
        <v>18.515774160400916</v>
      </c>
      <c r="V170" s="24">
        <v>16.801360857977656</v>
      </c>
      <c r="W170" s="24">
        <v>26.819336131231996</v>
      </c>
      <c r="X170" s="24">
        <v>18.112265766866795</v>
      </c>
      <c r="Y170" s="24">
        <v>29.672153686410009</v>
      </c>
      <c r="Z170" s="24">
        <v>44.317754100114101</v>
      </c>
      <c r="AA170" s="24">
        <v>17.986264569627668</v>
      </c>
      <c r="AB170" s="24">
        <v>35.532054548368734</v>
      </c>
      <c r="AC170" s="24">
        <v>23.404761475159603</v>
      </c>
      <c r="AD170" s="24">
        <v>32.98977830174951</v>
      </c>
      <c r="AE170" s="24">
        <v>50.084455727939634</v>
      </c>
      <c r="AF170" s="24">
        <v>17.612447960799027</v>
      </c>
      <c r="AG170" s="24">
        <v>19.121953027681503</v>
      </c>
      <c r="AH170" s="24">
        <v>16.870212111109666</v>
      </c>
      <c r="AI170" s="24">
        <v>28.499867433822835</v>
      </c>
      <c r="AJ170" s="24">
        <v>30.035991385757345</v>
      </c>
      <c r="AK170" s="24">
        <v>15.907489031865643</v>
      </c>
      <c r="AL170" s="24">
        <v>21.381563455720773</v>
      </c>
      <c r="AM170" s="24">
        <v>13.773254764198322</v>
      </c>
      <c r="AN170" s="24">
        <v>22.201177609195721</v>
      </c>
      <c r="AO170" s="24">
        <v>29.313290031419594</v>
      </c>
      <c r="AP170" s="24">
        <v>26.065073662804668</v>
      </c>
      <c r="AQ170" s="24">
        <v>15.302187632915336</v>
      </c>
      <c r="AR170" s="24">
        <v>16.772018607706514</v>
      </c>
      <c r="AS170" s="24">
        <v>17.295477799325973</v>
      </c>
      <c r="AT170" s="24">
        <v>18.104912629056159</v>
      </c>
      <c r="AU170" s="24">
        <v>29.196287735704821</v>
      </c>
      <c r="AV170" s="24">
        <v>42.647116576982619</v>
      </c>
      <c r="AW170" s="24">
        <v>29.972254148934123</v>
      </c>
      <c r="AX170" s="24">
        <v>13.573625381054944</v>
      </c>
      <c r="AY170" s="24">
        <v>14.207700715699147</v>
      </c>
    </row>
    <row r="171" spans="1:51" x14ac:dyDescent="0.2">
      <c r="A171" s="23">
        <v>45485</v>
      </c>
      <c r="B171" s="24">
        <v>19.769158738698653</v>
      </c>
      <c r="C171" s="24">
        <v>23.260270171328422</v>
      </c>
      <c r="D171" s="24">
        <v>17.353083625937099</v>
      </c>
      <c r="E171" s="24">
        <v>18.451148764416708</v>
      </c>
      <c r="F171" s="24">
        <v>15.525995300717515</v>
      </c>
      <c r="G171" s="24">
        <v>16.536396086393825</v>
      </c>
      <c r="H171" s="24">
        <v>30.14996702407888</v>
      </c>
      <c r="I171" s="24">
        <v>21.749812756740365</v>
      </c>
      <c r="J171" s="24">
        <v>19.966482729417844</v>
      </c>
      <c r="K171" s="24">
        <v>22.16231688154306</v>
      </c>
      <c r="L171" s="24">
        <v>17.678158410027748</v>
      </c>
      <c r="M171" s="24">
        <v>14.848215239016961</v>
      </c>
      <c r="N171" s="24">
        <v>26.458367234748422</v>
      </c>
      <c r="O171" s="24">
        <v>23.559413172283044</v>
      </c>
      <c r="P171" s="24">
        <v>15.788961835190108</v>
      </c>
      <c r="Q171" s="24">
        <v>14.474694288092186</v>
      </c>
      <c r="R171" s="24">
        <v>18.822040285275115</v>
      </c>
      <c r="S171" s="24">
        <v>17.925020458843012</v>
      </c>
      <c r="T171" s="24">
        <v>21.491901717789101</v>
      </c>
      <c r="U171" s="24">
        <v>18.002891458827165</v>
      </c>
      <c r="V171" s="24">
        <v>16.788477970487939</v>
      </c>
      <c r="W171" s="24">
        <v>28.286449508612822</v>
      </c>
      <c r="X171" s="24">
        <v>18.135898695558325</v>
      </c>
      <c r="Y171" s="24">
        <v>29.375316120526893</v>
      </c>
      <c r="Z171" s="24">
        <v>44.321435753482241</v>
      </c>
      <c r="AA171" s="24">
        <v>17.872032535927101</v>
      </c>
      <c r="AB171" s="24">
        <v>34.805610153540812</v>
      </c>
      <c r="AC171" s="24">
        <v>23.179370207483281</v>
      </c>
      <c r="AD171" s="24">
        <v>33.073180718188034</v>
      </c>
      <c r="AE171" s="24">
        <v>51.355035048885988</v>
      </c>
      <c r="AF171" s="24">
        <v>18.750800718557649</v>
      </c>
      <c r="AG171" s="24">
        <v>19.410499021696065</v>
      </c>
      <c r="AH171" s="24">
        <v>16.739210453538256</v>
      </c>
      <c r="AI171" s="24">
        <v>37.246353841288716</v>
      </c>
      <c r="AJ171" s="24">
        <v>30.342653741318557</v>
      </c>
      <c r="AK171" s="24">
        <v>15.756556680081637</v>
      </c>
      <c r="AL171" s="24">
        <v>20.777472093415412</v>
      </c>
      <c r="AM171" s="24">
        <v>13.764642927849136</v>
      </c>
      <c r="AN171" s="24">
        <v>22.20249594108407</v>
      </c>
      <c r="AO171" s="24">
        <v>30.722258822122207</v>
      </c>
      <c r="AP171" s="24">
        <v>24.627336183234071</v>
      </c>
      <c r="AQ171" s="24">
        <v>15.803553336791587</v>
      </c>
      <c r="AR171" s="24">
        <v>17.060874691361491</v>
      </c>
      <c r="AS171" s="24">
        <v>17.092666373613138</v>
      </c>
      <c r="AT171" s="24">
        <v>19.932939598985577</v>
      </c>
      <c r="AU171" s="24">
        <v>28.501214328973646</v>
      </c>
      <c r="AV171" s="24">
        <v>42.736429669227391</v>
      </c>
      <c r="AW171" s="24">
        <v>30.450513730058208</v>
      </c>
      <c r="AX171" s="24">
        <v>14.248567697967928</v>
      </c>
      <c r="AY171" s="24">
        <v>13.975840481368863</v>
      </c>
    </row>
    <row r="172" spans="1:51" x14ac:dyDescent="0.2">
      <c r="A172" s="23">
        <v>45484</v>
      </c>
      <c r="B172" s="24">
        <v>18.608858583311431</v>
      </c>
      <c r="C172" s="24">
        <v>22.784839134724088</v>
      </c>
      <c r="D172" s="24">
        <v>16.4059374582306</v>
      </c>
      <c r="E172" s="24">
        <v>18.54760064093502</v>
      </c>
      <c r="F172" s="24">
        <v>15.517659275343899</v>
      </c>
      <c r="G172" s="24">
        <v>16.03727887854825</v>
      </c>
      <c r="H172" s="24">
        <v>29.884278600308726</v>
      </c>
      <c r="I172" s="24">
        <v>20.826217957393183</v>
      </c>
      <c r="J172" s="24">
        <v>19.381148069653673</v>
      </c>
      <c r="K172" s="24">
        <v>17.965294040280444</v>
      </c>
      <c r="L172" s="24">
        <v>18.68196745584638</v>
      </c>
      <c r="M172" s="24">
        <v>14.355915272700573</v>
      </c>
      <c r="N172" s="24">
        <v>27.644552903199195</v>
      </c>
      <c r="O172" s="24">
        <v>23.311346189101531</v>
      </c>
      <c r="P172" s="24">
        <v>15.810812089916451</v>
      </c>
      <c r="Q172" s="24">
        <v>17.681302197356057</v>
      </c>
      <c r="R172" s="24">
        <v>18.728875608261244</v>
      </c>
      <c r="S172" s="24">
        <v>19.290315617740479</v>
      </c>
      <c r="T172" s="24">
        <v>21.185969839506004</v>
      </c>
      <c r="U172" s="24">
        <v>18.646139330899313</v>
      </c>
      <c r="V172" s="24">
        <v>22.119350215336834</v>
      </c>
      <c r="W172" s="24">
        <v>28.84726296372984</v>
      </c>
      <c r="X172" s="24">
        <v>17.123751520556777</v>
      </c>
      <c r="Y172" s="24">
        <v>28.197918245218087</v>
      </c>
      <c r="Z172" s="24">
        <v>42.977185275334406</v>
      </c>
      <c r="AA172" s="24">
        <v>19.287077484895701</v>
      </c>
      <c r="AB172" s="24">
        <v>33.292338825689569</v>
      </c>
      <c r="AC172" s="24">
        <v>22.977420156798434</v>
      </c>
      <c r="AD172" s="24">
        <v>34.007873493582075</v>
      </c>
      <c r="AE172" s="24">
        <v>51.780444493396587</v>
      </c>
      <c r="AF172" s="24">
        <v>19.818224911560502</v>
      </c>
      <c r="AG172" s="24">
        <v>17.400722465388917</v>
      </c>
      <c r="AH172" s="24">
        <v>17.339907980898079</v>
      </c>
      <c r="AI172" s="24">
        <v>36.436127945005524</v>
      </c>
      <c r="AJ172" s="24">
        <v>29.26840270211299</v>
      </c>
      <c r="AK172" s="24">
        <v>15.666976349319748</v>
      </c>
      <c r="AL172" s="24">
        <v>20.94650005405995</v>
      </c>
      <c r="AM172" s="24">
        <v>14.15252659586479</v>
      </c>
      <c r="AN172" s="24">
        <v>23.458122592632805</v>
      </c>
      <c r="AO172" s="24">
        <v>26.004262600137036</v>
      </c>
      <c r="AP172" s="24">
        <v>25.131996624683435</v>
      </c>
      <c r="AQ172" s="24">
        <v>17.095845660060846</v>
      </c>
      <c r="AR172" s="24">
        <v>16.264014228350284</v>
      </c>
      <c r="AS172" s="24">
        <v>17.954522373734484</v>
      </c>
      <c r="AT172" s="24">
        <v>20.344454522286632</v>
      </c>
      <c r="AU172" s="24">
        <v>25.590168576303686</v>
      </c>
      <c r="AV172" s="24">
        <v>40.125371813473201</v>
      </c>
      <c r="AW172" s="24">
        <v>26.885237531497733</v>
      </c>
      <c r="AX172" s="24">
        <v>13.721279914036312</v>
      </c>
      <c r="AY172" s="24">
        <v>14.220097561394775</v>
      </c>
    </row>
    <row r="173" spans="1:51" x14ac:dyDescent="0.2">
      <c r="A173" s="23">
        <v>45483</v>
      </c>
      <c r="B173" s="24">
        <v>17.633580068207319</v>
      </c>
      <c r="C173" s="24">
        <v>21.851278131972993</v>
      </c>
      <c r="D173" s="24">
        <v>16.194071170545055</v>
      </c>
      <c r="E173" s="24">
        <v>18.521790619913638</v>
      </c>
      <c r="F173" s="24">
        <v>15.094214789250387</v>
      </c>
      <c r="G173" s="24">
        <v>15.393690687332052</v>
      </c>
      <c r="H173" s="24">
        <v>30.031452774773609</v>
      </c>
      <c r="I173" s="24">
        <v>18.705752669574064</v>
      </c>
      <c r="J173" s="24">
        <v>19.740398910151029</v>
      </c>
      <c r="K173" s="24">
        <v>22.935430034165638</v>
      </c>
      <c r="L173" s="24">
        <v>18.765943446578966</v>
      </c>
      <c r="M173" s="24">
        <v>14.391447805016783</v>
      </c>
      <c r="N173" s="24">
        <v>27.71942393530804</v>
      </c>
      <c r="O173" s="24">
        <v>23.31289820196621</v>
      </c>
      <c r="P173" s="24">
        <v>15.429797831242452</v>
      </c>
      <c r="Q173" s="24">
        <v>17.941141653192979</v>
      </c>
      <c r="R173" s="24">
        <v>19.461313563798448</v>
      </c>
      <c r="S173" s="24">
        <v>20.411681479849623</v>
      </c>
      <c r="T173" s="24">
        <v>19.068221230885232</v>
      </c>
      <c r="U173" s="24">
        <v>18.646125374651831</v>
      </c>
      <c r="V173" s="24">
        <v>22.753022149443296</v>
      </c>
      <c r="W173" s="24">
        <v>29.308082544996349</v>
      </c>
      <c r="X173" s="24">
        <v>17.032531473532856</v>
      </c>
      <c r="Y173" s="24">
        <v>28.903976821975412</v>
      </c>
      <c r="Z173" s="24">
        <v>46.8939892501297</v>
      </c>
      <c r="AA173" s="24">
        <v>19.059498758751356</v>
      </c>
      <c r="AB173" s="24">
        <v>33.610456716138842</v>
      </c>
      <c r="AC173" s="24">
        <v>23.945030212505522</v>
      </c>
      <c r="AD173" s="24">
        <v>31.166883289973001</v>
      </c>
      <c r="AE173" s="24">
        <v>49.553048229836392</v>
      </c>
      <c r="AF173" s="24">
        <v>17.38905412364678</v>
      </c>
      <c r="AG173" s="24">
        <v>16.709083315199269</v>
      </c>
      <c r="AH173" s="24">
        <v>16.602465714428352</v>
      </c>
      <c r="AI173" s="24">
        <v>36.626723181756603</v>
      </c>
      <c r="AJ173" s="24">
        <v>26.880842321544584</v>
      </c>
      <c r="AK173" s="24">
        <v>15.381606617978781</v>
      </c>
      <c r="AL173" s="24">
        <v>19.177170934763481</v>
      </c>
      <c r="AM173" s="24">
        <v>14.278906335448962</v>
      </c>
      <c r="AN173" s="24">
        <v>22.69365449259476</v>
      </c>
      <c r="AO173" s="24">
        <v>25.459805598396393</v>
      </c>
      <c r="AP173" s="24">
        <v>23.25475503696795</v>
      </c>
      <c r="AQ173" s="24">
        <v>15.184487338576616</v>
      </c>
      <c r="AR173" s="24">
        <v>16.479085294911851</v>
      </c>
      <c r="AS173" s="24">
        <v>17.258271149118606</v>
      </c>
      <c r="AT173" s="24">
        <v>18.407368626045773</v>
      </c>
      <c r="AU173" s="24">
        <v>21.430143340023569</v>
      </c>
      <c r="AV173" s="24">
        <v>40.273858234509568</v>
      </c>
      <c r="AW173" s="24">
        <v>27.064630223209843</v>
      </c>
      <c r="AX173" s="24">
        <v>13.766025835965078</v>
      </c>
      <c r="AY173" s="24">
        <v>15.373323595274018</v>
      </c>
    </row>
    <row r="174" spans="1:51" x14ac:dyDescent="0.2">
      <c r="A174" s="23">
        <v>45482</v>
      </c>
      <c r="B174" s="24">
        <v>18.073837583235004</v>
      </c>
      <c r="C174" s="24">
        <v>21.899725392935238</v>
      </c>
      <c r="D174" s="24">
        <v>16.372384248840618</v>
      </c>
      <c r="E174" s="24">
        <v>17.834222587338445</v>
      </c>
      <c r="F174" s="24">
        <v>14.982878245572946</v>
      </c>
      <c r="G174" s="24">
        <v>16.261725651235551</v>
      </c>
      <c r="H174" s="24">
        <v>27.97809068921563</v>
      </c>
      <c r="I174" s="24">
        <v>18.822968956263118</v>
      </c>
      <c r="J174" s="24">
        <v>20.018379856374001</v>
      </c>
      <c r="K174" s="24">
        <v>23.142349334856164</v>
      </c>
      <c r="L174" s="24">
        <v>17.14158416805487</v>
      </c>
      <c r="M174" s="24">
        <v>14.585447784569181</v>
      </c>
      <c r="N174" s="24">
        <v>29.243176578894154</v>
      </c>
      <c r="O174" s="24">
        <v>20.561180534272893</v>
      </c>
      <c r="P174" s="24">
        <v>14.866463241156454</v>
      </c>
      <c r="Q174" s="24">
        <v>17.61226291632326</v>
      </c>
      <c r="R174" s="24">
        <v>18.046502095313709</v>
      </c>
      <c r="S174" s="24">
        <v>20.404346946112902</v>
      </c>
      <c r="T174" s="24">
        <v>19.068208165873983</v>
      </c>
      <c r="U174" s="24">
        <v>18.839074019583645</v>
      </c>
      <c r="V174" s="24">
        <v>22.865612342047623</v>
      </c>
      <c r="W174" s="24">
        <v>30.25231234347504</v>
      </c>
      <c r="X174" s="24">
        <v>16.887966810374483</v>
      </c>
      <c r="Y174" s="24">
        <v>27.274684970126962</v>
      </c>
      <c r="Z174" s="24">
        <v>46.747745338041497</v>
      </c>
      <c r="AA174" s="24">
        <v>17.948943194971999</v>
      </c>
      <c r="AB174" s="24">
        <v>33.681264717039355</v>
      </c>
      <c r="AC174" s="24">
        <v>25.000206512015559</v>
      </c>
      <c r="AD174" s="24">
        <v>31.437636773280637</v>
      </c>
      <c r="AE174" s="24">
        <v>49.403617347224134</v>
      </c>
      <c r="AF174" s="24">
        <v>17.825815583661274</v>
      </c>
      <c r="AG174" s="24">
        <v>16.935362331731039</v>
      </c>
      <c r="AH174" s="24">
        <v>17.686261077099068</v>
      </c>
      <c r="AI174" s="24">
        <v>38.53873720870358</v>
      </c>
      <c r="AJ174" s="24">
        <v>26.638861002823599</v>
      </c>
      <c r="AK174" s="24">
        <v>13.875906675038646</v>
      </c>
      <c r="AL174" s="24">
        <v>19.598181002460983</v>
      </c>
      <c r="AM174" s="24">
        <v>14.742104632842963</v>
      </c>
      <c r="AN174" s="24">
        <v>22.116322946151392</v>
      </c>
      <c r="AO174" s="24">
        <v>24.890716866219694</v>
      </c>
      <c r="AP174" s="24">
        <v>22.999100683073614</v>
      </c>
      <c r="AQ174" s="24">
        <v>14.951305944094141</v>
      </c>
      <c r="AR174" s="24">
        <v>16.283020707645846</v>
      </c>
      <c r="AS174" s="24">
        <v>17.0511310621212</v>
      </c>
      <c r="AT174" s="24">
        <v>18.134239401161114</v>
      </c>
      <c r="AU174" s="24">
        <v>21.877685004440831</v>
      </c>
      <c r="AV174" s="24">
        <v>40.35293177743845</v>
      </c>
      <c r="AW174" s="24">
        <v>27.236181497531017</v>
      </c>
      <c r="AX174" s="24">
        <v>13.887418368408849</v>
      </c>
      <c r="AY174" s="24">
        <v>15.364964778246554</v>
      </c>
    </row>
    <row r="175" spans="1:51" x14ac:dyDescent="0.2">
      <c r="A175" s="23">
        <v>45481</v>
      </c>
      <c r="B175" s="24">
        <v>19.174006432790197</v>
      </c>
      <c r="C175" s="24">
        <v>23.160815971957565</v>
      </c>
      <c r="D175" s="24">
        <v>18.600999084246208</v>
      </c>
      <c r="E175" s="24">
        <v>17.73011557160449</v>
      </c>
      <c r="F175" s="24">
        <v>15.853511019300472</v>
      </c>
      <c r="G175" s="24">
        <v>17.243853961386503</v>
      </c>
      <c r="H175" s="24">
        <v>28.940130006394121</v>
      </c>
      <c r="I175" s="24">
        <v>19.994031927510214</v>
      </c>
      <c r="J175" s="24">
        <v>20.674142974333883</v>
      </c>
      <c r="K175" s="24">
        <v>24.454534101089486</v>
      </c>
      <c r="L175" s="24">
        <v>16.675611570428341</v>
      </c>
      <c r="M175" s="24">
        <v>13.339580212027315</v>
      </c>
      <c r="N175" s="24">
        <v>29.093575165223033</v>
      </c>
      <c r="O175" s="24">
        <v>21.579838779571539</v>
      </c>
      <c r="P175" s="24">
        <v>17.457629844499724</v>
      </c>
      <c r="Q175" s="24">
        <v>17.487218919409223</v>
      </c>
      <c r="R175" s="24">
        <v>19.356516537838413</v>
      </c>
      <c r="S175" s="24">
        <v>20.408540012273143</v>
      </c>
      <c r="T175" s="24">
        <v>20.022424564985187</v>
      </c>
      <c r="U175" s="24">
        <v>20.965845824065351</v>
      </c>
      <c r="V175" s="24">
        <v>25.56566451324429</v>
      </c>
      <c r="W175" s="24">
        <v>30.99871064532773</v>
      </c>
      <c r="X175" s="24">
        <v>16.511262181313423</v>
      </c>
      <c r="Y175" s="24">
        <v>29.655572087606416</v>
      </c>
      <c r="Z175" s="24">
        <v>40.916098839235339</v>
      </c>
      <c r="AA175" s="24">
        <v>16.072501006828592</v>
      </c>
      <c r="AB175" s="24">
        <v>36.043710991674743</v>
      </c>
      <c r="AC175" s="24">
        <v>28.383731033844246</v>
      </c>
      <c r="AD175" s="24">
        <v>30.056497078677555</v>
      </c>
      <c r="AE175" s="24">
        <v>45.641040665457176</v>
      </c>
      <c r="AF175" s="24">
        <v>18.646171637108932</v>
      </c>
      <c r="AG175" s="24">
        <v>16.677156024414764</v>
      </c>
      <c r="AH175" s="24">
        <v>18.099770240911361</v>
      </c>
      <c r="AI175" s="24">
        <v>37.068935419296331</v>
      </c>
      <c r="AJ175" s="24">
        <v>27.366479616370412</v>
      </c>
      <c r="AK175" s="24">
        <v>15.374797878803218</v>
      </c>
      <c r="AL175" s="24">
        <v>17.998573553608551</v>
      </c>
      <c r="AM175" s="24">
        <v>14.153809540368485</v>
      </c>
      <c r="AN175" s="24">
        <v>22.517429523382873</v>
      </c>
      <c r="AO175" s="24">
        <v>24.966316832212815</v>
      </c>
      <c r="AP175" s="24">
        <v>23.166241973490962</v>
      </c>
      <c r="AQ175" s="24">
        <v>14.41370868615274</v>
      </c>
      <c r="AR175" s="24">
        <v>15.7791622871573</v>
      </c>
      <c r="AS175" s="24">
        <v>15.984001091636769</v>
      </c>
      <c r="AT175" s="24">
        <v>19.287651671945884</v>
      </c>
      <c r="AU175" s="24">
        <v>22.094434511316422</v>
      </c>
      <c r="AV175" s="24">
        <v>53.85834172768056</v>
      </c>
      <c r="AW175" s="24">
        <v>26.716982010312634</v>
      </c>
      <c r="AX175" s="24">
        <v>15.371041742939454</v>
      </c>
      <c r="AY175" s="24">
        <v>16.00495614885131</v>
      </c>
    </row>
    <row r="176" spans="1:51" x14ac:dyDescent="0.2">
      <c r="A176" s="23">
        <v>45478</v>
      </c>
      <c r="B176" s="24">
        <v>19.207960520524786</v>
      </c>
      <c r="C176" s="24">
        <v>22.429431443749376</v>
      </c>
      <c r="D176" s="24">
        <v>18.914799568593804</v>
      </c>
      <c r="E176" s="24">
        <v>17.424646897540491</v>
      </c>
      <c r="F176" s="24">
        <v>16.05607813322316</v>
      </c>
      <c r="G176" s="24">
        <v>17.735310154938759</v>
      </c>
      <c r="H176" s="24">
        <v>28.83147376880628</v>
      </c>
      <c r="I176" s="24">
        <v>27.411722569818938</v>
      </c>
      <c r="J176" s="24">
        <v>20.639667185519869</v>
      </c>
      <c r="K176" s="24">
        <v>24.663814365046388</v>
      </c>
      <c r="L176" s="24">
        <v>16.355612032510663</v>
      </c>
      <c r="M176" s="24">
        <v>13.393485483526248</v>
      </c>
      <c r="N176" s="24">
        <v>29.077731383650839</v>
      </c>
      <c r="O176" s="24">
        <v>21.212632310644313</v>
      </c>
      <c r="P176" s="24">
        <v>17.647642232821912</v>
      </c>
      <c r="Q176" s="24">
        <v>16.501533711633581</v>
      </c>
      <c r="R176" s="24">
        <v>19.238209486813606</v>
      </c>
      <c r="S176" s="24">
        <v>20.549207852198059</v>
      </c>
      <c r="T176" s="24">
        <v>19.436597562121733</v>
      </c>
      <c r="U176" s="24">
        <v>20.648721805336589</v>
      </c>
      <c r="V176" s="24">
        <v>26.445146146320521</v>
      </c>
      <c r="W176" s="24">
        <v>31.164123331872098</v>
      </c>
      <c r="X176" s="24">
        <v>16.371416302827942</v>
      </c>
      <c r="Y176" s="24">
        <v>29.370713863170835</v>
      </c>
      <c r="Z176" s="24">
        <v>46.881256154691265</v>
      </c>
      <c r="AA176" s="24">
        <v>15.153412763435265</v>
      </c>
      <c r="AB176" s="24">
        <v>36.519314959908826</v>
      </c>
      <c r="AC176" s="24">
        <v>28.086529874818254</v>
      </c>
      <c r="AD176" s="24">
        <v>29.559077445771376</v>
      </c>
      <c r="AE176" s="24">
        <v>47.683273256467601</v>
      </c>
      <c r="AF176" s="24">
        <v>18.31615718649747</v>
      </c>
      <c r="AG176" s="24">
        <v>16.450196707979156</v>
      </c>
      <c r="AH176" s="24">
        <v>17.711816126751192</v>
      </c>
      <c r="AI176" s="24">
        <v>39.229469712429356</v>
      </c>
      <c r="AJ176" s="24">
        <v>27.156004637466307</v>
      </c>
      <c r="AK176" s="24">
        <v>15.897434050618847</v>
      </c>
      <c r="AL176" s="24">
        <v>17.554736633674455</v>
      </c>
      <c r="AM176" s="24">
        <v>14.151876381486584</v>
      </c>
      <c r="AN176" s="24">
        <v>22.5225712280644</v>
      </c>
      <c r="AO176" s="24">
        <v>24.871484003971428</v>
      </c>
      <c r="AP176" s="24">
        <v>23.223242215546968</v>
      </c>
      <c r="AQ176" s="24">
        <v>14.002223226321876</v>
      </c>
      <c r="AR176" s="24">
        <v>16.117407669207299</v>
      </c>
      <c r="AS176" s="24">
        <v>15.794249978092571</v>
      </c>
      <c r="AT176" s="24">
        <v>19.014329314588274</v>
      </c>
      <c r="AU176" s="24">
        <v>21.14867315747761</v>
      </c>
      <c r="AV176" s="24">
        <v>50.712181458263196</v>
      </c>
      <c r="AW176" s="24">
        <v>26.713188540957216</v>
      </c>
      <c r="AX176" s="24">
        <v>15.564203868620337</v>
      </c>
      <c r="AY176" s="24">
        <v>17.257522516330212</v>
      </c>
    </row>
    <row r="177" spans="1:51" x14ac:dyDescent="0.2">
      <c r="A177" s="23">
        <v>45477</v>
      </c>
      <c r="B177" s="24">
        <v>16.865640217806462</v>
      </c>
      <c r="C177" s="24">
        <v>21.516054271704913</v>
      </c>
      <c r="D177" s="24">
        <v>17.767766552807352</v>
      </c>
      <c r="E177" s="24">
        <v>16.749225029430843</v>
      </c>
      <c r="F177" s="24">
        <v>14.224877332884784</v>
      </c>
      <c r="G177" s="24">
        <v>15.096001268084747</v>
      </c>
      <c r="H177" s="24">
        <v>29.083194768020899</v>
      </c>
      <c r="I177" s="24">
        <v>27.603842673799164</v>
      </c>
      <c r="J177" s="24">
        <v>18.647239487571714</v>
      </c>
      <c r="K177" s="24">
        <v>24.599472407200746</v>
      </c>
      <c r="L177" s="24">
        <v>15.039892432679514</v>
      </c>
      <c r="M177" s="24">
        <v>12.423560339495795</v>
      </c>
      <c r="N177" s="24">
        <v>27.247824557191656</v>
      </c>
      <c r="O177" s="24">
        <v>23.65651332405103</v>
      </c>
      <c r="P177" s="24">
        <v>17.652066451780851</v>
      </c>
      <c r="Q177" s="24">
        <v>16.412966189278091</v>
      </c>
      <c r="R177" s="24">
        <v>18.921843165650479</v>
      </c>
      <c r="S177" s="24">
        <v>22.779780521876983</v>
      </c>
      <c r="T177" s="24">
        <v>19.274760178891807</v>
      </c>
      <c r="U177" s="24">
        <v>18.128518610973313</v>
      </c>
      <c r="V177" s="24">
        <v>24.605487400862945</v>
      </c>
      <c r="W177" s="24">
        <v>31.386267692798903</v>
      </c>
      <c r="X177" s="24">
        <v>13.8729204316141</v>
      </c>
      <c r="Y177" s="24">
        <v>29.977625235085956</v>
      </c>
      <c r="Z177" s="24">
        <v>56.967472337123475</v>
      </c>
      <c r="AA177" s="24">
        <v>14.613996738212936</v>
      </c>
      <c r="AB177" s="24">
        <v>35.02331384331351</v>
      </c>
      <c r="AC177" s="24">
        <v>25.964828362846298</v>
      </c>
      <c r="AD177" s="24">
        <v>28.89454010474628</v>
      </c>
      <c r="AE177" s="24">
        <v>49.989511545563012</v>
      </c>
      <c r="AF177" s="24">
        <v>18.120858866265767</v>
      </c>
      <c r="AG177" s="24">
        <v>14.959456620101028</v>
      </c>
      <c r="AH177" s="24">
        <v>17.418191609265516</v>
      </c>
      <c r="AI177" s="24">
        <v>39.016606230988565</v>
      </c>
      <c r="AJ177" s="24">
        <v>22.697593773202119</v>
      </c>
      <c r="AK177" s="24">
        <v>15.656906676101304</v>
      </c>
      <c r="AL177" s="24">
        <v>16.95510217213052</v>
      </c>
      <c r="AM177" s="24">
        <v>12.740491788405757</v>
      </c>
      <c r="AN177" s="24">
        <v>22.341808867872093</v>
      </c>
      <c r="AO177" s="24">
        <v>25.389646139583672</v>
      </c>
      <c r="AP177" s="24">
        <v>27.749638570812191</v>
      </c>
      <c r="AQ177" s="24">
        <v>15.507916635352787</v>
      </c>
      <c r="AR177" s="24">
        <v>12.512254680331679</v>
      </c>
      <c r="AS177" s="24">
        <v>15.219067402411262</v>
      </c>
      <c r="AT177" s="24">
        <v>18.375894662024947</v>
      </c>
      <c r="AU177" s="24">
        <v>21.481403537605562</v>
      </c>
      <c r="AV177" s="24">
        <v>51.070067782751138</v>
      </c>
      <c r="AW177" s="24">
        <v>26.760200747073302</v>
      </c>
      <c r="AX177" s="24">
        <v>14.410723554371982</v>
      </c>
      <c r="AY177" s="24">
        <v>17.314400268103288</v>
      </c>
    </row>
    <row r="178" spans="1:51" x14ac:dyDescent="0.2">
      <c r="A178" s="23">
        <v>45476</v>
      </c>
      <c r="B178" s="24">
        <v>16.765998012164566</v>
      </c>
      <c r="C178" s="24">
        <v>21.429480592490481</v>
      </c>
      <c r="D178" s="24">
        <v>17.703845280593928</v>
      </c>
      <c r="E178" s="24">
        <v>16.244070661425503</v>
      </c>
      <c r="F178" s="24">
        <v>14.063341596229149</v>
      </c>
      <c r="G178" s="24">
        <v>15.052330764693936</v>
      </c>
      <c r="H178" s="24">
        <v>30.645635811064526</v>
      </c>
      <c r="I178" s="24">
        <v>27.495987701534531</v>
      </c>
      <c r="J178" s="24">
        <v>19.416594337834368</v>
      </c>
      <c r="K178" s="24">
        <v>24.7914445212697</v>
      </c>
      <c r="L178" s="24">
        <v>15.064981081610902</v>
      </c>
      <c r="M178" s="24">
        <v>12.309320627488889</v>
      </c>
      <c r="N178" s="24">
        <v>30.175708779368129</v>
      </c>
      <c r="O178" s="24">
        <v>23.770327356954819</v>
      </c>
      <c r="P178" s="24">
        <v>18.141674143814022</v>
      </c>
      <c r="Q178" s="24">
        <v>17.215239411625795</v>
      </c>
      <c r="R178" s="24">
        <v>19.041244211068467</v>
      </c>
      <c r="S178" s="24">
        <v>21.33759794800207</v>
      </c>
      <c r="T178" s="24">
        <v>19.464973070294015</v>
      </c>
      <c r="U178" s="24">
        <v>17.958104331898575</v>
      </c>
      <c r="V178" s="24">
        <v>23.932854108189808</v>
      </c>
      <c r="W178" s="24">
        <v>31.668578263955911</v>
      </c>
      <c r="X178" s="24">
        <v>14.367325788518073</v>
      </c>
      <c r="Y178" s="24">
        <v>30.885624610893302</v>
      </c>
      <c r="Z178" s="24">
        <v>56.961649776524844</v>
      </c>
      <c r="AA178" s="24">
        <v>13.151828775174415</v>
      </c>
      <c r="AB178" s="24">
        <v>33.254861195691433</v>
      </c>
      <c r="AC178" s="24">
        <v>26.106080281326921</v>
      </c>
      <c r="AD178" s="24">
        <v>28.991260572096959</v>
      </c>
      <c r="AE178" s="24">
        <v>49.722433773191185</v>
      </c>
      <c r="AF178" s="24">
        <v>19.132229259423926</v>
      </c>
      <c r="AG178" s="24">
        <v>14.963154700582349</v>
      </c>
      <c r="AH178" s="24">
        <v>18.383201155235888</v>
      </c>
      <c r="AI178" s="24">
        <v>38.900069098865728</v>
      </c>
      <c r="AJ178" s="24">
        <v>22.900694542804523</v>
      </c>
      <c r="AK178" s="24">
        <v>15.232176531798689</v>
      </c>
      <c r="AL178" s="24">
        <v>16.895554070448391</v>
      </c>
      <c r="AM178" s="24">
        <v>12.887052421627848</v>
      </c>
      <c r="AN178" s="24">
        <v>22.601090067262728</v>
      </c>
      <c r="AO178" s="24">
        <v>25.357935745105248</v>
      </c>
      <c r="AP178" s="24">
        <v>27.688541756534377</v>
      </c>
      <c r="AQ178" s="24">
        <v>16.139441253895875</v>
      </c>
      <c r="AR178" s="24">
        <v>13.360635268287101</v>
      </c>
      <c r="AS178" s="24">
        <v>15.168118465958553</v>
      </c>
      <c r="AT178" s="24">
        <v>19.215508771195452</v>
      </c>
      <c r="AU178" s="24">
        <v>21.138286997307802</v>
      </c>
      <c r="AV178" s="24">
        <v>51.025481325023577</v>
      </c>
      <c r="AW178" s="24">
        <v>26.547744732907773</v>
      </c>
      <c r="AX178" s="24">
        <v>14.610446075540425</v>
      </c>
      <c r="AY178" s="24">
        <v>17.415528203757031</v>
      </c>
    </row>
    <row r="179" spans="1:51" x14ac:dyDescent="0.2">
      <c r="A179" s="23">
        <v>45475</v>
      </c>
      <c r="B179" s="24">
        <v>15.527043361473883</v>
      </c>
      <c r="C179" s="24">
        <v>21.573714263886817</v>
      </c>
      <c r="D179" s="24">
        <v>17.357994393714741</v>
      </c>
      <c r="E179" s="24">
        <v>16.069310820309603</v>
      </c>
      <c r="F179" s="24">
        <v>12.949467424783348</v>
      </c>
      <c r="G179" s="24">
        <v>14.263122811442352</v>
      </c>
      <c r="H179" s="24">
        <v>31.221167512191947</v>
      </c>
      <c r="I179" s="24">
        <v>27.230867113065557</v>
      </c>
      <c r="J179" s="24">
        <v>18.655006850294551</v>
      </c>
      <c r="K179" s="24">
        <v>24.757954019834539</v>
      </c>
      <c r="L179" s="24">
        <v>15.059084010933619</v>
      </c>
      <c r="M179" s="24">
        <v>12.345375779336818</v>
      </c>
      <c r="N179" s="24">
        <v>29.727500725285591</v>
      </c>
      <c r="O179" s="24">
        <v>25.00619559236949</v>
      </c>
      <c r="P179" s="24">
        <v>18.219954695721803</v>
      </c>
      <c r="Q179" s="24">
        <v>16.881283402195802</v>
      </c>
      <c r="R179" s="24">
        <v>19.445182771212885</v>
      </c>
      <c r="S179" s="24">
        <v>21.370349103311405</v>
      </c>
      <c r="T179" s="24">
        <v>20.489540917023451</v>
      </c>
      <c r="U179" s="24">
        <v>17.704341328601021</v>
      </c>
      <c r="V179" s="24">
        <v>24.330061065496778</v>
      </c>
      <c r="W179" s="24">
        <v>31.079772423396108</v>
      </c>
      <c r="X179" s="24">
        <v>13.693955396078723</v>
      </c>
      <c r="Y179" s="24">
        <v>30.905822085805678</v>
      </c>
      <c r="Z179" s="24">
        <v>57.037835793660555</v>
      </c>
      <c r="AA179" s="24">
        <v>12.842229306142931</v>
      </c>
      <c r="AB179" s="24">
        <v>33.316467934145585</v>
      </c>
      <c r="AC179" s="24">
        <v>25.169276677029522</v>
      </c>
      <c r="AD179" s="24">
        <v>29.442946225470653</v>
      </c>
      <c r="AE179" s="24">
        <v>49.729696818292716</v>
      </c>
      <c r="AF179" s="24">
        <v>19.585565951444849</v>
      </c>
      <c r="AG179" s="24">
        <v>15.006400937291245</v>
      </c>
      <c r="AH179" s="24">
        <v>17.996033576280798</v>
      </c>
      <c r="AI179" s="24">
        <v>38.57947199728882</v>
      </c>
      <c r="AJ179" s="24">
        <v>22.750687010914934</v>
      </c>
      <c r="AK179" s="24">
        <v>15.65568495773344</v>
      </c>
      <c r="AL179" s="24">
        <v>16.278989878053515</v>
      </c>
      <c r="AM179" s="24">
        <v>12.881386236304209</v>
      </c>
      <c r="AN179" s="24">
        <v>22.159521138013641</v>
      </c>
      <c r="AO179" s="24">
        <v>25.721871127959865</v>
      </c>
      <c r="AP179" s="24">
        <v>27.395215733251295</v>
      </c>
      <c r="AQ179" s="24">
        <v>16.309770305684435</v>
      </c>
      <c r="AR179" s="24">
        <v>13.004232325707546</v>
      </c>
      <c r="AS179" s="24">
        <v>15.911122664366548</v>
      </c>
      <c r="AT179" s="24">
        <v>19.775149640104893</v>
      </c>
      <c r="AU179" s="24">
        <v>21.659054881859358</v>
      </c>
      <c r="AV179" s="24">
        <v>50.770422022194829</v>
      </c>
      <c r="AW179" s="24">
        <v>26.324935120032389</v>
      </c>
      <c r="AX179" s="24">
        <v>14.719599158469965</v>
      </c>
      <c r="AY179" s="24">
        <v>17.740913386955739</v>
      </c>
    </row>
    <row r="180" spans="1:51" x14ac:dyDescent="0.2">
      <c r="A180" s="23">
        <v>45474</v>
      </c>
      <c r="B180" s="24">
        <v>13.517937941359516</v>
      </c>
      <c r="C180" s="24">
        <v>16.393103681489883</v>
      </c>
      <c r="D180" s="24">
        <v>16.585598442357686</v>
      </c>
      <c r="E180" s="24">
        <v>16.342046806420225</v>
      </c>
      <c r="F180" s="24">
        <v>12.079777142811126</v>
      </c>
      <c r="G180" s="24">
        <v>13.08556999789627</v>
      </c>
      <c r="H180" s="24">
        <v>30.489161094329827</v>
      </c>
      <c r="I180" s="24">
        <v>29.203716218098979</v>
      </c>
      <c r="J180" s="24">
        <v>17.29260460124252</v>
      </c>
      <c r="K180" s="24">
        <v>26.833586431571213</v>
      </c>
      <c r="L180" s="24">
        <v>14.48331158338857</v>
      </c>
      <c r="M180" s="24">
        <v>11.231182988249326</v>
      </c>
      <c r="N180" s="24">
        <v>28.492699436639807</v>
      </c>
      <c r="O180" s="24">
        <v>25.895604417557212</v>
      </c>
      <c r="P180" s="24">
        <v>18.097879014785601</v>
      </c>
      <c r="Q180" s="24">
        <v>19.225239377070281</v>
      </c>
      <c r="R180" s="24">
        <v>19.351713023467056</v>
      </c>
      <c r="S180" s="24">
        <v>20.652946712418011</v>
      </c>
      <c r="T180" s="24">
        <v>17.195953213464502</v>
      </c>
      <c r="U180" s="24">
        <v>16.932784348199114</v>
      </c>
      <c r="V180" s="24">
        <v>24.095090657753268</v>
      </c>
      <c r="W180" s="24">
        <v>31.265016261563616</v>
      </c>
      <c r="X180" s="24">
        <v>13.378404389789704</v>
      </c>
      <c r="Y180" s="24">
        <v>30.63005389549615</v>
      </c>
      <c r="Z180" s="24">
        <v>57.115542228119956</v>
      </c>
      <c r="AA180" s="24">
        <v>13.274051950543035</v>
      </c>
      <c r="AB180" s="24">
        <v>33.194363021731718</v>
      </c>
      <c r="AC180" s="24">
        <v>24.783438108822224</v>
      </c>
      <c r="AD180" s="24">
        <v>29.19927141474335</v>
      </c>
      <c r="AE180" s="24">
        <v>48.13918148019205</v>
      </c>
      <c r="AF180" s="24">
        <v>18.417926041446552</v>
      </c>
      <c r="AG180" s="24">
        <v>11.098845374203037</v>
      </c>
      <c r="AH180" s="24">
        <v>19.854691130388897</v>
      </c>
      <c r="AI180" s="24">
        <v>38.807318218748073</v>
      </c>
      <c r="AJ180" s="24">
        <v>22.299680052806167</v>
      </c>
      <c r="AK180" s="24">
        <v>15.446555211770363</v>
      </c>
      <c r="AL180" s="24">
        <v>16.273117093416438</v>
      </c>
      <c r="AM180" s="24">
        <v>12.778733556789403</v>
      </c>
      <c r="AN180" s="24">
        <v>22.130048737918127</v>
      </c>
      <c r="AO180" s="24">
        <v>29.741462624119265</v>
      </c>
      <c r="AP180" s="24">
        <v>27.101892060766446</v>
      </c>
      <c r="AQ180" s="24">
        <v>17.48991579024236</v>
      </c>
      <c r="AR180" s="24">
        <v>13.614489181058232</v>
      </c>
      <c r="AS180" s="24">
        <v>15.837797739290449</v>
      </c>
      <c r="AT180" s="24">
        <v>19.986153103143614</v>
      </c>
      <c r="AU180" s="24">
        <v>20.305476216813645</v>
      </c>
      <c r="AV180" s="24">
        <v>55.49498459130951</v>
      </c>
      <c r="AW180" s="24">
        <v>27.640675522868772</v>
      </c>
      <c r="AX180" s="24">
        <v>12.924805786816883</v>
      </c>
      <c r="AY180" s="24">
        <v>18.124465056013868</v>
      </c>
    </row>
    <row r="181" spans="1:51" x14ac:dyDescent="0.2">
      <c r="A181" s="23">
        <v>45471</v>
      </c>
      <c r="B181" s="24">
        <v>12.006881987197682</v>
      </c>
      <c r="C181" s="24">
        <v>15.780201622099158</v>
      </c>
      <c r="D181" s="24">
        <v>15.667684478965862</v>
      </c>
      <c r="E181" s="24">
        <v>16.395384070298327</v>
      </c>
      <c r="F181" s="24">
        <v>9.8318414836426431</v>
      </c>
      <c r="G181" s="24">
        <v>12.833954777031151</v>
      </c>
      <c r="H181" s="24">
        <v>30.475445837043786</v>
      </c>
      <c r="I181" s="24">
        <v>28.589369914976047</v>
      </c>
      <c r="J181" s="24">
        <v>17.209526931930391</v>
      </c>
      <c r="K181" s="24">
        <v>26.036874240562508</v>
      </c>
      <c r="L181" s="24">
        <v>14.082496638098936</v>
      </c>
      <c r="M181" s="24">
        <v>10.840094733793418</v>
      </c>
      <c r="N181" s="24">
        <v>27.1735332892464</v>
      </c>
      <c r="O181" s="24">
        <v>26.115215272761525</v>
      </c>
      <c r="P181" s="24">
        <v>17.701032443140789</v>
      </c>
      <c r="Q181" s="24">
        <v>18.712559156488105</v>
      </c>
      <c r="R181" s="24">
        <v>19.406640032549969</v>
      </c>
      <c r="S181" s="24">
        <v>20.65617500660781</v>
      </c>
      <c r="T181" s="24">
        <v>17.263051059435853</v>
      </c>
      <c r="U181" s="24">
        <v>16.993502885753582</v>
      </c>
      <c r="V181" s="24">
        <v>24.116966241239826</v>
      </c>
      <c r="W181" s="24">
        <v>31.498811317478996</v>
      </c>
      <c r="X181" s="24">
        <v>13.089224120094014</v>
      </c>
      <c r="Y181" s="24">
        <v>29.738289315702236</v>
      </c>
      <c r="Z181" s="24">
        <v>59.942461268149039</v>
      </c>
      <c r="AA181" s="24">
        <v>13.359444761408938</v>
      </c>
      <c r="AB181" s="24">
        <v>34.412345584900137</v>
      </c>
      <c r="AC181" s="24">
        <v>24.608759733772509</v>
      </c>
      <c r="AD181" s="24">
        <v>29.276748778680986</v>
      </c>
      <c r="AE181" s="24">
        <v>47.461110986089004</v>
      </c>
      <c r="AF181" s="24">
        <v>18.422829228270018</v>
      </c>
      <c r="AG181" s="24">
        <v>11.077947052239034</v>
      </c>
      <c r="AH181" s="24">
        <v>20.990926145852448</v>
      </c>
      <c r="AI181" s="24">
        <v>39.137699721515531</v>
      </c>
      <c r="AJ181" s="24">
        <v>22.438346427875068</v>
      </c>
      <c r="AK181" s="24">
        <v>15.609521885106837</v>
      </c>
      <c r="AL181" s="24">
        <v>13.688141496416414</v>
      </c>
      <c r="AM181" s="24">
        <v>11.466046377642465</v>
      </c>
      <c r="AN181" s="24">
        <v>21.79057710644754</v>
      </c>
      <c r="AO181" s="24">
        <v>30.936301586543774</v>
      </c>
      <c r="AP181" s="24">
        <v>27.977007499512478</v>
      </c>
      <c r="AQ181" s="24">
        <v>17.567980616946691</v>
      </c>
      <c r="AR181" s="24">
        <v>11.540552430928436</v>
      </c>
      <c r="AS181" s="24">
        <v>16.0722054650651</v>
      </c>
      <c r="AT181" s="24">
        <v>18.070175081818206</v>
      </c>
      <c r="AU181" s="24">
        <v>19.187055225584935</v>
      </c>
      <c r="AV181" s="24">
        <v>55.111825441401123</v>
      </c>
      <c r="AW181" s="24">
        <v>26.63365861302378</v>
      </c>
      <c r="AX181" s="24">
        <v>12.917984625271162</v>
      </c>
      <c r="AY181" s="24">
        <v>17.833139354419856</v>
      </c>
    </row>
    <row r="182" spans="1:51" x14ac:dyDescent="0.2">
      <c r="A182" s="23">
        <v>45470</v>
      </c>
      <c r="B182" s="24">
        <v>12.295571272369997</v>
      </c>
      <c r="C182" s="24">
        <v>15.730807042192968</v>
      </c>
      <c r="D182" s="24">
        <v>15.935191853789245</v>
      </c>
      <c r="E182" s="24">
        <v>14.472790881560302</v>
      </c>
      <c r="F182" s="24">
        <v>10.2157379904128</v>
      </c>
      <c r="G182" s="24">
        <v>13.435998898482325</v>
      </c>
      <c r="H182" s="24">
        <v>22.493599022667734</v>
      </c>
      <c r="I182" s="24">
        <v>27.503069120978346</v>
      </c>
      <c r="J182" s="24">
        <v>17.34862641483052</v>
      </c>
      <c r="K182" s="24">
        <v>26.227457910435273</v>
      </c>
      <c r="L182" s="24">
        <v>14.069296839352567</v>
      </c>
      <c r="M182" s="24">
        <v>10.991092222600168</v>
      </c>
      <c r="N182" s="24">
        <v>28.089118350461952</v>
      </c>
      <c r="O182" s="24">
        <v>25.414178895527215</v>
      </c>
      <c r="P182" s="24">
        <v>15.036348620630008</v>
      </c>
      <c r="Q182" s="24">
        <v>18.755023457883041</v>
      </c>
      <c r="R182" s="24">
        <v>16.881949403805983</v>
      </c>
      <c r="S182" s="24">
        <v>20.765479720605153</v>
      </c>
      <c r="T182" s="24">
        <v>17.779661118202998</v>
      </c>
      <c r="U182" s="24">
        <v>16.661187209092617</v>
      </c>
      <c r="V182" s="24">
        <v>24.88876620591466</v>
      </c>
      <c r="W182" s="24">
        <v>36.827217320871135</v>
      </c>
      <c r="X182" s="24">
        <v>12.655414217130968</v>
      </c>
      <c r="Y182" s="24">
        <v>30.200070139551887</v>
      </c>
      <c r="Z182" s="24">
        <v>59.988459532471687</v>
      </c>
      <c r="AA182" s="24">
        <v>13.087525845374758</v>
      </c>
      <c r="AB182" s="24">
        <v>34.178638837811143</v>
      </c>
      <c r="AC182" s="24">
        <v>24.537536198180959</v>
      </c>
      <c r="AD182" s="24">
        <v>17.812308887075059</v>
      </c>
      <c r="AE182" s="24">
        <v>47.42013215643081</v>
      </c>
      <c r="AF182" s="24">
        <v>18.118979535244883</v>
      </c>
      <c r="AG182" s="24">
        <v>11.538489645398036</v>
      </c>
      <c r="AH182" s="24">
        <v>20.613169834126005</v>
      </c>
      <c r="AI182" s="24">
        <v>40.04273326298258</v>
      </c>
      <c r="AJ182" s="24">
        <v>21.786156037932088</v>
      </c>
      <c r="AK182" s="24">
        <v>13.900770820400526</v>
      </c>
      <c r="AL182" s="24">
        <v>13.792951496137178</v>
      </c>
      <c r="AM182" s="24">
        <v>10.891525137593428</v>
      </c>
      <c r="AN182" s="24">
        <v>20.893870594700662</v>
      </c>
      <c r="AO182" s="24">
        <v>30.923348373338733</v>
      </c>
      <c r="AP182" s="24">
        <v>27.987802703185483</v>
      </c>
      <c r="AQ182" s="24">
        <v>17.497628197014087</v>
      </c>
      <c r="AR182" s="24">
        <v>12.138941912715502</v>
      </c>
      <c r="AS182" s="24">
        <v>15.676653048615702</v>
      </c>
      <c r="AT182" s="24">
        <v>17.728875230160568</v>
      </c>
      <c r="AU182" s="24">
        <v>17.954373599385118</v>
      </c>
      <c r="AV182" s="24">
        <v>55.699156533858577</v>
      </c>
      <c r="AW182" s="24">
        <v>26.77340557850016</v>
      </c>
      <c r="AX182" s="24">
        <v>12.939335629530659</v>
      </c>
      <c r="AY182" s="24">
        <v>17.610245917051063</v>
      </c>
    </row>
    <row r="183" spans="1:51" x14ac:dyDescent="0.2">
      <c r="A183" s="23">
        <v>45469</v>
      </c>
      <c r="B183" s="24">
        <v>11.834652363971696</v>
      </c>
      <c r="C183" s="24">
        <v>16.03541420649897</v>
      </c>
      <c r="D183" s="24">
        <v>15.900168148223456</v>
      </c>
      <c r="E183" s="24">
        <v>13.066380804820144</v>
      </c>
      <c r="F183" s="24">
        <v>9.8799591434272891</v>
      </c>
      <c r="G183" s="24">
        <v>13.065662679486639</v>
      </c>
      <c r="H183" s="24">
        <v>22.904490375921512</v>
      </c>
      <c r="I183" s="24">
        <v>27.66675452163809</v>
      </c>
      <c r="J183" s="24">
        <v>17.352091163677834</v>
      </c>
      <c r="K183" s="24">
        <v>36.262115842379579</v>
      </c>
      <c r="L183" s="24">
        <v>14.901701588505372</v>
      </c>
      <c r="M183" s="24">
        <v>11.038592399615219</v>
      </c>
      <c r="N183" s="24">
        <v>30.044420759202744</v>
      </c>
      <c r="O183" s="24">
        <v>25.692380512324249</v>
      </c>
      <c r="P183" s="24">
        <v>13.20916375858857</v>
      </c>
      <c r="Q183" s="24">
        <v>18.80485495637129</v>
      </c>
      <c r="R183" s="24">
        <v>17.028633363802541</v>
      </c>
      <c r="S183" s="24">
        <v>21.547302065433787</v>
      </c>
      <c r="T183" s="24">
        <v>17.664082244820001</v>
      </c>
      <c r="U183" s="24">
        <v>15.610197603897607</v>
      </c>
      <c r="V183" s="24">
        <v>24.491065467511959</v>
      </c>
      <c r="W183" s="24">
        <v>36.222553081665779</v>
      </c>
      <c r="X183" s="24">
        <v>12.896688861316644</v>
      </c>
      <c r="Y183" s="24">
        <v>30.775936541030216</v>
      </c>
      <c r="Z183" s="24">
        <v>59.608229269474933</v>
      </c>
      <c r="AA183" s="24">
        <v>13.110338165479705</v>
      </c>
      <c r="AB183" s="24">
        <v>33.45296026238659</v>
      </c>
      <c r="AC183" s="24">
        <v>24.314112305950196</v>
      </c>
      <c r="AD183" s="24">
        <v>15.118096082713397</v>
      </c>
      <c r="AE183" s="24">
        <v>46.345489317608212</v>
      </c>
      <c r="AF183" s="24">
        <v>18.031578530840349</v>
      </c>
      <c r="AG183" s="24">
        <v>11.580733850811328</v>
      </c>
      <c r="AH183" s="24">
        <v>20.656865755076037</v>
      </c>
      <c r="AI183" s="24">
        <v>40.093135736342866</v>
      </c>
      <c r="AJ183" s="24">
        <v>21.336268141034118</v>
      </c>
      <c r="AK183" s="24">
        <v>12.474893174300796</v>
      </c>
      <c r="AL183" s="24">
        <v>13.942224341604463</v>
      </c>
      <c r="AM183" s="24">
        <v>11.434015599852545</v>
      </c>
      <c r="AN183" s="24">
        <v>20.917944449323301</v>
      </c>
      <c r="AO183" s="24">
        <v>32.05733457293119</v>
      </c>
      <c r="AP183" s="24">
        <v>25.979139353723092</v>
      </c>
      <c r="AQ183" s="24">
        <v>17.400947413325845</v>
      </c>
      <c r="AR183" s="24">
        <v>12.399668843921564</v>
      </c>
      <c r="AS183" s="24">
        <v>15.809779516219296</v>
      </c>
      <c r="AT183" s="24">
        <v>17.181847196939053</v>
      </c>
      <c r="AU183" s="24">
        <v>15.997491118758843</v>
      </c>
      <c r="AV183" s="24">
        <v>54.644432735675906</v>
      </c>
      <c r="AW183" s="24">
        <v>26.714491841120434</v>
      </c>
      <c r="AX183" s="24">
        <v>12.216555635364127</v>
      </c>
      <c r="AY183" s="24">
        <v>17.071584869722688</v>
      </c>
    </row>
    <row r="184" spans="1:51" x14ac:dyDescent="0.2">
      <c r="A184" s="23">
        <v>45468</v>
      </c>
      <c r="B184" s="24">
        <v>11.741791288088612</v>
      </c>
      <c r="C184" s="24">
        <v>15.877872920918287</v>
      </c>
      <c r="D184" s="24">
        <v>15.842315990401616</v>
      </c>
      <c r="E184" s="24">
        <v>13.386811505358162</v>
      </c>
      <c r="F184" s="24">
        <v>9.8384384308631461</v>
      </c>
      <c r="G184" s="24">
        <v>13.127475324754627</v>
      </c>
      <c r="H184" s="24">
        <v>23.313430913153887</v>
      </c>
      <c r="I184" s="24">
        <v>27.8035912736024</v>
      </c>
      <c r="J184" s="24">
        <v>17.444483963369589</v>
      </c>
      <c r="K184" s="24">
        <v>36.239778992612941</v>
      </c>
      <c r="L184" s="24">
        <v>14.775869872734573</v>
      </c>
      <c r="M184" s="24">
        <v>11.031879293768462</v>
      </c>
      <c r="N184" s="24">
        <v>29.807947652074915</v>
      </c>
      <c r="O184" s="24">
        <v>26.558587009160455</v>
      </c>
      <c r="P184" s="24">
        <v>14.179902895367928</v>
      </c>
      <c r="Q184" s="24">
        <v>18.808170245349395</v>
      </c>
      <c r="R184" s="24">
        <v>17.566451398232832</v>
      </c>
      <c r="S184" s="24">
        <v>21.066683390398563</v>
      </c>
      <c r="T184" s="24">
        <v>17.604015399745826</v>
      </c>
      <c r="U184" s="24">
        <v>14.708603896237481</v>
      </c>
      <c r="V184" s="24">
        <v>24.436270460118806</v>
      </c>
      <c r="W184" s="24">
        <v>35.7303613628278</v>
      </c>
      <c r="X184" s="24">
        <v>13.130178266849681</v>
      </c>
      <c r="Y184" s="24">
        <v>30.84016251692395</v>
      </c>
      <c r="Z184" s="24">
        <v>60.35043992857868</v>
      </c>
      <c r="AA184" s="24">
        <v>11.826935397566803</v>
      </c>
      <c r="AB184" s="24">
        <v>32.747721177765612</v>
      </c>
      <c r="AC184" s="24">
        <v>24.233615907633716</v>
      </c>
      <c r="AD184" s="24">
        <v>14.062377364377431</v>
      </c>
      <c r="AE184" s="24">
        <v>46.800767196489808</v>
      </c>
      <c r="AF184" s="24">
        <v>17.913464565130063</v>
      </c>
      <c r="AG184" s="24">
        <v>11.545256838086676</v>
      </c>
      <c r="AH184" s="24">
        <v>20.544192028601799</v>
      </c>
      <c r="AI184" s="24">
        <v>41.342934274302678</v>
      </c>
      <c r="AJ184" s="24">
        <v>21.973350932953878</v>
      </c>
      <c r="AK184" s="24">
        <v>12.991549050394765</v>
      </c>
      <c r="AL184" s="24">
        <v>12.699032527876783</v>
      </c>
      <c r="AM184" s="24">
        <v>11.614429819733168</v>
      </c>
      <c r="AN184" s="24">
        <v>20.998087025622418</v>
      </c>
      <c r="AO184" s="24">
        <v>31.693872018308287</v>
      </c>
      <c r="AP184" s="24">
        <v>26.287987578931091</v>
      </c>
      <c r="AQ184" s="24">
        <v>17.114701791506739</v>
      </c>
      <c r="AR184" s="24">
        <v>12.583845999571556</v>
      </c>
      <c r="AS184" s="24">
        <v>15.946771010377079</v>
      </c>
      <c r="AT184" s="24">
        <v>17.549505575171271</v>
      </c>
      <c r="AU184" s="24">
        <v>15.99891538674258</v>
      </c>
      <c r="AV184" s="24">
        <v>55.724605581459542</v>
      </c>
      <c r="AW184" s="24">
        <v>26.843571464500666</v>
      </c>
      <c r="AX184" s="24">
        <v>12.13669287678986</v>
      </c>
      <c r="AY184" s="24">
        <v>16.896596644746356</v>
      </c>
    </row>
    <row r="185" spans="1:51" x14ac:dyDescent="0.2">
      <c r="A185" s="23">
        <v>45467</v>
      </c>
      <c r="B185" s="24">
        <v>11.853237563249433</v>
      </c>
      <c r="C185" s="24">
        <v>15.297065398637566</v>
      </c>
      <c r="D185" s="24">
        <v>16.486823969317609</v>
      </c>
      <c r="E185" s="24">
        <v>15.16558264096483</v>
      </c>
      <c r="F185" s="24">
        <v>9.9108456536894618</v>
      </c>
      <c r="G185" s="24">
        <v>13.128429281494107</v>
      </c>
      <c r="H185" s="24">
        <v>25.240919844030163</v>
      </c>
      <c r="I185" s="24">
        <v>27.807270826355172</v>
      </c>
      <c r="J185" s="24">
        <v>17.796129548696058</v>
      </c>
      <c r="K185" s="24">
        <v>36.50315022810225</v>
      </c>
      <c r="L185" s="24">
        <v>14.018037244644503</v>
      </c>
      <c r="M185" s="24">
        <v>11.292710172341565</v>
      </c>
      <c r="N185" s="24">
        <v>30.28303664060709</v>
      </c>
      <c r="O185" s="24">
        <v>26.767304383291467</v>
      </c>
      <c r="P185" s="24">
        <v>15.409469133331724</v>
      </c>
      <c r="Q185" s="24">
        <v>18.300434033837963</v>
      </c>
      <c r="R185" s="24">
        <v>18.556510453439859</v>
      </c>
      <c r="S185" s="24">
        <v>21.652809307118314</v>
      </c>
      <c r="T185" s="24">
        <v>17.54193687243718</v>
      </c>
      <c r="U185" s="24">
        <v>16.660675708362557</v>
      </c>
      <c r="V185" s="24">
        <v>24.623607261410839</v>
      </c>
      <c r="W185" s="24">
        <v>36.206787163305435</v>
      </c>
      <c r="X185" s="24">
        <v>15.038898475772488</v>
      </c>
      <c r="Y185" s="24">
        <v>31.788731533997773</v>
      </c>
      <c r="Z185" s="24">
        <v>58.693943389186089</v>
      </c>
      <c r="AA185" s="24">
        <v>10.903648468424683</v>
      </c>
      <c r="AB185" s="24">
        <v>33.407921676487668</v>
      </c>
      <c r="AC185" s="24">
        <v>27.262577527652262</v>
      </c>
      <c r="AD185" s="24">
        <v>13.516431714866808</v>
      </c>
      <c r="AE185" s="24">
        <v>43.213857607953365</v>
      </c>
      <c r="AF185" s="24">
        <v>17.305014355882278</v>
      </c>
      <c r="AG185" s="24">
        <v>12.211421652707447</v>
      </c>
      <c r="AH185" s="24">
        <v>20.432877768087561</v>
      </c>
      <c r="AI185" s="24">
        <v>40.156278260522711</v>
      </c>
      <c r="AJ185" s="24">
        <v>21.825794543278736</v>
      </c>
      <c r="AK185" s="24">
        <v>13.55347001093638</v>
      </c>
      <c r="AL185" s="24">
        <v>13.786491103272033</v>
      </c>
      <c r="AM185" s="24">
        <v>13.820738521813785</v>
      </c>
      <c r="AN185" s="24">
        <v>20.941607608975019</v>
      </c>
      <c r="AO185" s="24">
        <v>34.38127436295126</v>
      </c>
      <c r="AP185" s="24">
        <v>27.589511647966212</v>
      </c>
      <c r="AQ185" s="24">
        <v>18.082590101210805</v>
      </c>
      <c r="AR185" s="24">
        <v>13.820040189578526</v>
      </c>
      <c r="AS185" s="24">
        <v>16.03697037891375</v>
      </c>
      <c r="AT185" s="24">
        <v>17.926704702753995</v>
      </c>
      <c r="AU185" s="24">
        <v>16.476741241832691</v>
      </c>
      <c r="AV185" s="24">
        <v>59.314767688257611</v>
      </c>
      <c r="AW185" s="24">
        <v>26.23870705692854</v>
      </c>
      <c r="AX185" s="24">
        <v>12.84234857152101</v>
      </c>
      <c r="AY185" s="24">
        <v>16.595058813764446</v>
      </c>
    </row>
    <row r="186" spans="1:51" x14ac:dyDescent="0.2">
      <c r="A186" s="23">
        <v>45464</v>
      </c>
      <c r="B186" s="24">
        <v>11.818560764637079</v>
      </c>
      <c r="C186" s="24">
        <v>14.962411998401528</v>
      </c>
      <c r="D186" s="24">
        <v>15.783131559005566</v>
      </c>
      <c r="E186" s="24">
        <v>15.23901223102326</v>
      </c>
      <c r="F186" s="24">
        <v>10.132503418596574</v>
      </c>
      <c r="G186" s="24">
        <v>13.386881874982336</v>
      </c>
      <c r="H186" s="24">
        <v>25.241977643133822</v>
      </c>
      <c r="I186" s="24">
        <v>27.700722152824596</v>
      </c>
      <c r="J186" s="24">
        <v>18.620029593960936</v>
      </c>
      <c r="K186" s="24">
        <v>38.386497823229938</v>
      </c>
      <c r="L186" s="24">
        <v>16.276491761435846</v>
      </c>
      <c r="M186" s="24">
        <v>12.656395239349761</v>
      </c>
      <c r="N186" s="24">
        <v>30.1565171692849</v>
      </c>
      <c r="O186" s="24">
        <v>27.668766367852992</v>
      </c>
      <c r="P186" s="24">
        <v>15.417318177796599</v>
      </c>
      <c r="Q186" s="24">
        <v>17.471713141397217</v>
      </c>
      <c r="R186" s="24">
        <v>18.892864999672671</v>
      </c>
      <c r="S186" s="24">
        <v>21.549181803849212</v>
      </c>
      <c r="T186" s="24">
        <v>17.067028000793552</v>
      </c>
      <c r="U186" s="24">
        <v>15.841988205696294</v>
      </c>
      <c r="V186" s="24">
        <v>24.625264504125802</v>
      </c>
      <c r="W186" s="24">
        <v>33.658364687662711</v>
      </c>
      <c r="X186" s="24">
        <v>15.364260007087905</v>
      </c>
      <c r="Y186" s="24">
        <v>31.613532325492997</v>
      </c>
      <c r="Z186" s="24">
        <v>61.6132448599298</v>
      </c>
      <c r="AA186" s="24">
        <v>12.028064931754917</v>
      </c>
      <c r="AB186" s="24">
        <v>35.483247602379684</v>
      </c>
      <c r="AC186" s="24">
        <v>26.535936515114834</v>
      </c>
      <c r="AD186" s="24">
        <v>14.219901777869056</v>
      </c>
      <c r="AE186" s="24">
        <v>47.476824132939967</v>
      </c>
      <c r="AF186" s="24">
        <v>16.741063538656679</v>
      </c>
      <c r="AG186" s="24">
        <v>12.504314664652748</v>
      </c>
      <c r="AH186" s="24">
        <v>21.330260383270655</v>
      </c>
      <c r="AI186" s="24">
        <v>42.5698701630293</v>
      </c>
      <c r="AJ186" s="24">
        <v>21.935887739179389</v>
      </c>
      <c r="AK186" s="24">
        <v>13.528730624579476</v>
      </c>
      <c r="AL186" s="24">
        <v>16.346896262462554</v>
      </c>
      <c r="AM186" s="24">
        <v>14.38681037216174</v>
      </c>
      <c r="AN186" s="24">
        <v>20.509383448427986</v>
      </c>
      <c r="AO186" s="24">
        <v>35.060110622627022</v>
      </c>
      <c r="AP186" s="24">
        <v>26.673098642415283</v>
      </c>
      <c r="AQ186" s="24">
        <v>17.71219698896742</v>
      </c>
      <c r="AR186" s="24">
        <v>13.930718457972619</v>
      </c>
      <c r="AS186" s="24">
        <v>15.341351472222016</v>
      </c>
      <c r="AT186" s="24">
        <v>18.547199107144408</v>
      </c>
      <c r="AU186" s="24">
        <v>15.620666911096492</v>
      </c>
      <c r="AV186" s="24">
        <v>58.159003218166248</v>
      </c>
      <c r="AW186" s="24">
        <v>26.200039229034306</v>
      </c>
      <c r="AX186" s="24">
        <v>12.749499958995498</v>
      </c>
      <c r="AY186" s="24">
        <v>16.340165365047437</v>
      </c>
    </row>
    <row r="187" spans="1:51" x14ac:dyDescent="0.2">
      <c r="A187" s="23">
        <v>45463</v>
      </c>
      <c r="B187" s="24">
        <v>11.875334580394805</v>
      </c>
      <c r="C187" s="24">
        <v>14.11202614924686</v>
      </c>
      <c r="D187" s="24">
        <v>15.259455346509368</v>
      </c>
      <c r="E187" s="24">
        <v>15.122315435367577</v>
      </c>
      <c r="F187" s="24">
        <v>10.471982046256914</v>
      </c>
      <c r="G187" s="24">
        <v>13.325128337401713</v>
      </c>
      <c r="H187" s="24">
        <v>25.541109562668527</v>
      </c>
      <c r="I187" s="24">
        <v>27.449066622459576</v>
      </c>
      <c r="J187" s="24">
        <v>19.048679945045727</v>
      </c>
      <c r="K187" s="24">
        <v>38.654376457454418</v>
      </c>
      <c r="L187" s="24">
        <v>16.273403537075772</v>
      </c>
      <c r="M187" s="24">
        <v>12.818998734852704</v>
      </c>
      <c r="N187" s="24">
        <v>30.493086219691573</v>
      </c>
      <c r="O187" s="24">
        <v>27.192214073697802</v>
      </c>
      <c r="P187" s="24">
        <v>14.976285468154257</v>
      </c>
      <c r="Q187" s="24">
        <v>17.416274538077275</v>
      </c>
      <c r="R187" s="24">
        <v>18.927765444668548</v>
      </c>
      <c r="S187" s="24">
        <v>21.511354958980881</v>
      </c>
      <c r="T187" s="24">
        <v>16.885974548946169</v>
      </c>
      <c r="U187" s="24">
        <v>15.859864000888367</v>
      </c>
      <c r="V187" s="24">
        <v>24.630142871957151</v>
      </c>
      <c r="W187" s="24">
        <v>35.685943742065646</v>
      </c>
      <c r="X187" s="24">
        <v>15.260544885861783</v>
      </c>
      <c r="Y187" s="24">
        <v>33.238688220390493</v>
      </c>
      <c r="Z187" s="24">
        <v>61.501663157905625</v>
      </c>
      <c r="AA187" s="24">
        <v>14.125530842362215</v>
      </c>
      <c r="AB187" s="24">
        <v>35.313142606059159</v>
      </c>
      <c r="AC187" s="24">
        <v>25.134147024577086</v>
      </c>
      <c r="AD187" s="24">
        <v>15.646854614157185</v>
      </c>
      <c r="AE187" s="24">
        <v>49.135385182795126</v>
      </c>
      <c r="AF187" s="24">
        <v>17.384907205364964</v>
      </c>
      <c r="AG187" s="24">
        <v>12.494440090961797</v>
      </c>
      <c r="AH187" s="24">
        <v>21.987219229257452</v>
      </c>
      <c r="AI187" s="24">
        <v>42.990757460063705</v>
      </c>
      <c r="AJ187" s="24">
        <v>21.798765435380755</v>
      </c>
      <c r="AK187" s="24">
        <v>14.602869315732621</v>
      </c>
      <c r="AL187" s="24">
        <v>16.380669069765826</v>
      </c>
      <c r="AM187" s="24">
        <v>14.743520904332048</v>
      </c>
      <c r="AN187" s="24">
        <v>18.473328179497557</v>
      </c>
      <c r="AO187" s="24">
        <v>35.027592553932138</v>
      </c>
      <c r="AP187" s="24">
        <v>26.685017022610928</v>
      </c>
      <c r="AQ187" s="24">
        <v>17.849729815872227</v>
      </c>
      <c r="AR187" s="24">
        <v>14.430178166861811</v>
      </c>
      <c r="AS187" s="24">
        <v>16.596615541830737</v>
      </c>
      <c r="AT187" s="24">
        <v>19.040906975079086</v>
      </c>
      <c r="AU187" s="24">
        <v>17.176967964649116</v>
      </c>
      <c r="AV187" s="24">
        <v>58.122310366098638</v>
      </c>
      <c r="AW187" s="24">
        <v>26.258401708975871</v>
      </c>
      <c r="AX187" s="24">
        <v>12.949998127888628</v>
      </c>
      <c r="AY187" s="24">
        <v>16.371409743015853</v>
      </c>
    </row>
    <row r="188" spans="1:51" x14ac:dyDescent="0.2">
      <c r="A188" s="23">
        <v>45462</v>
      </c>
      <c r="B188" s="24">
        <v>11.822493744431025</v>
      </c>
      <c r="C188" s="24">
        <v>14.017020600643358</v>
      </c>
      <c r="D188" s="24">
        <v>15.197485753695515</v>
      </c>
      <c r="E188" s="24">
        <v>15.255944749053119</v>
      </c>
      <c r="F188" s="24">
        <v>10.344021999482768</v>
      </c>
      <c r="G188" s="24">
        <v>13.403828146602283</v>
      </c>
      <c r="H188" s="24">
        <v>24.885729841274266</v>
      </c>
      <c r="I188" s="24">
        <v>28.380120370350301</v>
      </c>
      <c r="J188" s="24">
        <v>19.058087042973924</v>
      </c>
      <c r="K188" s="24">
        <v>38.579166613740227</v>
      </c>
      <c r="L188" s="24">
        <v>16.239467077308166</v>
      </c>
      <c r="M188" s="24">
        <v>12.618868853430472</v>
      </c>
      <c r="N188" s="24">
        <v>30.560007767416195</v>
      </c>
      <c r="O188" s="24">
        <v>25.89178134531172</v>
      </c>
      <c r="P188" s="24">
        <v>15.190595374486438</v>
      </c>
      <c r="Q188" s="24">
        <v>17.523119020809144</v>
      </c>
      <c r="R188" s="24">
        <v>18.085473256790106</v>
      </c>
      <c r="S188" s="24">
        <v>22.041783570276003</v>
      </c>
      <c r="T188" s="24">
        <v>16.686280473105146</v>
      </c>
      <c r="U188" s="24">
        <v>16.012873547612585</v>
      </c>
      <c r="V188" s="24">
        <v>24.704612703048543</v>
      </c>
      <c r="W188" s="24">
        <v>34.988763971859441</v>
      </c>
      <c r="X188" s="24">
        <v>14.521694344830074</v>
      </c>
      <c r="Y188" s="24">
        <v>32.894906714517369</v>
      </c>
      <c r="Z188" s="24">
        <v>61.797343948696295</v>
      </c>
      <c r="AA188" s="24">
        <v>14.117571173032546</v>
      </c>
      <c r="AB188" s="24">
        <v>35.249329892914119</v>
      </c>
      <c r="AC188" s="24">
        <v>25.441497297493697</v>
      </c>
      <c r="AD188" s="24">
        <v>14.532201481225306</v>
      </c>
      <c r="AE188" s="24">
        <v>48.684645188704813</v>
      </c>
      <c r="AF188" s="24">
        <v>16.431599067122416</v>
      </c>
      <c r="AG188" s="24">
        <v>13.541791009572895</v>
      </c>
      <c r="AH188" s="24">
        <v>21.854587985433188</v>
      </c>
      <c r="AI188" s="24">
        <v>42.512554923032802</v>
      </c>
      <c r="AJ188" s="24">
        <v>21.1124111792336</v>
      </c>
      <c r="AK188" s="24">
        <v>14.655069358525861</v>
      </c>
      <c r="AL188" s="24">
        <v>16.374275518058827</v>
      </c>
      <c r="AM188" s="24">
        <v>15.561102281206084</v>
      </c>
      <c r="AN188" s="24">
        <v>18.429284932935023</v>
      </c>
      <c r="AO188" s="24">
        <v>35.418073391530349</v>
      </c>
      <c r="AP188" s="24">
        <v>27.506143821349731</v>
      </c>
      <c r="AQ188" s="24">
        <v>17.861443481200197</v>
      </c>
      <c r="AR188" s="24">
        <v>14.310603379269594</v>
      </c>
      <c r="AS188" s="24">
        <v>18.465611796498933</v>
      </c>
      <c r="AT188" s="24">
        <v>19.210911270670444</v>
      </c>
      <c r="AU188" s="24">
        <v>20.890022369617103</v>
      </c>
      <c r="AV188" s="24">
        <v>57.224605418427934</v>
      </c>
      <c r="AW188" s="24">
        <v>23.29463680388556</v>
      </c>
      <c r="AX188" s="24">
        <v>13.549240877639814</v>
      </c>
      <c r="AY188" s="24">
        <v>16.719916955831224</v>
      </c>
    </row>
    <row r="189" spans="1:51" x14ac:dyDescent="0.2">
      <c r="A189" s="23">
        <v>45461</v>
      </c>
      <c r="B189" s="24">
        <v>11.65613496552206</v>
      </c>
      <c r="C189" s="24">
        <v>13.32743950303062</v>
      </c>
      <c r="D189" s="24">
        <v>15.16645170851222</v>
      </c>
      <c r="E189" s="24">
        <v>14.758195849792369</v>
      </c>
      <c r="F189" s="24">
        <v>9.4406620386525706</v>
      </c>
      <c r="G189" s="24">
        <v>13.398480755954688</v>
      </c>
      <c r="H189" s="24">
        <v>24.398969135983656</v>
      </c>
      <c r="I189" s="24">
        <v>28.43262325843963</v>
      </c>
      <c r="J189" s="24">
        <v>18.130950415145314</v>
      </c>
      <c r="K189" s="24">
        <v>39.364567112283943</v>
      </c>
      <c r="L189" s="24">
        <v>16.126870916519561</v>
      </c>
      <c r="M189" s="24">
        <v>12.079274569879217</v>
      </c>
      <c r="N189" s="24">
        <v>29.307398412409551</v>
      </c>
      <c r="O189" s="24">
        <v>27.071559621115458</v>
      </c>
      <c r="P189" s="24">
        <v>14.393139824008504</v>
      </c>
      <c r="Q189" s="24">
        <v>17.428450108855042</v>
      </c>
      <c r="R189" s="24">
        <v>17.742826397770962</v>
      </c>
      <c r="S189" s="24">
        <v>21.663297331398034</v>
      </c>
      <c r="T189" s="24">
        <v>16.304633827608285</v>
      </c>
      <c r="U189" s="24">
        <v>15.264213909758755</v>
      </c>
      <c r="V189" s="24">
        <v>22.438684826399314</v>
      </c>
      <c r="W189" s="24">
        <v>34.87837599355661</v>
      </c>
      <c r="X189" s="24">
        <v>14.107324775238769</v>
      </c>
      <c r="Y189" s="24">
        <v>34.181165726727265</v>
      </c>
      <c r="Z189" s="24">
        <v>62.291451374114523</v>
      </c>
      <c r="AA189" s="24">
        <v>13.828600311337077</v>
      </c>
      <c r="AB189" s="24">
        <v>36.434534856380004</v>
      </c>
      <c r="AC189" s="24">
        <v>25.695605543967954</v>
      </c>
      <c r="AD189" s="24">
        <v>13.847292044552923</v>
      </c>
      <c r="AE189" s="24">
        <v>50.771473499869181</v>
      </c>
      <c r="AF189" s="24">
        <v>16.284021840586867</v>
      </c>
      <c r="AG189" s="24">
        <v>12.94898654613932</v>
      </c>
      <c r="AH189" s="24">
        <v>21.884272151579101</v>
      </c>
      <c r="AI189" s="24">
        <v>42.441718754435499</v>
      </c>
      <c r="AJ189" s="24">
        <v>20.673982608753121</v>
      </c>
      <c r="AK189" s="24">
        <v>14.757071339968952</v>
      </c>
      <c r="AL189" s="24">
        <v>16.355269519363006</v>
      </c>
      <c r="AM189" s="24">
        <v>15.655038496864783</v>
      </c>
      <c r="AN189" s="24">
        <v>18.429369629945057</v>
      </c>
      <c r="AO189" s="24">
        <v>34.825950596543265</v>
      </c>
      <c r="AP189" s="24">
        <v>26.948436784433877</v>
      </c>
      <c r="AQ189" s="24">
        <v>17.586665068919039</v>
      </c>
      <c r="AR189" s="24">
        <v>15.254721010851352</v>
      </c>
      <c r="AS189" s="24">
        <v>19.641584989225034</v>
      </c>
      <c r="AT189" s="24">
        <v>19.282220221903724</v>
      </c>
      <c r="AU189" s="24">
        <v>21.058340150530661</v>
      </c>
      <c r="AV189" s="24">
        <v>57.429061101336899</v>
      </c>
      <c r="AW189" s="24">
        <v>21.104103860779922</v>
      </c>
      <c r="AX189" s="24">
        <v>13.542222730909561</v>
      </c>
      <c r="AY189" s="24">
        <v>18.313309554633317</v>
      </c>
    </row>
    <row r="190" spans="1:51" x14ac:dyDescent="0.2">
      <c r="A190" s="23">
        <v>45460</v>
      </c>
      <c r="B190" s="24">
        <v>11.585710140677055</v>
      </c>
      <c r="C190" s="24">
        <v>13.074492370837296</v>
      </c>
      <c r="D190" s="24">
        <v>15.177248940506729</v>
      </c>
      <c r="E190" s="24">
        <v>14.456133721458118</v>
      </c>
      <c r="F190" s="24">
        <v>9.4067610922252314</v>
      </c>
      <c r="G190" s="24">
        <v>13.437228164812151</v>
      </c>
      <c r="H190" s="24">
        <v>26.343826472069811</v>
      </c>
      <c r="I190" s="24">
        <v>28.007444473633143</v>
      </c>
      <c r="J190" s="24">
        <v>18.355730392224686</v>
      </c>
      <c r="K190" s="24">
        <v>39.156023268409363</v>
      </c>
      <c r="L190" s="24">
        <v>16.767778544298562</v>
      </c>
      <c r="M190" s="24">
        <v>12.280318040389686</v>
      </c>
      <c r="N190" s="24">
        <v>30.747521535477343</v>
      </c>
      <c r="O190" s="24">
        <v>28.177856925076728</v>
      </c>
      <c r="P190" s="24">
        <v>14.388111672349693</v>
      </c>
      <c r="Q190" s="24">
        <v>17.326629534512215</v>
      </c>
      <c r="R190" s="24">
        <v>18.214009929105632</v>
      </c>
      <c r="S190" s="24">
        <v>22.660778196036642</v>
      </c>
      <c r="T190" s="24">
        <v>16.843765698390882</v>
      </c>
      <c r="U190" s="24">
        <v>15.246926017444208</v>
      </c>
      <c r="V190" s="24">
        <v>22.166546918528365</v>
      </c>
      <c r="W190" s="24">
        <v>34.87487829649308</v>
      </c>
      <c r="X190" s="24">
        <v>14.533901227583595</v>
      </c>
      <c r="Y190" s="24">
        <v>37.277261360612137</v>
      </c>
      <c r="Z190" s="24">
        <v>61.235578149271866</v>
      </c>
      <c r="AA190" s="24">
        <v>13.954995137633523</v>
      </c>
      <c r="AB190" s="24">
        <v>35.993003886272021</v>
      </c>
      <c r="AC190" s="24">
        <v>25.041677127145295</v>
      </c>
      <c r="AD190" s="24">
        <v>13.797872083471681</v>
      </c>
      <c r="AE190" s="24">
        <v>51.17870156110358</v>
      </c>
      <c r="AF190" s="24">
        <v>16.13612676302467</v>
      </c>
      <c r="AG190" s="24">
        <v>14.859889613745343</v>
      </c>
      <c r="AH190" s="24">
        <v>21.701546243744254</v>
      </c>
      <c r="AI190" s="24">
        <v>42.07991518330774</v>
      </c>
      <c r="AJ190" s="24">
        <v>21.402145108483097</v>
      </c>
      <c r="AK190" s="24">
        <v>14.572637715446579</v>
      </c>
      <c r="AL190" s="24">
        <v>19.66321187096683</v>
      </c>
      <c r="AM190" s="24">
        <v>15.426325675945328</v>
      </c>
      <c r="AN190" s="24">
        <v>17.779951256708294</v>
      </c>
      <c r="AO190" s="24">
        <v>34.875634671548106</v>
      </c>
      <c r="AP190" s="24">
        <v>29.722842044015945</v>
      </c>
      <c r="AQ190" s="24">
        <v>17.71432782130789</v>
      </c>
      <c r="AR190" s="24">
        <v>15.255904789808481</v>
      </c>
      <c r="AS190" s="24">
        <v>20.049257049918559</v>
      </c>
      <c r="AT190" s="24">
        <v>18.387625022926382</v>
      </c>
      <c r="AU190" s="24">
        <v>20.990971376172087</v>
      </c>
      <c r="AV190" s="24">
        <v>56.711203236109185</v>
      </c>
      <c r="AW190" s="24">
        <v>21.209483394823483</v>
      </c>
      <c r="AX190" s="24">
        <v>14.113549008288704</v>
      </c>
      <c r="AY190" s="24">
        <v>18.465802933807819</v>
      </c>
    </row>
    <row r="191" spans="1:51" x14ac:dyDescent="0.2">
      <c r="A191" s="23">
        <v>45457</v>
      </c>
      <c r="B191" s="24">
        <v>11.28499365856233</v>
      </c>
      <c r="C191" s="24">
        <v>13.602062494642931</v>
      </c>
      <c r="D191" s="24">
        <v>13.570668622425291</v>
      </c>
      <c r="E191" s="24">
        <v>12.410205548845823</v>
      </c>
      <c r="F191" s="24">
        <v>9.0536906484801829</v>
      </c>
      <c r="G191" s="24">
        <v>12.962279998124066</v>
      </c>
      <c r="H191" s="24">
        <v>25.798760100773801</v>
      </c>
      <c r="I191" s="24">
        <v>27.891011960971845</v>
      </c>
      <c r="J191" s="24">
        <v>19.751304414788525</v>
      </c>
      <c r="K191" s="24">
        <v>39.037665646923713</v>
      </c>
      <c r="L191" s="24">
        <v>18.294954384169912</v>
      </c>
      <c r="M191" s="24">
        <v>22.153711433366592</v>
      </c>
      <c r="N191" s="24">
        <v>30.386555958447566</v>
      </c>
      <c r="O191" s="24">
        <v>26.902213418584303</v>
      </c>
      <c r="P191" s="24">
        <v>14.60754777712161</v>
      </c>
      <c r="Q191" s="24">
        <v>17.599039255116494</v>
      </c>
      <c r="R191" s="24">
        <v>16.259136144320795</v>
      </c>
      <c r="S191" s="24">
        <v>22.872930572802513</v>
      </c>
      <c r="T191" s="24">
        <v>18.417653782014199</v>
      </c>
      <c r="U191" s="24">
        <v>15.585476712480597</v>
      </c>
      <c r="V191" s="24">
        <v>22.063335794320416</v>
      </c>
      <c r="W191" s="24">
        <v>34.073799021335432</v>
      </c>
      <c r="X191" s="24">
        <v>15.880534309362904</v>
      </c>
      <c r="Y191" s="24">
        <v>38.910047051568675</v>
      </c>
      <c r="Z191" s="24">
        <v>61.186577206133457</v>
      </c>
      <c r="AA191" s="24">
        <v>16.099527918900183</v>
      </c>
      <c r="AB191" s="24">
        <v>36.517264887146538</v>
      </c>
      <c r="AC191" s="24">
        <v>25.352360971617024</v>
      </c>
      <c r="AD191" s="24">
        <v>15.823595760916662</v>
      </c>
      <c r="AE191" s="24">
        <v>50.685341030226006</v>
      </c>
      <c r="AF191" s="24">
        <v>15.369807755428939</v>
      </c>
      <c r="AG191" s="24">
        <v>15.976061429173381</v>
      </c>
      <c r="AH191" s="24">
        <v>21.790715489209038</v>
      </c>
      <c r="AI191" s="24">
        <v>34.332031590934832</v>
      </c>
      <c r="AJ191" s="24">
        <v>20.480813649137573</v>
      </c>
      <c r="AK191" s="24">
        <v>15.035631371838386</v>
      </c>
      <c r="AL191" s="24">
        <v>23.373998744095022</v>
      </c>
      <c r="AM191" s="24">
        <v>16.600898709198361</v>
      </c>
      <c r="AN191" s="24">
        <v>18.407237582175203</v>
      </c>
      <c r="AO191" s="24">
        <v>33.727570817612808</v>
      </c>
      <c r="AP191" s="24">
        <v>29.70790374267893</v>
      </c>
      <c r="AQ191" s="24">
        <v>17.179301343428531</v>
      </c>
      <c r="AR191" s="24">
        <v>17.404720162287379</v>
      </c>
      <c r="AS191" s="24">
        <v>20.797718982668179</v>
      </c>
      <c r="AT191" s="24">
        <v>21.582924479189089</v>
      </c>
      <c r="AU191" s="24">
        <v>21.68937905369441</v>
      </c>
      <c r="AV191" s="24">
        <v>56.461745107079167</v>
      </c>
      <c r="AW191" s="24">
        <v>22.17157588548557</v>
      </c>
      <c r="AX191" s="24">
        <v>14.636024727267431</v>
      </c>
      <c r="AY191" s="24">
        <v>24.099618603147995</v>
      </c>
    </row>
    <row r="192" spans="1:51" x14ac:dyDescent="0.2">
      <c r="A192" s="23">
        <v>45456</v>
      </c>
      <c r="B192" s="24">
        <v>10.55392630343851</v>
      </c>
      <c r="C192" s="24">
        <v>13.748044460910831</v>
      </c>
      <c r="D192" s="24">
        <v>13.419445318123714</v>
      </c>
      <c r="E192" s="24">
        <v>13.164256556032834</v>
      </c>
      <c r="F192" s="24">
        <v>11.080651558404183</v>
      </c>
      <c r="G192" s="24">
        <v>12.963272338696795</v>
      </c>
      <c r="H192" s="24">
        <v>25.726504895647427</v>
      </c>
      <c r="I192" s="24">
        <v>28.242735832366176</v>
      </c>
      <c r="J192" s="24">
        <v>20.634993913723104</v>
      </c>
      <c r="K192" s="24">
        <v>39.158160010586393</v>
      </c>
      <c r="L192" s="24">
        <v>17.330164345896211</v>
      </c>
      <c r="M192" s="24">
        <v>23.984549762253398</v>
      </c>
      <c r="N192" s="24">
        <v>29.367420441894524</v>
      </c>
      <c r="O192" s="24">
        <v>27.557206291459256</v>
      </c>
      <c r="P192" s="24">
        <v>14.600392957842674</v>
      </c>
      <c r="Q192" s="24">
        <v>13.113025747362826</v>
      </c>
      <c r="R192" s="24">
        <v>16.269113176592029</v>
      </c>
      <c r="S192" s="24">
        <v>20.260588823510894</v>
      </c>
      <c r="T192" s="24">
        <v>19.613193632035461</v>
      </c>
      <c r="U192" s="24">
        <v>16.335573173089418</v>
      </c>
      <c r="V192" s="24">
        <v>18.519865700321443</v>
      </c>
      <c r="W192" s="24">
        <v>33.242271165181556</v>
      </c>
      <c r="X192" s="24">
        <v>16.592137023967222</v>
      </c>
      <c r="Y192" s="24">
        <v>38.26278283509145</v>
      </c>
      <c r="Z192" s="24">
        <v>61.312517414977229</v>
      </c>
      <c r="AA192" s="24">
        <v>14.266302336062669</v>
      </c>
      <c r="AB192" s="24">
        <v>36.662258325758366</v>
      </c>
      <c r="AC192" s="24">
        <v>26.307543379124851</v>
      </c>
      <c r="AD192" s="24">
        <v>15.244143613603862</v>
      </c>
      <c r="AE192" s="24">
        <v>52.070815439083674</v>
      </c>
      <c r="AF192" s="24">
        <v>14.714197822964131</v>
      </c>
      <c r="AG192" s="24">
        <v>16.885224795841211</v>
      </c>
      <c r="AH192" s="24">
        <v>21.534993205871697</v>
      </c>
      <c r="AI192" s="24">
        <v>34.569598649627039</v>
      </c>
      <c r="AJ192" s="24">
        <v>20.51925277731355</v>
      </c>
      <c r="AK192" s="24">
        <v>14.928141518646994</v>
      </c>
      <c r="AL192" s="24">
        <v>23.844858418539637</v>
      </c>
      <c r="AM192" s="24">
        <v>16.133697140333247</v>
      </c>
      <c r="AN192" s="24">
        <v>14.444484322775564</v>
      </c>
      <c r="AO192" s="24">
        <v>32.772192262704628</v>
      </c>
      <c r="AP192" s="24">
        <v>28.347589234054347</v>
      </c>
      <c r="AQ192" s="24">
        <v>15.897604627141492</v>
      </c>
      <c r="AR192" s="24">
        <v>20.424914983018265</v>
      </c>
      <c r="AS192" s="24">
        <v>20.011637821762374</v>
      </c>
      <c r="AT192" s="24">
        <v>22.669024423076923</v>
      </c>
      <c r="AU192" s="24">
        <v>21.41836567429015</v>
      </c>
      <c r="AV192" s="24">
        <v>56.646871726639276</v>
      </c>
      <c r="AW192" s="24">
        <v>21.303902581995274</v>
      </c>
      <c r="AX192" s="24">
        <v>14.38245766236475</v>
      </c>
      <c r="AY192" s="24">
        <v>24.191661858277591</v>
      </c>
    </row>
    <row r="193" spans="1:51" x14ac:dyDescent="0.2">
      <c r="A193" s="23">
        <v>45455</v>
      </c>
      <c r="B193" s="24">
        <v>10.403147164324915</v>
      </c>
      <c r="C193" s="24">
        <v>13.596302477004901</v>
      </c>
      <c r="D193" s="24">
        <v>12.529334271486373</v>
      </c>
      <c r="E193" s="24">
        <v>12.94548520126239</v>
      </c>
      <c r="F193" s="24">
        <v>11.081310022351596</v>
      </c>
      <c r="G193" s="24">
        <v>12.655478292000007</v>
      </c>
      <c r="H193" s="24">
        <v>25.556261599990279</v>
      </c>
      <c r="I193" s="24">
        <v>28.251233492917283</v>
      </c>
      <c r="J193" s="24">
        <v>20.636435709053561</v>
      </c>
      <c r="K193" s="24">
        <v>38.751844880202157</v>
      </c>
      <c r="L193" s="24">
        <v>17.462663113892152</v>
      </c>
      <c r="M193" s="24">
        <v>24.261801333484911</v>
      </c>
      <c r="N193" s="24">
        <v>30.205052928921635</v>
      </c>
      <c r="O193" s="24">
        <v>27.588150611977678</v>
      </c>
      <c r="P193" s="24">
        <v>14.640821305065083</v>
      </c>
      <c r="Q193" s="24">
        <v>13.396239350546555</v>
      </c>
      <c r="R193" s="24">
        <v>15.827791186312416</v>
      </c>
      <c r="S193" s="24">
        <v>22.357773034637624</v>
      </c>
      <c r="T193" s="24">
        <v>18.459247146122173</v>
      </c>
      <c r="U193" s="24">
        <v>16.16454199834979</v>
      </c>
      <c r="V193" s="24">
        <v>17.896237717459602</v>
      </c>
      <c r="W193" s="24">
        <v>34.848101862201553</v>
      </c>
      <c r="X193" s="24">
        <v>16.595339420457517</v>
      </c>
      <c r="Y193" s="24">
        <v>37.654751396158076</v>
      </c>
      <c r="Z193" s="24">
        <v>57.961038518741475</v>
      </c>
      <c r="AA193" s="24">
        <v>14.915200398161234</v>
      </c>
      <c r="AB193" s="24">
        <v>36.409912623211255</v>
      </c>
      <c r="AC193" s="24">
        <v>25.698077521734664</v>
      </c>
      <c r="AD193" s="24">
        <v>17.424824985795297</v>
      </c>
      <c r="AE193" s="24">
        <v>51.758400452148116</v>
      </c>
      <c r="AF193" s="24">
        <v>14.451328656328117</v>
      </c>
      <c r="AG193" s="24">
        <v>16.88159947100862</v>
      </c>
      <c r="AH193" s="24">
        <v>21.594305124501151</v>
      </c>
      <c r="AI193" s="24">
        <v>34.964794371631427</v>
      </c>
      <c r="AJ193" s="24">
        <v>20.899780984559339</v>
      </c>
      <c r="AK193" s="24">
        <v>14.972181290428853</v>
      </c>
      <c r="AL193" s="24">
        <v>24.29092413000572</v>
      </c>
      <c r="AM193" s="24">
        <v>16.417080985681292</v>
      </c>
      <c r="AN193" s="24">
        <v>14.22198045283614</v>
      </c>
      <c r="AO193" s="24">
        <v>32.944501303552208</v>
      </c>
      <c r="AP193" s="24">
        <v>28.157582902422593</v>
      </c>
      <c r="AQ193" s="24">
        <v>15.676815103847291</v>
      </c>
      <c r="AR193" s="24">
        <v>20.423985025767369</v>
      </c>
      <c r="AS193" s="24">
        <v>20.16534494060021</v>
      </c>
      <c r="AT193" s="24">
        <v>22.444200343274456</v>
      </c>
      <c r="AU193" s="24">
        <v>21.447929333592423</v>
      </c>
      <c r="AV193" s="24">
        <v>56.639567813198155</v>
      </c>
      <c r="AW193" s="24">
        <v>20.189246639194437</v>
      </c>
      <c r="AX193" s="24">
        <v>14.167248661370525</v>
      </c>
      <c r="AY193" s="24">
        <v>23.613625198095139</v>
      </c>
    </row>
    <row r="194" spans="1:51" x14ac:dyDescent="0.2">
      <c r="A194" s="23">
        <v>45454</v>
      </c>
      <c r="B194" s="24">
        <v>10.407055781108477</v>
      </c>
      <c r="C194" s="24">
        <v>13.450623210101595</v>
      </c>
      <c r="D194" s="24">
        <v>12.952041556218633</v>
      </c>
      <c r="E194" s="24">
        <v>13.251747317952109</v>
      </c>
      <c r="F194" s="24">
        <v>11.375720964198106</v>
      </c>
      <c r="G194" s="24">
        <v>12.420554613253163</v>
      </c>
      <c r="H194" s="24">
        <v>24.875157917254516</v>
      </c>
      <c r="I194" s="24">
        <v>27.815965786054285</v>
      </c>
      <c r="J194" s="24">
        <v>21.054213412075502</v>
      </c>
      <c r="K194" s="24">
        <v>38.641300368180588</v>
      </c>
      <c r="L194" s="24">
        <v>18.111318130128307</v>
      </c>
      <c r="M194" s="24">
        <v>24.160834982316224</v>
      </c>
      <c r="N194" s="24">
        <v>26.944162086022068</v>
      </c>
      <c r="O194" s="24">
        <v>26.966376324644031</v>
      </c>
      <c r="P194" s="24">
        <v>14.639521354661115</v>
      </c>
      <c r="Q194" s="24">
        <v>13.57974486652404</v>
      </c>
      <c r="R194" s="24">
        <v>15.58462991604871</v>
      </c>
      <c r="S194" s="24">
        <v>23.800401229716304</v>
      </c>
      <c r="T194" s="24">
        <v>18.588111349969857</v>
      </c>
      <c r="U194" s="24">
        <v>15.807092745481159</v>
      </c>
      <c r="V194" s="24">
        <v>18.186898609181902</v>
      </c>
      <c r="W194" s="24">
        <v>33.590601412094898</v>
      </c>
      <c r="X194" s="24">
        <v>16.372938517315248</v>
      </c>
      <c r="Y194" s="24">
        <v>37.931206412619289</v>
      </c>
      <c r="Z194" s="24">
        <v>58.017574452955792</v>
      </c>
      <c r="AA194" s="24">
        <v>14.956610863674603</v>
      </c>
      <c r="AB194" s="24">
        <v>36.368335762497537</v>
      </c>
      <c r="AC194" s="24">
        <v>25.862652044528666</v>
      </c>
      <c r="AD194" s="24">
        <v>17.320807378303027</v>
      </c>
      <c r="AE194" s="24">
        <v>51.964464668845416</v>
      </c>
      <c r="AF194" s="24">
        <v>12.933401909794553</v>
      </c>
      <c r="AG194" s="24">
        <v>17.227093465772015</v>
      </c>
      <c r="AH194" s="24">
        <v>20.849906421067313</v>
      </c>
      <c r="AI194" s="24">
        <v>30.893392999461682</v>
      </c>
      <c r="AJ194" s="24">
        <v>20.5135587453731</v>
      </c>
      <c r="AK194" s="24">
        <v>15.029070877176457</v>
      </c>
      <c r="AL194" s="24">
        <v>24.027252624343731</v>
      </c>
      <c r="AM194" s="24">
        <v>16.309181746149129</v>
      </c>
      <c r="AN194" s="24">
        <v>14.086971726736307</v>
      </c>
      <c r="AO194" s="24">
        <v>32.792207954224466</v>
      </c>
      <c r="AP194" s="24">
        <v>28.492997717023819</v>
      </c>
      <c r="AQ194" s="24">
        <v>16.921948088669545</v>
      </c>
      <c r="AR194" s="24">
        <v>20.50407277362855</v>
      </c>
      <c r="AS194" s="24">
        <v>19.96662257926473</v>
      </c>
      <c r="AT194" s="24">
        <v>22.478952088314855</v>
      </c>
      <c r="AU194" s="24">
        <v>20.764489025493379</v>
      </c>
      <c r="AV194" s="24">
        <v>56.462471488331673</v>
      </c>
      <c r="AW194" s="24">
        <v>19.310879589904342</v>
      </c>
      <c r="AX194" s="24">
        <v>14.137222923834473</v>
      </c>
      <c r="AY194" s="24">
        <v>24.089787540841137</v>
      </c>
    </row>
    <row r="195" spans="1:51" x14ac:dyDescent="0.2">
      <c r="A195" s="23">
        <v>45450</v>
      </c>
      <c r="B195" s="24">
        <v>8.8514923492121582</v>
      </c>
      <c r="C195" s="24">
        <v>10.617451509786621</v>
      </c>
      <c r="D195" s="24">
        <v>10.235092186676269</v>
      </c>
      <c r="E195" s="24">
        <v>13.246135301422369</v>
      </c>
      <c r="F195" s="24">
        <v>10.597753160730806</v>
      </c>
      <c r="G195" s="24">
        <v>11.067879064599273</v>
      </c>
      <c r="H195" s="24">
        <v>24.23810835545877</v>
      </c>
      <c r="I195" s="24">
        <v>27.583773365074247</v>
      </c>
      <c r="J195" s="24">
        <v>20.675067529670279</v>
      </c>
      <c r="K195" s="24">
        <v>36.774381915012171</v>
      </c>
      <c r="L195" s="24">
        <v>18.130081798402106</v>
      </c>
      <c r="M195" s="24">
        <v>24.149593560686661</v>
      </c>
      <c r="N195" s="24">
        <v>27.122607317734719</v>
      </c>
      <c r="O195" s="24">
        <v>26.187687014432271</v>
      </c>
      <c r="P195" s="24">
        <v>12.75382722903506</v>
      </c>
      <c r="Q195" s="24">
        <v>13.134400335666575</v>
      </c>
      <c r="R195" s="24">
        <v>14.433301718018161</v>
      </c>
      <c r="S195" s="24">
        <v>24.368966062066498</v>
      </c>
      <c r="T195" s="24">
        <v>17.762976295992264</v>
      </c>
      <c r="U195" s="24">
        <v>12.91709639055324</v>
      </c>
      <c r="V195" s="24">
        <v>14.505109871213145</v>
      </c>
      <c r="W195" s="24">
        <v>31.79239702313938</v>
      </c>
      <c r="X195" s="24">
        <v>16.197057748188016</v>
      </c>
      <c r="Y195" s="24">
        <v>36.334626875968247</v>
      </c>
      <c r="Z195" s="24">
        <v>57.806950712999864</v>
      </c>
      <c r="AA195" s="24">
        <v>14.981526885497024</v>
      </c>
      <c r="AB195" s="24">
        <v>32.058081665129656</v>
      </c>
      <c r="AC195" s="24">
        <v>22.38460032525257</v>
      </c>
      <c r="AD195" s="24">
        <v>17.37993428523756</v>
      </c>
      <c r="AE195" s="24">
        <v>50.40849745384341</v>
      </c>
      <c r="AF195" s="24">
        <v>12.436268352377423</v>
      </c>
      <c r="AG195" s="24">
        <v>15.461634452542679</v>
      </c>
      <c r="AH195" s="24">
        <v>20.756903605230672</v>
      </c>
      <c r="AI195" s="24">
        <v>32.542040719296345</v>
      </c>
      <c r="AJ195" s="24">
        <v>20.42160945506555</v>
      </c>
      <c r="AK195" s="24">
        <v>14.757414166113865</v>
      </c>
      <c r="AL195" s="24">
        <v>23.883655839404277</v>
      </c>
      <c r="AM195" s="24">
        <v>16.662172806374372</v>
      </c>
      <c r="AN195" s="24">
        <v>13.968971598042426</v>
      </c>
      <c r="AO195" s="24">
        <v>33.207199830858599</v>
      </c>
      <c r="AP195" s="24">
        <v>33.542731809803648</v>
      </c>
      <c r="AQ195" s="24">
        <v>17.035770788412094</v>
      </c>
      <c r="AR195" s="24">
        <v>20.155578036731875</v>
      </c>
      <c r="AS195" s="24">
        <v>19.962979859203156</v>
      </c>
      <c r="AT195" s="24">
        <v>21.736966547034861</v>
      </c>
      <c r="AU195" s="24">
        <v>20.786330116048596</v>
      </c>
      <c r="AV195" s="24">
        <v>41.90360418974651</v>
      </c>
      <c r="AW195" s="24">
        <v>19.684507727500165</v>
      </c>
      <c r="AX195" s="24">
        <v>12.441782485752976</v>
      </c>
      <c r="AY195" s="24">
        <v>23.279515698508852</v>
      </c>
    </row>
    <row r="196" spans="1:51" x14ac:dyDescent="0.2">
      <c r="A196" s="23">
        <v>45449</v>
      </c>
      <c r="B196" s="24">
        <v>8.1505894952545432</v>
      </c>
      <c r="C196" s="24">
        <v>10.340554007044485</v>
      </c>
      <c r="D196" s="24">
        <v>9.1457921639401292</v>
      </c>
      <c r="E196" s="24">
        <v>13.646524833384055</v>
      </c>
      <c r="F196" s="24">
        <v>9.2150842194595128</v>
      </c>
      <c r="G196" s="24">
        <v>9.0871829405306652</v>
      </c>
      <c r="H196" s="24">
        <v>24.242965317356358</v>
      </c>
      <c r="I196" s="24">
        <v>21.04109485013937</v>
      </c>
      <c r="J196" s="24">
        <v>22.382286907736468</v>
      </c>
      <c r="K196" s="24">
        <v>36.42020722187975</v>
      </c>
      <c r="L196" s="24">
        <v>18.568352117635339</v>
      </c>
      <c r="M196" s="24">
        <v>24.54260561110636</v>
      </c>
      <c r="N196" s="24">
        <v>26.832294316147639</v>
      </c>
      <c r="O196" s="24">
        <v>26.14933467481799</v>
      </c>
      <c r="P196" s="24">
        <v>12.557741323500345</v>
      </c>
      <c r="Q196" s="24">
        <v>13.021466340734099</v>
      </c>
      <c r="R196" s="24">
        <v>14.311457203273509</v>
      </c>
      <c r="S196" s="24">
        <v>24.274712124205934</v>
      </c>
      <c r="T196" s="24">
        <v>17.027166889275488</v>
      </c>
      <c r="U196" s="24">
        <v>15.766285924929161</v>
      </c>
      <c r="V196" s="24">
        <v>12.222311266355369</v>
      </c>
      <c r="W196" s="24">
        <v>32.62140351293116</v>
      </c>
      <c r="X196" s="24">
        <v>16.58379259138443</v>
      </c>
      <c r="Y196" s="24">
        <v>37.745002310050168</v>
      </c>
      <c r="Z196" s="24">
        <v>53.41136213237877</v>
      </c>
      <c r="AA196" s="24">
        <v>15.269617944428635</v>
      </c>
      <c r="AB196" s="24">
        <v>35.578134738448284</v>
      </c>
      <c r="AC196" s="24">
        <v>22.591094496359442</v>
      </c>
      <c r="AD196" s="24">
        <v>17.422619448313306</v>
      </c>
      <c r="AE196" s="24">
        <v>50.75435755260898</v>
      </c>
      <c r="AF196" s="24">
        <v>12.453196876903606</v>
      </c>
      <c r="AG196" s="24">
        <v>16.315330378264946</v>
      </c>
      <c r="AH196" s="24">
        <v>19.971106621069442</v>
      </c>
      <c r="AI196" s="24">
        <v>30.906985903395523</v>
      </c>
      <c r="AJ196" s="24">
        <v>19.924371301915833</v>
      </c>
      <c r="AK196" s="24">
        <v>13.753940718935912</v>
      </c>
      <c r="AL196" s="24">
        <v>26.328744812030024</v>
      </c>
      <c r="AM196" s="24">
        <v>17.79277515428981</v>
      </c>
      <c r="AN196" s="24">
        <v>13.779395463265168</v>
      </c>
      <c r="AO196" s="24">
        <v>38.491594295532316</v>
      </c>
      <c r="AP196" s="24">
        <v>33.308788548070169</v>
      </c>
      <c r="AQ196" s="24">
        <v>17.584766779130288</v>
      </c>
      <c r="AR196" s="24">
        <v>20.786433998383689</v>
      </c>
      <c r="AS196" s="24">
        <v>19.942665138458363</v>
      </c>
      <c r="AT196" s="24">
        <v>22.028897429663054</v>
      </c>
      <c r="AU196" s="24">
        <v>20.581361661508009</v>
      </c>
      <c r="AV196" s="24">
        <v>41.998043593394215</v>
      </c>
      <c r="AW196" s="24">
        <v>19.003799817871428</v>
      </c>
      <c r="AX196" s="24">
        <v>12.207737995179938</v>
      </c>
      <c r="AY196" s="24">
        <v>22.782570851713444</v>
      </c>
    </row>
    <row r="197" spans="1:51" x14ac:dyDescent="0.2">
      <c r="A197" s="23">
        <v>45448</v>
      </c>
      <c r="B197" s="24">
        <v>8.442652727377471</v>
      </c>
      <c r="C197" s="24">
        <v>10.342226607173192</v>
      </c>
      <c r="D197" s="24">
        <v>10.020064181324081</v>
      </c>
      <c r="E197" s="24">
        <v>13.527798452090567</v>
      </c>
      <c r="F197" s="24">
        <v>9.4673657140253571</v>
      </c>
      <c r="G197" s="24">
        <v>9.5803996195964984</v>
      </c>
      <c r="H197" s="24">
        <v>22.810070592486131</v>
      </c>
      <c r="I197" s="24">
        <v>23.65917356680232</v>
      </c>
      <c r="J197" s="24">
        <v>22.599886918647311</v>
      </c>
      <c r="K197" s="24">
        <v>36.214281153753745</v>
      </c>
      <c r="L197" s="24">
        <v>17.664906101821323</v>
      </c>
      <c r="M197" s="24">
        <v>24.101544770032334</v>
      </c>
      <c r="N197" s="24">
        <v>25.844969433568128</v>
      </c>
      <c r="O197" s="24">
        <v>24.179836982442964</v>
      </c>
      <c r="P197" s="24">
        <v>12.502108335208849</v>
      </c>
      <c r="Q197" s="24">
        <v>13.035832715194287</v>
      </c>
      <c r="R197" s="24">
        <v>13.717463536865294</v>
      </c>
      <c r="S197" s="24">
        <v>22.52566482201415</v>
      </c>
      <c r="T197" s="24">
        <v>17.016810080346747</v>
      </c>
      <c r="U197" s="24">
        <v>15.557367832809602</v>
      </c>
      <c r="V197" s="24">
        <v>12.341310205937093</v>
      </c>
      <c r="W197" s="24">
        <v>34.419162784915784</v>
      </c>
      <c r="X197" s="24">
        <v>16.606130159144978</v>
      </c>
      <c r="Y197" s="24">
        <v>36.391721212725827</v>
      </c>
      <c r="Z197" s="24">
        <v>41.502491991459422</v>
      </c>
      <c r="AA197" s="24">
        <v>15.509456722855845</v>
      </c>
      <c r="AB197" s="24">
        <v>35.072457455860238</v>
      </c>
      <c r="AC197" s="24">
        <v>22.628489362651298</v>
      </c>
      <c r="AD197" s="24">
        <v>17.847394416283549</v>
      </c>
      <c r="AE197" s="24">
        <v>61.266110648057079</v>
      </c>
      <c r="AF197" s="24">
        <v>12.122354407679595</v>
      </c>
      <c r="AG197" s="24">
        <v>16.1097579040837</v>
      </c>
      <c r="AH197" s="24">
        <v>20.021899016467906</v>
      </c>
      <c r="AI197" s="24">
        <v>30.912516620424412</v>
      </c>
      <c r="AJ197" s="24">
        <v>19.288416926275396</v>
      </c>
      <c r="AK197" s="24">
        <v>13.666136531660261</v>
      </c>
      <c r="AL197" s="24">
        <v>25.019906183642711</v>
      </c>
      <c r="AM197" s="24">
        <v>17.636726171679324</v>
      </c>
      <c r="AN197" s="24">
        <v>13.901267698016154</v>
      </c>
      <c r="AO197" s="24">
        <v>38.115812375486129</v>
      </c>
      <c r="AP197" s="24">
        <v>30.599755100353814</v>
      </c>
      <c r="AQ197" s="24">
        <v>17.208339443256612</v>
      </c>
      <c r="AR197" s="24">
        <v>20.78690776681988</v>
      </c>
      <c r="AS197" s="24">
        <v>19.900236384674685</v>
      </c>
      <c r="AT197" s="24">
        <v>22.247462406263253</v>
      </c>
      <c r="AU197" s="24">
        <v>20.417622439217627</v>
      </c>
      <c r="AV197" s="24">
        <v>49.738539881592438</v>
      </c>
      <c r="AW197" s="24">
        <v>18.856290719311726</v>
      </c>
      <c r="AX197" s="24">
        <v>11.679413308293963</v>
      </c>
      <c r="AY197" s="24">
        <v>23.518991041886476</v>
      </c>
    </row>
    <row r="198" spans="1:51" x14ac:dyDescent="0.2">
      <c r="A198" s="23">
        <v>45447</v>
      </c>
      <c r="B198" s="24">
        <v>8.4121440095425637</v>
      </c>
      <c r="C198" s="24">
        <v>10.314375181568613</v>
      </c>
      <c r="D198" s="24">
        <v>10.527152497102096</v>
      </c>
      <c r="E198" s="24">
        <v>13.437929716188524</v>
      </c>
      <c r="F198" s="24">
        <v>9.5158480872577975</v>
      </c>
      <c r="G198" s="24">
        <v>9.8748721488113684</v>
      </c>
      <c r="H198" s="24">
        <v>21.537133366521434</v>
      </c>
      <c r="I198" s="24">
        <v>24.292296286918685</v>
      </c>
      <c r="J198" s="24">
        <v>22.10024183913221</v>
      </c>
      <c r="K198" s="24">
        <v>36.686010167482181</v>
      </c>
      <c r="L198" s="24">
        <v>18.172509089204578</v>
      </c>
      <c r="M198" s="24">
        <v>24.71611016868404</v>
      </c>
      <c r="N198" s="24">
        <v>23.884051559504744</v>
      </c>
      <c r="O198" s="24">
        <v>26.013914622435099</v>
      </c>
      <c r="P198" s="24">
        <v>12.549700266706665</v>
      </c>
      <c r="Q198" s="24">
        <v>12.391462060740219</v>
      </c>
      <c r="R198" s="24">
        <v>13.563086055799257</v>
      </c>
      <c r="S198" s="24">
        <v>22.302977647414398</v>
      </c>
      <c r="T198" s="24">
        <v>16.600958772991092</v>
      </c>
      <c r="U198" s="24">
        <v>15.56454837215864</v>
      </c>
      <c r="V198" s="24">
        <v>13.067698088812122</v>
      </c>
      <c r="W198" s="24">
        <v>34.808622382717829</v>
      </c>
      <c r="X198" s="24">
        <v>15.944978866277776</v>
      </c>
      <c r="Y198" s="24">
        <v>35.614217479066738</v>
      </c>
      <c r="Z198" s="24">
        <v>43.310857556997767</v>
      </c>
      <c r="AA198" s="24">
        <v>16.651573222327681</v>
      </c>
      <c r="AB198" s="24">
        <v>35.01053429132066</v>
      </c>
      <c r="AC198" s="24">
        <v>22.728745925938558</v>
      </c>
      <c r="AD198" s="24">
        <v>18.551618957112858</v>
      </c>
      <c r="AE198" s="24">
        <v>61.309355421634507</v>
      </c>
      <c r="AF198" s="24">
        <v>15.103237121191384</v>
      </c>
      <c r="AG198" s="24">
        <v>16.057837324632906</v>
      </c>
      <c r="AH198" s="24">
        <v>20.183033654358802</v>
      </c>
      <c r="AI198" s="24">
        <v>35.012241081359974</v>
      </c>
      <c r="AJ198" s="24">
        <v>19.845924618444652</v>
      </c>
      <c r="AK198" s="24">
        <v>13.732027286051151</v>
      </c>
      <c r="AL198" s="24">
        <v>26.878885107202738</v>
      </c>
      <c r="AM198" s="24">
        <v>18.140964477681489</v>
      </c>
      <c r="AN198" s="24">
        <v>13.777106379926227</v>
      </c>
      <c r="AO198" s="24">
        <v>38.359378889094323</v>
      </c>
      <c r="AP198" s="24">
        <v>30.547694342661316</v>
      </c>
      <c r="AQ198" s="24">
        <v>16.699722711661725</v>
      </c>
      <c r="AR198" s="24">
        <v>20.802806089591794</v>
      </c>
      <c r="AS198" s="24">
        <v>20.286429654562262</v>
      </c>
      <c r="AT198" s="24">
        <v>21.798927316344759</v>
      </c>
      <c r="AU198" s="24">
        <v>20.720272260496269</v>
      </c>
      <c r="AV198" s="24">
        <v>49.444097502088731</v>
      </c>
      <c r="AW198" s="24">
        <v>18.894159923468582</v>
      </c>
      <c r="AX198" s="24">
        <v>11.998353452721965</v>
      </c>
      <c r="AY198" s="24">
        <v>24.0065576940891</v>
      </c>
    </row>
    <row r="199" spans="1:51" x14ac:dyDescent="0.2">
      <c r="A199" s="23">
        <v>45446</v>
      </c>
      <c r="B199" s="24">
        <v>8.4175004564576916</v>
      </c>
      <c r="C199" s="24">
        <v>9.936733659132269</v>
      </c>
      <c r="D199" s="24">
        <v>10.770443960858669</v>
      </c>
      <c r="E199" s="24">
        <v>13.460337109310295</v>
      </c>
      <c r="F199" s="24">
        <v>9.8693559873593628</v>
      </c>
      <c r="G199" s="24">
        <v>9.8748721488113684</v>
      </c>
      <c r="H199" s="24">
        <v>21.02823803136295</v>
      </c>
      <c r="I199" s="24">
        <v>23.451206400640618</v>
      </c>
      <c r="J199" s="24">
        <v>21.668007006514102</v>
      </c>
      <c r="K199" s="24">
        <v>37.002077862097792</v>
      </c>
      <c r="L199" s="24">
        <v>18.183940653330765</v>
      </c>
      <c r="M199" s="24">
        <v>24.706701077702018</v>
      </c>
      <c r="N199" s="24">
        <v>23.870329954091055</v>
      </c>
      <c r="O199" s="24">
        <v>24.215678897865835</v>
      </c>
      <c r="P199" s="24">
        <v>12.486302701868356</v>
      </c>
      <c r="Q199" s="24">
        <v>12.74865329110191</v>
      </c>
      <c r="R199" s="24">
        <v>13.251572617499283</v>
      </c>
      <c r="S199" s="24">
        <v>22.319232069971939</v>
      </c>
      <c r="T199" s="24">
        <v>16.007436326691231</v>
      </c>
      <c r="U199" s="24">
        <v>15.544729820656693</v>
      </c>
      <c r="V199" s="24">
        <v>12.072282175626663</v>
      </c>
      <c r="W199" s="24">
        <v>34.807487741527517</v>
      </c>
      <c r="X199" s="24">
        <v>15.849888601488326</v>
      </c>
      <c r="Y199" s="24">
        <v>35.584152626590537</v>
      </c>
      <c r="Z199" s="24">
        <v>44.223685946777259</v>
      </c>
      <c r="AA199" s="24">
        <v>16.381913191784264</v>
      </c>
      <c r="AB199" s="24">
        <v>36.410402972092932</v>
      </c>
      <c r="AC199" s="24">
        <v>22.919389885485902</v>
      </c>
      <c r="AD199" s="24">
        <v>18.162401824815092</v>
      </c>
      <c r="AE199" s="24">
        <v>62.184244839868782</v>
      </c>
      <c r="AF199" s="24">
        <v>14.831527678144756</v>
      </c>
      <c r="AG199" s="24">
        <v>16.222796720897918</v>
      </c>
      <c r="AH199" s="24">
        <v>19.972690688505157</v>
      </c>
      <c r="AI199" s="24">
        <v>35.068546133991113</v>
      </c>
      <c r="AJ199" s="24">
        <v>15.42404773954682</v>
      </c>
      <c r="AK199" s="24">
        <v>13.487409482153158</v>
      </c>
      <c r="AL199" s="24">
        <v>26.960209134667263</v>
      </c>
      <c r="AM199" s="24">
        <v>18.25274943082087</v>
      </c>
      <c r="AN199" s="24">
        <v>13.845356759378264</v>
      </c>
      <c r="AO199" s="24">
        <v>38.024110693634462</v>
      </c>
      <c r="AP199" s="24">
        <v>30.628613782742601</v>
      </c>
      <c r="AQ199" s="24">
        <v>17.528128653557022</v>
      </c>
      <c r="AR199" s="24">
        <v>20.779260894298321</v>
      </c>
      <c r="AS199" s="24">
        <v>19.464438356458071</v>
      </c>
      <c r="AT199" s="24">
        <v>21.392814583636891</v>
      </c>
      <c r="AU199" s="24">
        <v>20.255568668256473</v>
      </c>
      <c r="AV199" s="24">
        <v>49.239314421143895</v>
      </c>
      <c r="AW199" s="24">
        <v>20.086189108557253</v>
      </c>
      <c r="AX199" s="24">
        <v>11.872273473038772</v>
      </c>
      <c r="AY199" s="24">
        <v>23.830344756173886</v>
      </c>
    </row>
    <row r="200" spans="1:51" x14ac:dyDescent="0.2">
      <c r="A200" s="23">
        <v>45443</v>
      </c>
      <c r="B200" s="24">
        <v>9.3498113567496866</v>
      </c>
      <c r="C200" s="24">
        <v>15.842699005867958</v>
      </c>
      <c r="D200" s="24">
        <v>11.461118971633494</v>
      </c>
      <c r="E200" s="24">
        <v>13.623502346936329</v>
      </c>
      <c r="F200" s="24">
        <v>10.097531843514373</v>
      </c>
      <c r="G200" s="24">
        <v>12.914601490143475</v>
      </c>
      <c r="H200" s="24">
        <v>22.953289775356613</v>
      </c>
      <c r="I200" s="24">
        <v>23.15006391459703</v>
      </c>
      <c r="J200" s="24">
        <v>22.483937117670237</v>
      </c>
      <c r="K200" s="24">
        <v>37.04772562880175</v>
      </c>
      <c r="L200" s="24">
        <v>21.29418652520409</v>
      </c>
      <c r="M200" s="24">
        <v>26.357477642615038</v>
      </c>
      <c r="N200" s="24">
        <v>24.951079331612124</v>
      </c>
      <c r="O200" s="24">
        <v>23.478039780910972</v>
      </c>
      <c r="P200" s="24">
        <v>14.131622641499401</v>
      </c>
      <c r="Q200" s="24">
        <v>9.6421311684259923</v>
      </c>
      <c r="R200" s="24">
        <v>13.043491956918798</v>
      </c>
      <c r="S200" s="24">
        <v>23.283434160714155</v>
      </c>
      <c r="T200" s="24">
        <v>19.704492396800653</v>
      </c>
      <c r="U200" s="24">
        <v>15.764004324799924</v>
      </c>
      <c r="V200" s="24">
        <v>13.121760397256743</v>
      </c>
      <c r="W200" s="24">
        <v>34.901073452681359</v>
      </c>
      <c r="X200" s="24">
        <v>15.681145812093584</v>
      </c>
      <c r="Y200" s="24">
        <v>35.592238491625992</v>
      </c>
      <c r="Z200" s="24">
        <v>41.72483447176068</v>
      </c>
      <c r="AA200" s="24">
        <v>16.650343463583454</v>
      </c>
      <c r="AB200" s="24">
        <v>36.445964238296206</v>
      </c>
      <c r="AC200" s="24">
        <v>20.282042073511501</v>
      </c>
      <c r="AD200" s="24">
        <v>19.205832830102576</v>
      </c>
      <c r="AE200" s="24">
        <v>62.992911287436627</v>
      </c>
      <c r="AF200" s="24">
        <v>16.363784436349107</v>
      </c>
      <c r="AG200" s="24">
        <v>16.783619688709422</v>
      </c>
      <c r="AH200" s="24">
        <v>20.954518325434801</v>
      </c>
      <c r="AI200" s="24">
        <v>39.872131895205001</v>
      </c>
      <c r="AJ200" s="24">
        <v>17.830772715952669</v>
      </c>
      <c r="AK200" s="24">
        <v>18.077649737780202</v>
      </c>
      <c r="AL200" s="24">
        <v>30.092638710082067</v>
      </c>
      <c r="AM200" s="24">
        <v>18.639440246854665</v>
      </c>
      <c r="AN200" s="24">
        <v>16.970335020535774</v>
      </c>
      <c r="AO200" s="24">
        <v>32.616965711180889</v>
      </c>
      <c r="AP200" s="24">
        <v>33.172586052499277</v>
      </c>
      <c r="AQ200" s="24">
        <v>19.592566591071108</v>
      </c>
      <c r="AR200" s="24">
        <v>20.489444560569115</v>
      </c>
      <c r="AS200" s="24">
        <v>20.259401550348144</v>
      </c>
      <c r="AT200" s="24">
        <v>21.392827707175112</v>
      </c>
      <c r="AU200" s="24">
        <v>23.480225890727265</v>
      </c>
      <c r="AV200" s="24">
        <v>45.607829004741582</v>
      </c>
      <c r="AW200" s="24">
        <v>26.867226788172861</v>
      </c>
      <c r="AX200" s="24">
        <v>11.294258814846657</v>
      </c>
      <c r="AY200" s="24">
        <v>24.985363594588701</v>
      </c>
    </row>
    <row r="201" spans="1:51" x14ac:dyDescent="0.2">
      <c r="A201" s="23">
        <v>45442</v>
      </c>
      <c r="B201" s="24">
        <v>9.8602366513297124</v>
      </c>
      <c r="C201" s="24">
        <v>15.856101167007791</v>
      </c>
      <c r="D201" s="24">
        <v>11.48572835100603</v>
      </c>
      <c r="E201" s="24">
        <v>13.622794681077583</v>
      </c>
      <c r="F201" s="24">
        <v>10.426852383702624</v>
      </c>
      <c r="G201" s="24">
        <v>12.737644629828448</v>
      </c>
      <c r="H201" s="24">
        <v>22.944676739597032</v>
      </c>
      <c r="I201" s="24">
        <v>23.232060065728227</v>
      </c>
      <c r="J201" s="24">
        <v>23.207228579440958</v>
      </c>
      <c r="K201" s="24">
        <v>37.41937303966143</v>
      </c>
      <c r="L201" s="24">
        <v>21.338109492701538</v>
      </c>
      <c r="M201" s="24">
        <v>27.188164539549117</v>
      </c>
      <c r="N201" s="24">
        <v>26.127964110703097</v>
      </c>
      <c r="O201" s="24">
        <v>22.963848902348143</v>
      </c>
      <c r="P201" s="24">
        <v>14.245575281259601</v>
      </c>
      <c r="Q201" s="24">
        <v>10.127755437810734</v>
      </c>
      <c r="R201" s="24">
        <v>12.683730813987601</v>
      </c>
      <c r="S201" s="24">
        <v>24.714467473567073</v>
      </c>
      <c r="T201" s="24">
        <v>19.805453521960708</v>
      </c>
      <c r="U201" s="24">
        <v>15.972607573308002</v>
      </c>
      <c r="V201" s="24">
        <v>13.28235096109481</v>
      </c>
      <c r="W201" s="24">
        <v>36.111844014386698</v>
      </c>
      <c r="X201" s="24">
        <v>15.577205644492421</v>
      </c>
      <c r="Y201" s="24">
        <v>35.305326564613061</v>
      </c>
      <c r="Z201" s="24">
        <v>38.948657185903926</v>
      </c>
      <c r="AA201" s="24">
        <v>17.734848058909506</v>
      </c>
      <c r="AB201" s="24">
        <v>34.649218148099365</v>
      </c>
      <c r="AC201" s="24">
        <v>20.031124188070631</v>
      </c>
      <c r="AD201" s="24">
        <v>19.712667070748182</v>
      </c>
      <c r="AE201" s="24">
        <v>62.840159737595165</v>
      </c>
      <c r="AF201" s="24">
        <v>16.446849543250799</v>
      </c>
      <c r="AG201" s="24">
        <v>19.846131410857247</v>
      </c>
      <c r="AH201" s="24">
        <v>18.902189002778591</v>
      </c>
      <c r="AI201" s="24">
        <v>40.345865893501617</v>
      </c>
      <c r="AJ201" s="24">
        <v>17.632590406430491</v>
      </c>
      <c r="AK201" s="24">
        <v>18.140470094694869</v>
      </c>
      <c r="AL201" s="24">
        <v>32.380935594260862</v>
      </c>
      <c r="AM201" s="24">
        <v>20.51281384521511</v>
      </c>
      <c r="AN201" s="24">
        <v>18.313065647197689</v>
      </c>
      <c r="AO201" s="24">
        <v>32.106264962226994</v>
      </c>
      <c r="AP201" s="24">
        <v>36.633387803631983</v>
      </c>
      <c r="AQ201" s="24">
        <v>23.950693613452948</v>
      </c>
      <c r="AR201" s="24">
        <v>20.506295580576534</v>
      </c>
      <c r="AS201" s="24">
        <v>20.234416791445849</v>
      </c>
      <c r="AT201" s="24">
        <v>22.337939748825203</v>
      </c>
      <c r="AU201" s="24">
        <v>23.080622023582379</v>
      </c>
      <c r="AV201" s="24">
        <v>46.23257629681698</v>
      </c>
      <c r="AW201" s="24">
        <v>26.963911319207885</v>
      </c>
      <c r="AX201" s="24">
        <v>11.304117890460967</v>
      </c>
      <c r="AY201" s="24">
        <v>25.038780861416136</v>
      </c>
    </row>
    <row r="202" spans="1:51" x14ac:dyDescent="0.2">
      <c r="A202" s="23">
        <v>45441</v>
      </c>
      <c r="B202" s="24">
        <v>9.7377184002569379</v>
      </c>
      <c r="C202" s="24">
        <v>15.087689130476756</v>
      </c>
      <c r="D202" s="24">
        <v>11.481671074276404</v>
      </c>
      <c r="E202" s="24">
        <v>13.605465924050264</v>
      </c>
      <c r="F202" s="24">
        <v>10.528986910483837</v>
      </c>
      <c r="G202" s="24">
        <v>12.517897225795608</v>
      </c>
      <c r="H202" s="24">
        <v>25.942244453660042</v>
      </c>
      <c r="I202" s="24">
        <v>30.397708161600487</v>
      </c>
      <c r="J202" s="24">
        <v>23.484248844002298</v>
      </c>
      <c r="K202" s="24">
        <v>37.248346022767549</v>
      </c>
      <c r="L202" s="24">
        <v>25.649543012986477</v>
      </c>
      <c r="M202" s="24">
        <v>27.296577621182468</v>
      </c>
      <c r="N202" s="24">
        <v>25.607977367692744</v>
      </c>
      <c r="O202" s="24">
        <v>23.469176243973784</v>
      </c>
      <c r="P202" s="24">
        <v>15.47756554532606</v>
      </c>
      <c r="Q202" s="24">
        <v>10.315557639713894</v>
      </c>
      <c r="R202" s="24">
        <v>20.002485017222114</v>
      </c>
      <c r="S202" s="24">
        <v>24.453280783260798</v>
      </c>
      <c r="T202" s="24">
        <v>18.664524145809597</v>
      </c>
      <c r="U202" s="24">
        <v>15.804432931235025</v>
      </c>
      <c r="V202" s="24">
        <v>12.434546647949983</v>
      </c>
      <c r="W202" s="24">
        <v>31.498240487464539</v>
      </c>
      <c r="X202" s="24">
        <v>15.922279459118164</v>
      </c>
      <c r="Y202" s="24">
        <v>33.684511331020936</v>
      </c>
      <c r="Z202" s="24">
        <v>38.815515471362822</v>
      </c>
      <c r="AA202" s="24">
        <v>18.321377721672704</v>
      </c>
      <c r="AB202" s="24">
        <v>35.066294775339799</v>
      </c>
      <c r="AC202" s="24">
        <v>19.784280857114133</v>
      </c>
      <c r="AD202" s="24">
        <v>20.226031637448063</v>
      </c>
      <c r="AE202" s="24">
        <v>65.601949066034507</v>
      </c>
      <c r="AF202" s="24">
        <v>16.902331253448832</v>
      </c>
      <c r="AG202" s="24">
        <v>19.011664591768469</v>
      </c>
      <c r="AH202" s="24">
        <v>24.646753185195081</v>
      </c>
      <c r="AI202" s="24">
        <v>40.486985449578384</v>
      </c>
      <c r="AJ202" s="24">
        <v>18.515764028914724</v>
      </c>
      <c r="AK202" s="24">
        <v>18.439332212490449</v>
      </c>
      <c r="AL202" s="24">
        <v>35.238185316886174</v>
      </c>
      <c r="AM202" s="24">
        <v>20.569766322489308</v>
      </c>
      <c r="AN202" s="24">
        <v>20.253272770823617</v>
      </c>
      <c r="AO202" s="24">
        <v>34.05678358721341</v>
      </c>
      <c r="AP202" s="24">
        <v>36.762315624526536</v>
      </c>
      <c r="AQ202" s="24">
        <v>25.406904224927331</v>
      </c>
      <c r="AR202" s="24">
        <v>20.774506213224175</v>
      </c>
      <c r="AS202" s="24">
        <v>21.660898893927779</v>
      </c>
      <c r="AT202" s="24">
        <v>22.708599276998072</v>
      </c>
      <c r="AU202" s="24">
        <v>25.362671273243112</v>
      </c>
      <c r="AV202" s="24">
        <v>42.593816608382667</v>
      </c>
      <c r="AW202" s="24">
        <v>27.28681886225921</v>
      </c>
      <c r="AX202" s="24">
        <v>11.304069739782165</v>
      </c>
      <c r="AY202" s="24">
        <v>24.182069368194643</v>
      </c>
    </row>
    <row r="203" spans="1:51" x14ac:dyDescent="0.2">
      <c r="A203" s="23">
        <v>45440</v>
      </c>
      <c r="B203" s="24">
        <v>11.375668931849534</v>
      </c>
      <c r="C203" s="24">
        <v>15.37973063319787</v>
      </c>
      <c r="D203" s="24">
        <v>13.681937305763221</v>
      </c>
      <c r="E203" s="24">
        <v>13.653524118541133</v>
      </c>
      <c r="F203" s="24">
        <v>11.873457797088426</v>
      </c>
      <c r="G203" s="24">
        <v>13.965467644826278</v>
      </c>
      <c r="H203" s="24">
        <v>26.160537082174102</v>
      </c>
      <c r="I203" s="24">
        <v>31.688181478279418</v>
      </c>
      <c r="J203" s="24">
        <v>23.324132304802514</v>
      </c>
      <c r="K203" s="24">
        <v>29.446647326204843</v>
      </c>
      <c r="L203" s="24">
        <v>25.14383249892504</v>
      </c>
      <c r="M203" s="24">
        <v>27.265278555027933</v>
      </c>
      <c r="N203" s="24">
        <v>26.470449664630422</v>
      </c>
      <c r="O203" s="24">
        <v>23.835280664832521</v>
      </c>
      <c r="P203" s="24">
        <v>15.353632128753762</v>
      </c>
      <c r="Q203" s="24">
        <v>10.516293175560381</v>
      </c>
      <c r="R203" s="24">
        <v>19.950396057070861</v>
      </c>
      <c r="S203" s="24">
        <v>23.534780780719043</v>
      </c>
      <c r="T203" s="24">
        <v>20.188669180991859</v>
      </c>
      <c r="U203" s="24">
        <v>17.19041192949749</v>
      </c>
      <c r="V203" s="24">
        <v>13.431882546873751</v>
      </c>
      <c r="W203" s="24">
        <v>31.937470481223059</v>
      </c>
      <c r="X203" s="24">
        <v>14.828112315161844</v>
      </c>
      <c r="Y203" s="24">
        <v>37.035123041410635</v>
      </c>
      <c r="Z203" s="24">
        <v>51.310976731917435</v>
      </c>
      <c r="AA203" s="24">
        <v>26.30193398184214</v>
      </c>
      <c r="AB203" s="24">
        <v>41.59397957630442</v>
      </c>
      <c r="AC203" s="24">
        <v>19.061935372436835</v>
      </c>
      <c r="AD203" s="24">
        <v>29.89533978007972</v>
      </c>
      <c r="AE203" s="24">
        <v>70.467830578796907</v>
      </c>
      <c r="AF203" s="24">
        <v>17.013902998028755</v>
      </c>
      <c r="AG203" s="24">
        <v>18.556751301983233</v>
      </c>
      <c r="AH203" s="24">
        <v>24.937404814161791</v>
      </c>
      <c r="AI203" s="24">
        <v>40.51450721038038</v>
      </c>
      <c r="AJ203" s="24">
        <v>21.598225259097948</v>
      </c>
      <c r="AK203" s="24">
        <v>18.602416521821741</v>
      </c>
      <c r="AL203" s="24">
        <v>34.575497403936886</v>
      </c>
      <c r="AM203" s="24">
        <v>20.321778812881849</v>
      </c>
      <c r="AN203" s="24">
        <v>22.22716155644104</v>
      </c>
      <c r="AO203" s="24">
        <v>34.513998917680233</v>
      </c>
      <c r="AP203" s="24">
        <v>36.781501646968344</v>
      </c>
      <c r="AQ203" s="24">
        <v>25.378081649131442</v>
      </c>
      <c r="AR203" s="24">
        <v>20.056821587865823</v>
      </c>
      <c r="AS203" s="24">
        <v>23.062624254849897</v>
      </c>
      <c r="AT203" s="24">
        <v>22.885742569606212</v>
      </c>
      <c r="AU203" s="24">
        <v>26.729608143730005</v>
      </c>
      <c r="AV203" s="24">
        <v>42.800590187953979</v>
      </c>
      <c r="AW203" s="24">
        <v>29.543892089199268</v>
      </c>
      <c r="AX203" s="24">
        <v>11.349766196028106</v>
      </c>
      <c r="AY203" s="24">
        <v>24.161600604456691</v>
      </c>
    </row>
    <row r="204" spans="1:51" x14ac:dyDescent="0.2">
      <c r="A204" s="23">
        <v>45439</v>
      </c>
      <c r="B204" s="24">
        <v>11.431241810638484</v>
      </c>
      <c r="C204" s="24">
        <v>15.354016540048836</v>
      </c>
      <c r="D204" s="24">
        <v>14.537022906279539</v>
      </c>
      <c r="E204" s="24">
        <v>13.636677056026677</v>
      </c>
      <c r="F204" s="24">
        <v>11.873457797088426</v>
      </c>
      <c r="G204" s="24">
        <v>14.006556403141294</v>
      </c>
      <c r="H204" s="24">
        <v>25.892910881559306</v>
      </c>
      <c r="I204" s="24">
        <v>31.775139565343434</v>
      </c>
      <c r="J204" s="24">
        <v>24.867529633800171</v>
      </c>
      <c r="K204" s="24">
        <v>29.519559336703878</v>
      </c>
      <c r="L204" s="24">
        <v>25.081348360090665</v>
      </c>
      <c r="M204" s="24">
        <v>27.094311620590041</v>
      </c>
      <c r="N204" s="24">
        <v>26.172407132174897</v>
      </c>
      <c r="O204" s="24">
        <v>22.936025968771201</v>
      </c>
      <c r="P204" s="24">
        <v>14.481727245688322</v>
      </c>
      <c r="Q204" s="24">
        <v>10.473281865413833</v>
      </c>
      <c r="R204" s="24">
        <v>19.664434694187257</v>
      </c>
      <c r="S204" s="24">
        <v>23.29651052036909</v>
      </c>
      <c r="T204" s="24">
        <v>19.807778051714408</v>
      </c>
      <c r="U204" s="24">
        <v>17.038162487653477</v>
      </c>
      <c r="V204" s="24">
        <v>13.445579914318914</v>
      </c>
      <c r="W204" s="24">
        <v>31.923545679504652</v>
      </c>
      <c r="X204" s="24">
        <v>15.219744628569817</v>
      </c>
      <c r="Y204" s="24">
        <v>37.026008767699324</v>
      </c>
      <c r="Z204" s="24">
        <v>49.805603992575108</v>
      </c>
      <c r="AA204" s="24">
        <v>26.270955424798274</v>
      </c>
      <c r="AB204" s="24">
        <v>41.628308843626854</v>
      </c>
      <c r="AC204" s="24">
        <v>19.01467085478226</v>
      </c>
      <c r="AD204" s="24">
        <v>29.758522295825543</v>
      </c>
      <c r="AE204" s="24">
        <v>70.445307654229822</v>
      </c>
      <c r="AF204" s="24">
        <v>17.035868080932229</v>
      </c>
      <c r="AG204" s="24">
        <v>18.373276712584595</v>
      </c>
      <c r="AH204" s="24">
        <v>24.883477033975606</v>
      </c>
      <c r="AI204" s="24">
        <v>40.049527801276838</v>
      </c>
      <c r="AJ204" s="24">
        <v>21.631004369666304</v>
      </c>
      <c r="AK204" s="24">
        <v>18.950047378844413</v>
      </c>
      <c r="AL204" s="24">
        <v>34.415706553005528</v>
      </c>
      <c r="AM204" s="24">
        <v>19.854040909055488</v>
      </c>
      <c r="AN204" s="24">
        <v>22.340793393073518</v>
      </c>
      <c r="AO204" s="24">
        <v>34.531385538059304</v>
      </c>
      <c r="AP204" s="24">
        <v>35.960422582393306</v>
      </c>
      <c r="AQ204" s="24">
        <v>25.006628789491081</v>
      </c>
      <c r="AR204" s="24">
        <v>19.492794600225686</v>
      </c>
      <c r="AS204" s="24">
        <v>23.244311533353024</v>
      </c>
      <c r="AT204" s="24">
        <v>22.133552286953567</v>
      </c>
      <c r="AU204" s="24">
        <v>26.590047129167576</v>
      </c>
      <c r="AV204" s="24">
        <v>42.379267015150177</v>
      </c>
      <c r="AW204" s="24">
        <v>30.766803633936817</v>
      </c>
      <c r="AX204" s="24">
        <v>11.255416854428285</v>
      </c>
      <c r="AY204" s="24">
        <v>25.232084635373226</v>
      </c>
    </row>
    <row r="205" spans="1:51" x14ac:dyDescent="0.2">
      <c r="A205" s="23">
        <v>45436</v>
      </c>
      <c r="B205" s="24">
        <v>11.263028820840688</v>
      </c>
      <c r="C205" s="24">
        <v>15.307706664752825</v>
      </c>
      <c r="D205" s="24">
        <v>13.59296303670485</v>
      </c>
      <c r="E205" s="24">
        <v>10.198689220078579</v>
      </c>
      <c r="F205" s="24">
        <v>11.989361486685352</v>
      </c>
      <c r="G205" s="24">
        <v>13.793469290683092</v>
      </c>
      <c r="H205" s="24">
        <v>24.066063837604084</v>
      </c>
      <c r="I205" s="24">
        <v>31.683855573876869</v>
      </c>
      <c r="J205" s="24">
        <v>24.645968639055923</v>
      </c>
      <c r="K205" s="24">
        <v>29.720572732919823</v>
      </c>
      <c r="L205" s="24">
        <v>25.174669086960353</v>
      </c>
      <c r="M205" s="24">
        <v>27.504712658231632</v>
      </c>
      <c r="N205" s="24">
        <v>24.879654116887473</v>
      </c>
      <c r="O205" s="24">
        <v>22.413783400496946</v>
      </c>
      <c r="P205" s="24">
        <v>13.03881626832071</v>
      </c>
      <c r="Q205" s="24">
        <v>10.199465049839112</v>
      </c>
      <c r="R205" s="24">
        <v>19.414554764600165</v>
      </c>
      <c r="S205" s="24">
        <v>23.024945697706549</v>
      </c>
      <c r="T205" s="24">
        <v>20.265670412338761</v>
      </c>
      <c r="U205" s="24">
        <v>16.404616709556464</v>
      </c>
      <c r="V205" s="24">
        <v>13.097126388180435</v>
      </c>
      <c r="W205" s="24">
        <v>26.685347016829503</v>
      </c>
      <c r="X205" s="24">
        <v>15.136898793023885</v>
      </c>
      <c r="Y205" s="24">
        <v>37.646345594273491</v>
      </c>
      <c r="Z205" s="24">
        <v>55.268232192545831</v>
      </c>
      <c r="AA205" s="24">
        <v>26.17149822092507</v>
      </c>
      <c r="AB205" s="24">
        <v>42.671459101812665</v>
      </c>
      <c r="AC205" s="24">
        <v>16.023169098326679</v>
      </c>
      <c r="AD205" s="24">
        <v>29.519083918811095</v>
      </c>
      <c r="AE205" s="24">
        <v>76.841621764106719</v>
      </c>
      <c r="AF205" s="24">
        <v>17.086746857342884</v>
      </c>
      <c r="AG205" s="24">
        <v>18.370652361055338</v>
      </c>
      <c r="AH205" s="24">
        <v>24.805076634915661</v>
      </c>
      <c r="AI205" s="24">
        <v>40.032791824131941</v>
      </c>
      <c r="AJ205" s="24">
        <v>21.599855325039599</v>
      </c>
      <c r="AK205" s="24">
        <v>18.525900433738347</v>
      </c>
      <c r="AL205" s="24">
        <v>35.1338521269046</v>
      </c>
      <c r="AM205" s="24">
        <v>19.727643932397076</v>
      </c>
      <c r="AN205" s="24">
        <v>22.296847423713896</v>
      </c>
      <c r="AO205" s="24">
        <v>27.444826360592796</v>
      </c>
      <c r="AP205" s="24">
        <v>35.721514197700536</v>
      </c>
      <c r="AQ205" s="24">
        <v>24.706694665200814</v>
      </c>
      <c r="AR205" s="24">
        <v>18.959594649168853</v>
      </c>
      <c r="AS205" s="24">
        <v>23.128814144549008</v>
      </c>
      <c r="AT205" s="24">
        <v>22.155682301319807</v>
      </c>
      <c r="AU205" s="24">
        <v>25.876400090710462</v>
      </c>
      <c r="AV205" s="24">
        <v>38.745212679540863</v>
      </c>
      <c r="AW205" s="24">
        <v>31.012409726526268</v>
      </c>
      <c r="AX205" s="24">
        <v>10.710769753322378</v>
      </c>
      <c r="AY205" s="24">
        <v>25.623929599099682</v>
      </c>
    </row>
    <row r="206" spans="1:51" x14ac:dyDescent="0.2">
      <c r="A206" s="23">
        <v>45435</v>
      </c>
      <c r="B206" s="24">
        <v>10.887035751985984</v>
      </c>
      <c r="C206" s="24">
        <v>15.412878153423252</v>
      </c>
      <c r="D206" s="24">
        <v>13.593888300120016</v>
      </c>
      <c r="E206" s="24">
        <v>10.852430352767515</v>
      </c>
      <c r="F206" s="24">
        <v>11.940814529583001</v>
      </c>
      <c r="G206" s="24">
        <v>13.567497213923183</v>
      </c>
      <c r="H206" s="24">
        <v>25.370556803228357</v>
      </c>
      <c r="I206" s="24">
        <v>30.908321620426396</v>
      </c>
      <c r="J206" s="24">
        <v>23.067172152579762</v>
      </c>
      <c r="K206" s="24">
        <v>28.740860049231046</v>
      </c>
      <c r="L206" s="24">
        <v>22.588551524777206</v>
      </c>
      <c r="M206" s="24">
        <v>25.985374205127542</v>
      </c>
      <c r="N206" s="24">
        <v>25.638574830170398</v>
      </c>
      <c r="O206" s="24">
        <v>21.831038991367745</v>
      </c>
      <c r="P206" s="24">
        <v>15.033110298178972</v>
      </c>
      <c r="Q206" s="24">
        <v>10.161106089469678</v>
      </c>
      <c r="R206" s="24">
        <v>19.651634423148323</v>
      </c>
      <c r="S206" s="24">
        <v>23.975232100482639</v>
      </c>
      <c r="T206" s="24">
        <v>19.889043650685199</v>
      </c>
      <c r="U206" s="24">
        <v>16.387733893420496</v>
      </c>
      <c r="V206" s="24">
        <v>13.392917929461301</v>
      </c>
      <c r="W206" s="24">
        <v>26.713271771195743</v>
      </c>
      <c r="X206" s="24">
        <v>14.568809450154385</v>
      </c>
      <c r="Y206" s="24">
        <v>40.932691065265416</v>
      </c>
      <c r="Z206" s="24">
        <v>50.121758892342434</v>
      </c>
      <c r="AA206" s="24">
        <v>25.526565894841362</v>
      </c>
      <c r="AB206" s="24">
        <v>39.446253362556732</v>
      </c>
      <c r="AC206" s="24">
        <v>15.893706215151388</v>
      </c>
      <c r="AD206" s="24">
        <v>28.813636842564687</v>
      </c>
      <c r="AE206" s="24">
        <v>71.471636290947259</v>
      </c>
      <c r="AF206" s="24">
        <v>17.360734556619754</v>
      </c>
      <c r="AG206" s="24">
        <v>17.350124788801352</v>
      </c>
      <c r="AH206" s="24">
        <v>23.166988567118125</v>
      </c>
      <c r="AI206" s="24">
        <v>37.543843559743294</v>
      </c>
      <c r="AJ206" s="24">
        <v>28.030374176754904</v>
      </c>
      <c r="AK206" s="24">
        <v>18.475959872780763</v>
      </c>
      <c r="AL206" s="24">
        <v>33.71010669147983</v>
      </c>
      <c r="AM206" s="24">
        <v>19.408000835329968</v>
      </c>
      <c r="AN206" s="24">
        <v>21.684339173649583</v>
      </c>
      <c r="AO206" s="24">
        <v>27.32986733096811</v>
      </c>
      <c r="AP206" s="24">
        <v>35.790274739007657</v>
      </c>
      <c r="AQ206" s="24">
        <v>25.109202426461501</v>
      </c>
      <c r="AR206" s="24">
        <v>18.484570287662972</v>
      </c>
      <c r="AS206" s="24">
        <v>20.898382181215553</v>
      </c>
      <c r="AT206" s="24">
        <v>23.686521374249114</v>
      </c>
      <c r="AU206" s="24">
        <v>27.06584991026422</v>
      </c>
      <c r="AV206" s="24">
        <v>39.104450182250879</v>
      </c>
      <c r="AW206" s="24">
        <v>31.615784290859114</v>
      </c>
      <c r="AX206" s="24">
        <v>10.736432398325698</v>
      </c>
      <c r="AY206" s="24">
        <v>25.031782735584752</v>
      </c>
    </row>
    <row r="207" spans="1:51" x14ac:dyDescent="0.2">
      <c r="A207" s="23">
        <v>45434</v>
      </c>
      <c r="B207" s="24">
        <v>11.716696960480935</v>
      </c>
      <c r="C207" s="24">
        <v>16.385853502290715</v>
      </c>
      <c r="D207" s="24">
        <v>13.81557068283589</v>
      </c>
      <c r="E207" s="24">
        <v>10.860991434000088</v>
      </c>
      <c r="F207" s="24">
        <v>11.929811552129532</v>
      </c>
      <c r="G207" s="24">
        <v>14.130358866948349</v>
      </c>
      <c r="H207" s="24">
        <v>26.438235065992455</v>
      </c>
      <c r="I207" s="24">
        <v>30.86315868488337</v>
      </c>
      <c r="J207" s="24">
        <v>22.433974087308158</v>
      </c>
      <c r="K207" s="24">
        <v>28.668941197443537</v>
      </c>
      <c r="L207" s="24">
        <v>22.38608850178932</v>
      </c>
      <c r="M207" s="24">
        <v>24.990413020476304</v>
      </c>
      <c r="N207" s="24">
        <v>30.317303179880945</v>
      </c>
      <c r="O207" s="24">
        <v>25.99280327842974</v>
      </c>
      <c r="P207" s="24">
        <v>15.003041577344115</v>
      </c>
      <c r="Q207" s="24">
        <v>10.115322343493721</v>
      </c>
      <c r="R207" s="24">
        <v>21.43648661307725</v>
      </c>
      <c r="S207" s="24">
        <v>23.875413429792463</v>
      </c>
      <c r="T207" s="24">
        <v>19.508552104024439</v>
      </c>
      <c r="U207" s="24">
        <v>16.415005911643096</v>
      </c>
      <c r="V207" s="24">
        <v>13.801152417464305</v>
      </c>
      <c r="W207" s="24">
        <v>24.929326120257912</v>
      </c>
      <c r="X207" s="24">
        <v>14.505989032945539</v>
      </c>
      <c r="Y207" s="24">
        <v>42.498111542877744</v>
      </c>
      <c r="Z207" s="24">
        <v>55.313395723372508</v>
      </c>
      <c r="AA207" s="24">
        <v>23.931626914620214</v>
      </c>
      <c r="AB207" s="24">
        <v>40.284905273276742</v>
      </c>
      <c r="AC207" s="24">
        <v>20.135698712699575</v>
      </c>
      <c r="AD207" s="24">
        <v>27.408676931189838</v>
      </c>
      <c r="AE207" s="24">
        <v>71.054098227263481</v>
      </c>
      <c r="AF207" s="24">
        <v>17.763426907866808</v>
      </c>
      <c r="AG207" s="24">
        <v>17.83398508585536</v>
      </c>
      <c r="AH207" s="24">
        <v>23.990965934075234</v>
      </c>
      <c r="AI207" s="24">
        <v>37.659126272062203</v>
      </c>
      <c r="AJ207" s="24">
        <v>27.646991062243387</v>
      </c>
      <c r="AK207" s="24">
        <v>17.587317517386481</v>
      </c>
      <c r="AL207" s="24">
        <v>33.643293234086308</v>
      </c>
      <c r="AM207" s="24">
        <v>19.471217239819889</v>
      </c>
      <c r="AN207" s="24">
        <v>22.129871368892999</v>
      </c>
      <c r="AO207" s="24">
        <v>27.330635486005846</v>
      </c>
      <c r="AP207" s="24">
        <v>35.973606924921832</v>
      </c>
      <c r="AQ207" s="24">
        <v>25.169588240357108</v>
      </c>
      <c r="AR207" s="24">
        <v>19.032497742260784</v>
      </c>
      <c r="AS207" s="24">
        <v>20.889259290850806</v>
      </c>
      <c r="AT207" s="24">
        <v>22.456880234038685</v>
      </c>
      <c r="AU207" s="24">
        <v>25.731542176599532</v>
      </c>
      <c r="AV207" s="24">
        <v>39.165664174957463</v>
      </c>
      <c r="AW207" s="24">
        <v>31.66001608848293</v>
      </c>
      <c r="AX207" s="24">
        <v>10.788038521163827</v>
      </c>
      <c r="AY207" s="24">
        <v>27.034501711895317</v>
      </c>
    </row>
    <row r="208" spans="1:51" x14ac:dyDescent="0.2">
      <c r="A208" s="23">
        <v>45433</v>
      </c>
      <c r="B208" s="24">
        <v>11.86996117227279</v>
      </c>
      <c r="C208" s="24">
        <v>17.228052123016329</v>
      </c>
      <c r="D208" s="24">
        <v>14.441784487827691</v>
      </c>
      <c r="E208" s="24">
        <v>12.777772826654733</v>
      </c>
      <c r="F208" s="24">
        <v>12.189157380557186</v>
      </c>
      <c r="G208" s="24">
        <v>14.261635361451109</v>
      </c>
      <c r="H208" s="24">
        <v>28.652971933986549</v>
      </c>
      <c r="I208" s="24">
        <v>32.184560020443612</v>
      </c>
      <c r="J208" s="24">
        <v>22.279775143367949</v>
      </c>
      <c r="K208" s="24">
        <v>29.153368141355003</v>
      </c>
      <c r="L208" s="24">
        <v>22.642346146718864</v>
      </c>
      <c r="M208" s="24">
        <v>25.368249244106334</v>
      </c>
      <c r="N208" s="24">
        <v>33.596846210965616</v>
      </c>
      <c r="O208" s="24">
        <v>26.293321987909827</v>
      </c>
      <c r="P208" s="24">
        <v>14.981072841296712</v>
      </c>
      <c r="Q208" s="24">
        <v>9.9924366579157233</v>
      </c>
      <c r="R208" s="24">
        <v>22.510922886346979</v>
      </c>
      <c r="S208" s="24">
        <v>23.133293676719685</v>
      </c>
      <c r="T208" s="24">
        <v>20.056609309431167</v>
      </c>
      <c r="U208" s="24">
        <v>16.646696641816327</v>
      </c>
      <c r="V208" s="24">
        <v>13.811769152681469</v>
      </c>
      <c r="W208" s="24">
        <v>25.011560461119473</v>
      </c>
      <c r="X208" s="24">
        <v>15.185019590209331</v>
      </c>
      <c r="Y208" s="24">
        <v>42.398942418517613</v>
      </c>
      <c r="Z208" s="24">
        <v>57.198404317373367</v>
      </c>
      <c r="AA208" s="24">
        <v>24.07567792351589</v>
      </c>
      <c r="AB208" s="24">
        <v>43.343113788216797</v>
      </c>
      <c r="AC208" s="24">
        <v>35.851884175579563</v>
      </c>
      <c r="AD208" s="24">
        <v>27.856536126896405</v>
      </c>
      <c r="AE208" s="24">
        <v>75.655133743032181</v>
      </c>
      <c r="AF208" s="24">
        <v>17.768169358217694</v>
      </c>
      <c r="AG208" s="24">
        <v>17.838242105526231</v>
      </c>
      <c r="AH208" s="24">
        <v>24.052012619268975</v>
      </c>
      <c r="AI208" s="24">
        <v>38.895331599089133</v>
      </c>
      <c r="AJ208" s="24">
        <v>28.241097364818255</v>
      </c>
      <c r="AK208" s="24">
        <v>17.573850503569513</v>
      </c>
      <c r="AL208" s="24">
        <v>33.557845577851602</v>
      </c>
      <c r="AM208" s="24">
        <v>19.557085582362596</v>
      </c>
      <c r="AN208" s="24">
        <v>22.755167668919782</v>
      </c>
      <c r="AO208" s="24">
        <v>28.224904720717625</v>
      </c>
      <c r="AP208" s="24">
        <v>35.101468295839652</v>
      </c>
      <c r="AQ208" s="24">
        <v>25.044438295203204</v>
      </c>
      <c r="AR208" s="24">
        <v>19.648426376946158</v>
      </c>
      <c r="AS208" s="24">
        <v>18.904553204574189</v>
      </c>
      <c r="AT208" s="24">
        <v>22.545559550965848</v>
      </c>
      <c r="AU208" s="24">
        <v>24.099750862605809</v>
      </c>
      <c r="AV208" s="24">
        <v>37.519122381622203</v>
      </c>
      <c r="AW208" s="24">
        <v>31.674043615358421</v>
      </c>
      <c r="AX208" s="24">
        <v>11.158652933348192</v>
      </c>
      <c r="AY208" s="24">
        <v>27.084500467257737</v>
      </c>
    </row>
    <row r="209" spans="1:51" x14ac:dyDescent="0.2">
      <c r="A209" s="23">
        <v>45432</v>
      </c>
      <c r="B209" s="24">
        <v>11.638987343603363</v>
      </c>
      <c r="C209" s="24">
        <v>17.187715496933215</v>
      </c>
      <c r="D209" s="24">
        <v>14.249887140353902</v>
      </c>
      <c r="E209" s="24">
        <v>12.181610348432322</v>
      </c>
      <c r="F209" s="24">
        <v>12.117216794512666</v>
      </c>
      <c r="G209" s="24">
        <v>14.041824956628346</v>
      </c>
      <c r="H209" s="24">
        <v>30.070084183347873</v>
      </c>
      <c r="I209" s="24">
        <v>31.935875159183343</v>
      </c>
      <c r="J209" s="24">
        <v>22.216293911650432</v>
      </c>
      <c r="K209" s="24">
        <v>28.23429260934984</v>
      </c>
      <c r="L209" s="24">
        <v>23.856285842216259</v>
      </c>
      <c r="M209" s="24">
        <v>25.539534754593696</v>
      </c>
      <c r="N209" s="24">
        <v>34.060300625955875</v>
      </c>
      <c r="O209" s="24">
        <v>25.093738003065869</v>
      </c>
      <c r="P209" s="24">
        <v>15.833904181821053</v>
      </c>
      <c r="Q209" s="24">
        <v>9.8961627929015599</v>
      </c>
      <c r="R209" s="24">
        <v>22.924591371233287</v>
      </c>
      <c r="S209" s="24">
        <v>24.25980283252153</v>
      </c>
      <c r="T209" s="24">
        <v>19.930246722526942</v>
      </c>
      <c r="U209" s="24">
        <v>16.855665065302063</v>
      </c>
      <c r="V209" s="24">
        <v>14.296100682515059</v>
      </c>
      <c r="W209" s="24">
        <v>24.70410955026086</v>
      </c>
      <c r="X209" s="24">
        <v>15.124015133239627</v>
      </c>
      <c r="Y209" s="24">
        <v>39.785598137752736</v>
      </c>
      <c r="Z209" s="24">
        <v>56.567748849900994</v>
      </c>
      <c r="AA209" s="24">
        <v>24.018337243393994</v>
      </c>
      <c r="AB209" s="24">
        <v>42.721129686186494</v>
      </c>
      <c r="AC209" s="24">
        <v>48.310644893277662</v>
      </c>
      <c r="AD209" s="24">
        <v>27.863402373795036</v>
      </c>
      <c r="AE209" s="24">
        <v>72.779431726164745</v>
      </c>
      <c r="AF209" s="24">
        <v>17.875891481431143</v>
      </c>
      <c r="AG209" s="24">
        <v>17.963544939878034</v>
      </c>
      <c r="AH209" s="24">
        <v>23.771983473241971</v>
      </c>
      <c r="AI209" s="24">
        <v>39.33098211143755</v>
      </c>
      <c r="AJ209" s="24">
        <v>33.00219557854119</v>
      </c>
      <c r="AK209" s="24">
        <v>17.426489873069674</v>
      </c>
      <c r="AL209" s="24">
        <v>33.962704818778285</v>
      </c>
      <c r="AM209" s="24">
        <v>20.331443829373708</v>
      </c>
      <c r="AN209" s="24">
        <v>22.149089054776059</v>
      </c>
      <c r="AO209" s="24">
        <v>27.905097150136925</v>
      </c>
      <c r="AP209" s="24">
        <v>35.69855808659662</v>
      </c>
      <c r="AQ209" s="24">
        <v>25.170472466484235</v>
      </c>
      <c r="AR209" s="24">
        <v>19.808970709442349</v>
      </c>
      <c r="AS209" s="24">
        <v>18.510488372756605</v>
      </c>
      <c r="AT209" s="24">
        <v>22.54889604706857</v>
      </c>
      <c r="AU209" s="24">
        <v>23.41432948882106</v>
      </c>
      <c r="AV209" s="24">
        <v>36.97931196518558</v>
      </c>
      <c r="AW209" s="24">
        <v>31.394129472573649</v>
      </c>
      <c r="AX209" s="24">
        <v>12.28312411453647</v>
      </c>
      <c r="AY209" s="24">
        <v>26.667321756562632</v>
      </c>
    </row>
    <row r="210" spans="1:51" x14ac:dyDescent="0.2">
      <c r="A210" s="23">
        <v>45429</v>
      </c>
      <c r="B210" s="24">
        <v>11.799799694173711</v>
      </c>
      <c r="C210" s="24">
        <v>17.137217852117868</v>
      </c>
      <c r="D210" s="24">
        <v>14.495103959529054</v>
      </c>
      <c r="E210" s="24">
        <v>12.925156345413576</v>
      </c>
      <c r="F210" s="24">
        <v>13.338593580136388</v>
      </c>
      <c r="G210" s="24">
        <v>14.184428081725871</v>
      </c>
      <c r="H210" s="24">
        <v>27.763929906145982</v>
      </c>
      <c r="I210" s="24">
        <v>32.090098045433798</v>
      </c>
      <c r="J210" s="24">
        <v>21.652605170888133</v>
      </c>
      <c r="K210" s="24">
        <v>27.904076056105929</v>
      </c>
      <c r="L210" s="24">
        <v>23.957007277951661</v>
      </c>
      <c r="M210" s="24">
        <v>25.745453099715785</v>
      </c>
      <c r="N210" s="24">
        <v>32.190364139936271</v>
      </c>
      <c r="O210" s="24">
        <v>23.196353272707764</v>
      </c>
      <c r="P210" s="24">
        <v>19.703801738719598</v>
      </c>
      <c r="Q210" s="24">
        <v>9.47150525279155</v>
      </c>
      <c r="R210" s="24">
        <v>22.473517258632587</v>
      </c>
      <c r="S210" s="24">
        <v>22.830712614519737</v>
      </c>
      <c r="T210" s="24">
        <v>19.928240440453532</v>
      </c>
      <c r="U210" s="24">
        <v>17.392476537786411</v>
      </c>
      <c r="V210" s="24">
        <v>14.23877324811744</v>
      </c>
      <c r="W210" s="24">
        <v>25.044696390141343</v>
      </c>
      <c r="X210" s="24">
        <v>15.521259260084292</v>
      </c>
      <c r="Y210" s="24">
        <v>38.008884615284543</v>
      </c>
      <c r="Z210" s="24">
        <v>57.013473788334785</v>
      </c>
      <c r="AA210" s="24">
        <v>25.346549140893142</v>
      </c>
      <c r="AB210" s="24">
        <v>44.136998607635697</v>
      </c>
      <c r="AC210" s="24">
        <v>59.043482037458375</v>
      </c>
      <c r="AD210" s="24">
        <v>28.818769410327665</v>
      </c>
      <c r="AE210" s="24">
        <v>73.050763285388868</v>
      </c>
      <c r="AF210" s="24">
        <v>18.574742346527994</v>
      </c>
      <c r="AG210" s="24">
        <v>17.400085681204338</v>
      </c>
      <c r="AH210" s="24">
        <v>23.74552044515875</v>
      </c>
      <c r="AI210" s="24">
        <v>39.321938283872008</v>
      </c>
      <c r="AJ210" s="24">
        <v>32.132120017796858</v>
      </c>
      <c r="AK210" s="24">
        <v>17.993003638417019</v>
      </c>
      <c r="AL210" s="24">
        <v>33.39228303974722</v>
      </c>
      <c r="AM210" s="24">
        <v>20.872892173312575</v>
      </c>
      <c r="AN210" s="24">
        <v>23.553260989218796</v>
      </c>
      <c r="AO210" s="24">
        <v>28.06585504381464</v>
      </c>
      <c r="AP210" s="24">
        <v>32.383955559558736</v>
      </c>
      <c r="AQ210" s="24">
        <v>24.807513602275339</v>
      </c>
      <c r="AR210" s="24">
        <v>22.064173318438737</v>
      </c>
      <c r="AS210" s="24">
        <v>19.432446929786558</v>
      </c>
      <c r="AT210" s="24">
        <v>22.799132372385394</v>
      </c>
      <c r="AU210" s="24">
        <v>23.349047439720984</v>
      </c>
      <c r="AV210" s="24">
        <v>36.801633085761551</v>
      </c>
      <c r="AW210" s="24">
        <v>31.909364827113567</v>
      </c>
      <c r="AX210" s="24">
        <v>14.081898602575682</v>
      </c>
      <c r="AY210" s="24">
        <v>27.112411668742418</v>
      </c>
    </row>
    <row r="211" spans="1:51" x14ac:dyDescent="0.2">
      <c r="A211" s="23">
        <v>45428</v>
      </c>
      <c r="B211" s="24">
        <v>11.593106727516979</v>
      </c>
      <c r="C211" s="24">
        <v>17.074626710108667</v>
      </c>
      <c r="D211" s="24">
        <v>15.122519824998706</v>
      </c>
      <c r="E211" s="24">
        <v>13.053911284895461</v>
      </c>
      <c r="F211" s="24">
        <v>13.338593580136388</v>
      </c>
      <c r="G211" s="24">
        <v>14.703807588723251</v>
      </c>
      <c r="H211" s="24">
        <v>28.855647372660215</v>
      </c>
      <c r="I211" s="24">
        <v>31.687633305025713</v>
      </c>
      <c r="J211" s="24">
        <v>21.476487362268863</v>
      </c>
      <c r="K211" s="24">
        <v>28.129601080390426</v>
      </c>
      <c r="L211" s="24">
        <v>25.137523719638459</v>
      </c>
      <c r="M211" s="24">
        <v>21.198448558535944</v>
      </c>
      <c r="N211" s="24">
        <v>32.213633539838803</v>
      </c>
      <c r="O211" s="24">
        <v>23.819941979025483</v>
      </c>
      <c r="P211" s="24">
        <v>19.197841778727508</v>
      </c>
      <c r="Q211" s="24">
        <v>7.9100602856159332</v>
      </c>
      <c r="R211" s="24">
        <v>22.388684708412036</v>
      </c>
      <c r="S211" s="24">
        <v>22.453219003262991</v>
      </c>
      <c r="T211" s="24">
        <v>20.6155552067931</v>
      </c>
      <c r="U211" s="24">
        <v>17.704037598834617</v>
      </c>
      <c r="V211" s="24">
        <v>14.059909322921634</v>
      </c>
      <c r="W211" s="24">
        <v>24.771093876793707</v>
      </c>
      <c r="X211" s="24">
        <v>14.892010548616064</v>
      </c>
      <c r="Y211" s="24">
        <v>38.275564580808712</v>
      </c>
      <c r="Z211" s="24">
        <v>57.83001393649959</v>
      </c>
      <c r="AA211" s="24">
        <v>24.753097177655967</v>
      </c>
      <c r="AB211" s="24">
        <v>43.529093537138429</v>
      </c>
      <c r="AC211" s="24">
        <v>59.351903146669443</v>
      </c>
      <c r="AD211" s="24">
        <v>29.042735989591936</v>
      </c>
      <c r="AE211" s="24">
        <v>75.963750348197806</v>
      </c>
      <c r="AF211" s="24">
        <v>18.062967528461911</v>
      </c>
      <c r="AG211" s="24">
        <v>17.292900434210182</v>
      </c>
      <c r="AH211" s="24">
        <v>27.349790234612453</v>
      </c>
      <c r="AI211" s="24">
        <v>41.948268776447286</v>
      </c>
      <c r="AJ211" s="24">
        <v>32.231230105635127</v>
      </c>
      <c r="AK211" s="24">
        <v>18.00046606938011</v>
      </c>
      <c r="AL211" s="24">
        <v>32.980951233248476</v>
      </c>
      <c r="AM211" s="24">
        <v>20.62861945211742</v>
      </c>
      <c r="AN211" s="24">
        <v>24.404136089209754</v>
      </c>
      <c r="AO211" s="24">
        <v>28.275131410934197</v>
      </c>
      <c r="AP211" s="24">
        <v>31.848550357673229</v>
      </c>
      <c r="AQ211" s="24">
        <v>24.766419309077644</v>
      </c>
      <c r="AR211" s="24">
        <v>21.252427372203169</v>
      </c>
      <c r="AS211" s="24">
        <v>19.290573177874251</v>
      </c>
      <c r="AT211" s="24">
        <v>20.185661443910497</v>
      </c>
      <c r="AU211" s="24">
        <v>23.407900973247017</v>
      </c>
      <c r="AV211" s="24">
        <v>37.167727978252948</v>
      </c>
      <c r="AW211" s="24">
        <v>31.430682907400421</v>
      </c>
      <c r="AX211" s="24">
        <v>13.696891999088818</v>
      </c>
      <c r="AY211" s="24">
        <v>24.952864874022584</v>
      </c>
    </row>
    <row r="212" spans="1:51" x14ac:dyDescent="0.2">
      <c r="A212" s="23">
        <v>45427</v>
      </c>
      <c r="B212" s="24">
        <v>13.203885854253461</v>
      </c>
      <c r="C212" s="24">
        <v>18.824079489196858</v>
      </c>
      <c r="D212" s="24">
        <v>16.814730752154684</v>
      </c>
      <c r="E212" s="24">
        <v>18.704176462528956</v>
      </c>
      <c r="F212" s="24">
        <v>12.881420383735101</v>
      </c>
      <c r="G212" s="24">
        <v>16.632392534807202</v>
      </c>
      <c r="H212" s="24">
        <v>32.40851466474205</v>
      </c>
      <c r="I212" s="24">
        <v>35.122947953397571</v>
      </c>
      <c r="J212" s="24">
        <v>19.771973167828438</v>
      </c>
      <c r="K212" s="24">
        <v>28.432585628012596</v>
      </c>
      <c r="L212" s="24">
        <v>26.602860569601816</v>
      </c>
      <c r="M212" s="24">
        <v>19.826895020160613</v>
      </c>
      <c r="N212" s="24">
        <v>33.361017278121096</v>
      </c>
      <c r="O212" s="24">
        <v>26.198445673882627</v>
      </c>
      <c r="P212" s="24">
        <v>22.19233873754154</v>
      </c>
      <c r="Q212" s="24">
        <v>10.356671302054162</v>
      </c>
      <c r="R212" s="24">
        <v>27.172096928063748</v>
      </c>
      <c r="S212" s="24">
        <v>23.825601717201945</v>
      </c>
      <c r="T212" s="24">
        <v>25.551081966910203</v>
      </c>
      <c r="U212" s="24">
        <v>19.056412944569733</v>
      </c>
      <c r="V212" s="24">
        <v>15.199802526051704</v>
      </c>
      <c r="W212" s="24">
        <v>25.76467817981047</v>
      </c>
      <c r="X212" s="24">
        <v>14.418052374298824</v>
      </c>
      <c r="Y212" s="24">
        <v>38.302321973060074</v>
      </c>
      <c r="Z212" s="24">
        <v>55.509086880172326</v>
      </c>
      <c r="AA212" s="24">
        <v>25.23777133481687</v>
      </c>
      <c r="AB212" s="24">
        <v>42.970939357489158</v>
      </c>
      <c r="AC212" s="24">
        <v>60.091081102577505</v>
      </c>
      <c r="AD212" s="24">
        <v>30.460744730933651</v>
      </c>
      <c r="AE212" s="24">
        <v>76.804350077243342</v>
      </c>
      <c r="AF212" s="24">
        <v>17.998914820406636</v>
      </c>
      <c r="AG212" s="24">
        <v>18.08607341399194</v>
      </c>
      <c r="AH212" s="24">
        <v>28.148065326327554</v>
      </c>
      <c r="AI212" s="24">
        <v>40.656287464547219</v>
      </c>
      <c r="AJ212" s="24">
        <v>32.438837930664683</v>
      </c>
      <c r="AK212" s="24">
        <v>19.568663809737902</v>
      </c>
      <c r="AL212" s="24">
        <v>38.525254187801828</v>
      </c>
      <c r="AM212" s="24">
        <v>25.517375775367274</v>
      </c>
      <c r="AN212" s="24">
        <v>29.166209089103138</v>
      </c>
      <c r="AO212" s="24">
        <v>39.734212076124876</v>
      </c>
      <c r="AP212" s="24">
        <v>31.32183260929509</v>
      </c>
      <c r="AQ212" s="24">
        <v>26.058146352719138</v>
      </c>
      <c r="AR212" s="24">
        <v>20.067139585650732</v>
      </c>
      <c r="AS212" s="24">
        <v>19.784127901356843</v>
      </c>
      <c r="AT212" s="24">
        <v>23.332005825601584</v>
      </c>
      <c r="AU212" s="24">
        <v>24.460616253493249</v>
      </c>
      <c r="AV212" s="24">
        <v>35.922887562779849</v>
      </c>
      <c r="AW212" s="24">
        <v>31.892231266949075</v>
      </c>
      <c r="AX212" s="24">
        <v>15.023968395661049</v>
      </c>
      <c r="AY212" s="24">
        <v>25.022625132852209</v>
      </c>
    </row>
    <row r="213" spans="1:51" x14ac:dyDescent="0.2">
      <c r="A213" s="23">
        <v>45426</v>
      </c>
      <c r="B213" s="24">
        <v>13.196325527082974</v>
      </c>
      <c r="C213" s="24">
        <v>19.155125288218393</v>
      </c>
      <c r="D213" s="24">
        <v>16.822174392675684</v>
      </c>
      <c r="E213" s="24">
        <v>19.828456690875374</v>
      </c>
      <c r="F213" s="24">
        <v>13.116451259044638</v>
      </c>
      <c r="G213" s="24">
        <v>16.561571676037541</v>
      </c>
      <c r="H213" s="24">
        <v>32.459636593426829</v>
      </c>
      <c r="I213" s="24">
        <v>36.143156626622144</v>
      </c>
      <c r="J213" s="24">
        <v>19.574803579554519</v>
      </c>
      <c r="K213" s="24">
        <v>26.993211166780874</v>
      </c>
      <c r="L213" s="24">
        <v>31.073312290668849</v>
      </c>
      <c r="M213" s="24">
        <v>22.803318257494027</v>
      </c>
      <c r="N213" s="24">
        <v>32.909450702492791</v>
      </c>
      <c r="O213" s="24">
        <v>26.305262001018274</v>
      </c>
      <c r="P213" s="24">
        <v>22.02078259212416</v>
      </c>
      <c r="Q213" s="24">
        <v>10.604700105099914</v>
      </c>
      <c r="R213" s="24">
        <v>27.084855998531921</v>
      </c>
      <c r="S213" s="24">
        <v>22.573463994284939</v>
      </c>
      <c r="T213" s="24">
        <v>26.202249268271913</v>
      </c>
      <c r="U213" s="24">
        <v>19.360177879452309</v>
      </c>
      <c r="V213" s="24">
        <v>15.207390503103438</v>
      </c>
      <c r="W213" s="24">
        <v>24.548264095828934</v>
      </c>
      <c r="X213" s="24">
        <v>14.854903853893287</v>
      </c>
      <c r="Y213" s="24">
        <v>38.871325754461793</v>
      </c>
      <c r="Z213" s="24">
        <v>57.186684767266883</v>
      </c>
      <c r="AA213" s="24">
        <v>26.066583665370278</v>
      </c>
      <c r="AB213" s="24">
        <v>47.337140017895109</v>
      </c>
      <c r="AC213" s="24">
        <v>59.816673222319388</v>
      </c>
      <c r="AD213" s="24">
        <v>29.55908685258931</v>
      </c>
      <c r="AE213" s="24">
        <v>76.860332576601053</v>
      </c>
      <c r="AF213" s="24">
        <v>18.067110643933095</v>
      </c>
      <c r="AG213" s="24">
        <v>19.416569170377056</v>
      </c>
      <c r="AH213" s="24">
        <v>28.391522403241453</v>
      </c>
      <c r="AI213" s="24">
        <v>40.084633392247717</v>
      </c>
      <c r="AJ213" s="24">
        <v>32.744114336090647</v>
      </c>
      <c r="AK213" s="24">
        <v>19.773403281399823</v>
      </c>
      <c r="AL213" s="24">
        <v>41.040157994758154</v>
      </c>
      <c r="AM213" s="24">
        <v>26.501591410777547</v>
      </c>
      <c r="AN213" s="24">
        <v>29.497313045861127</v>
      </c>
      <c r="AO213" s="24">
        <v>39.715342959256091</v>
      </c>
      <c r="AP213" s="24">
        <v>31.275308425547099</v>
      </c>
      <c r="AQ213" s="24">
        <v>26.042541229163827</v>
      </c>
      <c r="AR213" s="24">
        <v>21.232338963623693</v>
      </c>
      <c r="AS213" s="24">
        <v>20.829785713047468</v>
      </c>
      <c r="AT213" s="24">
        <v>24.391164540889449</v>
      </c>
      <c r="AU213" s="24">
        <v>24.277883566505832</v>
      </c>
      <c r="AV213" s="24">
        <v>35.962872595974943</v>
      </c>
      <c r="AW213" s="24">
        <v>31.727849385115956</v>
      </c>
      <c r="AX213" s="24">
        <v>15.703875413227021</v>
      </c>
      <c r="AY213" s="24">
        <v>23.901928854285444</v>
      </c>
    </row>
    <row r="214" spans="1:51" x14ac:dyDescent="0.2">
      <c r="A214" s="23">
        <v>45425</v>
      </c>
      <c r="B214" s="24">
        <v>12.974113487396551</v>
      </c>
      <c r="C214" s="24">
        <v>19.109667860222366</v>
      </c>
      <c r="D214" s="24">
        <v>16.549119822301744</v>
      </c>
      <c r="E214" s="24">
        <v>20.386959105575684</v>
      </c>
      <c r="F214" s="24">
        <v>13.12094025960514</v>
      </c>
      <c r="G214" s="24">
        <v>16.341250920690566</v>
      </c>
      <c r="H214" s="24">
        <v>32.355688144740611</v>
      </c>
      <c r="I214" s="24">
        <v>36.128856239135729</v>
      </c>
      <c r="J214" s="24">
        <v>18.4980816209574</v>
      </c>
      <c r="K214" s="24">
        <v>26.907594281368144</v>
      </c>
      <c r="L214" s="24">
        <v>31.040587492110671</v>
      </c>
      <c r="M214" s="24">
        <v>22.699761401272248</v>
      </c>
      <c r="N214" s="24">
        <v>32.92740195087201</v>
      </c>
      <c r="O214" s="24">
        <v>25.913871793989848</v>
      </c>
      <c r="P214" s="24">
        <v>21.990784026979529</v>
      </c>
      <c r="Q214" s="24">
        <v>10.59392785461826</v>
      </c>
      <c r="R214" s="24">
        <v>27.082586487418499</v>
      </c>
      <c r="S214" s="24">
        <v>19.788601088063967</v>
      </c>
      <c r="T214" s="24">
        <v>26.369273621220607</v>
      </c>
      <c r="U214" s="24">
        <v>19.727284125375611</v>
      </c>
      <c r="V214" s="24">
        <v>14.672167851805389</v>
      </c>
      <c r="W214" s="24">
        <v>26.118055011643023</v>
      </c>
      <c r="X214" s="24">
        <v>14.998990778096216</v>
      </c>
      <c r="Y214" s="24">
        <v>38.448021457828951</v>
      </c>
      <c r="Z214" s="24">
        <v>56.952941026307634</v>
      </c>
      <c r="AA214" s="24">
        <v>26.140438896978644</v>
      </c>
      <c r="AB214" s="24">
        <v>47.401412374531738</v>
      </c>
      <c r="AC214" s="24">
        <v>59.056485262707938</v>
      </c>
      <c r="AD214" s="24">
        <v>29.814328115475742</v>
      </c>
      <c r="AE214" s="24">
        <v>77.636129990667342</v>
      </c>
      <c r="AF214" s="24">
        <v>17.948298896458837</v>
      </c>
      <c r="AG214" s="24">
        <v>18.955349197666209</v>
      </c>
      <c r="AH214" s="24">
        <v>28.943107674601389</v>
      </c>
      <c r="AI214" s="24">
        <v>39.989813613424232</v>
      </c>
      <c r="AJ214" s="24">
        <v>32.963004191182762</v>
      </c>
      <c r="AK214" s="24">
        <v>19.795207752327006</v>
      </c>
      <c r="AL214" s="24">
        <v>40.853480111255301</v>
      </c>
      <c r="AM214" s="24">
        <v>26.362952638318358</v>
      </c>
      <c r="AN214" s="24">
        <v>29.520952757615806</v>
      </c>
      <c r="AO214" s="24">
        <v>39.718779547843084</v>
      </c>
      <c r="AP214" s="24">
        <v>29.734956791673405</v>
      </c>
      <c r="AQ214" s="24">
        <v>24.118166122867756</v>
      </c>
      <c r="AR214" s="24">
        <v>21.117081810336131</v>
      </c>
      <c r="AS214" s="24">
        <v>21.220942446830261</v>
      </c>
      <c r="AT214" s="24">
        <v>24.168291737283795</v>
      </c>
      <c r="AU214" s="24">
        <v>24.083850372310977</v>
      </c>
      <c r="AV214" s="24">
        <v>35.319667915876856</v>
      </c>
      <c r="AW214" s="24">
        <v>31.758466973252535</v>
      </c>
      <c r="AX214" s="24">
        <v>15.703875413227021</v>
      </c>
      <c r="AY214" s="24">
        <v>24.110351113985992</v>
      </c>
    </row>
    <row r="215" spans="1:51" x14ac:dyDescent="0.2">
      <c r="A215" s="23">
        <v>45422</v>
      </c>
      <c r="B215" s="24">
        <v>12.974405540839745</v>
      </c>
      <c r="C215" s="24">
        <v>17.945173303893768</v>
      </c>
      <c r="D215" s="24">
        <v>16.549595040121289</v>
      </c>
      <c r="E215" s="24">
        <v>20.372488843210675</v>
      </c>
      <c r="F215" s="24">
        <v>13.121512421048816</v>
      </c>
      <c r="G215" s="24">
        <v>16.35277861603776</v>
      </c>
      <c r="H215" s="24">
        <v>32.772304122113717</v>
      </c>
      <c r="I215" s="24">
        <v>35.831170704787198</v>
      </c>
      <c r="J215" s="24">
        <v>18.464385635237193</v>
      </c>
      <c r="K215" s="24">
        <v>26.571686924520666</v>
      </c>
      <c r="L215" s="24">
        <v>31.634294918536444</v>
      </c>
      <c r="M215" s="24">
        <v>24.367537398392209</v>
      </c>
      <c r="N215" s="24">
        <v>32.879906569830439</v>
      </c>
      <c r="O215" s="24">
        <v>26.06884915787467</v>
      </c>
      <c r="P215" s="24">
        <v>21.802776387309326</v>
      </c>
      <c r="Q215" s="24">
        <v>12.383612909646638</v>
      </c>
      <c r="R215" s="24">
        <v>27.118200741750204</v>
      </c>
      <c r="S215" s="24">
        <v>19.695561632911168</v>
      </c>
      <c r="T215" s="24">
        <v>26.541882670736054</v>
      </c>
      <c r="U215" s="24">
        <v>19.544183034038195</v>
      </c>
      <c r="V215" s="24">
        <v>14.760093768917036</v>
      </c>
      <c r="W215" s="24">
        <v>26.525907826818106</v>
      </c>
      <c r="X215" s="24">
        <v>15.60524902999852</v>
      </c>
      <c r="Y215" s="24">
        <v>43.020072854647417</v>
      </c>
      <c r="Z215" s="24">
        <v>58.929060131956177</v>
      </c>
      <c r="AA215" s="24">
        <v>28.049540831781435</v>
      </c>
      <c r="AB215" s="24">
        <v>48.342925854588501</v>
      </c>
      <c r="AC215" s="24">
        <v>59.180233022954759</v>
      </c>
      <c r="AD215" s="24">
        <v>30.257363922593353</v>
      </c>
      <c r="AE215" s="24">
        <v>79.263843678674093</v>
      </c>
      <c r="AF215" s="24">
        <v>19.837427675630043</v>
      </c>
      <c r="AG215" s="24">
        <v>18.975171666646478</v>
      </c>
      <c r="AH215" s="24">
        <v>29.984369422534019</v>
      </c>
      <c r="AI215" s="24">
        <v>39.775495514378406</v>
      </c>
      <c r="AJ215" s="24">
        <v>32.084315639262712</v>
      </c>
      <c r="AK215" s="24">
        <v>19.316183434461912</v>
      </c>
      <c r="AL215" s="24">
        <v>42.094652291244699</v>
      </c>
      <c r="AM215" s="24">
        <v>26.792697399446265</v>
      </c>
      <c r="AN215" s="24">
        <v>27.950253149717138</v>
      </c>
      <c r="AO215" s="24">
        <v>40.09335079944217</v>
      </c>
      <c r="AP215" s="24">
        <v>26.78947901405936</v>
      </c>
      <c r="AQ215" s="24">
        <v>24.453757143960054</v>
      </c>
      <c r="AR215" s="24">
        <v>21.749051382543581</v>
      </c>
      <c r="AS215" s="24">
        <v>21.823752001658544</v>
      </c>
      <c r="AT215" s="24">
        <v>24.643053235056993</v>
      </c>
      <c r="AU215" s="24">
        <v>24.105637815577378</v>
      </c>
      <c r="AV215" s="24">
        <v>32.612773009197959</v>
      </c>
      <c r="AW215" s="24">
        <v>30.349037472854338</v>
      </c>
      <c r="AX215" s="24">
        <v>15.799386982001044</v>
      </c>
      <c r="AY215" s="24">
        <v>24.169061183408367</v>
      </c>
    </row>
    <row r="216" spans="1:51" x14ac:dyDescent="0.2">
      <c r="A216" s="23">
        <v>45421</v>
      </c>
      <c r="B216" s="24">
        <v>13.766663351824782</v>
      </c>
      <c r="C216" s="24">
        <v>17.500717028012698</v>
      </c>
      <c r="D216" s="24">
        <v>17.333646076775988</v>
      </c>
      <c r="E216" s="24">
        <v>19.945210076265152</v>
      </c>
      <c r="F216" s="24">
        <v>13.177333097713262</v>
      </c>
      <c r="G216" s="24">
        <v>16.6294638146321</v>
      </c>
      <c r="H216" s="24">
        <v>33.157492467148771</v>
      </c>
      <c r="I216" s="24">
        <v>33.88908839607614</v>
      </c>
      <c r="J216" s="24">
        <v>17.494466308601567</v>
      </c>
      <c r="K216" s="24">
        <v>26.532658397506385</v>
      </c>
      <c r="L216" s="24">
        <v>32.040907990169636</v>
      </c>
      <c r="M216" s="24">
        <v>24.141289930915107</v>
      </c>
      <c r="N216" s="24">
        <v>33.641816882332947</v>
      </c>
      <c r="O216" s="24">
        <v>26.067856003224552</v>
      </c>
      <c r="P216" s="24">
        <v>22.457258309492616</v>
      </c>
      <c r="Q216" s="24">
        <v>12.668533151932781</v>
      </c>
      <c r="R216" s="24">
        <v>28.89649958643561</v>
      </c>
      <c r="S216" s="24">
        <v>19.904933617949162</v>
      </c>
      <c r="T216" s="24">
        <v>26.634277612262554</v>
      </c>
      <c r="U216" s="24">
        <v>17.940069375564708</v>
      </c>
      <c r="V216" s="24">
        <v>15.027405583023516</v>
      </c>
      <c r="W216" s="24">
        <v>25.784596789217272</v>
      </c>
      <c r="X216" s="24">
        <v>15.499680402740806</v>
      </c>
      <c r="Y216" s="24">
        <v>42.465804217304573</v>
      </c>
      <c r="Z216" s="24">
        <v>58.710846235584725</v>
      </c>
      <c r="AA216" s="24">
        <v>27.911704686632412</v>
      </c>
      <c r="AB216" s="24">
        <v>45.85620383425244</v>
      </c>
      <c r="AC216" s="24">
        <v>59.376617999093973</v>
      </c>
      <c r="AD216" s="24">
        <v>30.294139936388799</v>
      </c>
      <c r="AE216" s="24">
        <v>77.41958778100998</v>
      </c>
      <c r="AF216" s="24">
        <v>19.925647746636621</v>
      </c>
      <c r="AG216" s="24">
        <v>18.472125208571164</v>
      </c>
      <c r="AH216" s="24">
        <v>30.071451700992366</v>
      </c>
      <c r="AI216" s="24">
        <v>39.727786825633636</v>
      </c>
      <c r="AJ216" s="24">
        <v>31.875856538392743</v>
      </c>
      <c r="AK216" s="24">
        <v>19.81960850036311</v>
      </c>
      <c r="AL216" s="24">
        <v>41.381574795980292</v>
      </c>
      <c r="AM216" s="24">
        <v>26.17991027902027</v>
      </c>
      <c r="AN216" s="24">
        <v>28.133303435419247</v>
      </c>
      <c r="AO216" s="24">
        <v>35.213025533550521</v>
      </c>
      <c r="AP216" s="24">
        <v>27.337423670420911</v>
      </c>
      <c r="AQ216" s="24">
        <v>28.774986801461665</v>
      </c>
      <c r="AR216" s="24">
        <v>21.186435182246516</v>
      </c>
      <c r="AS216" s="24">
        <v>21.791715665416298</v>
      </c>
      <c r="AT216" s="24">
        <v>25.248360446266584</v>
      </c>
      <c r="AU216" s="24">
        <v>24.104171961713202</v>
      </c>
      <c r="AV216" s="24">
        <v>33.357192465202807</v>
      </c>
      <c r="AW216" s="24">
        <v>31.416009410397063</v>
      </c>
      <c r="AX216" s="24">
        <v>15.710283369575977</v>
      </c>
      <c r="AY216" s="24">
        <v>24.192688758517669</v>
      </c>
    </row>
    <row r="217" spans="1:51" x14ac:dyDescent="0.2">
      <c r="A217" s="23">
        <v>45420</v>
      </c>
      <c r="B217" s="24">
        <v>14.357713421736086</v>
      </c>
      <c r="C217" s="24">
        <v>20.542814959231102</v>
      </c>
      <c r="D217" s="24">
        <v>17.177004727255795</v>
      </c>
      <c r="E217" s="24">
        <v>20.340792082820908</v>
      </c>
      <c r="F217" s="24">
        <v>13.574010714850218</v>
      </c>
      <c r="G217" s="24">
        <v>16.824046594766486</v>
      </c>
      <c r="H217" s="24">
        <v>33.274557901250304</v>
      </c>
      <c r="I217" s="24">
        <v>33.288711608678206</v>
      </c>
      <c r="J217" s="24">
        <v>17.439550024189312</v>
      </c>
      <c r="K217" s="24">
        <v>26.980190987809657</v>
      </c>
      <c r="L217" s="24">
        <v>33.666046435905081</v>
      </c>
      <c r="M217" s="24">
        <v>24.228092663756922</v>
      </c>
      <c r="N217" s="24">
        <v>33.666164174127957</v>
      </c>
      <c r="O217" s="24">
        <v>25.873513445715194</v>
      </c>
      <c r="P217" s="24">
        <v>22.552769399903248</v>
      </c>
      <c r="Q217" s="24">
        <v>18.115528472866263</v>
      </c>
      <c r="R217" s="24">
        <v>28.874322356172573</v>
      </c>
      <c r="S217" s="24">
        <v>21.466175763523665</v>
      </c>
      <c r="T217" s="24">
        <v>32.060149172199345</v>
      </c>
      <c r="U217" s="24">
        <v>18.096268574646647</v>
      </c>
      <c r="V217" s="24">
        <v>14.75298384067958</v>
      </c>
      <c r="W217" s="24">
        <v>26.266437003072788</v>
      </c>
      <c r="X217" s="24">
        <v>15.498971987105069</v>
      </c>
      <c r="Y217" s="24">
        <v>42.395426863523532</v>
      </c>
      <c r="Z217" s="24">
        <v>58.465566342372711</v>
      </c>
      <c r="AA217" s="24">
        <v>28.121700474121909</v>
      </c>
      <c r="AB217" s="24">
        <v>45.945639452475227</v>
      </c>
      <c r="AC217" s="24">
        <v>59.956171457362494</v>
      </c>
      <c r="AD217" s="24">
        <v>31.338374764232004</v>
      </c>
      <c r="AE217" s="24">
        <v>68.388503125147992</v>
      </c>
      <c r="AF217" s="24">
        <v>19.925026520214228</v>
      </c>
      <c r="AG217" s="24">
        <v>18.463654751600668</v>
      </c>
      <c r="AH217" s="24">
        <v>31.004034690788384</v>
      </c>
      <c r="AI217" s="24">
        <v>40.904683088277267</v>
      </c>
      <c r="AJ217" s="24">
        <v>32.041806073439879</v>
      </c>
      <c r="AK217" s="24">
        <v>19.878196973947983</v>
      </c>
      <c r="AL217" s="24">
        <v>41.857446368081916</v>
      </c>
      <c r="AM217" s="24">
        <v>26.157517212635149</v>
      </c>
      <c r="AN217" s="24">
        <v>30.355434920026294</v>
      </c>
      <c r="AO217" s="24">
        <v>35.274540722681699</v>
      </c>
      <c r="AP217" s="24">
        <v>27.432812161264643</v>
      </c>
      <c r="AQ217" s="24">
        <v>29.789251300711697</v>
      </c>
      <c r="AR217" s="24">
        <v>21.236568536326665</v>
      </c>
      <c r="AS217" s="24">
        <v>22.742400590452053</v>
      </c>
      <c r="AT217" s="24">
        <v>25.056282425563406</v>
      </c>
      <c r="AU217" s="24">
        <v>25.006632663410961</v>
      </c>
      <c r="AV217" s="24">
        <v>17.855746147291857</v>
      </c>
      <c r="AW217" s="24">
        <v>33.738061002568152</v>
      </c>
      <c r="AX217" s="24">
        <v>15.711599939370558</v>
      </c>
      <c r="AY217" s="24">
        <v>24.128096405088286</v>
      </c>
    </row>
    <row r="218" spans="1:51" x14ac:dyDescent="0.2">
      <c r="A218" s="23">
        <v>45419</v>
      </c>
      <c r="B218" s="24">
        <v>14.379904558353608</v>
      </c>
      <c r="C218" s="24">
        <v>20.46903293960299</v>
      </c>
      <c r="D218" s="24">
        <v>16.844259704455993</v>
      </c>
      <c r="E218" s="24">
        <v>20.362275065996048</v>
      </c>
      <c r="F218" s="24">
        <v>13.596517396310361</v>
      </c>
      <c r="G218" s="24">
        <v>16.733872577677886</v>
      </c>
      <c r="H218" s="24">
        <v>34.163430988002311</v>
      </c>
      <c r="I218" s="24">
        <v>32.796772873209072</v>
      </c>
      <c r="J218" s="24">
        <v>17.55582258049218</v>
      </c>
      <c r="K218" s="24">
        <v>27.384914908351664</v>
      </c>
      <c r="L218" s="24">
        <v>33.367534649145377</v>
      </c>
      <c r="M218" s="24">
        <v>23.989527216318976</v>
      </c>
      <c r="N218" s="24">
        <v>33.663975123254893</v>
      </c>
      <c r="O218" s="24">
        <v>24.153496319496359</v>
      </c>
      <c r="P218" s="24">
        <v>22.223236725787718</v>
      </c>
      <c r="Q218" s="24">
        <v>18.414699470492756</v>
      </c>
      <c r="R218" s="24">
        <v>28.775471850834801</v>
      </c>
      <c r="S218" s="24">
        <v>21.313293673962651</v>
      </c>
      <c r="T218" s="24">
        <v>32.054259217556471</v>
      </c>
      <c r="U218" s="24">
        <v>18.327688442567531</v>
      </c>
      <c r="V218" s="24">
        <v>14.145738992254502</v>
      </c>
      <c r="W218" s="24">
        <v>26.144070623025872</v>
      </c>
      <c r="X218" s="24">
        <v>16.323816960754161</v>
      </c>
      <c r="Y218" s="24">
        <v>43.91168253036966</v>
      </c>
      <c r="Z218" s="24">
        <v>59.147621671855426</v>
      </c>
      <c r="AA218" s="24">
        <v>27.552070008735072</v>
      </c>
      <c r="AB218" s="24">
        <v>47.791084667875417</v>
      </c>
      <c r="AC218" s="24">
        <v>60.048710111415069</v>
      </c>
      <c r="AD218" s="24">
        <v>30.974490219942403</v>
      </c>
      <c r="AE218" s="24">
        <v>70.785839681565307</v>
      </c>
      <c r="AF218" s="24">
        <v>17.854904103543955</v>
      </c>
      <c r="AG218" s="24">
        <v>18.623175451947667</v>
      </c>
      <c r="AH218" s="24">
        <v>29.547308878084788</v>
      </c>
      <c r="AI218" s="24">
        <v>37.693182025461574</v>
      </c>
      <c r="AJ218" s="24">
        <v>31.910566814367343</v>
      </c>
      <c r="AK218" s="24">
        <v>19.747171532698957</v>
      </c>
      <c r="AL218" s="24">
        <v>40.519384989986619</v>
      </c>
      <c r="AM218" s="24">
        <v>25.565559739923284</v>
      </c>
      <c r="AN218" s="24">
        <v>30.273551777859566</v>
      </c>
      <c r="AO218" s="24">
        <v>34.84459558164879</v>
      </c>
      <c r="AP218" s="24">
        <v>27.314822493052773</v>
      </c>
      <c r="AQ218" s="24">
        <v>29.473003356851859</v>
      </c>
      <c r="AR218" s="24">
        <v>20.824885533706919</v>
      </c>
      <c r="AS218" s="24">
        <v>22.039217620238659</v>
      </c>
      <c r="AT218" s="24">
        <v>24.711380266211524</v>
      </c>
      <c r="AU218" s="24">
        <v>24.380260833073397</v>
      </c>
      <c r="AV218" s="24">
        <v>17.906201417711397</v>
      </c>
      <c r="AW218" s="24">
        <v>33.764507469377492</v>
      </c>
      <c r="AX218" s="24">
        <v>15.479463855210312</v>
      </c>
      <c r="AY218" s="24">
        <v>24.124463651415709</v>
      </c>
    </row>
    <row r="219" spans="1:51" x14ac:dyDescent="0.2">
      <c r="A219" s="23">
        <v>45418</v>
      </c>
      <c r="B219" s="24">
        <v>14.613134727739686</v>
      </c>
      <c r="C219" s="24">
        <v>20.51371785369437</v>
      </c>
      <c r="D219" s="24">
        <v>16.976050304658607</v>
      </c>
      <c r="E219" s="24">
        <v>20.286387940230377</v>
      </c>
      <c r="F219" s="24">
        <v>13.605747795014416</v>
      </c>
      <c r="G219" s="24">
        <v>17.038224261800785</v>
      </c>
      <c r="H219" s="24">
        <v>34.826514655463448</v>
      </c>
      <c r="I219" s="24">
        <v>32.843770961901612</v>
      </c>
      <c r="J219" s="24">
        <v>17.644735993731526</v>
      </c>
      <c r="K219" s="24">
        <v>27.049227934547691</v>
      </c>
      <c r="L219" s="24">
        <v>33.807777059153885</v>
      </c>
      <c r="M219" s="24">
        <v>24.150107109665072</v>
      </c>
      <c r="N219" s="24">
        <v>35.147089910235422</v>
      </c>
      <c r="O219" s="24">
        <v>24.649747694928056</v>
      </c>
      <c r="P219" s="24">
        <v>22.203260649781189</v>
      </c>
      <c r="Q219" s="24">
        <v>18.372194683155396</v>
      </c>
      <c r="R219" s="24">
        <v>29.31286956342208</v>
      </c>
      <c r="S219" s="24">
        <v>21.32634756016261</v>
      </c>
      <c r="T219" s="24">
        <v>32.221971085727688</v>
      </c>
      <c r="U219" s="24">
        <v>18.328606188500647</v>
      </c>
      <c r="V219" s="24">
        <v>14.092920870739649</v>
      </c>
      <c r="W219" s="24">
        <v>26.171710230166227</v>
      </c>
      <c r="X219" s="24">
        <v>17.607305681778815</v>
      </c>
      <c r="Y219" s="24">
        <v>43.878116164446325</v>
      </c>
      <c r="Z219" s="24">
        <v>59.309545229999614</v>
      </c>
      <c r="AA219" s="24">
        <v>27.561784890414259</v>
      </c>
      <c r="AB219" s="24">
        <v>46.531771072195326</v>
      </c>
      <c r="AC219" s="24">
        <v>60.023653199594861</v>
      </c>
      <c r="AD219" s="24">
        <v>31.176665482180539</v>
      </c>
      <c r="AE219" s="24">
        <v>70.588713142600213</v>
      </c>
      <c r="AF219" s="24">
        <v>19.430093245434279</v>
      </c>
      <c r="AG219" s="24">
        <v>18.425662210497499</v>
      </c>
      <c r="AH219" s="24">
        <v>29.527647821780167</v>
      </c>
      <c r="AI219" s="24">
        <v>40.039840295463769</v>
      </c>
      <c r="AJ219" s="24">
        <v>32.720241918067742</v>
      </c>
      <c r="AK219" s="24">
        <v>18.355326238021682</v>
      </c>
      <c r="AL219" s="24">
        <v>40.627851785941985</v>
      </c>
      <c r="AM219" s="24">
        <v>25.407670782505573</v>
      </c>
      <c r="AN219" s="24">
        <v>30.30280401509571</v>
      </c>
      <c r="AO219" s="24">
        <v>36.74280398847548</v>
      </c>
      <c r="AP219" s="24">
        <v>25.986903527791924</v>
      </c>
      <c r="AQ219" s="24">
        <v>28.617740133000584</v>
      </c>
      <c r="AR219" s="24">
        <v>21.10712022968843</v>
      </c>
      <c r="AS219" s="24">
        <v>23.931355608338535</v>
      </c>
      <c r="AT219" s="24">
        <v>25.00186935426278</v>
      </c>
      <c r="AU219" s="24">
        <v>24.319759187115682</v>
      </c>
      <c r="AV219" s="24">
        <v>18.250200757141005</v>
      </c>
      <c r="AW219" s="24">
        <v>33.634636625316595</v>
      </c>
      <c r="AX219" s="24">
        <v>15.706932263656785</v>
      </c>
      <c r="AY219" s="24">
        <v>25.41869796393209</v>
      </c>
    </row>
    <row r="220" spans="1:51" x14ac:dyDescent="0.2">
      <c r="A220" s="23">
        <v>45412</v>
      </c>
      <c r="B220" s="24">
        <v>13.945561806606808</v>
      </c>
      <c r="C220" s="24">
        <v>17.551388170166351</v>
      </c>
      <c r="D220" s="24">
        <v>16.321126835193464</v>
      </c>
      <c r="E220" s="24">
        <v>19.673342158537267</v>
      </c>
      <c r="F220" s="24">
        <v>13.349142415698312</v>
      </c>
      <c r="G220" s="24">
        <v>15.056209394973825</v>
      </c>
      <c r="H220" s="24">
        <v>33.904556374601654</v>
      </c>
      <c r="I220" s="24">
        <v>34.690686655224539</v>
      </c>
      <c r="J220" s="24">
        <v>17.392918985326272</v>
      </c>
      <c r="K220" s="24">
        <v>28.385066917672649</v>
      </c>
      <c r="L220" s="24">
        <v>33.809436625671509</v>
      </c>
      <c r="M220" s="24">
        <v>22.558169701115617</v>
      </c>
      <c r="N220" s="24">
        <v>34.197846340893726</v>
      </c>
      <c r="O220" s="24">
        <v>25.457114185734021</v>
      </c>
      <c r="P220" s="24">
        <v>21.528130716510258</v>
      </c>
      <c r="Q220" s="24">
        <v>17.999754246046958</v>
      </c>
      <c r="R220" s="24">
        <v>29.31229364238084</v>
      </c>
      <c r="S220" s="24">
        <v>22.884839129958539</v>
      </c>
      <c r="T220" s="24">
        <v>31.57347729845447</v>
      </c>
      <c r="U220" s="24">
        <v>18.005057221918822</v>
      </c>
      <c r="V220" s="24">
        <v>14.448878672033867</v>
      </c>
      <c r="W220" s="24">
        <v>26.101438764890872</v>
      </c>
      <c r="X220" s="24">
        <v>17.517764034600386</v>
      </c>
      <c r="Y220" s="24">
        <v>43.802656737108329</v>
      </c>
      <c r="Z220" s="24">
        <v>59.645405534759185</v>
      </c>
      <c r="AA220" s="24">
        <v>27.583340985405066</v>
      </c>
      <c r="AB220" s="24">
        <v>46.83252444051125</v>
      </c>
      <c r="AC220" s="24">
        <v>60.009749710194292</v>
      </c>
      <c r="AD220" s="24">
        <v>31.18792150668363</v>
      </c>
      <c r="AE220" s="24">
        <v>69.323819773631101</v>
      </c>
      <c r="AF220" s="24">
        <v>19.653235391128714</v>
      </c>
      <c r="AG220" s="24">
        <v>17.945125352153777</v>
      </c>
      <c r="AH220" s="24">
        <v>28.325981119906487</v>
      </c>
      <c r="AI220" s="24">
        <v>34.185093415556004</v>
      </c>
      <c r="AJ220" s="24">
        <v>31.949543931888318</v>
      </c>
      <c r="AK220" s="24">
        <v>14.761338524689052</v>
      </c>
      <c r="AL220" s="24">
        <v>39.564063551303157</v>
      </c>
      <c r="AM220" s="24">
        <v>25.983014935254499</v>
      </c>
      <c r="AN220" s="24">
        <v>30.795354654287262</v>
      </c>
      <c r="AO220" s="24">
        <v>36.791836124864744</v>
      </c>
      <c r="AP220" s="24">
        <v>23.163750148460252</v>
      </c>
      <c r="AQ220" s="24">
        <v>27.651081008213868</v>
      </c>
      <c r="AR220" s="24">
        <v>21.224100728652065</v>
      </c>
      <c r="AS220" s="24">
        <v>23.873381073989027</v>
      </c>
      <c r="AT220" s="24">
        <v>24.801009591639424</v>
      </c>
      <c r="AU220" s="24">
        <v>23.109625030211603</v>
      </c>
      <c r="AV220" s="24">
        <v>17.560566646847921</v>
      </c>
      <c r="AW220" s="24">
        <v>26.873487633980428</v>
      </c>
      <c r="AX220" s="24">
        <v>15.891003235962037</v>
      </c>
      <c r="AY220" s="24">
        <v>23.944995351974871</v>
      </c>
    </row>
    <row r="221" spans="1:51" x14ac:dyDescent="0.2">
      <c r="A221" s="23">
        <v>45411</v>
      </c>
      <c r="B221" s="24">
        <v>13.741628665549618</v>
      </c>
      <c r="C221" s="24">
        <v>17.552062544868832</v>
      </c>
      <c r="D221" s="24">
        <v>16.788453034250963</v>
      </c>
      <c r="E221" s="24">
        <v>19.681132180681416</v>
      </c>
      <c r="F221" s="24">
        <v>13.29435435255445</v>
      </c>
      <c r="G221" s="24">
        <v>15.060001118012789</v>
      </c>
      <c r="H221" s="24">
        <v>40.642345701957815</v>
      </c>
      <c r="I221" s="24">
        <v>34.296634892268223</v>
      </c>
      <c r="J221" s="24">
        <v>15.864359706170436</v>
      </c>
      <c r="K221" s="24">
        <v>29.679280182858349</v>
      </c>
      <c r="L221" s="24">
        <v>33.693554248772706</v>
      </c>
      <c r="M221" s="24">
        <v>21.574593806067455</v>
      </c>
      <c r="N221" s="24">
        <v>35.853829617063369</v>
      </c>
      <c r="O221" s="24">
        <v>24.695763365914019</v>
      </c>
      <c r="P221" s="24">
        <v>22.288974785988678</v>
      </c>
      <c r="Q221" s="24">
        <v>17.602290208958173</v>
      </c>
      <c r="R221" s="24">
        <v>30.441411509972262</v>
      </c>
      <c r="S221" s="24">
        <v>22.031336485820017</v>
      </c>
      <c r="T221" s="24">
        <v>31.465969522596801</v>
      </c>
      <c r="U221" s="24">
        <v>17.462595457086547</v>
      </c>
      <c r="V221" s="24">
        <v>14.652765895014811</v>
      </c>
      <c r="W221" s="24">
        <v>24.574088244970667</v>
      </c>
      <c r="X221" s="24">
        <v>20.8441105093037</v>
      </c>
      <c r="Y221" s="24">
        <v>46.074721274264071</v>
      </c>
      <c r="Z221" s="24">
        <v>60.752662258996743</v>
      </c>
      <c r="AA221" s="24">
        <v>26.789696969554459</v>
      </c>
      <c r="AB221" s="24">
        <v>46.720726191520043</v>
      </c>
      <c r="AC221" s="24">
        <v>60.003676406540087</v>
      </c>
      <c r="AD221" s="24">
        <v>30.628053938451622</v>
      </c>
      <c r="AE221" s="24">
        <v>70.044560048050215</v>
      </c>
      <c r="AF221" s="24">
        <v>20.119963375680403</v>
      </c>
      <c r="AG221" s="24">
        <v>13.405335093004123</v>
      </c>
      <c r="AH221" s="24">
        <v>28.290697491337326</v>
      </c>
      <c r="AI221" s="24">
        <v>33.573610851772685</v>
      </c>
      <c r="AJ221" s="24">
        <v>32.005508065097274</v>
      </c>
      <c r="AK221" s="24">
        <v>14.664537189623063</v>
      </c>
      <c r="AL221" s="24">
        <v>37.614566237986651</v>
      </c>
      <c r="AM221" s="24">
        <v>24.502389531855673</v>
      </c>
      <c r="AN221" s="24">
        <v>30.437724066002399</v>
      </c>
      <c r="AO221" s="24">
        <v>36.466620493613043</v>
      </c>
      <c r="AP221" s="24">
        <v>18.477664164231182</v>
      </c>
      <c r="AQ221" s="24">
        <v>24.361793433716464</v>
      </c>
      <c r="AR221" s="24">
        <v>21.198836347017412</v>
      </c>
      <c r="AS221" s="24">
        <v>23.758033206876078</v>
      </c>
      <c r="AT221" s="24">
        <v>23.927813746742075</v>
      </c>
      <c r="AU221" s="24">
        <v>24.05767492446061</v>
      </c>
      <c r="AV221" s="24">
        <v>13.394063557849025</v>
      </c>
      <c r="AW221" s="24">
        <v>27.445550879100672</v>
      </c>
      <c r="AX221" s="24">
        <v>15.742204368064741</v>
      </c>
      <c r="AY221" s="24">
        <v>23.894974826251715</v>
      </c>
    </row>
    <row r="222" spans="1:51" x14ac:dyDescent="0.2">
      <c r="A222" s="23">
        <v>45408</v>
      </c>
      <c r="B222" s="24">
        <v>15.684467524520079</v>
      </c>
      <c r="C222" s="24">
        <v>17.511216889926001</v>
      </c>
      <c r="D222" s="24">
        <v>19.213609919626279</v>
      </c>
      <c r="E222" s="24">
        <v>19.749408516744815</v>
      </c>
      <c r="F222" s="24">
        <v>14.607425703070319</v>
      </c>
      <c r="G222" s="24">
        <v>17.765168674503965</v>
      </c>
      <c r="H222" s="24">
        <v>36.412794340700174</v>
      </c>
      <c r="I222" s="24">
        <v>29.069903625530628</v>
      </c>
      <c r="J222" s="24">
        <v>15.832208038633516</v>
      </c>
      <c r="K222" s="24">
        <v>30.397461133078824</v>
      </c>
      <c r="L222" s="24">
        <v>30.918848437738369</v>
      </c>
      <c r="M222" s="24">
        <v>21.156205525580692</v>
      </c>
      <c r="N222" s="24">
        <v>34.722157449582873</v>
      </c>
      <c r="O222" s="24">
        <v>24.217100831187594</v>
      </c>
      <c r="P222" s="24">
        <v>21.35747400102192</v>
      </c>
      <c r="Q222" s="24">
        <v>17.515762005023632</v>
      </c>
      <c r="R222" s="24">
        <v>25.76481983795049</v>
      </c>
      <c r="S222" s="24">
        <v>22.294042893961294</v>
      </c>
      <c r="T222" s="24">
        <v>31.468066097754864</v>
      </c>
      <c r="U222" s="24">
        <v>18.625375172370347</v>
      </c>
      <c r="V222" s="24">
        <v>18.214994699216856</v>
      </c>
      <c r="W222" s="24">
        <v>23.542047648834199</v>
      </c>
      <c r="X222" s="24">
        <v>21.208467651270364</v>
      </c>
      <c r="Y222" s="24">
        <v>44.24021533731252</v>
      </c>
      <c r="Z222" s="24">
        <v>62.604706446854884</v>
      </c>
      <c r="AA222" s="24">
        <v>26.474310885383922</v>
      </c>
      <c r="AB222" s="24">
        <v>47.105685779509542</v>
      </c>
      <c r="AC222" s="24">
        <v>60.522576890570399</v>
      </c>
      <c r="AD222" s="24">
        <v>30.544866713612695</v>
      </c>
      <c r="AE222" s="24">
        <v>70.085470379200586</v>
      </c>
      <c r="AF222" s="24">
        <v>19.749171773909787</v>
      </c>
      <c r="AG222" s="24">
        <v>13.405335093004123</v>
      </c>
      <c r="AH222" s="24">
        <v>24.361006366332361</v>
      </c>
      <c r="AI222" s="24">
        <v>31.288356315810876</v>
      </c>
      <c r="AJ222" s="24">
        <v>31.775117351860406</v>
      </c>
      <c r="AK222" s="24">
        <v>13.673982390415397</v>
      </c>
      <c r="AL222" s="24">
        <v>35.038774911416816</v>
      </c>
      <c r="AM222" s="24">
        <v>24.491792617129676</v>
      </c>
      <c r="AN222" s="24">
        <v>29.613130530932537</v>
      </c>
      <c r="AO222" s="24">
        <v>35.200508184012591</v>
      </c>
      <c r="AP222" s="24">
        <v>24.471555224497934</v>
      </c>
      <c r="AQ222" s="24">
        <v>23.221765905205761</v>
      </c>
      <c r="AR222" s="24">
        <v>20.178491531591739</v>
      </c>
      <c r="AS222" s="24">
        <v>23.057236333940281</v>
      </c>
      <c r="AT222" s="24">
        <v>23.183146727269126</v>
      </c>
      <c r="AU222" s="24">
        <v>21.642541770472594</v>
      </c>
      <c r="AV222" s="24">
        <v>13.37374251484097</v>
      </c>
      <c r="AW222" s="24">
        <v>27.433685962723722</v>
      </c>
      <c r="AX222" s="24">
        <v>30.202965518762447</v>
      </c>
      <c r="AY222" s="24">
        <v>23.885680007049636</v>
      </c>
    </row>
    <row r="223" spans="1:51" x14ac:dyDescent="0.2">
      <c r="A223" s="23">
        <v>45407</v>
      </c>
      <c r="B223" s="24">
        <v>14.47585069260631</v>
      </c>
      <c r="C223" s="24">
        <v>17.242132754689571</v>
      </c>
      <c r="D223" s="24">
        <v>17.285251037839654</v>
      </c>
      <c r="E223" s="24">
        <v>20.16450254885563</v>
      </c>
      <c r="F223" s="24">
        <v>13.032361815569422</v>
      </c>
      <c r="G223" s="24">
        <v>16.440455457008852</v>
      </c>
      <c r="H223" s="24">
        <v>36.584009397935581</v>
      </c>
      <c r="I223" s="24">
        <v>28.663327754521561</v>
      </c>
      <c r="J223" s="24">
        <v>15.986427116257639</v>
      </c>
      <c r="K223" s="24">
        <v>27.757046258552091</v>
      </c>
      <c r="L223" s="24">
        <v>31.23814338182363</v>
      </c>
      <c r="M223" s="24">
        <v>20.942479307825074</v>
      </c>
      <c r="N223" s="24">
        <v>32.477393537358772</v>
      </c>
      <c r="O223" s="24">
        <v>24.826254294466434</v>
      </c>
      <c r="P223" s="24">
        <v>21.649134257285443</v>
      </c>
      <c r="Q223" s="24">
        <v>17.403334129626252</v>
      </c>
      <c r="R223" s="24">
        <v>25.749041928391474</v>
      </c>
      <c r="S223" s="24">
        <v>22.639105031886107</v>
      </c>
      <c r="T223" s="24">
        <v>30.891862999789907</v>
      </c>
      <c r="U223" s="24">
        <v>17.290084816800906</v>
      </c>
      <c r="V223" s="24">
        <v>17.462696667601005</v>
      </c>
      <c r="W223" s="24">
        <v>23.906775988042845</v>
      </c>
      <c r="X223" s="24">
        <v>20.580040763270279</v>
      </c>
      <c r="Y223" s="24">
        <v>41.6132306365513</v>
      </c>
      <c r="Z223" s="24">
        <v>56.457487468420027</v>
      </c>
      <c r="AA223" s="24">
        <v>18.189325399221435</v>
      </c>
      <c r="AB223" s="24">
        <v>42.713025608884614</v>
      </c>
      <c r="AC223" s="24">
        <v>60.240409299924792</v>
      </c>
      <c r="AD223" s="24">
        <v>23.201848452492264</v>
      </c>
      <c r="AE223" s="24">
        <v>63.926035781989782</v>
      </c>
      <c r="AF223" s="24">
        <v>19.632955423052405</v>
      </c>
      <c r="AG223" s="24">
        <v>13.409797510496128</v>
      </c>
      <c r="AH223" s="24">
        <v>24.226095487543013</v>
      </c>
      <c r="AI223" s="24">
        <v>35.575337664770707</v>
      </c>
      <c r="AJ223" s="24">
        <v>29.934684329687343</v>
      </c>
      <c r="AK223" s="24">
        <v>13.280925706709301</v>
      </c>
      <c r="AL223" s="24">
        <v>35.172901655865296</v>
      </c>
      <c r="AM223" s="24">
        <v>24.35941276934922</v>
      </c>
      <c r="AN223" s="24">
        <v>28.582362694497263</v>
      </c>
      <c r="AO223" s="24">
        <v>34.275562213068163</v>
      </c>
      <c r="AP223" s="24">
        <v>24.099858826722755</v>
      </c>
      <c r="AQ223" s="24">
        <v>23.283074940565108</v>
      </c>
      <c r="AR223" s="24">
        <v>20.322276048922973</v>
      </c>
      <c r="AS223" s="24">
        <v>22.799286067242729</v>
      </c>
      <c r="AT223" s="24">
        <v>22.896793211425418</v>
      </c>
      <c r="AU223" s="24">
        <v>20.377200294087132</v>
      </c>
      <c r="AV223" s="24">
        <v>13.319313971352212</v>
      </c>
      <c r="AW223" s="24">
        <v>25.196865078577538</v>
      </c>
      <c r="AX223" s="24">
        <v>30.215943313262645</v>
      </c>
      <c r="AY223" s="24">
        <v>27.849534929214894</v>
      </c>
    </row>
    <row r="224" spans="1:51" x14ac:dyDescent="0.2">
      <c r="A224" s="23">
        <v>45406</v>
      </c>
      <c r="B224" s="24">
        <v>14.614090553876389</v>
      </c>
      <c r="C224" s="24">
        <v>17.781655454194436</v>
      </c>
      <c r="D224" s="24">
        <v>16.926618260580767</v>
      </c>
      <c r="E224" s="24">
        <v>20.066497166224401</v>
      </c>
      <c r="F224" s="24">
        <v>13.549591604445485</v>
      </c>
      <c r="G224" s="24">
        <v>16.597725089873339</v>
      </c>
      <c r="H224" s="24">
        <v>36.890427293175613</v>
      </c>
      <c r="I224" s="24">
        <v>30.827078125749338</v>
      </c>
      <c r="J224" s="24">
        <v>17.097072997346718</v>
      </c>
      <c r="K224" s="24">
        <v>29.202852557954845</v>
      </c>
      <c r="L224" s="24">
        <v>31.762687475625192</v>
      </c>
      <c r="M224" s="24">
        <v>20.945506277465427</v>
      </c>
      <c r="N224" s="24">
        <v>32.460282879043028</v>
      </c>
      <c r="O224" s="24">
        <v>25.364413567932377</v>
      </c>
      <c r="P224" s="24">
        <v>21.64469181856483</v>
      </c>
      <c r="Q224" s="24">
        <v>17.500048104770631</v>
      </c>
      <c r="R224" s="24">
        <v>25.80739113840847</v>
      </c>
      <c r="S224" s="24">
        <v>22.771089044176552</v>
      </c>
      <c r="T224" s="24">
        <v>32.095047968847219</v>
      </c>
      <c r="U224" s="24">
        <v>18.13305650853637</v>
      </c>
      <c r="V224" s="24">
        <v>17.616461298226927</v>
      </c>
      <c r="W224" s="24">
        <v>23.84063726544635</v>
      </c>
      <c r="X224" s="24">
        <v>20.04992020737685</v>
      </c>
      <c r="Y224" s="24">
        <v>41.88551985819764</v>
      </c>
      <c r="Z224" s="24">
        <v>56.474646841114343</v>
      </c>
      <c r="AA224" s="24">
        <v>18.443934390668996</v>
      </c>
      <c r="AB224" s="24">
        <v>46.5024040764714</v>
      </c>
      <c r="AC224" s="24">
        <v>60.228342186935166</v>
      </c>
      <c r="AD224" s="24">
        <v>23.1252572169196</v>
      </c>
      <c r="AE224" s="24">
        <v>66.224431886598893</v>
      </c>
      <c r="AF224" s="24">
        <v>19.869099439036095</v>
      </c>
      <c r="AG224" s="24">
        <v>13.844226909321057</v>
      </c>
      <c r="AH224" s="24">
        <v>24.296220234933212</v>
      </c>
      <c r="AI224" s="24">
        <v>33.999844616596</v>
      </c>
      <c r="AJ224" s="24">
        <v>29.422866799805</v>
      </c>
      <c r="AK224" s="24">
        <v>12.656309824164479</v>
      </c>
      <c r="AL224" s="24">
        <v>34.9036063160708</v>
      </c>
      <c r="AM224" s="24">
        <v>24.34717635086994</v>
      </c>
      <c r="AN224" s="24">
        <v>28.644637086953974</v>
      </c>
      <c r="AO224" s="24">
        <v>34.789739566145059</v>
      </c>
      <c r="AP224" s="24">
        <v>24.216599867844671</v>
      </c>
      <c r="AQ224" s="24">
        <v>23.298573181561203</v>
      </c>
      <c r="AR224" s="24">
        <v>21.24630568154419</v>
      </c>
      <c r="AS224" s="24">
        <v>26.029499463596082</v>
      </c>
      <c r="AT224" s="24">
        <v>23.008985215896171</v>
      </c>
      <c r="AU224" s="24">
        <v>21.360374323349554</v>
      </c>
      <c r="AV224" s="24">
        <v>12.926557796495867</v>
      </c>
      <c r="AW224" s="24">
        <v>23.099016771670538</v>
      </c>
      <c r="AX224" s="24">
        <v>30.571683221579438</v>
      </c>
      <c r="AY224" s="24">
        <v>25.643120588369548</v>
      </c>
    </row>
    <row r="225" spans="1:51" x14ac:dyDescent="0.2">
      <c r="A225" s="23">
        <v>45405</v>
      </c>
      <c r="B225" s="24">
        <v>14.505465490481782</v>
      </c>
      <c r="C225" s="24">
        <v>17.966780532153223</v>
      </c>
      <c r="D225" s="24">
        <v>16.855717293658362</v>
      </c>
      <c r="E225" s="24">
        <v>20.61761350981222</v>
      </c>
      <c r="F225" s="24">
        <v>12.871247377971004</v>
      </c>
      <c r="G225" s="24">
        <v>16.264781105029151</v>
      </c>
      <c r="H225" s="24">
        <v>37.309077322218108</v>
      </c>
      <c r="I225" s="24">
        <v>31.031740233023971</v>
      </c>
      <c r="J225" s="24">
        <v>17.10211104153079</v>
      </c>
      <c r="K225" s="24">
        <v>29.029865683922829</v>
      </c>
      <c r="L225" s="24">
        <v>31.644650153622408</v>
      </c>
      <c r="M225" s="24">
        <v>19.950503614346093</v>
      </c>
      <c r="N225" s="24">
        <v>33.777567808881656</v>
      </c>
      <c r="O225" s="24">
        <v>25.726572657651278</v>
      </c>
      <c r="P225" s="24">
        <v>21.627330593576293</v>
      </c>
      <c r="Q225" s="24">
        <v>17.518847905324467</v>
      </c>
      <c r="R225" s="24">
        <v>25.628120952230631</v>
      </c>
      <c r="S225" s="24">
        <v>22.406562213067502</v>
      </c>
      <c r="T225" s="24">
        <v>31.848737527589652</v>
      </c>
      <c r="U225" s="24">
        <v>17.831324443038163</v>
      </c>
      <c r="V225" s="24">
        <v>17.472247010115066</v>
      </c>
      <c r="W225" s="24">
        <v>24.589784672194863</v>
      </c>
      <c r="X225" s="24">
        <v>19.996934837663289</v>
      </c>
      <c r="Y225" s="24">
        <v>41.478516007537522</v>
      </c>
      <c r="Z225" s="24">
        <v>48.250149740102714</v>
      </c>
      <c r="AA225" s="24">
        <v>24.587402888059636</v>
      </c>
      <c r="AB225" s="24">
        <v>42.32151829306877</v>
      </c>
      <c r="AC225" s="24">
        <v>59.911404958290277</v>
      </c>
      <c r="AD225" s="24">
        <v>24.769522649088167</v>
      </c>
      <c r="AE225" s="24">
        <v>54.522207148854399</v>
      </c>
      <c r="AF225" s="24">
        <v>19.864158467317036</v>
      </c>
      <c r="AG225" s="24">
        <v>13.844976819342167</v>
      </c>
      <c r="AH225" s="24">
        <v>24.269741906218993</v>
      </c>
      <c r="AI225" s="24">
        <v>36.495194848197571</v>
      </c>
      <c r="AJ225" s="24">
        <v>29.463121697202233</v>
      </c>
      <c r="AK225" s="24">
        <v>12.497362299696132</v>
      </c>
      <c r="AL225" s="24">
        <v>33.938230011842407</v>
      </c>
      <c r="AM225" s="24">
        <v>23.792675459534095</v>
      </c>
      <c r="AN225" s="24">
        <v>28.639040695769449</v>
      </c>
      <c r="AO225" s="24">
        <v>35.083473705933315</v>
      </c>
      <c r="AP225" s="24">
        <v>23.060910399773906</v>
      </c>
      <c r="AQ225" s="24">
        <v>23.108491958897137</v>
      </c>
      <c r="AR225" s="24">
        <v>21.267019890941732</v>
      </c>
      <c r="AS225" s="24">
        <v>25.997487318280537</v>
      </c>
      <c r="AT225" s="24">
        <v>22.85973195714341</v>
      </c>
      <c r="AU225" s="24">
        <v>21.43655335240652</v>
      </c>
      <c r="AV225" s="24">
        <v>12.319228073458316</v>
      </c>
      <c r="AW225" s="24">
        <v>23.000099614021273</v>
      </c>
      <c r="AX225" s="24">
        <v>30.721379339480347</v>
      </c>
      <c r="AY225" s="24">
        <v>25.613936686247602</v>
      </c>
    </row>
    <row r="226" spans="1:51" x14ac:dyDescent="0.2">
      <c r="A226" s="23">
        <v>45404</v>
      </c>
      <c r="B226" s="24">
        <v>14.548247553235482</v>
      </c>
      <c r="C226" s="24">
        <v>17.592661028843075</v>
      </c>
      <c r="D226" s="24">
        <v>16.920254621779698</v>
      </c>
      <c r="E226" s="24">
        <v>21.926636426511038</v>
      </c>
      <c r="F226" s="24">
        <v>13.46033861746535</v>
      </c>
      <c r="G226" s="24">
        <v>16.235237493357129</v>
      </c>
      <c r="H226" s="24">
        <v>35.810499923546303</v>
      </c>
      <c r="I226" s="24">
        <v>31.420307745142686</v>
      </c>
      <c r="J226" s="24">
        <v>17.835893373093452</v>
      </c>
      <c r="K226" s="24">
        <v>28.662615197619211</v>
      </c>
      <c r="L226" s="24">
        <v>32.300196340625043</v>
      </c>
      <c r="M226" s="24">
        <v>23.330618424082783</v>
      </c>
      <c r="N226" s="24">
        <v>35.976419330498814</v>
      </c>
      <c r="O226" s="24">
        <v>25.349482818864598</v>
      </c>
      <c r="P226" s="24">
        <v>19.637844833600912</v>
      </c>
      <c r="Q226" s="24">
        <v>17.426216514776225</v>
      </c>
      <c r="R226" s="24">
        <v>25.362667446655063</v>
      </c>
      <c r="S226" s="24">
        <v>22.24118487255317</v>
      </c>
      <c r="T226" s="24">
        <v>31.653923680531616</v>
      </c>
      <c r="U226" s="24">
        <v>17.924709143831763</v>
      </c>
      <c r="V226" s="24">
        <v>17.318883890136323</v>
      </c>
      <c r="W226" s="24">
        <v>27.738101414135361</v>
      </c>
      <c r="X226" s="24">
        <v>19.849612335429835</v>
      </c>
      <c r="Y226" s="24">
        <v>38.211969870355247</v>
      </c>
      <c r="Z226" s="24">
        <v>48.491671842839345</v>
      </c>
      <c r="AA226" s="24">
        <v>24.757834821641602</v>
      </c>
      <c r="AB226" s="24">
        <v>42.154338407737811</v>
      </c>
      <c r="AC226" s="24">
        <v>61.838059396525665</v>
      </c>
      <c r="AD226" s="24">
        <v>25.028504640028309</v>
      </c>
      <c r="AE226" s="24">
        <v>54.472924028584316</v>
      </c>
      <c r="AF226" s="24">
        <v>20.79669702941715</v>
      </c>
      <c r="AG226" s="24">
        <v>14.201307898898349</v>
      </c>
      <c r="AH226" s="24">
        <v>22.871329697464468</v>
      </c>
      <c r="AI226" s="24">
        <v>44.740696933285271</v>
      </c>
      <c r="AJ226" s="24">
        <v>22.256861861598647</v>
      </c>
      <c r="AK226" s="24">
        <v>12.973829627649698</v>
      </c>
      <c r="AL226" s="24">
        <v>34.65741957245146</v>
      </c>
      <c r="AM226" s="24">
        <v>23.826007026808874</v>
      </c>
      <c r="AN226" s="24">
        <v>28.051594061505551</v>
      </c>
      <c r="AO226" s="24">
        <v>37.148035640702084</v>
      </c>
      <c r="AP226" s="24">
        <v>22.677257730256233</v>
      </c>
      <c r="AQ226" s="24">
        <v>22.72318028777471</v>
      </c>
      <c r="AR226" s="24">
        <v>21.602462203515177</v>
      </c>
      <c r="AS226" s="24">
        <v>27.019218907365218</v>
      </c>
      <c r="AT226" s="24">
        <v>20.863958479783598</v>
      </c>
      <c r="AU226" s="24">
        <v>19.230407149730876</v>
      </c>
      <c r="AV226" s="24">
        <v>12.589900938545156</v>
      </c>
      <c r="AW226" s="24">
        <v>21.700093179453734</v>
      </c>
      <c r="AX226" s="24">
        <v>30.69098286351716</v>
      </c>
      <c r="AY226" s="24">
        <v>26.167273500184717</v>
      </c>
    </row>
    <row r="227" spans="1:51" x14ac:dyDescent="0.2">
      <c r="A227" s="23">
        <v>45401</v>
      </c>
      <c r="B227" s="24">
        <v>13.440740517085105</v>
      </c>
      <c r="C227" s="24">
        <v>16.287274996394256</v>
      </c>
      <c r="D227" s="24">
        <v>16.248593649623338</v>
      </c>
      <c r="E227" s="24">
        <v>22.171927285604887</v>
      </c>
      <c r="F227" s="24">
        <v>12.883562517516172</v>
      </c>
      <c r="G227" s="24">
        <v>15.127582428332703</v>
      </c>
      <c r="H227" s="24">
        <v>33.570251703023423</v>
      </c>
      <c r="I227" s="24">
        <v>31.428846232675131</v>
      </c>
      <c r="J227" s="24">
        <v>17.609052406312152</v>
      </c>
      <c r="K227" s="24">
        <v>28.641523325441888</v>
      </c>
      <c r="L227" s="24">
        <v>31.906631150610302</v>
      </c>
      <c r="M227" s="24">
        <v>22.927200336391085</v>
      </c>
      <c r="N227" s="24">
        <v>31.635088580851267</v>
      </c>
      <c r="O227" s="24">
        <v>20.060915240647208</v>
      </c>
      <c r="P227" s="24">
        <v>19.91597443394723</v>
      </c>
      <c r="Q227" s="24">
        <v>17.297431740165997</v>
      </c>
      <c r="R227" s="24">
        <v>23.2148937744272</v>
      </c>
      <c r="S227" s="24">
        <v>24.343142150497169</v>
      </c>
      <c r="T227" s="24">
        <v>31.144833830595132</v>
      </c>
      <c r="U227" s="24">
        <v>17.698064376742831</v>
      </c>
      <c r="V227" s="24">
        <v>16.645719472700527</v>
      </c>
      <c r="W227" s="24">
        <v>27.793303956338452</v>
      </c>
      <c r="X227" s="24">
        <v>19.867531280631521</v>
      </c>
      <c r="Y227" s="24">
        <v>33.048662859843319</v>
      </c>
      <c r="Z227" s="24">
        <v>45.25608938883552</v>
      </c>
      <c r="AA227" s="24">
        <v>24.270415136975423</v>
      </c>
      <c r="AB227" s="24">
        <v>41.270543550284444</v>
      </c>
      <c r="AC227" s="24">
        <v>60.063482604634707</v>
      </c>
      <c r="AD227" s="24">
        <v>25.311135790280641</v>
      </c>
      <c r="AE227" s="24">
        <v>54.61273910655774</v>
      </c>
      <c r="AF227" s="24">
        <v>18.851698588224572</v>
      </c>
      <c r="AG227" s="24">
        <v>14.170468475244709</v>
      </c>
      <c r="AH227" s="24">
        <v>20.449573912857336</v>
      </c>
      <c r="AI227" s="24">
        <v>42.796079198560918</v>
      </c>
      <c r="AJ227" s="24">
        <v>22.092119381034674</v>
      </c>
      <c r="AK227" s="24">
        <v>12.973829627649698</v>
      </c>
      <c r="AL227" s="24">
        <v>34.66485339626248</v>
      </c>
      <c r="AM227" s="24">
        <v>23.112392653801219</v>
      </c>
      <c r="AN227" s="24">
        <v>27.026034974333257</v>
      </c>
      <c r="AO227" s="24">
        <v>37.610943511022263</v>
      </c>
      <c r="AP227" s="24">
        <v>23.315590462892072</v>
      </c>
      <c r="AQ227" s="24">
        <v>22.682577591374642</v>
      </c>
      <c r="AR227" s="24">
        <v>20.552266748213341</v>
      </c>
      <c r="AS227" s="24">
        <v>25.619696955401274</v>
      </c>
      <c r="AT227" s="24">
        <v>20.863958479783598</v>
      </c>
      <c r="AU227" s="24">
        <v>19.612771552197149</v>
      </c>
      <c r="AV227" s="24">
        <v>12.590017830993023</v>
      </c>
      <c r="AW227" s="24">
        <v>23.405619594005969</v>
      </c>
      <c r="AX227" s="24">
        <v>30.834884299434165</v>
      </c>
      <c r="AY227" s="24">
        <v>21.997106833553154</v>
      </c>
    </row>
    <row r="228" spans="1:51" x14ac:dyDescent="0.2">
      <c r="A228" s="23">
        <v>45400</v>
      </c>
      <c r="B228" s="24">
        <v>13.609702454829382</v>
      </c>
      <c r="C228" s="24">
        <v>15.621060057057603</v>
      </c>
      <c r="D228" s="24">
        <v>16.187733168655882</v>
      </c>
      <c r="E228" s="24">
        <v>21.6471925856297</v>
      </c>
      <c r="F228" s="24">
        <v>12.857953754390245</v>
      </c>
      <c r="G228" s="24">
        <v>15.498512868532561</v>
      </c>
      <c r="H228" s="24">
        <v>33.482098475262369</v>
      </c>
      <c r="I228" s="24">
        <v>30.260574227816697</v>
      </c>
      <c r="J228" s="24">
        <v>17.761458321635896</v>
      </c>
      <c r="K228" s="24">
        <v>28.31595575961838</v>
      </c>
      <c r="L228" s="24">
        <v>31.716312983811292</v>
      </c>
      <c r="M228" s="24">
        <v>22.946885798317911</v>
      </c>
      <c r="N228" s="24">
        <v>28.895502420912454</v>
      </c>
      <c r="O228" s="24">
        <v>19.887996743924052</v>
      </c>
      <c r="P228" s="24">
        <v>20.472598031696982</v>
      </c>
      <c r="Q228" s="24">
        <v>17.601039079968114</v>
      </c>
      <c r="R228" s="24">
        <v>22.813382069149554</v>
      </c>
      <c r="S228" s="24">
        <v>25.047443153346887</v>
      </c>
      <c r="T228" s="24">
        <v>30.940966490749471</v>
      </c>
      <c r="U228" s="24">
        <v>17.487921035327091</v>
      </c>
      <c r="V228" s="24">
        <v>16.852130748256673</v>
      </c>
      <c r="W228" s="24">
        <v>28.215908288383748</v>
      </c>
      <c r="X228" s="24">
        <v>19.788636290910325</v>
      </c>
      <c r="Y228" s="24">
        <v>33.251054140093281</v>
      </c>
      <c r="Z228" s="24">
        <v>43.962204104012123</v>
      </c>
      <c r="AA228" s="24">
        <v>24.396730717111851</v>
      </c>
      <c r="AB228" s="24">
        <v>37.657927136566826</v>
      </c>
      <c r="AC228" s="24">
        <v>49.099406246716448</v>
      </c>
      <c r="AD228" s="24">
        <v>25.296424371424287</v>
      </c>
      <c r="AE228" s="24">
        <v>51.928766227139143</v>
      </c>
      <c r="AF228" s="24">
        <v>18.870534778158991</v>
      </c>
      <c r="AG228" s="24">
        <v>14.169270847325091</v>
      </c>
      <c r="AH228" s="24">
        <v>20.451419522354207</v>
      </c>
      <c r="AI228" s="24">
        <v>42.410615236531108</v>
      </c>
      <c r="AJ228" s="24">
        <v>21.722310704980806</v>
      </c>
      <c r="AK228" s="24">
        <v>12.923867143314494</v>
      </c>
      <c r="AL228" s="24">
        <v>34.656739373899143</v>
      </c>
      <c r="AM228" s="24">
        <v>22.705395397892843</v>
      </c>
      <c r="AN228" s="24">
        <v>26.690757021310962</v>
      </c>
      <c r="AO228" s="24">
        <v>36.676378481075837</v>
      </c>
      <c r="AP228" s="24">
        <v>23.66134194637063</v>
      </c>
      <c r="AQ228" s="24">
        <v>22.669029704753868</v>
      </c>
      <c r="AR228" s="24">
        <v>20.14916011313024</v>
      </c>
      <c r="AS228" s="24">
        <v>25.418304009150738</v>
      </c>
      <c r="AT228" s="24">
        <v>20.79142221244177</v>
      </c>
      <c r="AU228" s="24">
        <v>19.732490223590549</v>
      </c>
      <c r="AV228" s="24">
        <v>12.215649129377274</v>
      </c>
      <c r="AW228" s="24">
        <v>23.384941306481373</v>
      </c>
      <c r="AX228" s="24">
        <v>30.912063826468788</v>
      </c>
      <c r="AY228" s="24">
        <v>23.454125251067683</v>
      </c>
    </row>
    <row r="229" spans="1:51" x14ac:dyDescent="0.2">
      <c r="A229" s="23">
        <v>45399</v>
      </c>
      <c r="B229" s="24">
        <v>13.990885214547681</v>
      </c>
      <c r="C229" s="24">
        <v>15.576824768412562</v>
      </c>
      <c r="D229" s="24">
        <v>16.926177959441034</v>
      </c>
      <c r="E229" s="24">
        <v>21.33797409444502</v>
      </c>
      <c r="F229" s="24">
        <v>13.64149080371671</v>
      </c>
      <c r="G229" s="24">
        <v>16.746717672680933</v>
      </c>
      <c r="H229" s="24">
        <v>30.560817873278836</v>
      </c>
      <c r="I229" s="24">
        <v>31.185140287991153</v>
      </c>
      <c r="J229" s="24">
        <v>18.364033107382006</v>
      </c>
      <c r="K229" s="24">
        <v>28.333962101203408</v>
      </c>
      <c r="L229" s="24">
        <v>29.667417483692553</v>
      </c>
      <c r="M229" s="24">
        <v>22.02745660578347</v>
      </c>
      <c r="N229" s="24">
        <v>27.885770774553801</v>
      </c>
      <c r="O229" s="24">
        <v>19.018198707471651</v>
      </c>
      <c r="P229" s="24">
        <v>18.748720909981614</v>
      </c>
      <c r="Q229" s="24">
        <v>17.552680879850609</v>
      </c>
      <c r="R229" s="24">
        <v>22.209844804410473</v>
      </c>
      <c r="S229" s="24">
        <v>24.440163443847243</v>
      </c>
      <c r="T229" s="24">
        <v>32.566603058592605</v>
      </c>
      <c r="U229" s="24">
        <v>17.749930330332781</v>
      </c>
      <c r="V229" s="24">
        <v>17.250563079116922</v>
      </c>
      <c r="W229" s="24">
        <v>28.39034169835768</v>
      </c>
      <c r="X229" s="24">
        <v>19.993252195794348</v>
      </c>
      <c r="Y229" s="24">
        <v>33.973900249375696</v>
      </c>
      <c r="Z229" s="24">
        <v>44.115242209833525</v>
      </c>
      <c r="AA229" s="24">
        <v>24.369216414070873</v>
      </c>
      <c r="AB229" s="24">
        <v>39.028328034747773</v>
      </c>
      <c r="AC229" s="24">
        <v>40.926455391153851</v>
      </c>
      <c r="AD229" s="24">
        <v>25.769941677211179</v>
      </c>
      <c r="AE229" s="24">
        <v>53.109682658015778</v>
      </c>
      <c r="AF229" s="24">
        <v>18.896847671956596</v>
      </c>
      <c r="AG229" s="24">
        <v>14.9076210176008</v>
      </c>
      <c r="AH229" s="24">
        <v>20.456037579751765</v>
      </c>
      <c r="AI229" s="24">
        <v>46.327164618124343</v>
      </c>
      <c r="AJ229" s="24">
        <v>17.492562388323488</v>
      </c>
      <c r="AK229" s="24">
        <v>13.544182040214935</v>
      </c>
      <c r="AL229" s="24">
        <v>33.243380579369678</v>
      </c>
      <c r="AM229" s="24">
        <v>22.67426205125814</v>
      </c>
      <c r="AN229" s="24">
        <v>26.701535676289801</v>
      </c>
      <c r="AO229" s="24">
        <v>36.231942104059272</v>
      </c>
      <c r="AP229" s="24">
        <v>23.321715993155074</v>
      </c>
      <c r="AQ229" s="24">
        <v>22.4599790445187</v>
      </c>
      <c r="AR229" s="24">
        <v>20.035829989450214</v>
      </c>
      <c r="AS229" s="24">
        <v>24.917676698796789</v>
      </c>
      <c r="AT229" s="24">
        <v>21.110588055700003</v>
      </c>
      <c r="AU229" s="24">
        <v>20.032078887494812</v>
      </c>
      <c r="AV229" s="24">
        <v>15.170663368466075</v>
      </c>
      <c r="AW229" s="24">
        <v>24.369451430580792</v>
      </c>
      <c r="AX229" s="24">
        <v>30.358585125608972</v>
      </c>
      <c r="AY229" s="24">
        <v>23.426549206266479</v>
      </c>
    </row>
    <row r="230" spans="1:51" x14ac:dyDescent="0.2">
      <c r="A230" s="23">
        <v>45398</v>
      </c>
      <c r="B230" s="24">
        <v>14.285085160147911</v>
      </c>
      <c r="C230" s="24">
        <v>15.644479118705672</v>
      </c>
      <c r="D230" s="24">
        <v>17.319915502732545</v>
      </c>
      <c r="E230" s="24">
        <v>21.409636070575559</v>
      </c>
      <c r="F230" s="24">
        <v>13.438245086552886</v>
      </c>
      <c r="G230" s="24">
        <v>16.785880358428219</v>
      </c>
      <c r="H230" s="24">
        <v>30.618963540201818</v>
      </c>
      <c r="I230" s="24">
        <v>35.990113587910734</v>
      </c>
      <c r="J230" s="24">
        <v>17.762880911157225</v>
      </c>
      <c r="K230" s="24">
        <v>31.73534610399296</v>
      </c>
      <c r="L230" s="24">
        <v>30.571768219519885</v>
      </c>
      <c r="M230" s="24">
        <v>20.678973674143876</v>
      </c>
      <c r="N230" s="24">
        <v>27.77377353295709</v>
      </c>
      <c r="O230" s="24">
        <v>20.440924780307359</v>
      </c>
      <c r="P230" s="24">
        <v>16.643894197884709</v>
      </c>
      <c r="Q230" s="24">
        <v>17.613674192606759</v>
      </c>
      <c r="R230" s="24">
        <v>21.979155848081966</v>
      </c>
      <c r="S230" s="24">
        <v>26.748301648714776</v>
      </c>
      <c r="T230" s="24">
        <v>32.687605456305306</v>
      </c>
      <c r="U230" s="24">
        <v>17.096253267150562</v>
      </c>
      <c r="V230" s="24">
        <v>17.295587901083803</v>
      </c>
      <c r="W230" s="24">
        <v>30.039070510102498</v>
      </c>
      <c r="X230" s="24">
        <v>19.086880917817968</v>
      </c>
      <c r="Y230" s="24">
        <v>34.557275687717947</v>
      </c>
      <c r="Z230" s="24">
        <v>52.001729115725695</v>
      </c>
      <c r="AA230" s="24">
        <v>23.070221313181921</v>
      </c>
      <c r="AB230" s="24">
        <v>39.297786591743403</v>
      </c>
      <c r="AC230" s="24">
        <v>25.206118138939573</v>
      </c>
      <c r="AD230" s="24">
        <v>25.630883343500088</v>
      </c>
      <c r="AE230" s="24">
        <v>71.141555306553826</v>
      </c>
      <c r="AF230" s="24">
        <v>17.883712766933868</v>
      </c>
      <c r="AG230" s="24">
        <v>14.521476160193652</v>
      </c>
      <c r="AH230" s="24">
        <v>18.899214706334487</v>
      </c>
      <c r="AI230" s="24">
        <v>46.079043643278851</v>
      </c>
      <c r="AJ230" s="24">
        <v>17.503749727989909</v>
      </c>
      <c r="AK230" s="24">
        <v>13.005708075666654</v>
      </c>
      <c r="AL230" s="24">
        <v>33.628274602567977</v>
      </c>
      <c r="AM230" s="24">
        <v>22.25061117262003</v>
      </c>
      <c r="AN230" s="24">
        <v>26.030482448922392</v>
      </c>
      <c r="AO230" s="24">
        <v>37.592125196285387</v>
      </c>
      <c r="AP230" s="24">
        <v>24.140194622493247</v>
      </c>
      <c r="AQ230" s="24">
        <v>23.031556993446713</v>
      </c>
      <c r="AR230" s="24">
        <v>16.22880507350499</v>
      </c>
      <c r="AS230" s="24">
        <v>23.44949723265789</v>
      </c>
      <c r="AT230" s="24">
        <v>19.652907296027774</v>
      </c>
      <c r="AU230" s="24">
        <v>20.023619295720646</v>
      </c>
      <c r="AV230" s="24">
        <v>14.625452168789364</v>
      </c>
      <c r="AW230" s="24">
        <v>23.65689654897696</v>
      </c>
      <c r="AX230" s="24">
        <v>29.191732516516971</v>
      </c>
      <c r="AY230" s="24">
        <v>21.605775574797239</v>
      </c>
    </row>
    <row r="231" spans="1:51" x14ac:dyDescent="0.2">
      <c r="A231" s="23">
        <v>45397</v>
      </c>
      <c r="B231" s="24">
        <v>14.080674627282161</v>
      </c>
      <c r="C231" s="24">
        <v>15.657723617709406</v>
      </c>
      <c r="D231" s="24">
        <v>16.907383017947648</v>
      </c>
      <c r="E231" s="24">
        <v>21.572898765405689</v>
      </c>
      <c r="F231" s="24">
        <v>13.626972560068733</v>
      </c>
      <c r="G231" s="24">
        <v>16.752415705284996</v>
      </c>
      <c r="H231" s="24">
        <v>30.372663921841429</v>
      </c>
      <c r="I231" s="24">
        <v>36.624925830497055</v>
      </c>
      <c r="J231" s="24">
        <v>17.756002761667236</v>
      </c>
      <c r="K231" s="24">
        <v>31.87398158906911</v>
      </c>
      <c r="L231" s="24">
        <v>30.298407917180178</v>
      </c>
      <c r="M231" s="24">
        <v>20.756273190221396</v>
      </c>
      <c r="N231" s="24">
        <v>28.839191716668346</v>
      </c>
      <c r="O231" s="24">
        <v>20.288845070314277</v>
      </c>
      <c r="P231" s="24">
        <v>16.643894197884709</v>
      </c>
      <c r="Q231" s="24">
        <v>17.620199995543931</v>
      </c>
      <c r="R231" s="24">
        <v>22.109922026851425</v>
      </c>
      <c r="S231" s="24">
        <v>26.087866222674293</v>
      </c>
      <c r="T231" s="24">
        <v>33.146578904125185</v>
      </c>
      <c r="U231" s="24">
        <v>16.506799117212164</v>
      </c>
      <c r="V231" s="24">
        <v>17.34875601185772</v>
      </c>
      <c r="W231" s="24">
        <v>30.029072474066286</v>
      </c>
      <c r="X231" s="24">
        <v>18.82651160461517</v>
      </c>
      <c r="Y231" s="24">
        <v>33.680146717990652</v>
      </c>
      <c r="Z231" s="24">
        <v>51.806313024470718</v>
      </c>
      <c r="AA231" s="24">
        <v>23.429697187245292</v>
      </c>
      <c r="AB231" s="24">
        <v>39.172071798411658</v>
      </c>
      <c r="AC231" s="24">
        <v>24.305830568383119</v>
      </c>
      <c r="AD231" s="24">
        <v>25.398025858974044</v>
      </c>
      <c r="AE231" s="24">
        <v>68.719225374180326</v>
      </c>
      <c r="AF231" s="24">
        <v>17.107213275129322</v>
      </c>
      <c r="AG231" s="24">
        <v>14.442257894144952</v>
      </c>
      <c r="AH231" s="24">
        <v>15.339697930639183</v>
      </c>
      <c r="AI231" s="24">
        <v>44.515712211859942</v>
      </c>
      <c r="AJ231" s="24">
        <v>17.543203240576766</v>
      </c>
      <c r="AK231" s="24">
        <v>12.545182561854652</v>
      </c>
      <c r="AL231" s="24">
        <v>33.420981628185466</v>
      </c>
      <c r="AM231" s="24">
        <v>22.058074889423942</v>
      </c>
      <c r="AN231" s="24">
        <v>25.43725683457674</v>
      </c>
      <c r="AO231" s="24">
        <v>37.192798882306363</v>
      </c>
      <c r="AP231" s="24">
        <v>25.757128734301045</v>
      </c>
      <c r="AQ231" s="24">
        <v>24.008416579955227</v>
      </c>
      <c r="AR231" s="24">
        <v>20.78137134047541</v>
      </c>
      <c r="AS231" s="24">
        <v>23.42873156333695</v>
      </c>
      <c r="AT231" s="24">
        <v>19.666772290832409</v>
      </c>
      <c r="AU231" s="24">
        <v>19.198393330822807</v>
      </c>
      <c r="AV231" s="24">
        <v>14.565759668701018</v>
      </c>
      <c r="AW231" s="24">
        <v>23.190819447936772</v>
      </c>
      <c r="AX231" s="24">
        <v>30.472564424380046</v>
      </c>
      <c r="AY231" s="24">
        <v>21.574429749060936</v>
      </c>
    </row>
    <row r="232" spans="1:51" x14ac:dyDescent="0.2">
      <c r="A232" s="23">
        <v>45394</v>
      </c>
      <c r="B232" s="24">
        <v>12.740403485353227</v>
      </c>
      <c r="C232" s="24">
        <v>12.768930236768743</v>
      </c>
      <c r="D232" s="24">
        <v>15.758614006524171</v>
      </c>
      <c r="E232" s="24">
        <v>17.312000959103884</v>
      </c>
      <c r="F232" s="24">
        <v>12.691159567930097</v>
      </c>
      <c r="G232" s="24">
        <v>15.124258961798596</v>
      </c>
      <c r="H232" s="24">
        <v>28.520253000484725</v>
      </c>
      <c r="I232" s="24">
        <v>33.352875135580952</v>
      </c>
      <c r="J232" s="24">
        <v>16.630429866382759</v>
      </c>
      <c r="K232" s="24">
        <v>32.92225632076152</v>
      </c>
      <c r="L232" s="24">
        <v>26.689791172768523</v>
      </c>
      <c r="M232" s="24">
        <v>19.373341776153094</v>
      </c>
      <c r="N232" s="24">
        <v>29.173036458865976</v>
      </c>
      <c r="O232" s="24">
        <v>17.594892009571442</v>
      </c>
      <c r="P232" s="24">
        <v>13.738977816275694</v>
      </c>
      <c r="Q232" s="24">
        <v>16.948262626770671</v>
      </c>
      <c r="R232" s="24">
        <v>17.434250713101083</v>
      </c>
      <c r="S232" s="24">
        <v>24.092538687609235</v>
      </c>
      <c r="T232" s="24">
        <v>28.49697476021419</v>
      </c>
      <c r="U232" s="24">
        <v>12.905723112000414</v>
      </c>
      <c r="V232" s="24">
        <v>16.416053951236758</v>
      </c>
      <c r="W232" s="24">
        <v>28.875614928599681</v>
      </c>
      <c r="X232" s="24">
        <v>17.403378880221144</v>
      </c>
      <c r="Y232" s="24">
        <v>36.053639834583734</v>
      </c>
      <c r="Z232" s="24">
        <v>56.194825842315964</v>
      </c>
      <c r="AA232" s="24">
        <v>23.467304861788602</v>
      </c>
      <c r="AB232" s="24">
        <v>39.351057589714443</v>
      </c>
      <c r="AC232" s="24">
        <v>21.594543367139202</v>
      </c>
      <c r="AD232" s="24">
        <v>22.333275674745213</v>
      </c>
      <c r="AE232" s="24">
        <v>67.497661684480704</v>
      </c>
      <c r="AF232" s="24">
        <v>17.015800373089156</v>
      </c>
      <c r="AG232" s="24">
        <v>12.017654670932165</v>
      </c>
      <c r="AH232" s="24">
        <v>11.17742258280256</v>
      </c>
      <c r="AI232" s="24">
        <v>45.38058899730482</v>
      </c>
      <c r="AJ232" s="24">
        <v>25.489375811381731</v>
      </c>
      <c r="AK232" s="24">
        <v>10.075426696500491</v>
      </c>
      <c r="AL232" s="24">
        <v>23.26078951010075</v>
      </c>
      <c r="AM232" s="24">
        <v>15.568271853450309</v>
      </c>
      <c r="AN232" s="24">
        <v>18.851427056424452</v>
      </c>
      <c r="AO232" s="24">
        <v>26.078094790457392</v>
      </c>
      <c r="AP232" s="24">
        <v>24.685728474345638</v>
      </c>
      <c r="AQ232" s="24">
        <v>21.026156691755048</v>
      </c>
      <c r="AR232" s="24">
        <v>19.335791058075316</v>
      </c>
      <c r="AS232" s="24">
        <v>21.701876382200584</v>
      </c>
      <c r="AT232" s="24">
        <v>12.037677313587009</v>
      </c>
      <c r="AU232" s="24">
        <v>19.415317046665052</v>
      </c>
      <c r="AV232" s="24">
        <v>14.257953399883089</v>
      </c>
      <c r="AW232" s="24">
        <v>21.108256734867187</v>
      </c>
      <c r="AX232" s="24">
        <v>29.409194399256755</v>
      </c>
      <c r="AY232" s="24">
        <v>20.118040717179561</v>
      </c>
    </row>
    <row r="233" spans="1:51" x14ac:dyDescent="0.2">
      <c r="A233" s="23">
        <v>45393</v>
      </c>
      <c r="B233" s="24">
        <v>12.982783227239855</v>
      </c>
      <c r="C233" s="24">
        <v>12.873065519207891</v>
      </c>
      <c r="D233" s="24">
        <v>15.932610521655761</v>
      </c>
      <c r="E233" s="24">
        <v>16.107614101999097</v>
      </c>
      <c r="F233" s="24">
        <v>12.530210073971903</v>
      </c>
      <c r="G233" s="24">
        <v>15.397259624202388</v>
      </c>
      <c r="H233" s="24">
        <v>28.59176964171532</v>
      </c>
      <c r="I233" s="24">
        <v>32.322344556982699</v>
      </c>
      <c r="J233" s="24">
        <v>17.255323315584757</v>
      </c>
      <c r="K233" s="24">
        <v>32.648594792569561</v>
      </c>
      <c r="L233" s="24">
        <v>26.005200343648553</v>
      </c>
      <c r="M233" s="24">
        <v>18.879148511221327</v>
      </c>
      <c r="N233" s="24">
        <v>29.306014427849671</v>
      </c>
      <c r="O233" s="24">
        <v>17.357970117626962</v>
      </c>
      <c r="P233" s="24">
        <v>14.535409307257957</v>
      </c>
      <c r="Q233" s="24">
        <v>16.65948745077057</v>
      </c>
      <c r="R233" s="24">
        <v>17.427297169225991</v>
      </c>
      <c r="S233" s="24">
        <v>24.067644115757059</v>
      </c>
      <c r="T233" s="24">
        <v>28.23680260578238</v>
      </c>
      <c r="U233" s="24">
        <v>13.254413830174315</v>
      </c>
      <c r="V233" s="24">
        <v>16.423983316037514</v>
      </c>
      <c r="W233" s="24">
        <v>28.616045702788483</v>
      </c>
      <c r="X233" s="24">
        <v>17.444941266753357</v>
      </c>
      <c r="Y233" s="24">
        <v>36.082600802277554</v>
      </c>
      <c r="Z233" s="24">
        <v>53.114174063384262</v>
      </c>
      <c r="AA233" s="24">
        <v>23.073394866292791</v>
      </c>
      <c r="AB233" s="24">
        <v>34.066314344200428</v>
      </c>
      <c r="AC233" s="24">
        <v>21.677681600114838</v>
      </c>
      <c r="AD233" s="24">
        <v>22.095224360758415</v>
      </c>
      <c r="AE233" s="24">
        <v>66.857316862038843</v>
      </c>
      <c r="AF233" s="24">
        <v>17.001610602349992</v>
      </c>
      <c r="AG233" s="24">
        <v>11.048467705056805</v>
      </c>
      <c r="AH233" s="24">
        <v>12.648895242223697</v>
      </c>
      <c r="AI233" s="24">
        <v>45.365513966604588</v>
      </c>
      <c r="AJ233" s="24">
        <v>24.654489356179273</v>
      </c>
      <c r="AK233" s="24">
        <v>10.598835067083908</v>
      </c>
      <c r="AL233" s="24">
        <v>32.168695880442321</v>
      </c>
      <c r="AM233" s="24">
        <v>18.862796073625066</v>
      </c>
      <c r="AN233" s="24">
        <v>18.329294743094547</v>
      </c>
      <c r="AO233" s="24">
        <v>26.961019774377839</v>
      </c>
      <c r="AP233" s="24">
        <v>24.914038580666944</v>
      </c>
      <c r="AQ233" s="24">
        <v>20.936900505873002</v>
      </c>
      <c r="AR233" s="24">
        <v>19.749906964162967</v>
      </c>
      <c r="AS233" s="24">
        <v>21.227597861785874</v>
      </c>
      <c r="AT233" s="24">
        <v>12.568442573480644</v>
      </c>
      <c r="AU233" s="24">
        <v>19.578543400621939</v>
      </c>
      <c r="AV233" s="24">
        <v>14.68845898328072</v>
      </c>
      <c r="AW233" s="24">
        <v>21.02547762981521</v>
      </c>
      <c r="AX233" s="24">
        <v>29.250101762894374</v>
      </c>
      <c r="AY233" s="24">
        <v>19.702241821661108</v>
      </c>
    </row>
    <row r="234" spans="1:51" x14ac:dyDescent="0.2">
      <c r="A234" s="23">
        <v>45392</v>
      </c>
      <c r="B234" s="24">
        <v>17.416470920962364</v>
      </c>
      <c r="C234" s="24">
        <v>17.119026007331502</v>
      </c>
      <c r="D234" s="24">
        <v>18.159437861115425</v>
      </c>
      <c r="E234" s="24">
        <v>20.565929268985645</v>
      </c>
      <c r="F234" s="24">
        <v>16.063675278844801</v>
      </c>
      <c r="G234" s="24">
        <v>18.191208582586874</v>
      </c>
      <c r="H234" s="24">
        <v>32.345611299789262</v>
      </c>
      <c r="I234" s="24">
        <v>33.500506786959356</v>
      </c>
      <c r="J234" s="24">
        <v>17.775430872666693</v>
      </c>
      <c r="K234" s="24">
        <v>34.249945102851207</v>
      </c>
      <c r="L234" s="24">
        <v>27.182002062654835</v>
      </c>
      <c r="M234" s="24">
        <v>20.233220410037564</v>
      </c>
      <c r="N234" s="24">
        <v>36.536079077606757</v>
      </c>
      <c r="O234" s="24">
        <v>23.085440562625571</v>
      </c>
      <c r="P234" s="24">
        <v>19.460215212334717</v>
      </c>
      <c r="Q234" s="24">
        <v>21.396423630170837</v>
      </c>
      <c r="R234" s="24">
        <v>22.08362657245825</v>
      </c>
      <c r="S234" s="24">
        <v>25.126945308618062</v>
      </c>
      <c r="T234" s="24">
        <v>33.435575834522936</v>
      </c>
      <c r="U234" s="24">
        <v>13.5758775693178</v>
      </c>
      <c r="V234" s="24">
        <v>18.109860273032012</v>
      </c>
      <c r="W234" s="24">
        <v>28.026590426750616</v>
      </c>
      <c r="X234" s="24">
        <v>17.444462006277398</v>
      </c>
      <c r="Y234" s="24">
        <v>39.305493117032576</v>
      </c>
      <c r="Z234" s="24">
        <v>53.992999317957839</v>
      </c>
      <c r="AA234" s="24">
        <v>23.854711434110051</v>
      </c>
      <c r="AB234" s="24">
        <v>36.928726254961745</v>
      </c>
      <c r="AC234" s="24">
        <v>23.70334087772693</v>
      </c>
      <c r="AD234" s="24">
        <v>23.005110411200235</v>
      </c>
      <c r="AE234" s="24">
        <v>67.194719064143271</v>
      </c>
      <c r="AF234" s="24">
        <v>17.14677861987273</v>
      </c>
      <c r="AG234" s="24">
        <v>10.926319714760011</v>
      </c>
      <c r="AH234" s="24">
        <v>12.878913276547278</v>
      </c>
      <c r="AI234" s="24">
        <v>45.489292882270497</v>
      </c>
      <c r="AJ234" s="24">
        <v>26.3954314595114</v>
      </c>
      <c r="AK234" s="24">
        <v>10.599159050783086</v>
      </c>
      <c r="AL234" s="24">
        <v>31.909996806073259</v>
      </c>
      <c r="AM234" s="24">
        <v>18.831925812655751</v>
      </c>
      <c r="AN234" s="24">
        <v>26.785442132115652</v>
      </c>
      <c r="AO234" s="24">
        <v>27.555050585304116</v>
      </c>
      <c r="AP234" s="24">
        <v>25.058676282175799</v>
      </c>
      <c r="AQ234" s="24">
        <v>23.191291474605176</v>
      </c>
      <c r="AR234" s="24">
        <v>20.049080899408192</v>
      </c>
      <c r="AS234" s="24">
        <v>29.537035911560519</v>
      </c>
      <c r="AT234" s="24">
        <v>12.089208392717813</v>
      </c>
      <c r="AU234" s="24">
        <v>19.810450870617647</v>
      </c>
      <c r="AV234" s="24">
        <v>16.445301070908602</v>
      </c>
      <c r="AW234" s="24">
        <v>20.130940573694385</v>
      </c>
      <c r="AX234" s="24">
        <v>29.439999441669087</v>
      </c>
      <c r="AY234" s="24">
        <v>23.442949475453812</v>
      </c>
    </row>
    <row r="235" spans="1:51" x14ac:dyDescent="0.2">
      <c r="A235" s="23">
        <v>45391</v>
      </c>
      <c r="B235" s="24">
        <v>17.437226164251861</v>
      </c>
      <c r="C235" s="24">
        <v>17.67832368114394</v>
      </c>
      <c r="D235" s="24">
        <v>18.339132157267692</v>
      </c>
      <c r="E235" s="24">
        <v>21.132503804770074</v>
      </c>
      <c r="F235" s="24">
        <v>16.124929111402732</v>
      </c>
      <c r="G235" s="24">
        <v>18.418240876268605</v>
      </c>
      <c r="H235" s="24">
        <v>33.465795123483105</v>
      </c>
      <c r="I235" s="24">
        <v>56.260843175927754</v>
      </c>
      <c r="J235" s="24">
        <v>17.902635734216002</v>
      </c>
      <c r="K235" s="24">
        <v>38.69642212909195</v>
      </c>
      <c r="L235" s="24">
        <v>27.30956832395335</v>
      </c>
      <c r="M235" s="24">
        <v>19.439546104435852</v>
      </c>
      <c r="N235" s="24">
        <v>40.198799481400783</v>
      </c>
      <c r="O235" s="24">
        <v>24.862571569090058</v>
      </c>
      <c r="P235" s="24">
        <v>19.902956290363242</v>
      </c>
      <c r="Q235" s="24">
        <v>20.205044716444466</v>
      </c>
      <c r="R235" s="24">
        <v>22.661063616904272</v>
      </c>
      <c r="S235" s="24">
        <v>25.358374861200108</v>
      </c>
      <c r="T235" s="24">
        <v>32.842324723483273</v>
      </c>
      <c r="U235" s="24">
        <v>13.591406898525246</v>
      </c>
      <c r="V235" s="24">
        <v>17.934008938087558</v>
      </c>
      <c r="W235" s="24">
        <v>28.686718880821168</v>
      </c>
      <c r="X235" s="24">
        <v>16.044737643798896</v>
      </c>
      <c r="Y235" s="24">
        <v>35.527112796541907</v>
      </c>
      <c r="Z235" s="24">
        <v>55.497421863113424</v>
      </c>
      <c r="AA235" s="24">
        <v>24.1619951767285</v>
      </c>
      <c r="AB235" s="24">
        <v>36.830164407196207</v>
      </c>
      <c r="AC235" s="24">
        <v>23.085658931875969</v>
      </c>
      <c r="AD235" s="24">
        <v>23.928368632256742</v>
      </c>
      <c r="AE235" s="24">
        <v>68.41550742151999</v>
      </c>
      <c r="AF235" s="24">
        <v>16.570479414508384</v>
      </c>
      <c r="AG235" s="24">
        <v>10.960989084969924</v>
      </c>
      <c r="AH235" s="24">
        <v>20.103473938323717</v>
      </c>
      <c r="AI235" s="24">
        <v>45.29925759753165</v>
      </c>
      <c r="AJ235" s="24">
        <v>29.474855608011804</v>
      </c>
      <c r="AK235" s="24">
        <v>10.600204466885558</v>
      </c>
      <c r="AL235" s="24">
        <v>31.694412204338612</v>
      </c>
      <c r="AM235" s="24">
        <v>18.054977058550826</v>
      </c>
      <c r="AN235" s="24">
        <v>27.703159920065723</v>
      </c>
      <c r="AO235" s="24">
        <v>26.168343665310523</v>
      </c>
      <c r="AP235" s="24">
        <v>25.374300678268991</v>
      </c>
      <c r="AQ235" s="24">
        <v>23.402755936565814</v>
      </c>
      <c r="AR235" s="24">
        <v>19.90846594143553</v>
      </c>
      <c r="AS235" s="24">
        <v>30.542175140222962</v>
      </c>
      <c r="AT235" s="24">
        <v>11.785050438208884</v>
      </c>
      <c r="AU235" s="24">
        <v>19.837753556866549</v>
      </c>
      <c r="AV235" s="24">
        <v>16.444848074894644</v>
      </c>
      <c r="AW235" s="24">
        <v>20.231647166219382</v>
      </c>
      <c r="AX235" s="24">
        <v>29.45855847456118</v>
      </c>
      <c r="AY235" s="24">
        <v>24.753003148090524</v>
      </c>
    </row>
    <row r="236" spans="1:51" x14ac:dyDescent="0.2">
      <c r="A236" s="23">
        <v>45390</v>
      </c>
      <c r="B236" s="24">
        <v>16.83057639343782</v>
      </c>
      <c r="C236" s="24">
        <v>17.83145780252563</v>
      </c>
      <c r="D236" s="24">
        <v>17.630218980947699</v>
      </c>
      <c r="E236" s="24">
        <v>23.456794920916611</v>
      </c>
      <c r="F236" s="24">
        <v>16.085595477410408</v>
      </c>
      <c r="G236" s="24">
        <v>18.226533059847881</v>
      </c>
      <c r="H236" s="24">
        <v>32.749261697768688</v>
      </c>
      <c r="I236" s="24">
        <v>56.894084106204197</v>
      </c>
      <c r="J236" s="24">
        <v>18.30159636700742</v>
      </c>
      <c r="K236" s="24">
        <v>38.816667229718846</v>
      </c>
      <c r="L236" s="24">
        <v>27.154215303958768</v>
      </c>
      <c r="M236" s="24">
        <v>19.440398334278598</v>
      </c>
      <c r="N236" s="24">
        <v>49.946515282108713</v>
      </c>
      <c r="O236" s="24">
        <v>25.0093197884968</v>
      </c>
      <c r="P236" s="24">
        <v>20.396779442496825</v>
      </c>
      <c r="Q236" s="24">
        <v>20.049917142775634</v>
      </c>
      <c r="R236" s="24">
        <v>20.411230392721702</v>
      </c>
      <c r="S236" s="24">
        <v>25.390455698658002</v>
      </c>
      <c r="T236" s="24">
        <v>32.705920254360713</v>
      </c>
      <c r="U236" s="24">
        <v>13.114268821978735</v>
      </c>
      <c r="V236" s="24">
        <v>17.805940702162868</v>
      </c>
      <c r="W236" s="24">
        <v>28.787444037485667</v>
      </c>
      <c r="X236" s="24">
        <v>16.037754041871978</v>
      </c>
      <c r="Y236" s="24">
        <v>34.465416834141436</v>
      </c>
      <c r="Z236" s="24">
        <v>65.934078237993134</v>
      </c>
      <c r="AA236" s="24">
        <v>24.136351933670539</v>
      </c>
      <c r="AB236" s="24">
        <v>36.253030327654976</v>
      </c>
      <c r="AC236" s="24">
        <v>22.950962615385517</v>
      </c>
      <c r="AD236" s="24">
        <v>23.673558449462085</v>
      </c>
      <c r="AE236" s="24">
        <v>69.96379973487592</v>
      </c>
      <c r="AF236" s="24">
        <v>16.128511272165074</v>
      </c>
      <c r="AG236" s="24">
        <v>10.963372041442266</v>
      </c>
      <c r="AH236" s="24">
        <v>19.799770570309562</v>
      </c>
      <c r="AI236" s="24">
        <v>45.276533829566432</v>
      </c>
      <c r="AJ236" s="24">
        <v>29.538728761865471</v>
      </c>
      <c r="AK236" s="24">
        <v>9.6738797110176016</v>
      </c>
      <c r="AL236" s="24">
        <v>31.689306316875484</v>
      </c>
      <c r="AM236" s="24">
        <v>18.148314803225034</v>
      </c>
      <c r="AN236" s="24">
        <v>27.675378010777095</v>
      </c>
      <c r="AO236" s="24">
        <v>29.02555252251096</v>
      </c>
      <c r="AP236" s="24">
        <v>25.310406251797492</v>
      </c>
      <c r="AQ236" s="24">
        <v>19.731922969490356</v>
      </c>
      <c r="AR236" s="24">
        <v>19.878434037396431</v>
      </c>
      <c r="AS236" s="24">
        <v>30.555763808968052</v>
      </c>
      <c r="AT236" s="24">
        <v>10.654931092657328</v>
      </c>
      <c r="AU236" s="24">
        <v>19.714464766959001</v>
      </c>
      <c r="AV236" s="24">
        <v>17.78384252797019</v>
      </c>
      <c r="AW236" s="24">
        <v>19.670582801134984</v>
      </c>
      <c r="AX236" s="24">
        <v>29.460310611007269</v>
      </c>
      <c r="AY236" s="24">
        <v>24.834743674501162</v>
      </c>
    </row>
    <row r="237" spans="1:51" x14ac:dyDescent="0.2">
      <c r="A237" s="23">
        <v>45385</v>
      </c>
      <c r="B237" s="24">
        <v>16.289451659337264</v>
      </c>
      <c r="C237" s="24">
        <v>14.508585564113933</v>
      </c>
      <c r="D237" s="24">
        <v>17.241560629263276</v>
      </c>
      <c r="E237" s="24">
        <v>23.166279991763009</v>
      </c>
      <c r="F237" s="24">
        <v>15.504512569797786</v>
      </c>
      <c r="G237" s="24">
        <v>17.825573634466327</v>
      </c>
      <c r="H237" s="24">
        <v>32.76375228507699</v>
      </c>
      <c r="I237" s="24">
        <v>57.275964658354816</v>
      </c>
      <c r="J237" s="24">
        <v>18.267404731041047</v>
      </c>
      <c r="K237" s="24">
        <v>39.149034055959383</v>
      </c>
      <c r="L237" s="24">
        <v>25.933409154845318</v>
      </c>
      <c r="M237" s="24">
        <v>20.220132847406852</v>
      </c>
      <c r="N237" s="24">
        <v>51.073942944279288</v>
      </c>
      <c r="O237" s="24">
        <v>25.749215474041669</v>
      </c>
      <c r="P237" s="24">
        <v>21.546537223152818</v>
      </c>
      <c r="Q237" s="24">
        <v>14.44070515066063</v>
      </c>
      <c r="R237" s="24">
        <v>20.564988374778252</v>
      </c>
      <c r="S237" s="24">
        <v>25.087415667066931</v>
      </c>
      <c r="T237" s="24">
        <v>26.926785628423886</v>
      </c>
      <c r="U237" s="24">
        <v>12.798769675741031</v>
      </c>
      <c r="V237" s="24">
        <v>17.876525105294803</v>
      </c>
      <c r="W237" s="24">
        <v>25.904998900191877</v>
      </c>
      <c r="X237" s="24">
        <v>15.850785146358842</v>
      </c>
      <c r="Y237" s="24">
        <v>35.013351832046837</v>
      </c>
      <c r="Z237" s="24">
        <v>66.660194028519456</v>
      </c>
      <c r="AA237" s="24">
        <v>24.19187712036674</v>
      </c>
      <c r="AB237" s="24">
        <v>38.638169618334331</v>
      </c>
      <c r="AC237" s="24">
        <v>20.099749746372527</v>
      </c>
      <c r="AD237" s="24">
        <v>23.168103467818739</v>
      </c>
      <c r="AE237" s="24">
        <v>70.54919983518856</v>
      </c>
      <c r="AF237" s="24">
        <v>16.506387135995897</v>
      </c>
      <c r="AG237" s="24">
        <v>10.770380073871518</v>
      </c>
      <c r="AH237" s="24">
        <v>19.100652631765538</v>
      </c>
      <c r="AI237" s="24">
        <v>45.512941603500423</v>
      </c>
      <c r="AJ237" s="24">
        <v>34.163828801505488</v>
      </c>
      <c r="AK237" s="24">
        <v>9.4921822416307204</v>
      </c>
      <c r="AL237" s="24">
        <v>31.551057807969251</v>
      </c>
      <c r="AM237" s="24">
        <v>18.148549825428702</v>
      </c>
      <c r="AN237" s="24">
        <v>25.409762676846892</v>
      </c>
      <c r="AO237" s="24">
        <v>28.915518688406721</v>
      </c>
      <c r="AP237" s="24">
        <v>25.633921412471157</v>
      </c>
      <c r="AQ237" s="24">
        <v>19.977101871007442</v>
      </c>
      <c r="AR237" s="24">
        <v>19.90566065522766</v>
      </c>
      <c r="AS237" s="24">
        <v>30.449496472245063</v>
      </c>
      <c r="AT237" s="24">
        <v>10.698002243510247</v>
      </c>
      <c r="AU237" s="24">
        <v>18.764300886701371</v>
      </c>
      <c r="AV237" s="24">
        <v>17.702790397007607</v>
      </c>
      <c r="AW237" s="24">
        <v>17.511611666544038</v>
      </c>
      <c r="AX237" s="24">
        <v>29.557993480695004</v>
      </c>
      <c r="AY237" s="24">
        <v>24.652599517563971</v>
      </c>
    </row>
    <row r="238" spans="1:51" x14ac:dyDescent="0.2">
      <c r="A238" s="23">
        <v>45384</v>
      </c>
      <c r="B238" s="24">
        <v>17.754187805969782</v>
      </c>
      <c r="C238" s="24">
        <v>14.896526957873061</v>
      </c>
      <c r="D238" s="24">
        <v>18.376725171688907</v>
      </c>
      <c r="E238" s="24">
        <v>23.26004148506637</v>
      </c>
      <c r="F238" s="24">
        <v>15.933651269859814</v>
      </c>
      <c r="G238" s="24">
        <v>18.139182354390535</v>
      </c>
      <c r="H238" s="24">
        <v>32.587222321306861</v>
      </c>
      <c r="I238" s="24">
        <v>57.108975388111993</v>
      </c>
      <c r="J238" s="24">
        <v>18.252816878165358</v>
      </c>
      <c r="K238" s="24">
        <v>38.138066767768031</v>
      </c>
      <c r="L238" s="24">
        <v>26.176458609455501</v>
      </c>
      <c r="M238" s="24">
        <v>19.979961264752127</v>
      </c>
      <c r="N238" s="24">
        <v>51.087661838344999</v>
      </c>
      <c r="O238" s="24">
        <v>25.281897322165197</v>
      </c>
      <c r="P238" s="24">
        <v>21.578674299503575</v>
      </c>
      <c r="Q238" s="24">
        <v>14.308034286278509</v>
      </c>
      <c r="R238" s="24">
        <v>20.535729001097977</v>
      </c>
      <c r="S238" s="24">
        <v>25.22857665083113</v>
      </c>
      <c r="T238" s="24">
        <v>27.899144012932872</v>
      </c>
      <c r="U238" s="24">
        <v>12.656570154185935</v>
      </c>
      <c r="V238" s="24">
        <v>18.541171851864167</v>
      </c>
      <c r="W238" s="24">
        <v>25.675578506123166</v>
      </c>
      <c r="X238" s="24">
        <v>15.613125346963338</v>
      </c>
      <c r="Y238" s="24">
        <v>34.496904657359124</v>
      </c>
      <c r="Z238" s="24">
        <v>65.861556805345217</v>
      </c>
      <c r="AA238" s="24">
        <v>24.168989151795088</v>
      </c>
      <c r="AB238" s="24">
        <v>37.505088762342929</v>
      </c>
      <c r="AC238" s="24">
        <v>20.421740771179671</v>
      </c>
      <c r="AD238" s="24">
        <v>23.144255621612622</v>
      </c>
      <c r="AE238" s="24">
        <v>68.75980198037486</v>
      </c>
      <c r="AF238" s="24">
        <v>18.906620770607432</v>
      </c>
      <c r="AG238" s="24">
        <v>10.77681401215372</v>
      </c>
      <c r="AH238" s="24">
        <v>19.122930397260888</v>
      </c>
      <c r="AI238" s="24">
        <v>45.621725862213999</v>
      </c>
      <c r="AJ238" s="24">
        <v>34.048973074855667</v>
      </c>
      <c r="AK238" s="24">
        <v>9.7555912454180032</v>
      </c>
      <c r="AL238" s="24">
        <v>31.777894908028252</v>
      </c>
      <c r="AM238" s="24">
        <v>18.61089543651963</v>
      </c>
      <c r="AN238" s="24">
        <v>26.273455032481731</v>
      </c>
      <c r="AO238" s="24">
        <v>28.880318132727783</v>
      </c>
      <c r="AP238" s="24">
        <v>25.474531542482897</v>
      </c>
      <c r="AQ238" s="24">
        <v>19.701131431310902</v>
      </c>
      <c r="AR238" s="24">
        <v>19.972563419026034</v>
      </c>
      <c r="AS238" s="24">
        <v>31.333775805802773</v>
      </c>
      <c r="AT238" s="24">
        <v>11.069178625407194</v>
      </c>
      <c r="AU238" s="24">
        <v>19.633082870964664</v>
      </c>
      <c r="AV238" s="24">
        <v>17.806342521105083</v>
      </c>
      <c r="AW238" s="24">
        <v>17.111510614122263</v>
      </c>
      <c r="AX238" s="24">
        <v>29.552489818134653</v>
      </c>
      <c r="AY238" s="24">
        <v>24.600139562444095</v>
      </c>
    </row>
    <row r="239" spans="1:51" x14ac:dyDescent="0.2">
      <c r="A239" s="23">
        <v>45383</v>
      </c>
      <c r="B239" s="24">
        <v>19.843929124909199</v>
      </c>
      <c r="C239" s="24">
        <v>15.226692525648998</v>
      </c>
      <c r="D239" s="24">
        <v>19.950466719498678</v>
      </c>
      <c r="E239" s="24">
        <v>23.501512807614013</v>
      </c>
      <c r="F239" s="24">
        <v>17.345546390718162</v>
      </c>
      <c r="G239" s="24">
        <v>19.271937298871499</v>
      </c>
      <c r="H239" s="24">
        <v>32.195459072129061</v>
      </c>
      <c r="I239" s="24">
        <v>57.136758455305369</v>
      </c>
      <c r="J239" s="24">
        <v>19.507420158490387</v>
      </c>
      <c r="K239" s="24">
        <v>38.123507207845243</v>
      </c>
      <c r="L239" s="24">
        <v>26.25090817687585</v>
      </c>
      <c r="M239" s="24">
        <v>20.440030793136636</v>
      </c>
      <c r="N239" s="24">
        <v>50.375149441632594</v>
      </c>
      <c r="O239" s="24">
        <v>25.024320297698832</v>
      </c>
      <c r="P239" s="24">
        <v>21.578938382818663</v>
      </c>
      <c r="Q239" s="24">
        <v>16.175137039242674</v>
      </c>
      <c r="R239" s="24">
        <v>19.816436752080076</v>
      </c>
      <c r="S239" s="24">
        <v>25.310702847303169</v>
      </c>
      <c r="T239" s="24">
        <v>27.289984246244419</v>
      </c>
      <c r="U239" s="24">
        <v>14.429144119527951</v>
      </c>
      <c r="V239" s="24">
        <v>19.987222814290018</v>
      </c>
      <c r="W239" s="24">
        <v>25.685260523229793</v>
      </c>
      <c r="X239" s="24">
        <v>15.815949225392835</v>
      </c>
      <c r="Y239" s="24">
        <v>35.023109740072151</v>
      </c>
      <c r="Z239" s="24">
        <v>66.43551713379486</v>
      </c>
      <c r="AA239" s="24">
        <v>24.245756585117803</v>
      </c>
      <c r="AB239" s="24">
        <v>37.363644488175375</v>
      </c>
      <c r="AC239" s="24">
        <v>22.67460323545728</v>
      </c>
      <c r="AD239" s="24">
        <v>23.007696260164312</v>
      </c>
      <c r="AE239" s="24">
        <v>68.517639704275595</v>
      </c>
      <c r="AF239" s="24">
        <v>19.208204666602921</v>
      </c>
      <c r="AG239" s="24">
        <v>11.450644137780422</v>
      </c>
      <c r="AH239" s="24">
        <v>21.098450865908639</v>
      </c>
      <c r="AI239" s="24">
        <v>43.656678880226359</v>
      </c>
      <c r="AJ239" s="24">
        <v>33.567394859599759</v>
      </c>
      <c r="AK239" s="24">
        <v>11.147248462517007</v>
      </c>
      <c r="AL239" s="24">
        <v>32.685234007847789</v>
      </c>
      <c r="AM239" s="24">
        <v>19.507632186716528</v>
      </c>
      <c r="AN239" s="24">
        <v>27.153816567464691</v>
      </c>
      <c r="AO239" s="24">
        <v>26.420946149213744</v>
      </c>
      <c r="AP239" s="24">
        <v>25.258330778628622</v>
      </c>
      <c r="AQ239" s="24">
        <v>19.705227966556084</v>
      </c>
      <c r="AR239" s="24">
        <v>19.919177641208808</v>
      </c>
      <c r="AS239" s="24">
        <v>31.50564988991054</v>
      </c>
      <c r="AT239" s="24">
        <v>12.300439553973666</v>
      </c>
      <c r="AU239" s="24">
        <v>19.696724736440068</v>
      </c>
      <c r="AV239" s="24">
        <v>16.770002641146306</v>
      </c>
      <c r="AW239" s="24">
        <v>20.678297242067231</v>
      </c>
      <c r="AX239" s="24">
        <v>30.739738646343216</v>
      </c>
      <c r="AY239" s="24">
        <v>23.754508315969062</v>
      </c>
    </row>
    <row r="240" spans="1:51" x14ac:dyDescent="0.2">
      <c r="A240" s="23">
        <v>45380</v>
      </c>
      <c r="B240" s="24">
        <v>19.86248833997707</v>
      </c>
      <c r="C240" s="24">
        <v>14.974270095826061</v>
      </c>
      <c r="D240" s="24">
        <v>19.950466719498678</v>
      </c>
      <c r="E240" s="24">
        <v>24.091705008122897</v>
      </c>
      <c r="F240" s="24">
        <v>17.220409829203426</v>
      </c>
      <c r="G240" s="24">
        <v>18.767113626706287</v>
      </c>
      <c r="H240" s="24">
        <v>33.682074854616779</v>
      </c>
      <c r="I240" s="24">
        <v>56.195675034760121</v>
      </c>
      <c r="J240" s="24">
        <v>19.667668376548679</v>
      </c>
      <c r="K240" s="24">
        <v>36.152124531339972</v>
      </c>
      <c r="L240" s="24">
        <v>24.317857465474507</v>
      </c>
      <c r="M240" s="24">
        <v>20.489528361362108</v>
      </c>
      <c r="N240" s="24">
        <v>55.299657124918248</v>
      </c>
      <c r="O240" s="24">
        <v>24.786906825217105</v>
      </c>
      <c r="P240" s="24">
        <v>21.795590991015672</v>
      </c>
      <c r="Q240" s="24">
        <v>17.308019190808913</v>
      </c>
      <c r="R240" s="24">
        <v>21.173544617108494</v>
      </c>
      <c r="S240" s="24">
        <v>22.885271664782021</v>
      </c>
      <c r="T240" s="24">
        <v>27.39490582678264</v>
      </c>
      <c r="U240" s="24">
        <v>15.549198418789683</v>
      </c>
      <c r="V240" s="24">
        <v>18.903282689013988</v>
      </c>
      <c r="W240" s="24">
        <v>24.834969670110752</v>
      </c>
      <c r="X240" s="24">
        <v>15.972805562952956</v>
      </c>
      <c r="Y240" s="24">
        <v>34.916655906114528</v>
      </c>
      <c r="Z240" s="24">
        <v>73.661752324893868</v>
      </c>
      <c r="AA240" s="24">
        <v>23.605842260148187</v>
      </c>
      <c r="AB240" s="24">
        <v>36.709580967049945</v>
      </c>
      <c r="AC240" s="24">
        <v>23.010889499123341</v>
      </c>
      <c r="AD240" s="24">
        <v>22.215647721956351</v>
      </c>
      <c r="AE240" s="24">
        <v>70.160295186727367</v>
      </c>
      <c r="AF240" s="24">
        <v>17.746746931391893</v>
      </c>
      <c r="AG240" s="24">
        <v>10.648280000231594</v>
      </c>
      <c r="AH240" s="24">
        <v>21.064523599034711</v>
      </c>
      <c r="AI240" s="24">
        <v>43.887614279225062</v>
      </c>
      <c r="AJ240" s="24">
        <v>35.074507261825147</v>
      </c>
      <c r="AK240" s="24">
        <v>10.660218332476468</v>
      </c>
      <c r="AL240" s="24">
        <v>30.415034013433111</v>
      </c>
      <c r="AM240" s="24">
        <v>18.509588945114302</v>
      </c>
      <c r="AN240" s="24">
        <v>25.336182007941193</v>
      </c>
      <c r="AO240" s="24">
        <v>26.364070599013466</v>
      </c>
      <c r="AP240" s="24">
        <v>23.68137803936418</v>
      </c>
      <c r="AQ240" s="24">
        <v>18.246784876744879</v>
      </c>
      <c r="AR240" s="24">
        <v>20.401759916786116</v>
      </c>
      <c r="AS240" s="24">
        <v>31.491769872138526</v>
      </c>
      <c r="AT240" s="24">
        <v>12.974333531221333</v>
      </c>
      <c r="AU240" s="24">
        <v>23.026702633176868</v>
      </c>
      <c r="AV240" s="24">
        <v>16.722566344599826</v>
      </c>
      <c r="AW240" s="24">
        <v>21.532704611528242</v>
      </c>
      <c r="AX240" s="24">
        <v>30.735747965481153</v>
      </c>
      <c r="AY240" s="24">
        <v>23.690553588783576</v>
      </c>
    </row>
    <row r="241" spans="1:51" x14ac:dyDescent="0.2">
      <c r="A241" s="23">
        <v>45379</v>
      </c>
      <c r="B241" s="24">
        <v>19.751797920868473</v>
      </c>
      <c r="C241" s="24">
        <v>15.140518974872966</v>
      </c>
      <c r="D241" s="24">
        <v>19.741788792571604</v>
      </c>
      <c r="E241" s="24">
        <v>24.042174877095135</v>
      </c>
      <c r="F241" s="24">
        <v>17.147131900397067</v>
      </c>
      <c r="G241" s="24">
        <v>18.697541401591995</v>
      </c>
      <c r="H241" s="24">
        <v>25.636552866747966</v>
      </c>
      <c r="I241" s="24">
        <v>56.196534386561154</v>
      </c>
      <c r="J241" s="24">
        <v>19.706056326597906</v>
      </c>
      <c r="K241" s="24">
        <v>34.582097332282778</v>
      </c>
      <c r="L241" s="24">
        <v>24.551233658976134</v>
      </c>
      <c r="M241" s="24">
        <v>20.462025350999262</v>
      </c>
      <c r="N241" s="24">
        <v>54.327023704424306</v>
      </c>
      <c r="O241" s="24">
        <v>24.565737366902756</v>
      </c>
      <c r="P241" s="24">
        <v>21.109287421806709</v>
      </c>
      <c r="Q241" s="24">
        <v>17.273869446545152</v>
      </c>
      <c r="R241" s="24">
        <v>19.199183249395162</v>
      </c>
      <c r="S241" s="24">
        <v>24.937031909543251</v>
      </c>
      <c r="T241" s="24">
        <v>27.396462014697263</v>
      </c>
      <c r="U241" s="24">
        <v>15.548827149792196</v>
      </c>
      <c r="V241" s="24">
        <v>18.414920338670573</v>
      </c>
      <c r="W241" s="24">
        <v>24.993180296263986</v>
      </c>
      <c r="X241" s="24">
        <v>12.581729504834673</v>
      </c>
      <c r="Y241" s="24">
        <v>32.889966763275972</v>
      </c>
      <c r="Z241" s="24">
        <v>75.489620799490339</v>
      </c>
      <c r="AA241" s="24">
        <v>23.703135696218837</v>
      </c>
      <c r="AB241" s="24">
        <v>38.358195700929649</v>
      </c>
      <c r="AC241" s="24">
        <v>22.672729710291136</v>
      </c>
      <c r="AD241" s="24">
        <v>22.14850670112121</v>
      </c>
      <c r="AE241" s="24">
        <v>69.276741806978961</v>
      </c>
      <c r="AF241" s="24">
        <v>19.703796299508728</v>
      </c>
      <c r="AG241" s="24">
        <v>10.649371179903154</v>
      </c>
      <c r="AH241" s="24">
        <v>20.983325181660742</v>
      </c>
      <c r="AI241" s="24">
        <v>44.454934667642263</v>
      </c>
      <c r="AJ241" s="24">
        <v>35.004410151352268</v>
      </c>
      <c r="AK241" s="24">
        <v>10.998001630561822</v>
      </c>
      <c r="AL241" s="24">
        <v>29.509393886262956</v>
      </c>
      <c r="AM241" s="24">
        <v>17.554075750943294</v>
      </c>
      <c r="AN241" s="24">
        <v>25.865972675788584</v>
      </c>
      <c r="AO241" s="24">
        <v>27.754213701261424</v>
      </c>
      <c r="AP241" s="24">
        <v>23.898800592381662</v>
      </c>
      <c r="AQ241" s="24">
        <v>20.246093816346018</v>
      </c>
      <c r="AR241" s="24">
        <v>20.646061605335369</v>
      </c>
      <c r="AS241" s="24">
        <v>31.532264441479189</v>
      </c>
      <c r="AT241" s="24">
        <v>12.965486310861923</v>
      </c>
      <c r="AU241" s="24">
        <v>21.277700910692417</v>
      </c>
      <c r="AV241" s="24">
        <v>16.898162862449006</v>
      </c>
      <c r="AW241" s="24">
        <v>20.948526676963581</v>
      </c>
      <c r="AX241" s="24">
        <v>30.735747965481153</v>
      </c>
      <c r="AY241" s="24">
        <v>23.724031100559309</v>
      </c>
    </row>
    <row r="242" spans="1:51" x14ac:dyDescent="0.2">
      <c r="A242" s="23">
        <v>45378</v>
      </c>
      <c r="B242" s="24">
        <v>18.329225933383011</v>
      </c>
      <c r="C242" s="24">
        <v>15.383338124009002</v>
      </c>
      <c r="D242" s="24">
        <v>17.433107855791679</v>
      </c>
      <c r="E242" s="24">
        <v>23.972221924352056</v>
      </c>
      <c r="F242" s="24">
        <v>16.292056364357713</v>
      </c>
      <c r="G242" s="24">
        <v>16.531459584802004</v>
      </c>
      <c r="H242" s="24">
        <v>25.536154304281983</v>
      </c>
      <c r="I242" s="24">
        <v>57.375697974024845</v>
      </c>
      <c r="J242" s="24">
        <v>19.652641851272573</v>
      </c>
      <c r="K242" s="24">
        <v>33.906284276163632</v>
      </c>
      <c r="L242" s="24">
        <v>24.381149109336285</v>
      </c>
      <c r="M242" s="24">
        <v>20.643092884047203</v>
      </c>
      <c r="N242" s="24">
        <v>54.292325176650564</v>
      </c>
      <c r="O242" s="24">
        <v>24.771788897913808</v>
      </c>
      <c r="P242" s="24">
        <v>21.027790869060794</v>
      </c>
      <c r="Q242" s="24">
        <v>17.583130396132479</v>
      </c>
      <c r="R242" s="24">
        <v>19.509128049749179</v>
      </c>
      <c r="S242" s="24">
        <v>24.863476049717359</v>
      </c>
      <c r="T242" s="24">
        <v>27.932960709283499</v>
      </c>
      <c r="U242" s="24">
        <v>14.394039752789665</v>
      </c>
      <c r="V242" s="24">
        <v>15.196109684896435</v>
      </c>
      <c r="W242" s="24">
        <v>33.150012431697562</v>
      </c>
      <c r="X242" s="24">
        <v>10.652856437245836</v>
      </c>
      <c r="Y242" s="24">
        <v>32.51210675295917</v>
      </c>
      <c r="Z242" s="24">
        <v>74.67969058016223</v>
      </c>
      <c r="AA242" s="24">
        <v>24.618800116616899</v>
      </c>
      <c r="AB242" s="24">
        <v>38.475561722491818</v>
      </c>
      <c r="AC242" s="24">
        <v>21.977340317852118</v>
      </c>
      <c r="AD242" s="24">
        <v>24.762777965028889</v>
      </c>
      <c r="AE242" s="24">
        <v>70.328235001187394</v>
      </c>
      <c r="AF242" s="24">
        <v>20.423268686564914</v>
      </c>
      <c r="AG242" s="24">
        <v>10.917372240059418</v>
      </c>
      <c r="AH242" s="24">
        <v>20.689425066564333</v>
      </c>
      <c r="AI242" s="24">
        <v>44.549418718032719</v>
      </c>
      <c r="AJ242" s="24">
        <v>35.050643784758165</v>
      </c>
      <c r="AK242" s="24">
        <v>11.166652637175734</v>
      </c>
      <c r="AL242" s="24">
        <v>29.80107712988719</v>
      </c>
      <c r="AM242" s="24">
        <v>18.112059729779542</v>
      </c>
      <c r="AN242" s="24">
        <v>27.10529520010985</v>
      </c>
      <c r="AO242" s="24">
        <v>38.924647145680915</v>
      </c>
      <c r="AP242" s="24">
        <v>15.380258608038336</v>
      </c>
      <c r="AQ242" s="24">
        <v>19.78259585379605</v>
      </c>
      <c r="AR242" s="24">
        <v>20.892260037306855</v>
      </c>
      <c r="AS242" s="24">
        <v>31.390698426589662</v>
      </c>
      <c r="AT242" s="24">
        <v>13.481919546519663</v>
      </c>
      <c r="AU242" s="24">
        <v>22.450295343896983</v>
      </c>
      <c r="AV242" s="24">
        <v>16.891117155490512</v>
      </c>
      <c r="AW242" s="24">
        <v>22.968392421448442</v>
      </c>
      <c r="AX242" s="24">
        <v>15.18964525149431</v>
      </c>
      <c r="AY242" s="24">
        <v>24.082385137351299</v>
      </c>
    </row>
    <row r="243" spans="1:51" x14ac:dyDescent="0.2">
      <c r="A243" s="23">
        <v>45377</v>
      </c>
      <c r="B243" s="24">
        <v>18.330417645756967</v>
      </c>
      <c r="C243" s="24">
        <v>15.376806819624889</v>
      </c>
      <c r="D243" s="24">
        <v>17.015468646955846</v>
      </c>
      <c r="E243" s="24">
        <v>24.603305615450893</v>
      </c>
      <c r="F243" s="24">
        <v>16.403608342750523</v>
      </c>
      <c r="G243" s="24">
        <v>16.039899114064951</v>
      </c>
      <c r="H243" s="24">
        <v>25.54128007911708</v>
      </c>
      <c r="I243" s="24">
        <v>56.639546357750142</v>
      </c>
      <c r="J243" s="24">
        <v>19.707543318578679</v>
      </c>
      <c r="K243" s="24">
        <v>33.094215626276075</v>
      </c>
      <c r="L243" s="24">
        <v>24.066754930853705</v>
      </c>
      <c r="M243" s="24">
        <v>20.823968401848767</v>
      </c>
      <c r="N243" s="24">
        <v>55.09299600157231</v>
      </c>
      <c r="O243" s="24">
        <v>23.880206787430314</v>
      </c>
      <c r="P243" s="24">
        <v>20.970066275623925</v>
      </c>
      <c r="Q243" s="24">
        <v>18.420529265271458</v>
      </c>
      <c r="R243" s="24">
        <v>19.773776291832974</v>
      </c>
      <c r="S243" s="24">
        <v>24.370702145374306</v>
      </c>
      <c r="T243" s="24">
        <v>26.946517348407934</v>
      </c>
      <c r="U243" s="24">
        <v>14.534850007806655</v>
      </c>
      <c r="V243" s="24">
        <v>14.754833636575688</v>
      </c>
      <c r="W243" s="24">
        <v>34.502907215251355</v>
      </c>
      <c r="X243" s="24">
        <v>10.275431490826968</v>
      </c>
      <c r="Y243" s="24">
        <v>33.300997930355074</v>
      </c>
      <c r="Z243" s="24">
        <v>75.037054934213771</v>
      </c>
      <c r="AA243" s="24">
        <v>25.210261403228731</v>
      </c>
      <c r="AB243" s="24">
        <v>42.215865010078893</v>
      </c>
      <c r="AC243" s="24">
        <v>21.843475369429836</v>
      </c>
      <c r="AD243" s="24">
        <v>24.8228189240603</v>
      </c>
      <c r="AE243" s="24">
        <v>73.539286102957874</v>
      </c>
      <c r="AF243" s="24">
        <v>20.571881032602281</v>
      </c>
      <c r="AG243" s="24">
        <v>11.084253219354737</v>
      </c>
      <c r="AH243" s="24">
        <v>20.952984572716485</v>
      </c>
      <c r="AI243" s="24">
        <v>42.174179002379823</v>
      </c>
      <c r="AJ243" s="24">
        <v>34.829544777531126</v>
      </c>
      <c r="AK243" s="24">
        <v>11.166304098806858</v>
      </c>
      <c r="AL243" s="24">
        <v>30.053609447058271</v>
      </c>
      <c r="AM243" s="24">
        <v>18.203134832879933</v>
      </c>
      <c r="AN243" s="24">
        <v>26.103049192825143</v>
      </c>
      <c r="AO243" s="24">
        <v>40.35558101708888</v>
      </c>
      <c r="AP243" s="24">
        <v>15.229941432166882</v>
      </c>
      <c r="AQ243" s="24">
        <v>18.997045414115252</v>
      </c>
      <c r="AR243" s="24">
        <v>20.747457232196016</v>
      </c>
      <c r="AS243" s="24">
        <v>30.235686267140409</v>
      </c>
      <c r="AT243" s="24">
        <v>13.519632878435509</v>
      </c>
      <c r="AU243" s="24">
        <v>22.566445064482387</v>
      </c>
      <c r="AV243" s="24">
        <v>17.004537166273593</v>
      </c>
      <c r="AW243" s="24">
        <v>22.553260656079221</v>
      </c>
      <c r="AX243" s="24">
        <v>15.207818965388048</v>
      </c>
      <c r="AY243" s="24">
        <v>20.467747773170434</v>
      </c>
    </row>
    <row r="244" spans="1:51" x14ac:dyDescent="0.2">
      <c r="A244" s="23">
        <v>45376</v>
      </c>
      <c r="B244" s="24">
        <v>18.180084984201692</v>
      </c>
      <c r="C244" s="24">
        <v>14.839916073004813</v>
      </c>
      <c r="D244" s="24">
        <v>17.017857182377796</v>
      </c>
      <c r="E244" s="24">
        <v>24.620439143864012</v>
      </c>
      <c r="F244" s="24">
        <v>15.754022179180234</v>
      </c>
      <c r="G244" s="24">
        <v>15.673708091210258</v>
      </c>
      <c r="H244" s="24">
        <v>25.317267812293757</v>
      </c>
      <c r="I244" s="24">
        <v>55.742954214871986</v>
      </c>
      <c r="J244" s="24">
        <v>15.626309473731052</v>
      </c>
      <c r="K244" s="24">
        <v>34.648715621602385</v>
      </c>
      <c r="L244" s="24">
        <v>22.926331721872931</v>
      </c>
      <c r="M244" s="24">
        <v>20.341767372270134</v>
      </c>
      <c r="N244" s="24">
        <v>55.72519963458187</v>
      </c>
      <c r="O244" s="24">
        <v>23.479935528163129</v>
      </c>
      <c r="P244" s="24">
        <v>21.078518381557473</v>
      </c>
      <c r="Q244" s="24">
        <v>18.313949874289772</v>
      </c>
      <c r="R244" s="24">
        <v>19.712799460435882</v>
      </c>
      <c r="S244" s="24">
        <v>25.943680251066493</v>
      </c>
      <c r="T244" s="24">
        <v>26.201988364458145</v>
      </c>
      <c r="U244" s="24">
        <v>13.240472947701425</v>
      </c>
      <c r="V244" s="24">
        <v>14.227638124934556</v>
      </c>
      <c r="W244" s="24">
        <v>39.534603583575503</v>
      </c>
      <c r="X244" s="24">
        <v>9.6606278792429112</v>
      </c>
      <c r="Y244" s="24">
        <v>32.467924877769306</v>
      </c>
      <c r="Z244" s="24">
        <v>79.650943414689806</v>
      </c>
      <c r="AA244" s="24">
        <v>25.235137231301167</v>
      </c>
      <c r="AB244" s="24">
        <v>46.358599707286302</v>
      </c>
      <c r="AC244" s="24">
        <v>21.80270677363902</v>
      </c>
      <c r="AD244" s="24">
        <v>28.058944686239705</v>
      </c>
      <c r="AE244" s="24">
        <v>78.6881473451175</v>
      </c>
      <c r="AF244" s="24">
        <v>21.957368914712877</v>
      </c>
      <c r="AG244" s="24">
        <v>10.297880516770789</v>
      </c>
      <c r="AH244" s="24">
        <v>21.026412238752592</v>
      </c>
      <c r="AI244" s="24">
        <v>42.579157527023476</v>
      </c>
      <c r="AJ244" s="24">
        <v>34.820643831579808</v>
      </c>
      <c r="AK244" s="24">
        <v>11.137940221379154</v>
      </c>
      <c r="AL244" s="24">
        <v>29.539461462447306</v>
      </c>
      <c r="AM244" s="24">
        <v>18.305361485823074</v>
      </c>
      <c r="AN244" s="24">
        <v>26.323284988276587</v>
      </c>
      <c r="AO244" s="24">
        <v>40.38318170086432</v>
      </c>
      <c r="AP244" s="24">
        <v>15.370281529542199</v>
      </c>
      <c r="AQ244" s="24">
        <v>18.999044398283665</v>
      </c>
      <c r="AR244" s="24">
        <v>19.603685399149775</v>
      </c>
      <c r="AS244" s="24">
        <v>27.680473814757566</v>
      </c>
      <c r="AT244" s="24">
        <v>13.203034997948002</v>
      </c>
      <c r="AU244" s="24">
        <v>22.233920862304508</v>
      </c>
      <c r="AV244" s="24">
        <v>17.249679011153855</v>
      </c>
      <c r="AW244" s="24">
        <v>23.683839981831742</v>
      </c>
      <c r="AX244" s="24">
        <v>14.533821946046594</v>
      </c>
      <c r="AY244" s="24">
        <v>20.557009141742139</v>
      </c>
    </row>
    <row r="245" spans="1:51" x14ac:dyDescent="0.2">
      <c r="A245" s="23">
        <v>45373</v>
      </c>
      <c r="B245" s="24">
        <v>20.607309993748586</v>
      </c>
      <c r="C245" s="24">
        <v>15.143300472340512</v>
      </c>
      <c r="D245" s="24">
        <v>19.692272134846924</v>
      </c>
      <c r="E245" s="24">
        <v>24.721509921620193</v>
      </c>
      <c r="F245" s="24">
        <v>19.277381329714622</v>
      </c>
      <c r="G245" s="24">
        <v>18.848960207722218</v>
      </c>
      <c r="H245" s="24">
        <v>26.077395003630951</v>
      </c>
      <c r="I245" s="24">
        <v>56.923102770102979</v>
      </c>
      <c r="J245" s="24">
        <v>16.930331112571217</v>
      </c>
      <c r="K245" s="24">
        <v>34.048048506630323</v>
      </c>
      <c r="L245" s="24">
        <v>25.692552558625113</v>
      </c>
      <c r="M245" s="24">
        <v>21.842000233577533</v>
      </c>
      <c r="N245" s="24">
        <v>55.067926740415366</v>
      </c>
      <c r="O245" s="24">
        <v>25.260394751303732</v>
      </c>
      <c r="P245" s="24">
        <v>23.478106847128785</v>
      </c>
      <c r="Q245" s="24">
        <v>20.9938347628459</v>
      </c>
      <c r="R245" s="24">
        <v>20.497507298364059</v>
      </c>
      <c r="S245" s="24">
        <v>26.135091004306059</v>
      </c>
      <c r="T245" s="24">
        <v>26.417080641560393</v>
      </c>
      <c r="U245" s="24">
        <v>17.248467269006991</v>
      </c>
      <c r="V245" s="24">
        <v>17.707863494513244</v>
      </c>
      <c r="W245" s="24">
        <v>38.649555070090386</v>
      </c>
      <c r="X245" s="24">
        <v>12.362455305901291</v>
      </c>
      <c r="Y245" s="24">
        <v>34.287547271565543</v>
      </c>
      <c r="Z245" s="24">
        <v>80.060184762867166</v>
      </c>
      <c r="AA245" s="24">
        <v>18.990115457603356</v>
      </c>
      <c r="AB245" s="24">
        <v>46.455506369982501</v>
      </c>
      <c r="AC245" s="24">
        <v>22.485735004948918</v>
      </c>
      <c r="AD245" s="24">
        <v>26.636832373618802</v>
      </c>
      <c r="AE245" s="24">
        <v>80.9941235874809</v>
      </c>
      <c r="AF245" s="24">
        <v>22.066420194044671</v>
      </c>
      <c r="AG245" s="24">
        <v>13.371383705777994</v>
      </c>
      <c r="AH245" s="24">
        <v>20.961070945031256</v>
      </c>
      <c r="AI245" s="24">
        <v>38.528591731862477</v>
      </c>
      <c r="AJ245" s="24">
        <v>35.070573434068734</v>
      </c>
      <c r="AK245" s="24">
        <v>12.316797505158537</v>
      </c>
      <c r="AL245" s="24">
        <v>31.11949058749618</v>
      </c>
      <c r="AM245" s="24">
        <v>20.032839716852603</v>
      </c>
      <c r="AN245" s="24">
        <v>27.87721995990988</v>
      </c>
      <c r="AO245" s="24">
        <v>41.091772748036654</v>
      </c>
      <c r="AP245" s="24">
        <v>14.990256024527154</v>
      </c>
      <c r="AQ245" s="24">
        <v>20.33298690060796</v>
      </c>
      <c r="AR245" s="24">
        <v>22.026783998177681</v>
      </c>
      <c r="AS245" s="24">
        <v>29.604465394751479</v>
      </c>
      <c r="AT245" s="24">
        <v>17.113633155568536</v>
      </c>
      <c r="AU245" s="24">
        <v>22.12745589692161</v>
      </c>
      <c r="AV245" s="24">
        <v>19.525873726196735</v>
      </c>
      <c r="AW245" s="24">
        <v>23.323649397998167</v>
      </c>
      <c r="AX245" s="24">
        <v>15.946824423540379</v>
      </c>
      <c r="AY245" s="24">
        <v>20.487437337506108</v>
      </c>
    </row>
    <row r="246" spans="1:51" x14ac:dyDescent="0.2">
      <c r="A246" s="23">
        <v>45372</v>
      </c>
      <c r="B246" s="24">
        <v>20.947418188834689</v>
      </c>
      <c r="C246" s="24">
        <v>15.089584208354156</v>
      </c>
      <c r="D246" s="24">
        <v>20.069642822534135</v>
      </c>
      <c r="E246" s="24">
        <v>23.723278932042341</v>
      </c>
      <c r="F246" s="24">
        <v>18.487124039141015</v>
      </c>
      <c r="G246" s="24">
        <v>19.100510517177206</v>
      </c>
      <c r="H246" s="24">
        <v>26.41262682408551</v>
      </c>
      <c r="I246" s="24">
        <v>56.44917140530579</v>
      </c>
      <c r="J246" s="24">
        <v>16.814930339075374</v>
      </c>
      <c r="K246" s="24">
        <v>33.64276709418349</v>
      </c>
      <c r="L246" s="24">
        <v>25.292160053999154</v>
      </c>
      <c r="M246" s="24">
        <v>18.905783016267506</v>
      </c>
      <c r="N246" s="24">
        <v>53.172795322493307</v>
      </c>
      <c r="O246" s="24">
        <v>26.10243883108927</v>
      </c>
      <c r="P246" s="24">
        <v>23.949210036027594</v>
      </c>
      <c r="Q246" s="24">
        <v>21.082068795959401</v>
      </c>
      <c r="R246" s="24">
        <v>20.488669164586646</v>
      </c>
      <c r="S246" s="24">
        <v>25.63721698436968</v>
      </c>
      <c r="T246" s="24">
        <v>24.831077301574098</v>
      </c>
      <c r="U246" s="24">
        <v>17.789074431090821</v>
      </c>
      <c r="V246" s="24">
        <v>18.495596372025531</v>
      </c>
      <c r="W246" s="24">
        <v>35.398850248981134</v>
      </c>
      <c r="X246" s="24">
        <v>12.478451591353895</v>
      </c>
      <c r="Y246" s="24">
        <v>33.562714543229518</v>
      </c>
      <c r="Z246" s="24">
        <v>79.109043804094952</v>
      </c>
      <c r="AA246" s="24">
        <v>18.535550466953609</v>
      </c>
      <c r="AB246" s="24">
        <v>46.578781893853183</v>
      </c>
      <c r="AC246" s="24">
        <v>18.932532097098647</v>
      </c>
      <c r="AD246" s="24">
        <v>25.542277814935549</v>
      </c>
      <c r="AE246" s="24">
        <v>80.96313659175334</v>
      </c>
      <c r="AF246" s="24">
        <v>21.505382712412654</v>
      </c>
      <c r="AG246" s="24">
        <v>13.684508400650229</v>
      </c>
      <c r="AH246" s="24">
        <v>21.719532134433017</v>
      </c>
      <c r="AI246" s="24">
        <v>32.231054543972981</v>
      </c>
      <c r="AJ246" s="24">
        <v>35.098618670538706</v>
      </c>
      <c r="AK246" s="24">
        <v>12.081962992366378</v>
      </c>
      <c r="AL246" s="24">
        <v>30.92023812781974</v>
      </c>
      <c r="AM246" s="24">
        <v>19.840206327399169</v>
      </c>
      <c r="AN246" s="24">
        <v>27.578152184781072</v>
      </c>
      <c r="AO246" s="24">
        <v>39.992915484711148</v>
      </c>
      <c r="AP246" s="24">
        <v>15.151415146976902</v>
      </c>
      <c r="AQ246" s="24">
        <v>20.268285868261902</v>
      </c>
      <c r="AR246" s="24">
        <v>21.836791025800906</v>
      </c>
      <c r="AS246" s="24">
        <v>28.591216356362796</v>
      </c>
      <c r="AT246" s="24">
        <v>19.424953966549872</v>
      </c>
      <c r="AU246" s="24">
        <v>22.724127690563247</v>
      </c>
      <c r="AV246" s="24">
        <v>19.465469420411289</v>
      </c>
      <c r="AW246" s="24">
        <v>23.934316850452653</v>
      </c>
      <c r="AX246" s="24">
        <v>15.946824423540379</v>
      </c>
      <c r="AY246" s="24">
        <v>19.476394129299987</v>
      </c>
    </row>
    <row r="247" spans="1:51" x14ac:dyDescent="0.2">
      <c r="A247" s="23">
        <v>45371</v>
      </c>
      <c r="B247" s="24">
        <v>20.888813237736752</v>
      </c>
      <c r="C247" s="24">
        <v>15.091482418987775</v>
      </c>
      <c r="D247" s="24">
        <v>20.133939961438788</v>
      </c>
      <c r="E247" s="24">
        <v>24.214641907610616</v>
      </c>
      <c r="F247" s="24">
        <v>18.374361348974979</v>
      </c>
      <c r="G247" s="24">
        <v>18.959512208804341</v>
      </c>
      <c r="H247" s="24">
        <v>32.91121795392651</v>
      </c>
      <c r="I247" s="24">
        <v>56.535095259385166</v>
      </c>
      <c r="J247" s="24">
        <v>16.079366740702248</v>
      </c>
      <c r="K247" s="24">
        <v>33.709157086242101</v>
      </c>
      <c r="L247" s="24">
        <v>25.501382110907898</v>
      </c>
      <c r="M247" s="24">
        <v>18.902690643019262</v>
      </c>
      <c r="N247" s="24">
        <v>53.417203578708019</v>
      </c>
      <c r="O247" s="24">
        <v>28.738549644427938</v>
      </c>
      <c r="P247" s="24">
        <v>26.260186493183745</v>
      </c>
      <c r="Q247" s="24">
        <v>21.23717306102197</v>
      </c>
      <c r="R247" s="24">
        <v>22.736545459690682</v>
      </c>
      <c r="S247" s="24">
        <v>24.533012128323609</v>
      </c>
      <c r="T247" s="24">
        <v>24.744496978386508</v>
      </c>
      <c r="U247" s="24">
        <v>17.550295820328497</v>
      </c>
      <c r="V247" s="24">
        <v>18.461758908334886</v>
      </c>
      <c r="W247" s="24">
        <v>35.388521687518221</v>
      </c>
      <c r="X247" s="24">
        <v>12.800711799107097</v>
      </c>
      <c r="Y247" s="24">
        <v>33.668613694046826</v>
      </c>
      <c r="Z247" s="24">
        <v>79.060591195114597</v>
      </c>
      <c r="AA247" s="24">
        <v>19.617670841953796</v>
      </c>
      <c r="AB247" s="24">
        <v>48.446218733470211</v>
      </c>
      <c r="AC247" s="24">
        <v>18.911861361793811</v>
      </c>
      <c r="AD247" s="24">
        <v>25.515451143410285</v>
      </c>
      <c r="AE247" s="24">
        <v>84.307767273947221</v>
      </c>
      <c r="AF247" s="24">
        <v>21.853627085983348</v>
      </c>
      <c r="AG247" s="24">
        <v>13.144132280787879</v>
      </c>
      <c r="AH247" s="24">
        <v>22.783266543212147</v>
      </c>
      <c r="AI247" s="24">
        <v>32.230569488644683</v>
      </c>
      <c r="AJ247" s="24">
        <v>35.07530208197916</v>
      </c>
      <c r="AK247" s="24">
        <v>12.081962992366378</v>
      </c>
      <c r="AL247" s="24">
        <v>31.334430762876337</v>
      </c>
      <c r="AM247" s="24">
        <v>19.950494757248237</v>
      </c>
      <c r="AN247" s="24">
        <v>27.581208243385635</v>
      </c>
      <c r="AO247" s="24">
        <v>39.853260169645708</v>
      </c>
      <c r="AP247" s="24">
        <v>14.482212878740748</v>
      </c>
      <c r="AQ247" s="24">
        <v>20.396256008578316</v>
      </c>
      <c r="AR247" s="24">
        <v>22.153436204571811</v>
      </c>
      <c r="AS247" s="24">
        <v>32.156641994610638</v>
      </c>
      <c r="AT247" s="24">
        <v>19.453521719723984</v>
      </c>
      <c r="AU247" s="24">
        <v>22.838385849172678</v>
      </c>
      <c r="AV247" s="24">
        <v>21.548412456551681</v>
      </c>
      <c r="AW247" s="24">
        <v>22.059962231960853</v>
      </c>
      <c r="AX247" s="24">
        <v>15.586529962665129</v>
      </c>
      <c r="AY247" s="24">
        <v>19.044282680047807</v>
      </c>
    </row>
    <row r="248" spans="1:51" x14ac:dyDescent="0.2">
      <c r="A248" s="23">
        <v>45370</v>
      </c>
      <c r="B248" s="24">
        <v>21.002141469577982</v>
      </c>
      <c r="C248" s="24">
        <v>18.072657416062587</v>
      </c>
      <c r="D248" s="24">
        <v>19.985441545411479</v>
      </c>
      <c r="E248" s="24">
        <v>24.236687896423231</v>
      </c>
      <c r="F248" s="24">
        <v>18.597089224752374</v>
      </c>
      <c r="G248" s="24">
        <v>18.314825992590308</v>
      </c>
      <c r="H248" s="24">
        <v>31.773384710551181</v>
      </c>
      <c r="I248" s="24">
        <v>56.628159593704005</v>
      </c>
      <c r="J248" s="24">
        <v>24.000310218316887</v>
      </c>
      <c r="K248" s="24">
        <v>34.015446446233199</v>
      </c>
      <c r="L248" s="24">
        <v>27.136159428553448</v>
      </c>
      <c r="M248" s="24">
        <v>21.74778892314713</v>
      </c>
      <c r="N248" s="24">
        <v>53.43444484545774</v>
      </c>
      <c r="O248" s="24">
        <v>28.627494325980255</v>
      </c>
      <c r="P248" s="24">
        <v>25.373264219755296</v>
      </c>
      <c r="Q248" s="24">
        <v>20.82816339793381</v>
      </c>
      <c r="R248" s="24">
        <v>22.092381854951565</v>
      </c>
      <c r="S248" s="24">
        <v>24.151862854455906</v>
      </c>
      <c r="T248" s="24">
        <v>28.711755066913195</v>
      </c>
      <c r="U248" s="24">
        <v>19.157610789747032</v>
      </c>
      <c r="V248" s="24">
        <v>18.139040413173458</v>
      </c>
      <c r="W248" s="24">
        <v>35.511859604962062</v>
      </c>
      <c r="X248" s="24">
        <v>16.400490019815781</v>
      </c>
      <c r="Y248" s="24">
        <v>33.776497285157703</v>
      </c>
      <c r="Z248" s="24">
        <v>81.965311906748042</v>
      </c>
      <c r="AA248" s="24">
        <v>20.793458368598809</v>
      </c>
      <c r="AB248" s="24">
        <v>49.757215654611571</v>
      </c>
      <c r="AC248" s="24">
        <v>21.314929237069709</v>
      </c>
      <c r="AD248" s="24">
        <v>26.497698908387232</v>
      </c>
      <c r="AE248" s="24">
        <v>84.729625770823247</v>
      </c>
      <c r="AF248" s="24">
        <v>21.794861470273212</v>
      </c>
      <c r="AG248" s="24">
        <v>15.014108115039445</v>
      </c>
      <c r="AH248" s="24">
        <v>22.867438042573003</v>
      </c>
      <c r="AI248" s="24">
        <v>32.603629452191484</v>
      </c>
      <c r="AJ248" s="24">
        <v>34.85637273432863</v>
      </c>
      <c r="AK248" s="24">
        <v>12.288723192636049</v>
      </c>
      <c r="AL248" s="24">
        <v>33.638412219486803</v>
      </c>
      <c r="AM248" s="24">
        <v>22.034212942815255</v>
      </c>
      <c r="AN248" s="24">
        <v>31.24825194977203</v>
      </c>
      <c r="AO248" s="24">
        <v>40.158400231876762</v>
      </c>
      <c r="AP248" s="24">
        <v>14.486565911591038</v>
      </c>
      <c r="AQ248" s="24">
        <v>20.416731920583828</v>
      </c>
      <c r="AR248" s="24">
        <v>40.501723081584878</v>
      </c>
      <c r="AS248" s="24">
        <v>35.738845532701625</v>
      </c>
      <c r="AT248" s="24">
        <v>22.359391789996618</v>
      </c>
      <c r="AU248" s="24">
        <v>26.546180835031929</v>
      </c>
      <c r="AV248" s="24">
        <v>22.008226604985655</v>
      </c>
      <c r="AW248" s="24">
        <v>23.156339699406406</v>
      </c>
      <c r="AX248" s="24">
        <v>16.206157254504316</v>
      </c>
      <c r="AY248" s="24">
        <v>20.447872674761953</v>
      </c>
    </row>
    <row r="249" spans="1:51" x14ac:dyDescent="0.2">
      <c r="A249" s="23">
        <v>45369</v>
      </c>
      <c r="B249" s="24">
        <v>21.759031672623575</v>
      </c>
      <c r="C249" s="24">
        <v>18.946509575407951</v>
      </c>
      <c r="D249" s="24">
        <v>20.613839270397868</v>
      </c>
      <c r="E249" s="24">
        <v>25.314987067092645</v>
      </c>
      <c r="F249" s="24">
        <v>18.965103020217224</v>
      </c>
      <c r="G249" s="24">
        <v>17.99375342596915</v>
      </c>
      <c r="H249" s="24">
        <v>31.765733389294887</v>
      </c>
      <c r="I249" s="24">
        <v>56.159342582037766</v>
      </c>
      <c r="J249" s="24">
        <v>23.842869777178588</v>
      </c>
      <c r="K249" s="24">
        <v>35.727014489155387</v>
      </c>
      <c r="L249" s="24">
        <v>26.92152365822302</v>
      </c>
      <c r="M249" s="24">
        <v>21.107818387359725</v>
      </c>
      <c r="N249" s="24">
        <v>53.612020325017191</v>
      </c>
      <c r="O249" s="24">
        <v>27.81882344782575</v>
      </c>
      <c r="P249" s="24">
        <v>25.458416871611451</v>
      </c>
      <c r="Q249" s="24">
        <v>21.456861606841976</v>
      </c>
      <c r="R249" s="24">
        <v>21.98165709512805</v>
      </c>
      <c r="S249" s="24">
        <v>24.883841232810848</v>
      </c>
      <c r="T249" s="24">
        <v>28.888630033113127</v>
      </c>
      <c r="U249" s="24">
        <v>19.127045690559509</v>
      </c>
      <c r="V249" s="24">
        <v>18.979021575664976</v>
      </c>
      <c r="W249" s="24">
        <v>35.081607711238789</v>
      </c>
      <c r="X249" s="24">
        <v>15.891283724603866</v>
      </c>
      <c r="Y249" s="24">
        <v>32.718740439786139</v>
      </c>
      <c r="Z249" s="24">
        <v>83.97808914472914</v>
      </c>
      <c r="AA249" s="24">
        <v>19.550916068548631</v>
      </c>
      <c r="AB249" s="24">
        <v>50.840419257536851</v>
      </c>
      <c r="AC249" s="24">
        <v>21.694641770254368</v>
      </c>
      <c r="AD249" s="24">
        <v>25.518346415336371</v>
      </c>
      <c r="AE249" s="24">
        <v>83.891282317072225</v>
      </c>
      <c r="AF249" s="24">
        <v>21.765012771071671</v>
      </c>
      <c r="AG249" s="24">
        <v>14.518046041703629</v>
      </c>
      <c r="AH249" s="24">
        <v>22.984578665333029</v>
      </c>
      <c r="AI249" s="24">
        <v>28.997382712444598</v>
      </c>
      <c r="AJ249" s="24">
        <v>32.702084196155219</v>
      </c>
      <c r="AK249" s="24">
        <v>12.714418706613323</v>
      </c>
      <c r="AL249" s="24">
        <v>33.698994121268775</v>
      </c>
      <c r="AM249" s="24">
        <v>21.961290929346166</v>
      </c>
      <c r="AN249" s="24">
        <v>31.554207580060023</v>
      </c>
      <c r="AO249" s="24">
        <v>40.351063197596389</v>
      </c>
      <c r="AP249" s="24">
        <v>16.176428785034982</v>
      </c>
      <c r="AQ249" s="24">
        <v>22.305764365337151</v>
      </c>
      <c r="AR249" s="24">
        <v>40.068485908929951</v>
      </c>
      <c r="AS249" s="24">
        <v>35.363607427282616</v>
      </c>
      <c r="AT249" s="24">
        <v>22.084232604874128</v>
      </c>
      <c r="AU249" s="24">
        <v>26.408161682039722</v>
      </c>
      <c r="AV249" s="24">
        <v>20.392736895463248</v>
      </c>
      <c r="AW249" s="24">
        <v>21.922672327640544</v>
      </c>
      <c r="AX249" s="24">
        <v>16.933353668294295</v>
      </c>
      <c r="AY249" s="24">
        <v>20.338096752932881</v>
      </c>
    </row>
    <row r="250" spans="1:51" x14ac:dyDescent="0.2">
      <c r="A250" s="23">
        <v>45366</v>
      </c>
      <c r="B250" s="24">
        <v>22.97484631287233</v>
      </c>
      <c r="C250" s="24">
        <v>18.981115118657161</v>
      </c>
      <c r="D250" s="24">
        <v>22.768357738328142</v>
      </c>
      <c r="E250" s="24">
        <v>26.841173905652617</v>
      </c>
      <c r="F250" s="24">
        <v>22.734420192968553</v>
      </c>
      <c r="G250" s="24">
        <v>24.432384055516277</v>
      </c>
      <c r="H250" s="24">
        <v>35.077987509804601</v>
      </c>
      <c r="I250" s="24">
        <v>54.310769679362963</v>
      </c>
      <c r="J250" s="24">
        <v>23.993542283216804</v>
      </c>
      <c r="K250" s="24">
        <v>33.859460877174953</v>
      </c>
      <c r="L250" s="24">
        <v>25.201524742272571</v>
      </c>
      <c r="M250" s="24">
        <v>21.096043310309277</v>
      </c>
      <c r="N250" s="24">
        <v>58.549027695794507</v>
      </c>
      <c r="O250" s="24">
        <v>32.269781595949084</v>
      </c>
      <c r="P250" s="24">
        <v>26.900729691443324</v>
      </c>
      <c r="Q250" s="24">
        <v>22.979160555768438</v>
      </c>
      <c r="R250" s="24">
        <v>27.655542554517986</v>
      </c>
      <c r="S250" s="24">
        <v>22.707931879940766</v>
      </c>
      <c r="T250" s="24">
        <v>29.244799563206445</v>
      </c>
      <c r="U250" s="24">
        <v>20.79877949064106</v>
      </c>
      <c r="V250" s="24">
        <v>23.511224411378933</v>
      </c>
      <c r="W250" s="24">
        <v>34.419721676937655</v>
      </c>
      <c r="X250" s="24">
        <v>16.086572279984892</v>
      </c>
      <c r="Y250" s="24">
        <v>32.238106549019513</v>
      </c>
      <c r="Z250" s="24">
        <v>85.550830457277044</v>
      </c>
      <c r="AA250" s="24">
        <v>19.620048752994254</v>
      </c>
      <c r="AB250" s="24">
        <v>64.323653590547863</v>
      </c>
      <c r="AC250" s="24">
        <v>24.503006611252456</v>
      </c>
      <c r="AD250" s="24">
        <v>24.517659899553337</v>
      </c>
      <c r="AE250" s="24">
        <v>87.643044188172041</v>
      </c>
      <c r="AF250" s="24">
        <v>21.648054936840413</v>
      </c>
      <c r="AG250" s="24">
        <v>16.591906963364224</v>
      </c>
      <c r="AH250" s="24">
        <v>22.992471960959222</v>
      </c>
      <c r="AI250" s="24">
        <v>34.073914973332997</v>
      </c>
      <c r="AJ250" s="24">
        <v>32.92932163869758</v>
      </c>
      <c r="AK250" s="24">
        <v>13.366200442583329</v>
      </c>
      <c r="AL250" s="24">
        <v>33.340514147207635</v>
      </c>
      <c r="AM250" s="24">
        <v>21.883814906634989</v>
      </c>
      <c r="AN250" s="24">
        <v>31.346023080815613</v>
      </c>
      <c r="AO250" s="24">
        <v>40.465347008327178</v>
      </c>
      <c r="AP250" s="24">
        <v>16.726154120981271</v>
      </c>
      <c r="AQ250" s="24">
        <v>22.740063563476937</v>
      </c>
      <c r="AR250" s="24">
        <v>40.085177117148802</v>
      </c>
      <c r="AS250" s="24">
        <v>35.444626078520578</v>
      </c>
      <c r="AT250" s="24">
        <v>22.35760938717744</v>
      </c>
      <c r="AU250" s="24">
        <v>26.319880885682171</v>
      </c>
      <c r="AV250" s="24">
        <v>21.562007565875458</v>
      </c>
      <c r="AW250" s="24">
        <v>21.912135206810532</v>
      </c>
      <c r="AX250" s="24">
        <v>16.673994379919176</v>
      </c>
      <c r="AY250" s="24">
        <v>20.435379147397772</v>
      </c>
    </row>
    <row r="251" spans="1:51" x14ac:dyDescent="0.2">
      <c r="A251" s="23">
        <v>45365</v>
      </c>
      <c r="B251" s="24">
        <v>23.442871442540845</v>
      </c>
      <c r="C251" s="24">
        <v>19.015021536141912</v>
      </c>
      <c r="D251" s="24">
        <v>23.57231664956959</v>
      </c>
      <c r="E251" s="24">
        <v>26.738709859164157</v>
      </c>
      <c r="F251" s="24">
        <v>23.067009108809749</v>
      </c>
      <c r="G251" s="24">
        <v>24.609894981947306</v>
      </c>
      <c r="H251" s="24">
        <v>35.13444448001033</v>
      </c>
      <c r="I251" s="24">
        <v>53.987123591130697</v>
      </c>
      <c r="J251" s="24">
        <v>24.008311269199687</v>
      </c>
      <c r="K251" s="24">
        <v>33.078006105140055</v>
      </c>
      <c r="L251" s="24">
        <v>26.500807451065558</v>
      </c>
      <c r="M251" s="24">
        <v>21.369605510383963</v>
      </c>
      <c r="N251" s="24">
        <v>57.917808460402767</v>
      </c>
      <c r="O251" s="24">
        <v>32.564776761768265</v>
      </c>
      <c r="P251" s="24">
        <v>26.917707830900614</v>
      </c>
      <c r="Q251" s="24">
        <v>22.995017900174915</v>
      </c>
      <c r="R251" s="24">
        <v>27.703399416283865</v>
      </c>
      <c r="S251" s="24">
        <v>23.160918567798333</v>
      </c>
      <c r="T251" s="24">
        <v>28.999721493415461</v>
      </c>
      <c r="U251" s="24">
        <v>21.482602621135811</v>
      </c>
      <c r="V251" s="24">
        <v>23.950173860139735</v>
      </c>
      <c r="W251" s="24">
        <v>35.259779669347097</v>
      </c>
      <c r="X251" s="24">
        <v>16.045663735077234</v>
      </c>
      <c r="Y251" s="24">
        <v>31.154910799626116</v>
      </c>
      <c r="Z251" s="24">
        <v>85.509199999669676</v>
      </c>
      <c r="AA251" s="24">
        <v>19.61837434137955</v>
      </c>
      <c r="AB251" s="24">
        <v>64.408923895296269</v>
      </c>
      <c r="AC251" s="24">
        <v>24.926369172006581</v>
      </c>
      <c r="AD251" s="24">
        <v>24.726537580833853</v>
      </c>
      <c r="AE251" s="24">
        <v>87.370135176297964</v>
      </c>
      <c r="AF251" s="24">
        <v>22.869709287253283</v>
      </c>
      <c r="AG251" s="24">
        <v>16.455671292764627</v>
      </c>
      <c r="AH251" s="24">
        <v>23.073400853584268</v>
      </c>
      <c r="AI251" s="24">
        <v>35.219634739659057</v>
      </c>
      <c r="AJ251" s="24">
        <v>32.953898309998841</v>
      </c>
      <c r="AK251" s="24">
        <v>13.455207170048409</v>
      </c>
      <c r="AL251" s="24">
        <v>33.892944814273925</v>
      </c>
      <c r="AM251" s="24">
        <v>21.812377426037862</v>
      </c>
      <c r="AN251" s="24">
        <v>31.54479771594157</v>
      </c>
      <c r="AO251" s="24">
        <v>40.31760281606492</v>
      </c>
      <c r="AP251" s="24">
        <v>14.61735735142542</v>
      </c>
      <c r="AQ251" s="24">
        <v>22.673668933636499</v>
      </c>
      <c r="AR251" s="24">
        <v>38.447416738708775</v>
      </c>
      <c r="AS251" s="24">
        <v>35.416229808697437</v>
      </c>
      <c r="AT251" s="24">
        <v>22.462688511874862</v>
      </c>
      <c r="AU251" s="24">
        <v>26.508609660940724</v>
      </c>
      <c r="AV251" s="24">
        <v>21.284186293641266</v>
      </c>
      <c r="AW251" s="24">
        <v>21.884687759049207</v>
      </c>
      <c r="AX251" s="24">
        <v>15.18629395135685</v>
      </c>
      <c r="AY251" s="24">
        <v>21.24364997016286</v>
      </c>
    </row>
    <row r="252" spans="1:51" x14ac:dyDescent="0.2">
      <c r="A252" s="23">
        <v>45364</v>
      </c>
      <c r="B252" s="24">
        <v>24.089215345749569</v>
      </c>
      <c r="C252" s="24">
        <v>20.142156310684204</v>
      </c>
      <c r="D252" s="24">
        <v>24.274595571094867</v>
      </c>
      <c r="E252" s="24">
        <v>26.624051096645882</v>
      </c>
      <c r="F252" s="24">
        <v>24.579581280362145</v>
      </c>
      <c r="G252" s="24">
        <v>26.119111444718214</v>
      </c>
      <c r="H252" s="24">
        <v>35.737760245216208</v>
      </c>
      <c r="I252" s="24">
        <v>53.722664773954307</v>
      </c>
      <c r="J252" s="24">
        <v>23.805383155894244</v>
      </c>
      <c r="K252" s="24">
        <v>32.66794285893036</v>
      </c>
      <c r="L252" s="24">
        <v>26.524596139319343</v>
      </c>
      <c r="M252" s="24">
        <v>22.347891007639817</v>
      </c>
      <c r="N252" s="24">
        <v>57.682620986993427</v>
      </c>
      <c r="O252" s="24">
        <v>33.422853065932479</v>
      </c>
      <c r="P252" s="24">
        <v>26.914044213794856</v>
      </c>
      <c r="Q252" s="24">
        <v>22.80702550197103</v>
      </c>
      <c r="R252" s="24">
        <v>27.58855644911543</v>
      </c>
      <c r="S252" s="24">
        <v>23.839675254261266</v>
      </c>
      <c r="T252" s="24">
        <v>28.902774138076825</v>
      </c>
      <c r="U252" s="24">
        <v>22.656671866127414</v>
      </c>
      <c r="V252" s="24">
        <v>24.835202755742493</v>
      </c>
      <c r="W252" s="24">
        <v>38.404247718261161</v>
      </c>
      <c r="X252" s="24">
        <v>16.040521345494337</v>
      </c>
      <c r="Y252" s="24">
        <v>28.38410214985813</v>
      </c>
      <c r="Z252" s="24">
        <v>80.946414677072809</v>
      </c>
      <c r="AA252" s="24">
        <v>19.129421264955823</v>
      </c>
      <c r="AB252" s="24">
        <v>64.399197553275187</v>
      </c>
      <c r="AC252" s="24">
        <v>26.121149707210897</v>
      </c>
      <c r="AD252" s="24">
        <v>24.475786042627366</v>
      </c>
      <c r="AE252" s="24">
        <v>87.631735202218067</v>
      </c>
      <c r="AF252" s="24">
        <v>22.285793231350009</v>
      </c>
      <c r="AG252" s="24">
        <v>16.776618262553271</v>
      </c>
      <c r="AH252" s="24">
        <v>25.182990205956983</v>
      </c>
      <c r="AI252" s="24">
        <v>34.136539920977256</v>
      </c>
      <c r="AJ252" s="24">
        <v>28.994877860613695</v>
      </c>
      <c r="AK252" s="24">
        <v>12.913710317059127</v>
      </c>
      <c r="AL252" s="24">
        <v>34.599792722674309</v>
      </c>
      <c r="AM252" s="24">
        <v>21.890378691943226</v>
      </c>
      <c r="AN252" s="24">
        <v>31.849939551018622</v>
      </c>
      <c r="AO252" s="24">
        <v>40.225869816454903</v>
      </c>
      <c r="AP252" s="24">
        <v>14.775936198558762</v>
      </c>
      <c r="AQ252" s="24">
        <v>23.832230603127499</v>
      </c>
      <c r="AR252" s="24">
        <v>38.350532284088324</v>
      </c>
      <c r="AS252" s="24">
        <v>35.218000338254676</v>
      </c>
      <c r="AT252" s="24">
        <v>22.533259088513613</v>
      </c>
      <c r="AU252" s="24">
        <v>26.214310878828719</v>
      </c>
      <c r="AV252" s="24">
        <v>20.810235800767718</v>
      </c>
      <c r="AW252" s="24">
        <v>22.756533389112416</v>
      </c>
      <c r="AX252" s="24">
        <v>16.345778702248861</v>
      </c>
      <c r="AY252" s="24">
        <v>21.478435700166106</v>
      </c>
    </row>
    <row r="253" spans="1:51" x14ac:dyDescent="0.2">
      <c r="A253" s="23">
        <v>45363</v>
      </c>
      <c r="B253" s="24">
        <v>24.155179220370883</v>
      </c>
      <c r="C253" s="24">
        <v>21.640051128541952</v>
      </c>
      <c r="D253" s="24">
        <v>24.888277148791317</v>
      </c>
      <c r="E253" s="24">
        <v>27.432303039435535</v>
      </c>
      <c r="F253" s="24">
        <v>24.623521512215099</v>
      </c>
      <c r="G253" s="24">
        <v>26.100535852085361</v>
      </c>
      <c r="H253" s="24">
        <v>36.924786986434128</v>
      </c>
      <c r="I253" s="24">
        <v>54.772402246252526</v>
      </c>
      <c r="J253" s="24">
        <v>24.179967375483542</v>
      </c>
      <c r="K253" s="24">
        <v>35.223932057252476</v>
      </c>
      <c r="L253" s="24">
        <v>26.995530522138143</v>
      </c>
      <c r="M253" s="24">
        <v>20.762943361576575</v>
      </c>
      <c r="N253" s="24">
        <v>57.966087744839427</v>
      </c>
      <c r="O253" s="24">
        <v>33.578991855786761</v>
      </c>
      <c r="P253" s="24">
        <v>26.734213985092357</v>
      </c>
      <c r="Q253" s="24">
        <v>22.803460561026728</v>
      </c>
      <c r="R253" s="24">
        <v>27.790379199399492</v>
      </c>
      <c r="S253" s="24">
        <v>23.847911421960617</v>
      </c>
      <c r="T253" s="24">
        <v>32.539008479054949</v>
      </c>
      <c r="U253" s="24">
        <v>23.499761760072008</v>
      </c>
      <c r="V253" s="24">
        <v>24.901010375586402</v>
      </c>
      <c r="W253" s="24">
        <v>41.122751625407595</v>
      </c>
      <c r="X253" s="24">
        <v>15.439762380769206</v>
      </c>
      <c r="Y253" s="24">
        <v>28.034924263072853</v>
      </c>
      <c r="Z253" s="24">
        <v>80.039267238734737</v>
      </c>
      <c r="AA253" s="24">
        <v>24.313878798966019</v>
      </c>
      <c r="AB253" s="24">
        <v>71.349059198893229</v>
      </c>
      <c r="AC253" s="24">
        <v>26.143439927657411</v>
      </c>
      <c r="AD253" s="24">
        <v>32.960878212138866</v>
      </c>
      <c r="AE253" s="24">
        <v>89.542782262744097</v>
      </c>
      <c r="AF253" s="24">
        <v>26.46478358465934</v>
      </c>
      <c r="AG253" s="24">
        <v>17.289161741047934</v>
      </c>
      <c r="AH253" s="24">
        <v>25.405564196341381</v>
      </c>
      <c r="AI253" s="24">
        <v>37.380847705446968</v>
      </c>
      <c r="AJ253" s="24">
        <v>41.91002008618576</v>
      </c>
      <c r="AK253" s="24">
        <v>12.955510128639157</v>
      </c>
      <c r="AL253" s="24">
        <v>29.565527196545361</v>
      </c>
      <c r="AM253" s="24">
        <v>21.266273600211786</v>
      </c>
      <c r="AN253" s="24">
        <v>32.104294201656934</v>
      </c>
      <c r="AO253" s="24">
        <v>40.47050726385919</v>
      </c>
      <c r="AP253" s="24">
        <v>18.847382909320444</v>
      </c>
      <c r="AQ253" s="24">
        <v>24.071373598906774</v>
      </c>
      <c r="AR253" s="24">
        <v>38.376333956010058</v>
      </c>
      <c r="AS253" s="24">
        <v>37.369793167524271</v>
      </c>
      <c r="AT253" s="24">
        <v>21.596947137849234</v>
      </c>
      <c r="AU253" s="24">
        <v>27.463393294365318</v>
      </c>
      <c r="AV253" s="24">
        <v>20.971643821986987</v>
      </c>
      <c r="AW253" s="24">
        <v>22.635294895576035</v>
      </c>
      <c r="AX253" s="24">
        <v>16.446525973603691</v>
      </c>
      <c r="AY253" s="24">
        <v>27.188232597229756</v>
      </c>
    </row>
    <row r="254" spans="1:51" x14ac:dyDescent="0.2">
      <c r="A254" s="23">
        <v>45362</v>
      </c>
      <c r="B254" s="24">
        <v>22.59492942442111</v>
      </c>
      <c r="C254" s="24">
        <v>20.523491696481752</v>
      </c>
      <c r="D254" s="24">
        <v>23.852291232333673</v>
      </c>
      <c r="E254" s="24">
        <v>23.884342909046932</v>
      </c>
      <c r="F254" s="24">
        <v>23.079351627679603</v>
      </c>
      <c r="G254" s="24">
        <v>25.944988076340575</v>
      </c>
      <c r="H254" s="24">
        <v>34.92241098962397</v>
      </c>
      <c r="I254" s="24">
        <v>55.458495011271395</v>
      </c>
      <c r="J254" s="24">
        <v>24.246026892970061</v>
      </c>
      <c r="K254" s="24">
        <v>34.334479061096609</v>
      </c>
      <c r="L254" s="24">
        <v>28.019279970964643</v>
      </c>
      <c r="M254" s="24">
        <v>20.722891129511197</v>
      </c>
      <c r="N254" s="24">
        <v>52.649340779516223</v>
      </c>
      <c r="O254" s="24">
        <v>32.007399569460247</v>
      </c>
      <c r="P254" s="24">
        <v>23.934010919571453</v>
      </c>
      <c r="Q254" s="24">
        <v>19.301557123997451</v>
      </c>
      <c r="R254" s="24">
        <v>24.958570202933497</v>
      </c>
      <c r="S254" s="24">
        <v>22.83277963446551</v>
      </c>
      <c r="T254" s="24">
        <v>29.281941802605626</v>
      </c>
      <c r="U254" s="24">
        <v>23.373391820412319</v>
      </c>
      <c r="V254" s="24">
        <v>24.650896541866473</v>
      </c>
      <c r="W254" s="24">
        <v>41.313232663535864</v>
      </c>
      <c r="X254" s="24">
        <v>15.556462491787148</v>
      </c>
      <c r="Y254" s="24">
        <v>23.244703977322509</v>
      </c>
      <c r="Z254" s="24">
        <v>76.944395839545621</v>
      </c>
      <c r="AA254" s="24">
        <v>24.196318265523367</v>
      </c>
      <c r="AB254" s="24">
        <v>68.675841571147899</v>
      </c>
      <c r="AC254" s="24">
        <v>28.83649680868761</v>
      </c>
      <c r="AD254" s="24">
        <v>33.334329165938257</v>
      </c>
      <c r="AE254" s="24">
        <v>88.974180623674599</v>
      </c>
      <c r="AF254" s="24">
        <v>26.507794059982043</v>
      </c>
      <c r="AG254" s="24">
        <v>17.368027473974241</v>
      </c>
      <c r="AH254" s="24">
        <v>32.451020958771061</v>
      </c>
      <c r="AI254" s="24">
        <v>41.063746020459639</v>
      </c>
      <c r="AJ254" s="24">
        <v>42.645046767289955</v>
      </c>
      <c r="AK254" s="24">
        <v>14.032438725424131</v>
      </c>
      <c r="AL254" s="24">
        <v>29.573829426931738</v>
      </c>
      <c r="AM254" s="24">
        <v>21.250878602724651</v>
      </c>
      <c r="AN254" s="24">
        <v>28.223281493210223</v>
      </c>
      <c r="AO254" s="24">
        <v>40.342431954434311</v>
      </c>
      <c r="AP254" s="24">
        <v>19.945509406755928</v>
      </c>
      <c r="AQ254" s="24">
        <v>20.585388101239346</v>
      </c>
      <c r="AR254" s="24">
        <v>38.421688333201679</v>
      </c>
      <c r="AS254" s="24">
        <v>33.804116911027926</v>
      </c>
      <c r="AT254" s="24">
        <v>21.417575679563473</v>
      </c>
      <c r="AU254" s="24">
        <v>28.685737059904771</v>
      </c>
      <c r="AV254" s="24">
        <v>19.076699724502294</v>
      </c>
      <c r="AW254" s="24">
        <v>24.691176000122798</v>
      </c>
      <c r="AX254" s="24">
        <v>15.965863902054418</v>
      </c>
      <c r="AY254" s="24">
        <v>25.869535817381113</v>
      </c>
    </row>
    <row r="255" spans="1:51" x14ac:dyDescent="0.2">
      <c r="A255" s="23">
        <v>45359</v>
      </c>
      <c r="B255" s="24">
        <v>22.53579173226796</v>
      </c>
      <c r="C255" s="24">
        <v>20.517526841203392</v>
      </c>
      <c r="D255" s="24">
        <v>23.712123874796763</v>
      </c>
      <c r="E255" s="24">
        <v>23.133993857066837</v>
      </c>
      <c r="F255" s="24">
        <v>23.222593811188698</v>
      </c>
      <c r="G255" s="24">
        <v>25.816662501908745</v>
      </c>
      <c r="H255" s="24">
        <v>33.972751794254975</v>
      </c>
      <c r="I255" s="24">
        <v>32.410631030438509</v>
      </c>
      <c r="J255" s="24">
        <v>24.256790299313245</v>
      </c>
      <c r="K255" s="24">
        <v>31.49573721693141</v>
      </c>
      <c r="L255" s="24">
        <v>27.867003458054928</v>
      </c>
      <c r="M255" s="24">
        <v>20.90948706392339</v>
      </c>
      <c r="N255" s="24">
        <v>47.613375156931539</v>
      </c>
      <c r="O255" s="24">
        <v>30.681559827257473</v>
      </c>
      <c r="P255" s="24">
        <v>24.496838702568041</v>
      </c>
      <c r="Q255" s="24">
        <v>19.202322785275804</v>
      </c>
      <c r="R255" s="24">
        <v>23.918692287997708</v>
      </c>
      <c r="S255" s="24">
        <v>22.763805775283842</v>
      </c>
      <c r="T255" s="24">
        <v>30.421807726220457</v>
      </c>
      <c r="U255" s="24">
        <v>23.365610755271863</v>
      </c>
      <c r="V255" s="24">
        <v>24.683045498560961</v>
      </c>
      <c r="W255" s="24">
        <v>41.799024539636051</v>
      </c>
      <c r="X255" s="24">
        <v>15.574712669067308</v>
      </c>
      <c r="Y255" s="24">
        <v>23.77884013335289</v>
      </c>
      <c r="Z255" s="24">
        <v>81.318691476941339</v>
      </c>
      <c r="AA255" s="24">
        <v>23.989771291295128</v>
      </c>
      <c r="AB255" s="24">
        <v>68.909881698862506</v>
      </c>
      <c r="AC255" s="24">
        <v>29.289112726795619</v>
      </c>
      <c r="AD255" s="24">
        <v>34.069521068764899</v>
      </c>
      <c r="AE255" s="24">
        <v>94.610700233982314</v>
      </c>
      <c r="AF255" s="24">
        <v>28.492233110498514</v>
      </c>
      <c r="AG255" s="24">
        <v>17.37408988872545</v>
      </c>
      <c r="AH255" s="24">
        <v>31.175210960481518</v>
      </c>
      <c r="AI255" s="24">
        <v>40.615241711716642</v>
      </c>
      <c r="AJ255" s="24">
        <v>43.599470122371272</v>
      </c>
      <c r="AK255" s="24">
        <v>14.042639330861176</v>
      </c>
      <c r="AL255" s="24">
        <v>29.69213058666373</v>
      </c>
      <c r="AM255" s="24">
        <v>22.413024163703096</v>
      </c>
      <c r="AN255" s="24">
        <v>28.633076916712728</v>
      </c>
      <c r="AO255" s="24">
        <v>41.77307247349183</v>
      </c>
      <c r="AP255" s="24">
        <v>19.634990022023963</v>
      </c>
      <c r="AQ255" s="24">
        <v>19.408041508943139</v>
      </c>
      <c r="AR255" s="24">
        <v>39.103334214821025</v>
      </c>
      <c r="AS255" s="24">
        <v>33.346707372009099</v>
      </c>
      <c r="AT255" s="24">
        <v>21.446631752166248</v>
      </c>
      <c r="AU255" s="24">
        <v>32.390847445104868</v>
      </c>
      <c r="AV255" s="24">
        <v>19.331331240914874</v>
      </c>
      <c r="AW255" s="24">
        <v>23.628122370792042</v>
      </c>
      <c r="AX255" s="24">
        <v>16.026002273754926</v>
      </c>
      <c r="AY255" s="24">
        <v>26.623256522764404</v>
      </c>
    </row>
    <row r="256" spans="1:51" x14ac:dyDescent="0.2">
      <c r="A256" s="23">
        <v>45358</v>
      </c>
      <c r="B256" s="24">
        <v>22.717958246079942</v>
      </c>
      <c r="C256" s="24">
        <v>20.241166004501892</v>
      </c>
      <c r="D256" s="24">
        <v>23.637102691800386</v>
      </c>
      <c r="E256" s="24">
        <v>22.151802060265858</v>
      </c>
      <c r="F256" s="24">
        <v>23.284589813095192</v>
      </c>
      <c r="G256" s="24">
        <v>26.212556780060368</v>
      </c>
      <c r="H256" s="24">
        <v>35.599748084856898</v>
      </c>
      <c r="I256" s="24">
        <v>32.66825639293485</v>
      </c>
      <c r="J256" s="24">
        <v>24.200892761203249</v>
      </c>
      <c r="K256" s="24">
        <v>31.355890308363591</v>
      </c>
      <c r="L256" s="24">
        <v>29.269147287536168</v>
      </c>
      <c r="M256" s="24">
        <v>20.957755726906779</v>
      </c>
      <c r="N256" s="24">
        <v>43.242865411504489</v>
      </c>
      <c r="O256" s="24">
        <v>31.800902547812953</v>
      </c>
      <c r="P256" s="24">
        <v>23.313239554328657</v>
      </c>
      <c r="Q256" s="24">
        <v>19.6894366559575</v>
      </c>
      <c r="R256" s="24">
        <v>25.305006075928446</v>
      </c>
      <c r="S256" s="24">
        <v>22.794774760660175</v>
      </c>
      <c r="T256" s="24">
        <v>30.417155430657886</v>
      </c>
      <c r="U256" s="24">
        <v>23.618331063374939</v>
      </c>
      <c r="V256" s="24">
        <v>24.689375394408444</v>
      </c>
      <c r="W256" s="24">
        <v>42.342273145274397</v>
      </c>
      <c r="X256" s="24">
        <v>15.556823620743797</v>
      </c>
      <c r="Y256" s="24">
        <v>23.797780343499859</v>
      </c>
      <c r="Z256" s="24">
        <v>80.74124663131343</v>
      </c>
      <c r="AA256" s="24">
        <v>24.022908798399243</v>
      </c>
      <c r="AB256" s="24">
        <v>69.663514358513027</v>
      </c>
      <c r="AC256" s="24">
        <v>29.841622495917644</v>
      </c>
      <c r="AD256" s="24">
        <v>34.34693727383025</v>
      </c>
      <c r="AE256" s="24">
        <v>95.338134435062841</v>
      </c>
      <c r="AF256" s="24">
        <v>28.504325677223132</v>
      </c>
      <c r="AG256" s="24">
        <v>17.443442648006773</v>
      </c>
      <c r="AH256" s="24">
        <v>30.978540608530992</v>
      </c>
      <c r="AI256" s="24">
        <v>40.620030451461346</v>
      </c>
      <c r="AJ256" s="24">
        <v>43.794769023805991</v>
      </c>
      <c r="AK256" s="24">
        <v>14.368230125767354</v>
      </c>
      <c r="AL256" s="24">
        <v>31.708795174930394</v>
      </c>
      <c r="AM256" s="24">
        <v>22.6213056177656</v>
      </c>
      <c r="AN256" s="24">
        <v>28.617527407270241</v>
      </c>
      <c r="AO256" s="24">
        <v>41.641007646785312</v>
      </c>
      <c r="AP256" s="24">
        <v>19.063039184324232</v>
      </c>
      <c r="AQ256" s="24">
        <v>19.391622693295183</v>
      </c>
      <c r="AR256" s="24">
        <v>39.232833331645963</v>
      </c>
      <c r="AS256" s="24">
        <v>33.107212828496422</v>
      </c>
      <c r="AT256" s="24">
        <v>23.342086903633053</v>
      </c>
      <c r="AU256" s="24">
        <v>32.391344159268151</v>
      </c>
      <c r="AV256" s="24">
        <v>18.346214356097907</v>
      </c>
      <c r="AW256" s="24">
        <v>23.476403463756185</v>
      </c>
      <c r="AX256" s="24">
        <v>16.629112879027428</v>
      </c>
      <c r="AY256" s="24">
        <v>27.378456947460077</v>
      </c>
    </row>
    <row r="257" spans="1:51" x14ac:dyDescent="0.2">
      <c r="A257" s="23">
        <v>45357</v>
      </c>
      <c r="B257" s="24">
        <v>22.775103451113903</v>
      </c>
      <c r="C257" s="24">
        <v>20.407460162621962</v>
      </c>
      <c r="D257" s="24">
        <v>23.649708575680613</v>
      </c>
      <c r="E257" s="24">
        <v>22.431654656254004</v>
      </c>
      <c r="F257" s="24">
        <v>23.328099706924121</v>
      </c>
      <c r="G257" s="24">
        <v>26.391106790463382</v>
      </c>
      <c r="H257" s="24">
        <v>35.658851516244091</v>
      </c>
      <c r="I257" s="24">
        <v>39.877037095602681</v>
      </c>
      <c r="J257" s="24">
        <v>24.513557721925121</v>
      </c>
      <c r="K257" s="24">
        <v>30.870628513384933</v>
      </c>
      <c r="L257" s="24">
        <v>29.268746798136334</v>
      </c>
      <c r="M257" s="24">
        <v>20.715485857442314</v>
      </c>
      <c r="N257" s="24">
        <v>42.307314629911673</v>
      </c>
      <c r="O257" s="24">
        <v>33.634835227325958</v>
      </c>
      <c r="P257" s="24">
        <v>22.402204002768226</v>
      </c>
      <c r="Q257" s="24">
        <v>19.950371838804688</v>
      </c>
      <c r="R257" s="24">
        <v>25.266999615662943</v>
      </c>
      <c r="S257" s="24">
        <v>22.293371407143617</v>
      </c>
      <c r="T257" s="24">
        <v>30.702601367666009</v>
      </c>
      <c r="U257" s="24">
        <v>23.667369939511062</v>
      </c>
      <c r="V257" s="24">
        <v>24.626434086187718</v>
      </c>
      <c r="W257" s="24">
        <v>41.99122963896243</v>
      </c>
      <c r="X257" s="24">
        <v>15.568743170024367</v>
      </c>
      <c r="Y257" s="24">
        <v>22.82062373978227</v>
      </c>
      <c r="Z257" s="24">
        <v>81.98485483012881</v>
      </c>
      <c r="AA257" s="24">
        <v>23.419048763397573</v>
      </c>
      <c r="AB257" s="24">
        <v>66.919046824063571</v>
      </c>
      <c r="AC257" s="24">
        <v>29.827000162333668</v>
      </c>
      <c r="AD257" s="24">
        <v>33.772110222542615</v>
      </c>
      <c r="AE257" s="24">
        <v>97.82229484470102</v>
      </c>
      <c r="AF257" s="24">
        <v>27.823132143762855</v>
      </c>
      <c r="AG257" s="24">
        <v>17.458920318921695</v>
      </c>
      <c r="AH257" s="24">
        <v>30.69150807248791</v>
      </c>
      <c r="AI257" s="24">
        <v>41.924310878458968</v>
      </c>
      <c r="AJ257" s="24">
        <v>41.835856908117393</v>
      </c>
      <c r="AK257" s="24">
        <v>14.461884753581666</v>
      </c>
      <c r="AL257" s="24">
        <v>31.801209459340111</v>
      </c>
      <c r="AM257" s="24">
        <v>22.703631401849126</v>
      </c>
      <c r="AN257" s="24">
        <v>28.826726691863136</v>
      </c>
      <c r="AO257" s="24">
        <v>42.008424021914649</v>
      </c>
      <c r="AP257" s="24">
        <v>19.373778738236421</v>
      </c>
      <c r="AQ257" s="24">
        <v>18.843789218807736</v>
      </c>
      <c r="AR257" s="24">
        <v>39.354857056673552</v>
      </c>
      <c r="AS257" s="24">
        <v>34.802309114381167</v>
      </c>
      <c r="AT257" s="24">
        <v>23.565936748475952</v>
      </c>
      <c r="AU257" s="24">
        <v>33.541192992187383</v>
      </c>
      <c r="AV257" s="24">
        <v>18.624264214790124</v>
      </c>
      <c r="AW257" s="24">
        <v>24.317409379270938</v>
      </c>
      <c r="AX257" s="24">
        <v>16.637068651589594</v>
      </c>
      <c r="AY257" s="24">
        <v>27.823874413439412</v>
      </c>
    </row>
    <row r="258" spans="1:51" x14ac:dyDescent="0.2">
      <c r="A258" s="23">
        <v>45356</v>
      </c>
      <c r="B258" s="24">
        <v>21.458227280957811</v>
      </c>
      <c r="C258" s="24">
        <v>21.894518313506122</v>
      </c>
      <c r="D258" s="24">
        <v>22.548181634342491</v>
      </c>
      <c r="E258" s="24">
        <v>23.274984608062809</v>
      </c>
      <c r="F258" s="24">
        <v>23.471252258364334</v>
      </c>
      <c r="G258" s="24">
        <v>26.15516537797297</v>
      </c>
      <c r="H258" s="24">
        <v>35.450036181018696</v>
      </c>
      <c r="I258" s="24">
        <v>43.519281138203951</v>
      </c>
      <c r="J258" s="24">
        <v>24.609387078153098</v>
      </c>
      <c r="K258" s="24">
        <v>34.25102035781903</v>
      </c>
      <c r="L258" s="24">
        <v>29.727293081754031</v>
      </c>
      <c r="M258" s="24">
        <v>21.886359678911674</v>
      </c>
      <c r="N258" s="24">
        <v>42.292977557083951</v>
      </c>
      <c r="O258" s="24">
        <v>33.509079625256057</v>
      </c>
      <c r="P258" s="24">
        <v>22.346207124688085</v>
      </c>
      <c r="Q258" s="24">
        <v>20.165305928809957</v>
      </c>
      <c r="R258" s="24">
        <v>25.231171071362656</v>
      </c>
      <c r="S258" s="24">
        <v>22.282505970525577</v>
      </c>
      <c r="T258" s="24">
        <v>32.266701906692077</v>
      </c>
      <c r="U258" s="24">
        <v>23.893915358619658</v>
      </c>
      <c r="V258" s="24">
        <v>24.329018810366957</v>
      </c>
      <c r="W258" s="24">
        <v>46.226849601684528</v>
      </c>
      <c r="X258" s="24">
        <v>15.418898695823039</v>
      </c>
      <c r="Y258" s="24">
        <v>22.29198078213215</v>
      </c>
      <c r="Z258" s="24">
        <v>80.094650196304329</v>
      </c>
      <c r="AA258" s="24">
        <v>23.532958335421416</v>
      </c>
      <c r="AB258" s="24">
        <v>71.868120310712555</v>
      </c>
      <c r="AC258" s="24">
        <v>29.758938594458147</v>
      </c>
      <c r="AD258" s="24">
        <v>34.904094258658482</v>
      </c>
      <c r="AE258" s="24">
        <v>103.17977838497113</v>
      </c>
      <c r="AF258" s="24">
        <v>24.626321699503762</v>
      </c>
      <c r="AG258" s="24">
        <v>17.79048705758343</v>
      </c>
      <c r="AH258" s="24">
        <v>30.848554344100243</v>
      </c>
      <c r="AI258" s="24">
        <v>42.794988962328539</v>
      </c>
      <c r="AJ258" s="24">
        <v>41.886815357537827</v>
      </c>
      <c r="AK258" s="24">
        <v>14.4653000879453</v>
      </c>
      <c r="AL258" s="24">
        <v>32.524750387676562</v>
      </c>
      <c r="AM258" s="24">
        <v>23.267647935201108</v>
      </c>
      <c r="AN258" s="24">
        <v>31.431545775577892</v>
      </c>
      <c r="AO258" s="24">
        <v>47.557136413529392</v>
      </c>
      <c r="AP258" s="24">
        <v>19.553566164450753</v>
      </c>
      <c r="AQ258" s="24">
        <v>18.641923700508151</v>
      </c>
      <c r="AR258" s="24">
        <v>40.051162233376665</v>
      </c>
      <c r="AS258" s="24">
        <v>33.251033956215814</v>
      </c>
      <c r="AT258" s="24">
        <v>23.327082000841546</v>
      </c>
      <c r="AU258" s="24">
        <v>34.143177458057792</v>
      </c>
      <c r="AV258" s="24">
        <v>19.310843797984063</v>
      </c>
      <c r="AW258" s="24">
        <v>26.589465384043844</v>
      </c>
      <c r="AX258" s="24">
        <v>17.194138927865229</v>
      </c>
      <c r="AY258" s="24">
        <v>37.543546098367777</v>
      </c>
    </row>
    <row r="259" spans="1:51" x14ac:dyDescent="0.2">
      <c r="A259" s="23">
        <v>45355</v>
      </c>
      <c r="B259" s="24">
        <v>20.137160822738679</v>
      </c>
      <c r="C259" s="24">
        <v>21.728425296442808</v>
      </c>
      <c r="D259" s="24">
        <v>21.74978279694739</v>
      </c>
      <c r="E259" s="24">
        <v>23.552998594841885</v>
      </c>
      <c r="F259" s="24">
        <v>22.677295049361682</v>
      </c>
      <c r="G259" s="24">
        <v>25.459981288936373</v>
      </c>
      <c r="H259" s="24">
        <v>35.650640483586258</v>
      </c>
      <c r="I259" s="24">
        <v>44.443488482790016</v>
      </c>
      <c r="J259" s="24">
        <v>23.676774340893243</v>
      </c>
      <c r="K259" s="24">
        <v>37.48955965742595</v>
      </c>
      <c r="L259" s="24">
        <v>29.743220770421892</v>
      </c>
      <c r="M259" s="24">
        <v>21.83526170746077</v>
      </c>
      <c r="N259" s="24">
        <v>42.409926568360405</v>
      </c>
      <c r="O259" s="24">
        <v>33.487654308451077</v>
      </c>
      <c r="P259" s="24">
        <v>22.402356605815523</v>
      </c>
      <c r="Q259" s="24">
        <v>19.347384862424178</v>
      </c>
      <c r="R259" s="24">
        <v>25.741602464534385</v>
      </c>
      <c r="S259" s="24">
        <v>22.905655758765498</v>
      </c>
      <c r="T259" s="24">
        <v>32.219604744525157</v>
      </c>
      <c r="U259" s="24">
        <v>23.932297980548576</v>
      </c>
      <c r="V259" s="24">
        <v>23.52544376639359</v>
      </c>
      <c r="W259" s="24">
        <v>47.244902928479611</v>
      </c>
      <c r="X259" s="24">
        <v>15.061158423394565</v>
      </c>
      <c r="Y259" s="24">
        <v>20.743925881465067</v>
      </c>
      <c r="Z259" s="24">
        <v>85.281384388643559</v>
      </c>
      <c r="AA259" s="24">
        <v>24.004508809997912</v>
      </c>
      <c r="AB259" s="24">
        <v>72.108511032393579</v>
      </c>
      <c r="AC259" s="24">
        <v>32.41584044100005</v>
      </c>
      <c r="AD259" s="24">
        <v>35.98407425856589</v>
      </c>
      <c r="AE259" s="24">
        <v>102.68759017737152</v>
      </c>
      <c r="AF259" s="24">
        <v>24.765990336477703</v>
      </c>
      <c r="AG259" s="24">
        <v>17.373211842916021</v>
      </c>
      <c r="AH259" s="24">
        <v>36.658574515893932</v>
      </c>
      <c r="AI259" s="24">
        <v>43.693121034179576</v>
      </c>
      <c r="AJ259" s="24">
        <v>43.269663482048976</v>
      </c>
      <c r="AK259" s="24">
        <v>13.786793817449208</v>
      </c>
      <c r="AL259" s="24">
        <v>32.254589933604677</v>
      </c>
      <c r="AM259" s="24">
        <v>22.677993964018313</v>
      </c>
      <c r="AN259" s="24">
        <v>30.965134123205122</v>
      </c>
      <c r="AO259" s="24">
        <v>48.766389907016531</v>
      </c>
      <c r="AP259" s="24">
        <v>20.324876618524996</v>
      </c>
      <c r="AQ259" s="24">
        <v>22.02396862466205</v>
      </c>
      <c r="AR259" s="24">
        <v>40.027802181149923</v>
      </c>
      <c r="AS259" s="24">
        <v>33.682995483722962</v>
      </c>
      <c r="AT259" s="24">
        <v>22.676965308542496</v>
      </c>
      <c r="AU259" s="24">
        <v>34.129517890936427</v>
      </c>
      <c r="AV259" s="24">
        <v>19.383668306154188</v>
      </c>
      <c r="AW259" s="24">
        <v>27.430705860599193</v>
      </c>
      <c r="AX259" s="24">
        <v>16.097106509730565</v>
      </c>
      <c r="AY259" s="24">
        <v>38.843234947453837</v>
      </c>
    </row>
    <row r="260" spans="1:51" x14ac:dyDescent="0.2">
      <c r="A260" s="23">
        <v>45352</v>
      </c>
      <c r="B260" s="24">
        <v>20.552595088745829</v>
      </c>
      <c r="C260" s="24">
        <v>21.611105637711731</v>
      </c>
      <c r="D260" s="24">
        <v>22.003406432027926</v>
      </c>
      <c r="E260" s="24">
        <v>22.694517371102226</v>
      </c>
      <c r="F260" s="24">
        <v>23.570993016544275</v>
      </c>
      <c r="G260" s="24">
        <v>27.295891362581298</v>
      </c>
      <c r="H260" s="24">
        <v>39.410127111378429</v>
      </c>
      <c r="I260" s="24">
        <v>46.253996991610414</v>
      </c>
      <c r="J260" s="24">
        <v>23.205019313339005</v>
      </c>
      <c r="K260" s="24">
        <v>37.898393477079523</v>
      </c>
      <c r="L260" s="24">
        <v>28.751957903207337</v>
      </c>
      <c r="M260" s="24">
        <v>20.967988158602918</v>
      </c>
      <c r="N260" s="24">
        <v>36.299425761457812</v>
      </c>
      <c r="O260" s="24">
        <v>33.659404104926679</v>
      </c>
      <c r="P260" s="24">
        <v>21.896521632480958</v>
      </c>
      <c r="Q260" s="24">
        <v>18.642072790376435</v>
      </c>
      <c r="R260" s="24">
        <v>25.436653575516718</v>
      </c>
      <c r="S260" s="24">
        <v>23.409083590880421</v>
      </c>
      <c r="T260" s="24">
        <v>31.470199151810423</v>
      </c>
      <c r="U260" s="24">
        <v>23.076695694000694</v>
      </c>
      <c r="V260" s="24">
        <v>23.316700466046601</v>
      </c>
      <c r="W260" s="24">
        <v>47.472864875273061</v>
      </c>
      <c r="X260" s="24">
        <v>14.576584879829692</v>
      </c>
      <c r="Y260" s="24">
        <v>20.636182932705267</v>
      </c>
      <c r="Z260" s="24">
        <v>83.735701667183008</v>
      </c>
      <c r="AA260" s="24">
        <v>24.164989091489637</v>
      </c>
      <c r="AB260" s="24">
        <v>73.434127973267294</v>
      </c>
      <c r="AC260" s="24">
        <v>32.117983305327584</v>
      </c>
      <c r="AD260" s="24">
        <v>36.30271288706971</v>
      </c>
      <c r="AE260" s="24">
        <v>104.69881832215846</v>
      </c>
      <c r="AF260" s="24">
        <v>23.905937338698919</v>
      </c>
      <c r="AG260" s="24">
        <v>17.756035743265397</v>
      </c>
      <c r="AH260" s="24">
        <v>36.64864918663541</v>
      </c>
      <c r="AI260" s="24">
        <v>46.474028830337843</v>
      </c>
      <c r="AJ260" s="24">
        <v>42.946609078466956</v>
      </c>
      <c r="AK260" s="24">
        <v>13.908630305778383</v>
      </c>
      <c r="AL260" s="24">
        <v>31.942363896776659</v>
      </c>
      <c r="AM260" s="24">
        <v>22.455454894340438</v>
      </c>
      <c r="AN260" s="24">
        <v>30.942696449245318</v>
      </c>
      <c r="AO260" s="24">
        <v>50.231202470307196</v>
      </c>
      <c r="AP260" s="24">
        <v>20.351726008898478</v>
      </c>
      <c r="AQ260" s="24">
        <v>22.093425908975089</v>
      </c>
      <c r="AR260" s="24">
        <v>39.514733634214267</v>
      </c>
      <c r="AS260" s="24">
        <v>33.339729348295833</v>
      </c>
      <c r="AT260" s="24">
        <v>22.485692825393617</v>
      </c>
      <c r="AU260" s="24">
        <v>31.657754259970712</v>
      </c>
      <c r="AV260" s="24">
        <v>19.965328591031742</v>
      </c>
      <c r="AW260" s="24">
        <v>27.666606671434732</v>
      </c>
      <c r="AX260" s="24">
        <v>17.055824848055874</v>
      </c>
      <c r="AY260" s="24">
        <v>39.162576261570372</v>
      </c>
    </row>
    <row r="261" spans="1:51" x14ac:dyDescent="0.2">
      <c r="A261" s="23">
        <v>45351</v>
      </c>
      <c r="B261" s="24">
        <v>20.614240673183499</v>
      </c>
      <c r="C261" s="24">
        <v>21.531088882890845</v>
      </c>
      <c r="D261" s="24">
        <v>22.060387786242924</v>
      </c>
      <c r="E261" s="24">
        <v>25.578178879349323</v>
      </c>
      <c r="F261" s="24">
        <v>23.676964141294111</v>
      </c>
      <c r="G261" s="24">
        <v>27.440533013511548</v>
      </c>
      <c r="H261" s="24">
        <v>50.380707410277367</v>
      </c>
      <c r="I261" s="24">
        <v>46.303158509740491</v>
      </c>
      <c r="J261" s="24">
        <v>24.695003765162799</v>
      </c>
      <c r="K261" s="24">
        <v>37.919667663522375</v>
      </c>
      <c r="L261" s="24">
        <v>35.111742804747038</v>
      </c>
      <c r="M261" s="24">
        <v>22.326424939971258</v>
      </c>
      <c r="N261" s="24">
        <v>39.882666584821806</v>
      </c>
      <c r="O261" s="24">
        <v>33.621137343703751</v>
      </c>
      <c r="P261" s="24">
        <v>32.184779698113807</v>
      </c>
      <c r="Q261" s="24">
        <v>18.585121795143355</v>
      </c>
      <c r="R261" s="24">
        <v>35.762535587585198</v>
      </c>
      <c r="S261" s="24">
        <v>23.058855204500084</v>
      </c>
      <c r="T261" s="24">
        <v>32.181850781507215</v>
      </c>
      <c r="U261" s="24">
        <v>25.375784136102602</v>
      </c>
      <c r="V261" s="24">
        <v>23.386999415831124</v>
      </c>
      <c r="W261" s="24">
        <v>49.450553891123207</v>
      </c>
      <c r="X261" s="24">
        <v>14.51869379853127</v>
      </c>
      <c r="Y261" s="24">
        <v>22.087195954966937</v>
      </c>
      <c r="Z261" s="24">
        <v>81.87135444443939</v>
      </c>
      <c r="AA261" s="24">
        <v>24.16285087065334</v>
      </c>
      <c r="AB261" s="24">
        <v>73.127867723272772</v>
      </c>
      <c r="AC261" s="24">
        <v>33.790925148921374</v>
      </c>
      <c r="AD261" s="24">
        <v>36.270588477935021</v>
      </c>
      <c r="AE261" s="24">
        <v>104.6929559495446</v>
      </c>
      <c r="AF261" s="24">
        <v>23.970711593067339</v>
      </c>
      <c r="AG261" s="24">
        <v>17.632631821900894</v>
      </c>
      <c r="AH261" s="24">
        <v>36.645530011534618</v>
      </c>
      <c r="AI261" s="24">
        <v>45.310213778578124</v>
      </c>
      <c r="AJ261" s="24">
        <v>43.22900391243757</v>
      </c>
      <c r="AK261" s="24">
        <v>14.963990117487485</v>
      </c>
      <c r="AL261" s="24">
        <v>41.373972207759344</v>
      </c>
      <c r="AM261" s="24">
        <v>26.554039630750662</v>
      </c>
      <c r="AN261" s="24">
        <v>30.97783787110539</v>
      </c>
      <c r="AO261" s="24">
        <v>49.631684404553624</v>
      </c>
      <c r="AP261" s="24">
        <v>20.158490957951962</v>
      </c>
      <c r="AQ261" s="24">
        <v>21.490044532351249</v>
      </c>
      <c r="AR261" s="24">
        <v>39.392243969662196</v>
      </c>
      <c r="AS261" s="24">
        <v>33.014916646301344</v>
      </c>
      <c r="AT261" s="24">
        <v>27.030555790033453</v>
      </c>
      <c r="AU261" s="24">
        <v>31.95971656269024</v>
      </c>
      <c r="AV261" s="24">
        <v>22.128846413320449</v>
      </c>
      <c r="AW261" s="24">
        <v>27.651931632595531</v>
      </c>
      <c r="AX261" s="24">
        <v>17.715283182799883</v>
      </c>
      <c r="AY261" s="24">
        <v>39.585293266892776</v>
      </c>
    </row>
    <row r="262" spans="1:51" x14ac:dyDescent="0.2">
      <c r="A262" s="23">
        <v>45350</v>
      </c>
      <c r="B262" s="24">
        <v>21.037396992241458</v>
      </c>
      <c r="C262" s="24">
        <v>21.440034898184319</v>
      </c>
      <c r="D262" s="24">
        <v>22.544037734533532</v>
      </c>
      <c r="E262" s="24">
        <v>26.21930047793408</v>
      </c>
      <c r="F262" s="24">
        <v>24.38809812987936</v>
      </c>
      <c r="G262" s="24">
        <v>28.82108846181282</v>
      </c>
      <c r="H262" s="24">
        <v>50.986914178562515</v>
      </c>
      <c r="I262" s="24">
        <v>44.227630029392444</v>
      </c>
      <c r="J262" s="24">
        <v>24.677619914790181</v>
      </c>
      <c r="K262" s="24">
        <v>37.482118290831018</v>
      </c>
      <c r="L262" s="24">
        <v>38.545766088788888</v>
      </c>
      <c r="M262" s="24">
        <v>23.106178786717887</v>
      </c>
      <c r="N262" s="24">
        <v>40.376730905039722</v>
      </c>
      <c r="O262" s="24">
        <v>34.058361622382932</v>
      </c>
      <c r="P262" s="24">
        <v>33.107438935470419</v>
      </c>
      <c r="Q262" s="24">
        <v>19.644408324741395</v>
      </c>
      <c r="R262" s="24">
        <v>36.967382541975574</v>
      </c>
      <c r="S262" s="24">
        <v>23.121998784422214</v>
      </c>
      <c r="T262" s="24">
        <v>31.763957569038563</v>
      </c>
      <c r="U262" s="24">
        <v>25.554491426300491</v>
      </c>
      <c r="V262" s="24">
        <v>23.742553720196568</v>
      </c>
      <c r="W262" s="24">
        <v>45.172354885946362</v>
      </c>
      <c r="X262" s="24">
        <v>14.821767871473556</v>
      </c>
      <c r="Y262" s="24">
        <v>22.348986143772414</v>
      </c>
      <c r="Z262" s="24">
        <v>81.818795625285389</v>
      </c>
      <c r="AA262" s="24">
        <v>26.790415021834747</v>
      </c>
      <c r="AB262" s="24">
        <v>73.02271253316998</v>
      </c>
      <c r="AC262" s="24">
        <v>34.307771031225798</v>
      </c>
      <c r="AD262" s="24">
        <v>37.893402444450174</v>
      </c>
      <c r="AE262" s="24">
        <v>103.55744773274319</v>
      </c>
      <c r="AF262" s="24">
        <v>24.42724513971687</v>
      </c>
      <c r="AG262" s="24">
        <v>17.957991282571257</v>
      </c>
      <c r="AH262" s="24">
        <v>37.736964724831878</v>
      </c>
      <c r="AI262" s="24">
        <v>44.867341475840504</v>
      </c>
      <c r="AJ262" s="24">
        <v>43.164684481712037</v>
      </c>
      <c r="AK262" s="24">
        <v>18.086262043801259</v>
      </c>
      <c r="AL262" s="24">
        <v>44.162768112296014</v>
      </c>
      <c r="AM262" s="24">
        <v>30.364435941281069</v>
      </c>
      <c r="AN262" s="24">
        <v>30.275010989194278</v>
      </c>
      <c r="AO262" s="24">
        <v>40.776042365626679</v>
      </c>
      <c r="AP262" s="24">
        <v>20.677808424629003</v>
      </c>
      <c r="AQ262" s="24">
        <v>22.002160511865455</v>
      </c>
      <c r="AR262" s="24">
        <v>39.606749605694603</v>
      </c>
      <c r="AS262" s="24">
        <v>33.096546593745479</v>
      </c>
      <c r="AT262" s="24">
        <v>32.233416401859323</v>
      </c>
      <c r="AU262" s="24">
        <v>31.435620621274467</v>
      </c>
      <c r="AV262" s="24">
        <v>23.298984843756905</v>
      </c>
      <c r="AW262" s="24">
        <v>26.951619463874231</v>
      </c>
      <c r="AX262" s="24">
        <v>18.333070116744807</v>
      </c>
      <c r="AY262" s="24">
        <v>39.674597806896855</v>
      </c>
    </row>
    <row r="263" spans="1:51" x14ac:dyDescent="0.2">
      <c r="A263" s="23">
        <v>45349</v>
      </c>
      <c r="B263" s="24">
        <v>21.083865873654695</v>
      </c>
      <c r="C263" s="24">
        <v>22.056445856128502</v>
      </c>
      <c r="D263" s="24">
        <v>22.544037734533532</v>
      </c>
      <c r="E263" s="24">
        <v>26.150620472153125</v>
      </c>
      <c r="F263" s="24">
        <v>24.16231381467831</v>
      </c>
      <c r="G263" s="24">
        <v>29.001600984342641</v>
      </c>
      <c r="H263" s="24">
        <v>51.036437887004084</v>
      </c>
      <c r="I263" s="24">
        <v>44.389139567950728</v>
      </c>
      <c r="J263" s="24">
        <v>24.867342666086486</v>
      </c>
      <c r="K263" s="24">
        <v>36.06464546247151</v>
      </c>
      <c r="L263" s="24">
        <v>38.292017900551343</v>
      </c>
      <c r="M263" s="24">
        <v>22.605404583022459</v>
      </c>
      <c r="N263" s="24">
        <v>38.475473275045978</v>
      </c>
      <c r="O263" s="24">
        <v>34.319023217600801</v>
      </c>
      <c r="P263" s="24">
        <v>33.177512244862868</v>
      </c>
      <c r="Q263" s="24">
        <v>19.284315209265877</v>
      </c>
      <c r="R263" s="24">
        <v>36.589115451103119</v>
      </c>
      <c r="S263" s="24">
        <v>23.501390836578718</v>
      </c>
      <c r="T263" s="24">
        <v>31.688594065823544</v>
      </c>
      <c r="U263" s="24">
        <v>25.152197984202068</v>
      </c>
      <c r="V263" s="24">
        <v>23.682717098723025</v>
      </c>
      <c r="W263" s="24">
        <v>42.888971261295772</v>
      </c>
      <c r="X263" s="24">
        <v>15.205836178971506</v>
      </c>
      <c r="Y263" s="24">
        <v>22.409817250355509</v>
      </c>
      <c r="Z263" s="24">
        <v>77.503032389655345</v>
      </c>
      <c r="AA263" s="24">
        <v>27.185974562299148</v>
      </c>
      <c r="AB263" s="24">
        <v>70.0899825520181</v>
      </c>
      <c r="AC263" s="24">
        <v>33.902831648752837</v>
      </c>
      <c r="AD263" s="24">
        <v>36.719719958468062</v>
      </c>
      <c r="AE263" s="24">
        <v>100.94780598537324</v>
      </c>
      <c r="AF263" s="24">
        <v>23.782944478530982</v>
      </c>
      <c r="AG263" s="24">
        <v>17.642097555052498</v>
      </c>
      <c r="AH263" s="24">
        <v>37.273916973262395</v>
      </c>
      <c r="AI263" s="24">
        <v>43.725498503396167</v>
      </c>
      <c r="AJ263" s="24">
        <v>43.439128073614746</v>
      </c>
      <c r="AK263" s="24">
        <v>19.947510532124472</v>
      </c>
      <c r="AL263" s="24">
        <v>43.352949595419432</v>
      </c>
      <c r="AM263" s="24">
        <v>29.772591794601627</v>
      </c>
      <c r="AN263" s="24">
        <v>30.498248522675617</v>
      </c>
      <c r="AO263" s="24">
        <v>39.500409103344168</v>
      </c>
      <c r="AP263" s="24">
        <v>20.598266020853501</v>
      </c>
      <c r="AQ263" s="24">
        <v>21.970374604386286</v>
      </c>
      <c r="AR263" s="24">
        <v>39.504769735778261</v>
      </c>
      <c r="AS263" s="24">
        <v>33.191504618695426</v>
      </c>
      <c r="AT263" s="24">
        <v>32.098258255039056</v>
      </c>
      <c r="AU263" s="24">
        <v>31.112239951439228</v>
      </c>
      <c r="AV263" s="24">
        <v>22.58575527175352</v>
      </c>
      <c r="AW263" s="24">
        <v>26.766681868283364</v>
      </c>
      <c r="AX263" s="24">
        <v>18.333070116744807</v>
      </c>
      <c r="AY263" s="24">
        <v>39.070422684831811</v>
      </c>
    </row>
    <row r="264" spans="1:51" x14ac:dyDescent="0.2">
      <c r="A264" s="23">
        <v>45348</v>
      </c>
      <c r="B264" s="24">
        <v>20.94512410936991</v>
      </c>
      <c r="C264" s="24">
        <v>22.008239006382318</v>
      </c>
      <c r="D264" s="24">
        <v>22.643055289319637</v>
      </c>
      <c r="E264" s="24">
        <v>26.711565945605699</v>
      </c>
      <c r="F264" s="24">
        <v>24.172918501642574</v>
      </c>
      <c r="G264" s="24">
        <v>28.939047654650381</v>
      </c>
      <c r="H264" s="24">
        <v>51.692499325830426</v>
      </c>
      <c r="I264" s="24">
        <v>44.236398281516422</v>
      </c>
      <c r="J264" s="24">
        <v>25.269127025002874</v>
      </c>
      <c r="K264" s="24">
        <v>34.026198528178803</v>
      </c>
      <c r="L264" s="24">
        <v>38.350847705457234</v>
      </c>
      <c r="M264" s="24">
        <v>22.62427724877605</v>
      </c>
      <c r="N264" s="24">
        <v>38.153154147029568</v>
      </c>
      <c r="O264" s="24">
        <v>34.697982646955609</v>
      </c>
      <c r="P264" s="24">
        <v>33.175304857446328</v>
      </c>
      <c r="Q264" s="24">
        <v>19.951679632803046</v>
      </c>
      <c r="R264" s="24">
        <v>37.081620119107292</v>
      </c>
      <c r="S264" s="24">
        <v>23.166387368713462</v>
      </c>
      <c r="T264" s="24">
        <v>32.390364420684215</v>
      </c>
      <c r="U264" s="24">
        <v>25.166584554538943</v>
      </c>
      <c r="V264" s="24">
        <v>23.682717098723025</v>
      </c>
      <c r="W264" s="24">
        <v>39.657681762006717</v>
      </c>
      <c r="X264" s="24">
        <v>15.209550542501365</v>
      </c>
      <c r="Y264" s="24">
        <v>24.188029058780671</v>
      </c>
      <c r="Z264" s="24">
        <v>72.409165620807002</v>
      </c>
      <c r="AA264" s="24">
        <v>28.38986745723621</v>
      </c>
      <c r="AB264" s="24">
        <v>66.79725538543461</v>
      </c>
      <c r="AC264" s="24">
        <v>34.232226908858159</v>
      </c>
      <c r="AD264" s="24">
        <v>36.552566221070343</v>
      </c>
      <c r="AE264" s="24">
        <v>95.553609519308424</v>
      </c>
      <c r="AF264" s="24">
        <v>25.669004090568286</v>
      </c>
      <c r="AG264" s="24">
        <v>17.685509644878152</v>
      </c>
      <c r="AH264" s="24">
        <v>37.391052101667377</v>
      </c>
      <c r="AI264" s="24">
        <v>42.851447132240558</v>
      </c>
      <c r="AJ264" s="24">
        <v>43.832511605333281</v>
      </c>
      <c r="AK264" s="24">
        <v>20.566810826430768</v>
      </c>
      <c r="AL264" s="24">
        <v>43.728898239363936</v>
      </c>
      <c r="AM264" s="24">
        <v>30.883736523504759</v>
      </c>
      <c r="AN264" s="24">
        <v>30.987697606286389</v>
      </c>
      <c r="AO264" s="24">
        <v>37.575746513197636</v>
      </c>
      <c r="AP264" s="24">
        <v>20.671270237320176</v>
      </c>
      <c r="AQ264" s="24">
        <v>23.475855438218744</v>
      </c>
      <c r="AR264" s="24">
        <v>39.697292916639171</v>
      </c>
      <c r="AS264" s="24">
        <v>33.14327541475145</v>
      </c>
      <c r="AT264" s="24">
        <v>32.823008071940734</v>
      </c>
      <c r="AU264" s="24">
        <v>31.53584583837976</v>
      </c>
      <c r="AV264" s="24">
        <v>24.0645916937424</v>
      </c>
      <c r="AW264" s="24">
        <v>26.713047923914072</v>
      </c>
      <c r="AX264" s="24">
        <v>18.828763500502774</v>
      </c>
      <c r="AY264" s="24">
        <v>39.50028381203456</v>
      </c>
    </row>
    <row r="265" spans="1:51" x14ac:dyDescent="0.2">
      <c r="A265" s="23">
        <v>45345</v>
      </c>
      <c r="B265" s="24">
        <v>16.846719830090322</v>
      </c>
      <c r="C265" s="24">
        <v>21.912545245666877</v>
      </c>
      <c r="D265" s="24">
        <v>19.099565158318903</v>
      </c>
      <c r="E265" s="24">
        <v>25.987381782327514</v>
      </c>
      <c r="F265" s="24">
        <v>20.594854236909587</v>
      </c>
      <c r="G265" s="24">
        <v>26.326746946023771</v>
      </c>
      <c r="H265" s="24">
        <v>50.393921839862131</v>
      </c>
      <c r="I265" s="24">
        <v>42.945781769436564</v>
      </c>
      <c r="J265" s="24">
        <v>23.452015286882517</v>
      </c>
      <c r="K265" s="24">
        <v>33.337235326401604</v>
      </c>
      <c r="L265" s="24">
        <v>35.059421703814763</v>
      </c>
      <c r="M265" s="24">
        <v>19.678191035135949</v>
      </c>
      <c r="N265" s="24">
        <v>38.518568773540842</v>
      </c>
      <c r="O265" s="24">
        <v>33.685374701785079</v>
      </c>
      <c r="P265" s="24">
        <v>30.56427510588437</v>
      </c>
      <c r="Q265" s="24">
        <v>16.070088866050167</v>
      </c>
      <c r="R265" s="24">
        <v>35.898360261266838</v>
      </c>
      <c r="S265" s="24">
        <v>23.149938415768023</v>
      </c>
      <c r="T265" s="24">
        <v>31.725855927676545</v>
      </c>
      <c r="U265" s="24">
        <v>21.611485690157117</v>
      </c>
      <c r="V265" s="24">
        <v>20.002473352434141</v>
      </c>
      <c r="W265" s="24">
        <v>39.70996185363046</v>
      </c>
      <c r="X265" s="24">
        <v>11.519127484973273</v>
      </c>
      <c r="Y265" s="24">
        <v>21.286639636049983</v>
      </c>
      <c r="Z265" s="24">
        <v>71.403315378539375</v>
      </c>
      <c r="AA265" s="24">
        <v>28.070515977505806</v>
      </c>
      <c r="AB265" s="24">
        <v>66.869189843524282</v>
      </c>
      <c r="AC265" s="24">
        <v>32.211720646572076</v>
      </c>
      <c r="AD265" s="24">
        <v>36.356259092755216</v>
      </c>
      <c r="AE265" s="24">
        <v>93.185039055449451</v>
      </c>
      <c r="AF265" s="24">
        <v>25.263558458451957</v>
      </c>
      <c r="AG265" s="24">
        <v>14.161152606543514</v>
      </c>
      <c r="AH265" s="24">
        <v>37.564454380086545</v>
      </c>
      <c r="AI265" s="24">
        <v>43.492011110536275</v>
      </c>
      <c r="AJ265" s="24">
        <v>43.733649258897813</v>
      </c>
      <c r="AK265" s="24">
        <v>19.523734250551595</v>
      </c>
      <c r="AL265" s="24">
        <v>41.168025794841135</v>
      </c>
      <c r="AM265" s="24">
        <v>28.766012147532116</v>
      </c>
      <c r="AN265" s="24">
        <v>29.235086470783116</v>
      </c>
      <c r="AO265" s="24">
        <v>38.048770707897333</v>
      </c>
      <c r="AP265" s="24">
        <v>20.498015684443406</v>
      </c>
      <c r="AQ265" s="24">
        <v>23.263164452116232</v>
      </c>
      <c r="AR265" s="24">
        <v>37.543855460824773</v>
      </c>
      <c r="AS265" s="24">
        <v>30.076075858298431</v>
      </c>
      <c r="AT265" s="24">
        <v>29.609072893959858</v>
      </c>
      <c r="AU265" s="24">
        <v>31.040555589102347</v>
      </c>
      <c r="AV265" s="24">
        <v>21.075043577639047</v>
      </c>
      <c r="AW265" s="24">
        <v>26.824678451086136</v>
      </c>
      <c r="AX265" s="24">
        <v>17.001461562031828</v>
      </c>
      <c r="AY265" s="24">
        <v>39.778183004680763</v>
      </c>
    </row>
    <row r="266" spans="1:51" x14ac:dyDescent="0.2">
      <c r="A266" s="23">
        <v>45344</v>
      </c>
      <c r="B266" s="24">
        <v>16.801885226445972</v>
      </c>
      <c r="C266" s="24">
        <v>22.691964858773712</v>
      </c>
      <c r="D266" s="24">
        <v>19.2156124538283</v>
      </c>
      <c r="E266" s="24">
        <v>25.518753482848847</v>
      </c>
      <c r="F266" s="24">
        <v>20.85695241233261</v>
      </c>
      <c r="G266" s="24">
        <v>26.636562468802587</v>
      </c>
      <c r="H266" s="24">
        <v>49.664621827015438</v>
      </c>
      <c r="I266" s="24">
        <v>43.204668049950889</v>
      </c>
      <c r="J266" s="24">
        <v>23.609760924117751</v>
      </c>
      <c r="K266" s="24">
        <v>34.184934082446212</v>
      </c>
      <c r="L266" s="24">
        <v>34.937088257632411</v>
      </c>
      <c r="M266" s="24">
        <v>20.805480157509532</v>
      </c>
      <c r="N266" s="24">
        <v>37.869132938632838</v>
      </c>
      <c r="O266" s="24">
        <v>31.796303672796011</v>
      </c>
      <c r="P266" s="24">
        <v>29.092615034246208</v>
      </c>
      <c r="Q266" s="24">
        <v>16.156266311822321</v>
      </c>
      <c r="R266" s="24">
        <v>35.996753995453865</v>
      </c>
      <c r="S266" s="24">
        <v>20.102717051153448</v>
      </c>
      <c r="T266" s="24">
        <v>32.254986729200404</v>
      </c>
      <c r="U266" s="24">
        <v>21.651392593526037</v>
      </c>
      <c r="V266" s="24">
        <v>19.920862739399038</v>
      </c>
      <c r="W266" s="24">
        <v>40.410769741727371</v>
      </c>
      <c r="X266" s="24">
        <v>12.373980916129748</v>
      </c>
      <c r="Y266" s="24">
        <v>20.972920501344248</v>
      </c>
      <c r="Z266" s="24">
        <v>74.543419424241463</v>
      </c>
      <c r="AA266" s="24">
        <v>27.695626156453933</v>
      </c>
      <c r="AB266" s="24">
        <v>68.668252124614682</v>
      </c>
      <c r="AC266" s="24">
        <v>32.43931931961221</v>
      </c>
      <c r="AD266" s="24">
        <v>37.568263459923216</v>
      </c>
      <c r="AE266" s="24">
        <v>95.160406940455402</v>
      </c>
      <c r="AF266" s="24">
        <v>25.883092231798397</v>
      </c>
      <c r="AG266" s="24">
        <v>14.066377462066438</v>
      </c>
      <c r="AH266" s="24">
        <v>36.99546159639538</v>
      </c>
      <c r="AI266" s="24">
        <v>43.465932715752245</v>
      </c>
      <c r="AJ266" s="24">
        <v>44.777156362540545</v>
      </c>
      <c r="AK266" s="24">
        <v>19.47585534531121</v>
      </c>
      <c r="AL266" s="24">
        <v>41.073154020197741</v>
      </c>
      <c r="AM266" s="24">
        <v>28.880227244633812</v>
      </c>
      <c r="AN266" s="24">
        <v>30.993433878200417</v>
      </c>
      <c r="AO266" s="24">
        <v>42.205851859387202</v>
      </c>
      <c r="AP266" s="24">
        <v>19.864975368718838</v>
      </c>
      <c r="AQ266" s="24">
        <v>23.100425044322165</v>
      </c>
      <c r="AR266" s="24">
        <v>37.487536714439322</v>
      </c>
      <c r="AS266" s="24">
        <v>30.851342460230036</v>
      </c>
      <c r="AT266" s="24">
        <v>29.401519923043555</v>
      </c>
      <c r="AU266" s="24">
        <v>31.297130305797548</v>
      </c>
      <c r="AV266" s="24">
        <v>21.118229838539296</v>
      </c>
      <c r="AW266" s="24">
        <v>25.729483524933013</v>
      </c>
      <c r="AX266" s="24">
        <v>17.018918531247813</v>
      </c>
      <c r="AY266" s="24">
        <v>39.797079246557786</v>
      </c>
    </row>
    <row r="267" spans="1:51" x14ac:dyDescent="0.2">
      <c r="A267" s="23">
        <v>45343</v>
      </c>
      <c r="B267" s="24">
        <v>17.670061603330616</v>
      </c>
      <c r="C267" s="24">
        <v>27.254102699379452</v>
      </c>
      <c r="D267" s="24">
        <v>20.125434160047536</v>
      </c>
      <c r="E267" s="24">
        <v>25.723893685713666</v>
      </c>
      <c r="F267" s="24">
        <v>21.30315087936696</v>
      </c>
      <c r="G267" s="24">
        <v>27.151275085962677</v>
      </c>
      <c r="H267" s="24">
        <v>48.110828295153667</v>
      </c>
      <c r="I267" s="24">
        <v>44.671172472728507</v>
      </c>
      <c r="J267" s="24">
        <v>23.249532128912801</v>
      </c>
      <c r="K267" s="24">
        <v>37.408464666892222</v>
      </c>
      <c r="L267" s="24">
        <v>36.60804831407048</v>
      </c>
      <c r="M267" s="24">
        <v>22.538082874774435</v>
      </c>
      <c r="N267" s="24">
        <v>37.75134649672755</v>
      </c>
      <c r="O267" s="24">
        <v>31.011417843374932</v>
      </c>
      <c r="P267" s="24">
        <v>28.794201138367196</v>
      </c>
      <c r="Q267" s="24">
        <v>16.900947961765606</v>
      </c>
      <c r="R267" s="24">
        <v>36.152814994860577</v>
      </c>
      <c r="S267" s="24">
        <v>20.395549469497539</v>
      </c>
      <c r="T267" s="24">
        <v>34.094964682819494</v>
      </c>
      <c r="U267" s="24">
        <v>22.165530311548114</v>
      </c>
      <c r="V267" s="24">
        <v>20.362304656610796</v>
      </c>
      <c r="W267" s="24">
        <v>41.655190384173551</v>
      </c>
      <c r="X267" s="24">
        <v>13.336524417281868</v>
      </c>
      <c r="Y267" s="24">
        <v>26.364531191446687</v>
      </c>
      <c r="Z267" s="24">
        <v>75.26358713280797</v>
      </c>
      <c r="AA267" s="24">
        <v>28.717929671888893</v>
      </c>
      <c r="AB267" s="24">
        <v>68.243441858931419</v>
      </c>
      <c r="AC267" s="24">
        <v>33.486623914321044</v>
      </c>
      <c r="AD267" s="24">
        <v>40.619561996978476</v>
      </c>
      <c r="AE267" s="24">
        <v>89.486694213758469</v>
      </c>
      <c r="AF267" s="24">
        <v>25.885542613702526</v>
      </c>
      <c r="AG267" s="24">
        <v>14.582376092161994</v>
      </c>
      <c r="AH267" s="24">
        <v>37.007503418212863</v>
      </c>
      <c r="AI267" s="24">
        <v>48.635069865631408</v>
      </c>
      <c r="AJ267" s="24">
        <v>46.37862003898357</v>
      </c>
      <c r="AK267" s="24">
        <v>20.212647784802353</v>
      </c>
      <c r="AL267" s="24">
        <v>42.176395637921509</v>
      </c>
      <c r="AM267" s="24">
        <v>29.461752157045964</v>
      </c>
      <c r="AN267" s="24">
        <v>35.502760747926935</v>
      </c>
      <c r="AO267" s="24">
        <v>42.325329490466757</v>
      </c>
      <c r="AP267" s="24">
        <v>20.507118742710638</v>
      </c>
      <c r="AQ267" s="24">
        <v>24.001611078532015</v>
      </c>
      <c r="AR267" s="24">
        <v>38.141446678433425</v>
      </c>
      <c r="AS267" s="24">
        <v>30.219142692803249</v>
      </c>
      <c r="AT267" s="24">
        <v>30.693240824723556</v>
      </c>
      <c r="AU267" s="24">
        <v>34.529093121970199</v>
      </c>
      <c r="AV267" s="24">
        <v>21.764885979102939</v>
      </c>
      <c r="AW267" s="24">
        <v>28.216862175733649</v>
      </c>
      <c r="AX267" s="24">
        <v>17.405690681269736</v>
      </c>
      <c r="AY267" s="24">
        <v>40.197910961184363</v>
      </c>
    </row>
    <row r="268" spans="1:51" x14ac:dyDescent="0.2">
      <c r="A268" s="23">
        <v>45342</v>
      </c>
      <c r="B268" s="24">
        <v>17.533643333663321</v>
      </c>
      <c r="C268" s="24">
        <v>25.54583274255544</v>
      </c>
      <c r="D268" s="24">
        <v>20.136583341560012</v>
      </c>
      <c r="E268" s="24">
        <v>25.363296846164129</v>
      </c>
      <c r="F268" s="24">
        <v>21.275696311466952</v>
      </c>
      <c r="G268" s="24">
        <v>27.150310510725323</v>
      </c>
      <c r="H268" s="24">
        <v>48.176793852546083</v>
      </c>
      <c r="I268" s="24">
        <v>45.781705796133238</v>
      </c>
      <c r="J268" s="24">
        <v>17.116056935717303</v>
      </c>
      <c r="K268" s="24">
        <v>36.345459759465278</v>
      </c>
      <c r="L268" s="24">
        <v>36.385949907419104</v>
      </c>
      <c r="M268" s="24">
        <v>21.136402803307607</v>
      </c>
      <c r="N268" s="24">
        <v>37.897686530703609</v>
      </c>
      <c r="O268" s="24">
        <v>30.71026916077366</v>
      </c>
      <c r="P268" s="24">
        <v>28.406781440946276</v>
      </c>
      <c r="Q268" s="24">
        <v>16.539655979355306</v>
      </c>
      <c r="R268" s="24">
        <v>36.112315389727023</v>
      </c>
      <c r="S268" s="24">
        <v>20.943372690983807</v>
      </c>
      <c r="T268" s="24">
        <v>30.125522288552006</v>
      </c>
      <c r="U268" s="24">
        <v>22.155590901063043</v>
      </c>
      <c r="V268" s="24">
        <v>20.286686802765832</v>
      </c>
      <c r="W268" s="24">
        <v>41.485279553092276</v>
      </c>
      <c r="X268" s="24">
        <v>10.763683015400499</v>
      </c>
      <c r="Y268" s="24">
        <v>26.238582991497132</v>
      </c>
      <c r="Z268" s="24">
        <v>71.047046038978337</v>
      </c>
      <c r="AA268" s="24">
        <v>28.254729098583603</v>
      </c>
      <c r="AB268" s="24">
        <v>66.549398644482906</v>
      </c>
      <c r="AC268" s="24">
        <v>32.483344290259694</v>
      </c>
      <c r="AD268" s="24">
        <v>40.121219110192897</v>
      </c>
      <c r="AE268" s="24">
        <v>89.379121839637307</v>
      </c>
      <c r="AF268" s="24">
        <v>25.86112228251562</v>
      </c>
      <c r="AG268" s="24">
        <v>13.829025407342483</v>
      </c>
      <c r="AH268" s="24">
        <v>37.43156366793626</v>
      </c>
      <c r="AI268" s="24">
        <v>47.956101310149521</v>
      </c>
      <c r="AJ268" s="24">
        <v>46.305892594018864</v>
      </c>
      <c r="AK268" s="24">
        <v>20.241052209486689</v>
      </c>
      <c r="AL268" s="24">
        <v>41.776229094814745</v>
      </c>
      <c r="AM268" s="24">
        <v>28.736630663375344</v>
      </c>
      <c r="AN268" s="24">
        <v>32.28341695454948</v>
      </c>
      <c r="AO268" s="24">
        <v>45.09242360550504</v>
      </c>
      <c r="AP268" s="24">
        <v>20.453722610765201</v>
      </c>
      <c r="AQ268" s="24">
        <v>23.851443757882922</v>
      </c>
      <c r="AR268" s="24">
        <v>20.561518228607543</v>
      </c>
      <c r="AS268" s="24">
        <v>26.582533557400971</v>
      </c>
      <c r="AT268" s="24">
        <v>29.294345224702884</v>
      </c>
      <c r="AU268" s="24">
        <v>32.067666666282726</v>
      </c>
      <c r="AV268" s="24">
        <v>21.834383259244632</v>
      </c>
      <c r="AW268" s="24">
        <v>27.02173544380506</v>
      </c>
      <c r="AX268" s="24">
        <v>17.256969930739839</v>
      </c>
      <c r="AY268" s="24">
        <v>39.146901367018657</v>
      </c>
    </row>
    <row r="269" spans="1:51" x14ac:dyDescent="0.2">
      <c r="A269" s="23">
        <v>45341</v>
      </c>
      <c r="B269" s="24">
        <v>17.25275071916899</v>
      </c>
      <c r="C269" s="24">
        <v>24.886905882241315</v>
      </c>
      <c r="D269" s="24">
        <v>19.709621743442423</v>
      </c>
      <c r="E269" s="24">
        <v>25.01888168065981</v>
      </c>
      <c r="F269" s="24">
        <v>21.162722173371545</v>
      </c>
      <c r="G269" s="24">
        <v>27.147998957665461</v>
      </c>
      <c r="H269" s="24">
        <v>48.084870706974343</v>
      </c>
      <c r="I269" s="24">
        <v>46.167422908203115</v>
      </c>
      <c r="J269" s="24">
        <v>16.631287713210114</v>
      </c>
      <c r="K269" s="24">
        <v>35.568219976695708</v>
      </c>
      <c r="L269" s="24">
        <v>35.57324531707755</v>
      </c>
      <c r="M269" s="24">
        <v>20.5007439724702</v>
      </c>
      <c r="N269" s="24">
        <v>37.641644203626093</v>
      </c>
      <c r="O269" s="24">
        <v>30.564753230493157</v>
      </c>
      <c r="P269" s="24">
        <v>28.92013956125755</v>
      </c>
      <c r="Q269" s="24">
        <v>16.278092718238145</v>
      </c>
      <c r="R269" s="24">
        <v>35.848548417682238</v>
      </c>
      <c r="S269" s="24">
        <v>20.786074026305968</v>
      </c>
      <c r="T269" s="24">
        <v>29.622313725187738</v>
      </c>
      <c r="U269" s="24">
        <v>22.174546712863684</v>
      </c>
      <c r="V269" s="24">
        <v>19.831462003606774</v>
      </c>
      <c r="W269" s="24">
        <v>41.415817643145239</v>
      </c>
      <c r="X269" s="24">
        <v>10.713504838340279</v>
      </c>
      <c r="Y269" s="24">
        <v>25.841400065571403</v>
      </c>
      <c r="Z269" s="24">
        <v>69.310268017083928</v>
      </c>
      <c r="AA269" s="24">
        <v>28.302327297582156</v>
      </c>
      <c r="AB269" s="24">
        <v>63.532754990285319</v>
      </c>
      <c r="AC269" s="24">
        <v>32.476113709504588</v>
      </c>
      <c r="AD269" s="24">
        <v>40.235481865548302</v>
      </c>
      <c r="AE269" s="24">
        <v>88.63716595682142</v>
      </c>
      <c r="AF269" s="24">
        <v>25.8729887433865</v>
      </c>
      <c r="AG269" s="24">
        <v>13.62122656486652</v>
      </c>
      <c r="AH269" s="24">
        <v>37.431683786552476</v>
      </c>
      <c r="AI269" s="24">
        <v>47.831702417314304</v>
      </c>
      <c r="AJ269" s="24">
        <v>46.403199290448605</v>
      </c>
      <c r="AK269" s="24">
        <v>20.105563251628361</v>
      </c>
      <c r="AL269" s="24">
        <v>41.040581312588188</v>
      </c>
      <c r="AM269" s="24">
        <v>28.714495498892187</v>
      </c>
      <c r="AN269" s="24">
        <v>35.149802522611665</v>
      </c>
      <c r="AO269" s="24">
        <v>44.647955480511868</v>
      </c>
      <c r="AP269" s="24">
        <v>19.803618779992537</v>
      </c>
      <c r="AQ269" s="24">
        <v>22.644250381141749</v>
      </c>
      <c r="AR269" s="24">
        <v>20.549641857213803</v>
      </c>
      <c r="AS269" s="24">
        <v>26.857185873839345</v>
      </c>
      <c r="AT269" s="24">
        <v>29.322346222495966</v>
      </c>
      <c r="AU269" s="24">
        <v>32.68796223431449</v>
      </c>
      <c r="AV269" s="24">
        <v>24.157773725033227</v>
      </c>
      <c r="AW269" s="24">
        <v>27.976861932324464</v>
      </c>
      <c r="AX269" s="24">
        <v>16.741029885469196</v>
      </c>
      <c r="AY269" s="24">
        <v>38.896787472384815</v>
      </c>
    </row>
    <row r="270" spans="1:51" x14ac:dyDescent="0.2">
      <c r="A270" s="23">
        <v>45330</v>
      </c>
      <c r="B270" s="24">
        <v>16.167401628926054</v>
      </c>
      <c r="C270" s="24">
        <v>24.762995219392341</v>
      </c>
      <c r="D270" s="24">
        <v>17.782053364770338</v>
      </c>
      <c r="E270" s="24">
        <v>23.647186487832567</v>
      </c>
      <c r="F270" s="24">
        <v>17.908874741443739</v>
      </c>
      <c r="G270" s="24">
        <v>23.076890795262862</v>
      </c>
      <c r="H270" s="24">
        <v>46.41642019916798</v>
      </c>
      <c r="I270" s="24">
        <v>45.667683657186167</v>
      </c>
      <c r="J270" s="24">
        <v>16.618505229531408</v>
      </c>
      <c r="K270" s="24">
        <v>35.074317452895698</v>
      </c>
      <c r="L270" s="24">
        <v>35.93461258232086</v>
      </c>
      <c r="M270" s="24">
        <v>21.157227517993789</v>
      </c>
      <c r="N270" s="24">
        <v>28.948767587432751</v>
      </c>
      <c r="O270" s="24">
        <v>27.539602702147306</v>
      </c>
      <c r="P270" s="24">
        <v>28.167740091091751</v>
      </c>
      <c r="Q270" s="24">
        <v>15.33207321069635</v>
      </c>
      <c r="R270" s="24">
        <v>32.79801934836793</v>
      </c>
      <c r="S270" s="24">
        <v>20.854541691506938</v>
      </c>
      <c r="T270" s="24">
        <v>29.174247092533033</v>
      </c>
      <c r="U270" s="24">
        <v>21.260453454453124</v>
      </c>
      <c r="V270" s="24">
        <v>15.206007284290624</v>
      </c>
      <c r="W270" s="24">
        <v>42.6590326662973</v>
      </c>
      <c r="X270" s="24">
        <v>10.686228363616646</v>
      </c>
      <c r="Y270" s="24">
        <v>24.175263162540251</v>
      </c>
      <c r="Z270" s="24">
        <v>63.676127394884489</v>
      </c>
      <c r="AA270" s="24">
        <v>27.248948552707002</v>
      </c>
      <c r="AB270" s="24">
        <v>55.594368853187746</v>
      </c>
      <c r="AC270" s="24">
        <v>31.125394911888975</v>
      </c>
      <c r="AD270" s="24">
        <v>40.704945870943618</v>
      </c>
      <c r="AE270" s="24">
        <v>71.90018581133404</v>
      </c>
      <c r="AF270" s="24">
        <v>26.740902360900524</v>
      </c>
      <c r="AG270" s="24">
        <v>12.204702631991415</v>
      </c>
      <c r="AH270" s="24">
        <v>37.808959184579017</v>
      </c>
      <c r="AI270" s="24">
        <v>45.250098343492233</v>
      </c>
      <c r="AJ270" s="24">
        <v>46.492309883453139</v>
      </c>
      <c r="AK270" s="24">
        <v>19.780812665789643</v>
      </c>
      <c r="AL270" s="24">
        <v>42.693565130115239</v>
      </c>
      <c r="AM270" s="24">
        <v>29.084949167415548</v>
      </c>
      <c r="AN270" s="24">
        <v>35.27874361071914</v>
      </c>
      <c r="AO270" s="24">
        <v>43.601048395697987</v>
      </c>
      <c r="AP270" s="24">
        <v>18.469844349393014</v>
      </c>
      <c r="AQ270" s="24">
        <v>21.651097503851727</v>
      </c>
      <c r="AR270" s="24">
        <v>20.138660434208241</v>
      </c>
      <c r="AS270" s="24">
        <v>27.14890725167087</v>
      </c>
      <c r="AT270" s="24">
        <v>29.205251685657437</v>
      </c>
      <c r="AU270" s="24">
        <v>32.936676110488968</v>
      </c>
      <c r="AV270" s="24">
        <v>24.029848539044753</v>
      </c>
      <c r="AW270" s="24">
        <v>28.86397572922079</v>
      </c>
      <c r="AX270" s="24">
        <v>16.590786629106397</v>
      </c>
      <c r="AY270" s="24">
        <v>39.043316420178257</v>
      </c>
    </row>
    <row r="271" spans="1:51" x14ac:dyDescent="0.2">
      <c r="A271" s="23">
        <v>45329</v>
      </c>
      <c r="B271" s="24">
        <v>16.317720107046235</v>
      </c>
      <c r="C271" s="24">
        <v>24.705352896176542</v>
      </c>
      <c r="D271" s="24">
        <v>17.962256153046496</v>
      </c>
      <c r="E271" s="24">
        <v>24.1872367229529</v>
      </c>
      <c r="F271" s="24">
        <v>17.963673774271545</v>
      </c>
      <c r="G271" s="24">
        <v>23.581291496121569</v>
      </c>
      <c r="H271" s="24">
        <v>47.587983864413175</v>
      </c>
      <c r="I271" s="24">
        <v>46.088389555992492</v>
      </c>
      <c r="J271" s="24">
        <v>16.755341445025856</v>
      </c>
      <c r="K271" s="24">
        <v>37.246331749542037</v>
      </c>
      <c r="L271" s="24">
        <v>35.751079899442686</v>
      </c>
      <c r="M271" s="24">
        <v>21.443988190435949</v>
      </c>
      <c r="N271" s="24">
        <v>29.11254584945523</v>
      </c>
      <c r="O271" s="24">
        <v>27.988505748820529</v>
      </c>
      <c r="P271" s="24">
        <v>28.9547852694037</v>
      </c>
      <c r="Q271" s="24">
        <v>15.61365016583699</v>
      </c>
      <c r="R271" s="24">
        <v>34.427040485116095</v>
      </c>
      <c r="S271" s="24">
        <v>20.039459889020144</v>
      </c>
      <c r="T271" s="24">
        <v>29.189419872147539</v>
      </c>
      <c r="U271" s="24">
        <v>20.534890417219415</v>
      </c>
      <c r="V271" s="24">
        <v>15.722192390040865</v>
      </c>
      <c r="W271" s="24">
        <v>41.375285449398717</v>
      </c>
      <c r="X271" s="24">
        <v>10.691626175850871</v>
      </c>
      <c r="Y271" s="24">
        <v>23.542172543130089</v>
      </c>
      <c r="Z271" s="24">
        <v>63.474775919152066</v>
      </c>
      <c r="AA271" s="24">
        <v>27.269006112402245</v>
      </c>
      <c r="AB271" s="24">
        <v>55.580356019312873</v>
      </c>
      <c r="AC271" s="24">
        <v>31.093773159786451</v>
      </c>
      <c r="AD271" s="24">
        <v>40.85505144047378</v>
      </c>
      <c r="AE271" s="24">
        <v>70.577906166490592</v>
      </c>
      <c r="AF271" s="24">
        <v>26.380738560430913</v>
      </c>
      <c r="AG271" s="24">
        <v>12.63185480432233</v>
      </c>
      <c r="AH271" s="24">
        <v>37.451281037886112</v>
      </c>
      <c r="AI271" s="24">
        <v>44.080977618575702</v>
      </c>
      <c r="AJ271" s="24">
        <v>46.493375775241525</v>
      </c>
      <c r="AK271" s="24">
        <v>19.687507025365822</v>
      </c>
      <c r="AL271" s="24">
        <v>43.11644484402732</v>
      </c>
      <c r="AM271" s="24">
        <v>28.936029099993956</v>
      </c>
      <c r="AN271" s="24">
        <v>35.192519477409363</v>
      </c>
      <c r="AO271" s="24">
        <v>44.252302602171113</v>
      </c>
      <c r="AP271" s="24">
        <v>18.434874300637954</v>
      </c>
      <c r="AQ271" s="24">
        <v>20.269250655794753</v>
      </c>
      <c r="AR271" s="24">
        <v>20.216121366699852</v>
      </c>
      <c r="AS271" s="24">
        <v>27.005308631758979</v>
      </c>
      <c r="AT271" s="24">
        <v>29.074290187993657</v>
      </c>
      <c r="AU271" s="24">
        <v>33.46193594112767</v>
      </c>
      <c r="AV271" s="24">
        <v>24.232033551644296</v>
      </c>
      <c r="AW271" s="24">
        <v>29.310374257921445</v>
      </c>
      <c r="AX271" s="24">
        <v>16.720712006985387</v>
      </c>
      <c r="AY271" s="24">
        <v>38.541985898308077</v>
      </c>
    </row>
    <row r="272" spans="1:51" x14ac:dyDescent="0.2">
      <c r="A272" s="23">
        <v>45328</v>
      </c>
      <c r="B272" s="24">
        <v>14.908717315755803</v>
      </c>
      <c r="C272" s="24">
        <v>23.738735686733143</v>
      </c>
      <c r="D272" s="24">
        <v>16.39211979273303</v>
      </c>
      <c r="E272" s="24">
        <v>24.827141854003056</v>
      </c>
      <c r="F272" s="24">
        <v>16.019806544783663</v>
      </c>
      <c r="G272" s="24">
        <v>22.209379456446619</v>
      </c>
      <c r="H272" s="24">
        <v>47.327016225726446</v>
      </c>
      <c r="I272" s="24">
        <v>46.195856710501431</v>
      </c>
      <c r="J272" s="24">
        <v>16.973533984047947</v>
      </c>
      <c r="K272" s="24">
        <v>36.356387610194027</v>
      </c>
      <c r="L272" s="24">
        <v>37.149947094417925</v>
      </c>
      <c r="M272" s="24">
        <v>21.935744884933403</v>
      </c>
      <c r="N272" s="24">
        <v>30.14369738486311</v>
      </c>
      <c r="O272" s="24">
        <v>27.682928988450101</v>
      </c>
      <c r="P272" s="24">
        <v>30.270395563040747</v>
      </c>
      <c r="Q272" s="24">
        <v>16.073110753221119</v>
      </c>
      <c r="R272" s="24">
        <v>35.019034804275229</v>
      </c>
      <c r="S272" s="24">
        <v>19.391704942607429</v>
      </c>
      <c r="T272" s="24">
        <v>29.215140837667978</v>
      </c>
      <c r="U272" s="24">
        <v>18.561967827014282</v>
      </c>
      <c r="V272" s="24">
        <v>14.324010046854701</v>
      </c>
      <c r="W272" s="24">
        <v>38.854288744004194</v>
      </c>
      <c r="X272" s="24">
        <v>11.165558250627564</v>
      </c>
      <c r="Y272" s="24">
        <v>23.82688050374578</v>
      </c>
      <c r="Z272" s="24">
        <v>63.825899596641861</v>
      </c>
      <c r="AA272" s="24">
        <v>27.29797422268599</v>
      </c>
      <c r="AB272" s="24">
        <v>55.98089479681375</v>
      </c>
      <c r="AC272" s="24">
        <v>29.494034125201424</v>
      </c>
      <c r="AD272" s="24">
        <v>40.949823440884529</v>
      </c>
      <c r="AE272" s="24">
        <v>70.579627909155008</v>
      </c>
      <c r="AF272" s="24">
        <v>28.219059814035152</v>
      </c>
      <c r="AG272" s="24">
        <v>12.366245315822427</v>
      </c>
      <c r="AH272" s="24">
        <v>36.865306452624786</v>
      </c>
      <c r="AI272" s="24">
        <v>44.043879918816714</v>
      </c>
      <c r="AJ272" s="24">
        <v>45.99631309411896</v>
      </c>
      <c r="AK272" s="24">
        <v>19.656174917795877</v>
      </c>
      <c r="AL272" s="24">
        <v>45.945624176566277</v>
      </c>
      <c r="AM272" s="24">
        <v>28.976726794922058</v>
      </c>
      <c r="AN272" s="24">
        <v>33.958384982829386</v>
      </c>
      <c r="AO272" s="24">
        <v>44.18850674307442</v>
      </c>
      <c r="AP272" s="24">
        <v>18.421768748708732</v>
      </c>
      <c r="AQ272" s="24">
        <v>18.849463440886158</v>
      </c>
      <c r="AR272" s="24">
        <v>20.401809106373491</v>
      </c>
      <c r="AS272" s="24">
        <v>26.363360268076043</v>
      </c>
      <c r="AT272" s="24">
        <v>29.177603521214017</v>
      </c>
      <c r="AU272" s="24">
        <v>33.231540805016955</v>
      </c>
      <c r="AV272" s="24">
        <v>28.240353188790998</v>
      </c>
      <c r="AW272" s="24">
        <v>31.838948207055743</v>
      </c>
      <c r="AX272" s="24">
        <v>15.432143329263518</v>
      </c>
      <c r="AY272" s="24">
        <v>37.955168676286</v>
      </c>
    </row>
    <row r="273" spans="1:51" x14ac:dyDescent="0.2">
      <c r="A273" s="23">
        <v>45327</v>
      </c>
      <c r="B273" s="24">
        <v>14.974480205352842</v>
      </c>
      <c r="C273" s="24">
        <v>21.59929325183969</v>
      </c>
      <c r="D273" s="24">
        <v>15.794290461987545</v>
      </c>
      <c r="E273" s="24">
        <v>23.684209090935951</v>
      </c>
      <c r="F273" s="24">
        <v>16.050737224375442</v>
      </c>
      <c r="G273" s="24">
        <v>22.257563541675271</v>
      </c>
      <c r="H273" s="24">
        <v>46.305657511832067</v>
      </c>
      <c r="I273" s="24">
        <v>44.151042684222823</v>
      </c>
      <c r="J273" s="24">
        <v>16.126900140537945</v>
      </c>
      <c r="K273" s="24">
        <v>32.495123714788079</v>
      </c>
      <c r="L273" s="24">
        <v>35.372231512157683</v>
      </c>
      <c r="M273" s="24">
        <v>21.045286138884737</v>
      </c>
      <c r="N273" s="24">
        <v>29.977064758689281</v>
      </c>
      <c r="O273" s="24">
        <v>27.170852186428977</v>
      </c>
      <c r="P273" s="24">
        <v>30.675780303744762</v>
      </c>
      <c r="Q273" s="24">
        <v>16.106633269261344</v>
      </c>
      <c r="R273" s="24">
        <v>34.760431360863215</v>
      </c>
      <c r="S273" s="24">
        <v>19.331527886409699</v>
      </c>
      <c r="T273" s="24">
        <v>23.404158342522955</v>
      </c>
      <c r="U273" s="24">
        <v>18.243664025022397</v>
      </c>
      <c r="V273" s="24">
        <v>14.321982514699803</v>
      </c>
      <c r="W273" s="24">
        <v>34.768351395569205</v>
      </c>
      <c r="X273" s="24">
        <v>11.316509392621224</v>
      </c>
      <c r="Y273" s="24">
        <v>24.141182608463829</v>
      </c>
      <c r="Z273" s="24">
        <v>61.926699357561944</v>
      </c>
      <c r="AA273" s="24">
        <v>22.403483762574474</v>
      </c>
      <c r="AB273" s="24">
        <v>46.410474740586217</v>
      </c>
      <c r="AC273" s="24">
        <v>29.224450630213433</v>
      </c>
      <c r="AD273" s="24">
        <v>32.505332461166574</v>
      </c>
      <c r="AE273" s="24">
        <v>64.484460922691994</v>
      </c>
      <c r="AF273" s="24">
        <v>23.989768070565628</v>
      </c>
      <c r="AG273" s="24">
        <v>11.409158675042198</v>
      </c>
      <c r="AH273" s="24">
        <v>35.696165717505565</v>
      </c>
      <c r="AI273" s="24">
        <v>40.172213802825567</v>
      </c>
      <c r="AJ273" s="24">
        <v>31.139744738131121</v>
      </c>
      <c r="AK273" s="24">
        <v>19.705313297783583</v>
      </c>
      <c r="AL273" s="24">
        <v>42.571992517948729</v>
      </c>
      <c r="AM273" s="24">
        <v>26.706672483419752</v>
      </c>
      <c r="AN273" s="24">
        <v>33.303624727850675</v>
      </c>
      <c r="AO273" s="24">
        <v>42.185851760409342</v>
      </c>
      <c r="AP273" s="24">
        <v>14.862843709134427</v>
      </c>
      <c r="AQ273" s="24">
        <v>19.210972633431052</v>
      </c>
      <c r="AR273" s="24">
        <v>17.434826767425132</v>
      </c>
      <c r="AS273" s="24">
        <v>20.812563596784319</v>
      </c>
      <c r="AT273" s="24">
        <v>29.13387154330276</v>
      </c>
      <c r="AU273" s="24">
        <v>31.55824490292726</v>
      </c>
      <c r="AV273" s="24">
        <v>29.22926473546914</v>
      </c>
      <c r="AW273" s="24">
        <v>32.077172682566761</v>
      </c>
      <c r="AX273" s="24">
        <v>15.583035808611209</v>
      </c>
      <c r="AY273" s="24">
        <v>32.784990344029694</v>
      </c>
    </row>
    <row r="274" spans="1:51" x14ac:dyDescent="0.2">
      <c r="A274" s="23">
        <v>45324</v>
      </c>
      <c r="B274" s="24">
        <v>13.259250367113353</v>
      </c>
      <c r="C274" s="24">
        <v>20.404489633637716</v>
      </c>
      <c r="D274" s="24">
        <v>14.755583185585992</v>
      </c>
      <c r="E274" s="24">
        <v>23.183654616068001</v>
      </c>
      <c r="F274" s="24">
        <v>15.312747719139445</v>
      </c>
      <c r="G274" s="24">
        <v>20.690215514022739</v>
      </c>
      <c r="H274" s="24">
        <v>45.764083405581587</v>
      </c>
      <c r="I274" s="24">
        <v>41.7480245948259</v>
      </c>
      <c r="J274" s="24">
        <v>15.921919575290072</v>
      </c>
      <c r="K274" s="24">
        <v>32.405597723504449</v>
      </c>
      <c r="L274" s="24">
        <v>35.345485612318051</v>
      </c>
      <c r="M274" s="24">
        <v>21.326211756797687</v>
      </c>
      <c r="N274" s="24">
        <v>28.518118766987389</v>
      </c>
      <c r="O274" s="24">
        <v>25.782056464210488</v>
      </c>
      <c r="P274" s="24">
        <v>30.679109414909643</v>
      </c>
      <c r="Q274" s="24">
        <v>15.03660720988047</v>
      </c>
      <c r="R274" s="24">
        <v>34.378034989337955</v>
      </c>
      <c r="S274" s="24">
        <v>18.982091863678576</v>
      </c>
      <c r="T274" s="24">
        <v>23.243194017301345</v>
      </c>
      <c r="U274" s="24">
        <v>18.262686719427187</v>
      </c>
      <c r="V274" s="24">
        <v>12.882430330094888</v>
      </c>
      <c r="W274" s="24">
        <v>33.648964434640064</v>
      </c>
      <c r="X274" s="24">
        <v>11.832232449695246</v>
      </c>
      <c r="Y274" s="24">
        <v>24.181000721864638</v>
      </c>
      <c r="Z274" s="24">
        <v>59.157417902387031</v>
      </c>
      <c r="AA274" s="24">
        <v>23.556171664813515</v>
      </c>
      <c r="AB274" s="24">
        <v>48.774089537556847</v>
      </c>
      <c r="AC274" s="24">
        <v>27.24874590064735</v>
      </c>
      <c r="AD274" s="24">
        <v>32.746142695850324</v>
      </c>
      <c r="AE274" s="24">
        <v>62.815722291220673</v>
      </c>
      <c r="AF274" s="24">
        <v>25.230878122763468</v>
      </c>
      <c r="AG274" s="24">
        <v>12.498809607403908</v>
      </c>
      <c r="AH274" s="24">
        <v>28.346921824570419</v>
      </c>
      <c r="AI274" s="24">
        <v>35.040391607516469</v>
      </c>
      <c r="AJ274" s="24">
        <v>26.923979028901559</v>
      </c>
      <c r="AK274" s="24">
        <v>20.609426909100197</v>
      </c>
      <c r="AL274" s="24">
        <v>42.805796237267408</v>
      </c>
      <c r="AM274" s="24">
        <v>28.484306069358148</v>
      </c>
      <c r="AN274" s="24">
        <v>32.19926934988117</v>
      </c>
      <c r="AO274" s="24">
        <v>41.803659430834884</v>
      </c>
      <c r="AP274" s="24">
        <v>13.771851773329905</v>
      </c>
      <c r="AQ274" s="24">
        <v>19.076218898912352</v>
      </c>
      <c r="AR274" s="24">
        <v>17.660530828126468</v>
      </c>
      <c r="AS274" s="24">
        <v>20.802900820314175</v>
      </c>
      <c r="AT274" s="24">
        <v>29.522319262560213</v>
      </c>
      <c r="AU274" s="24">
        <v>29.237918446550463</v>
      </c>
      <c r="AV274" s="24">
        <v>29.242711336941014</v>
      </c>
      <c r="AW274" s="24">
        <v>29.981091440840473</v>
      </c>
      <c r="AX274" s="24">
        <v>15.549818296055134</v>
      </c>
      <c r="AY274" s="24">
        <v>32.4794410059963</v>
      </c>
    </row>
    <row r="275" spans="1:51" x14ac:dyDescent="0.2">
      <c r="A275" s="23">
        <v>45323</v>
      </c>
      <c r="B275" s="24">
        <v>13.439393986757535</v>
      </c>
      <c r="C275" s="24">
        <v>20.263718772969046</v>
      </c>
      <c r="D275" s="24">
        <v>14.979250163092457</v>
      </c>
      <c r="E275" s="24">
        <v>23.298210708100616</v>
      </c>
      <c r="F275" s="24">
        <v>14.977863242391109</v>
      </c>
      <c r="G275" s="24">
        <v>20.541593531340943</v>
      </c>
      <c r="H275" s="24">
        <v>45.630878066029943</v>
      </c>
      <c r="I275" s="24">
        <v>41.170618842538673</v>
      </c>
      <c r="J275" s="24">
        <v>16.207680864366754</v>
      </c>
      <c r="K275" s="24">
        <v>31.913287929976452</v>
      </c>
      <c r="L275" s="24">
        <v>35.365906767303848</v>
      </c>
      <c r="M275" s="24">
        <v>21.195287455149494</v>
      </c>
      <c r="N275" s="24">
        <v>28.631166742659261</v>
      </c>
      <c r="O275" s="24">
        <v>25.250368376467339</v>
      </c>
      <c r="P275" s="24">
        <v>30.102927500708375</v>
      </c>
      <c r="Q275" s="24">
        <v>15.003069933974393</v>
      </c>
      <c r="R275" s="24">
        <v>34.711068905787691</v>
      </c>
      <c r="S275" s="24">
        <v>18.50663251223196</v>
      </c>
      <c r="T275" s="24">
        <v>22.328754831179104</v>
      </c>
      <c r="U275" s="24">
        <v>18.834815592810408</v>
      </c>
      <c r="V275" s="24">
        <v>12.60248153304074</v>
      </c>
      <c r="W275" s="24">
        <v>34.108141696577256</v>
      </c>
      <c r="X275" s="24">
        <v>12.272035669149231</v>
      </c>
      <c r="Y275" s="24">
        <v>24.070557541604035</v>
      </c>
      <c r="Z275" s="24">
        <v>56.869965869480261</v>
      </c>
      <c r="AA275" s="24">
        <v>23.399361015125635</v>
      </c>
      <c r="AB275" s="24">
        <v>50.80539470953935</v>
      </c>
      <c r="AC275" s="24">
        <v>29.841369403355824</v>
      </c>
      <c r="AD275" s="24">
        <v>32.452330771201808</v>
      </c>
      <c r="AE275" s="24">
        <v>58.488569298975499</v>
      </c>
      <c r="AF275" s="24">
        <v>23.762833892331955</v>
      </c>
      <c r="AG275" s="24">
        <v>12.698574906549002</v>
      </c>
      <c r="AH275" s="24">
        <v>27.594442679117851</v>
      </c>
      <c r="AI275" s="24">
        <v>35.2719568923699</v>
      </c>
      <c r="AJ275" s="24">
        <v>28.302545102138922</v>
      </c>
      <c r="AK275" s="24">
        <v>21.010206400498518</v>
      </c>
      <c r="AL275" s="24">
        <v>42.74653992560426</v>
      </c>
      <c r="AM275" s="24">
        <v>27.56046523105503</v>
      </c>
      <c r="AN275" s="24">
        <v>30.609152734223876</v>
      </c>
      <c r="AO275" s="24">
        <v>41.438384542194228</v>
      </c>
      <c r="AP275" s="24">
        <v>16.416041006365752</v>
      </c>
      <c r="AQ275" s="24">
        <v>21.389419720192397</v>
      </c>
      <c r="AR275" s="24">
        <v>17.755033403095688</v>
      </c>
      <c r="AS275" s="24">
        <v>22.199825170246349</v>
      </c>
      <c r="AT275" s="24">
        <v>29.527334452491779</v>
      </c>
      <c r="AU275" s="24">
        <v>26.952333199403299</v>
      </c>
      <c r="AV275" s="24">
        <v>29.261587883603728</v>
      </c>
      <c r="AW275" s="24">
        <v>29.480290724157573</v>
      </c>
      <c r="AX275" s="24">
        <v>15.975700439781059</v>
      </c>
      <c r="AY275" s="24">
        <v>32.192724355092238</v>
      </c>
    </row>
    <row r="276" spans="1:51" x14ac:dyDescent="0.2">
      <c r="A276" s="23">
        <v>45322</v>
      </c>
      <c r="B276" s="24">
        <v>13.336059802683074</v>
      </c>
      <c r="C276" s="24">
        <v>20.672192562175564</v>
      </c>
      <c r="D276" s="24">
        <v>15.518376321839241</v>
      </c>
      <c r="E276" s="24">
        <v>22.86360588810803</v>
      </c>
      <c r="F276" s="24">
        <v>15.048093183941512</v>
      </c>
      <c r="G276" s="24">
        <v>21.120622750659614</v>
      </c>
      <c r="H276" s="24">
        <v>44.543740587820977</v>
      </c>
      <c r="I276" s="24">
        <v>42.067310443506962</v>
      </c>
      <c r="J276" s="24">
        <v>15.42524013265284</v>
      </c>
      <c r="K276" s="24">
        <v>31.870253021582027</v>
      </c>
      <c r="L276" s="24">
        <v>38.17543467255269</v>
      </c>
      <c r="M276" s="24">
        <v>21.676561387770086</v>
      </c>
      <c r="N276" s="24">
        <v>25.576344169760464</v>
      </c>
      <c r="O276" s="24">
        <v>23.46268308648057</v>
      </c>
      <c r="P276" s="24">
        <v>30.217339911790727</v>
      </c>
      <c r="Q276" s="24">
        <v>14.442971216251962</v>
      </c>
      <c r="R276" s="24">
        <v>33.98258557562135</v>
      </c>
      <c r="S276" s="24">
        <v>18.812774868181705</v>
      </c>
      <c r="T276" s="24">
        <v>23.038928303736245</v>
      </c>
      <c r="U276" s="24">
        <v>18.355112839568658</v>
      </c>
      <c r="V276" s="24">
        <v>12.796940873303864</v>
      </c>
      <c r="W276" s="24">
        <v>34.076040831228887</v>
      </c>
      <c r="X276" s="24">
        <v>12.454858373836904</v>
      </c>
      <c r="Y276" s="24">
        <v>23.842064701627372</v>
      </c>
      <c r="Z276" s="24">
        <v>48.361721914425793</v>
      </c>
      <c r="AA276" s="24">
        <v>23.62691496105916</v>
      </c>
      <c r="AB276" s="24">
        <v>49.938248169268718</v>
      </c>
      <c r="AC276" s="24">
        <v>28.704501596670589</v>
      </c>
      <c r="AD276" s="24">
        <v>32.036325031404949</v>
      </c>
      <c r="AE276" s="24">
        <v>53.890883351220275</v>
      </c>
      <c r="AF276" s="24">
        <v>24.231265822775313</v>
      </c>
      <c r="AG276" s="24">
        <v>12.62682829594122</v>
      </c>
      <c r="AH276" s="24">
        <v>26.826091801129241</v>
      </c>
      <c r="AI276" s="24">
        <v>34.10382926631106</v>
      </c>
      <c r="AJ276" s="24">
        <v>28.308842625895643</v>
      </c>
      <c r="AK276" s="24">
        <v>21.686660824860699</v>
      </c>
      <c r="AL276" s="24">
        <v>41.283652531407157</v>
      </c>
      <c r="AM276" s="24">
        <v>27.485284780409252</v>
      </c>
      <c r="AN276" s="24">
        <v>29.776664211293305</v>
      </c>
      <c r="AO276" s="24">
        <v>39.888187969003894</v>
      </c>
      <c r="AP276" s="24">
        <v>16.325098357565793</v>
      </c>
      <c r="AQ276" s="24">
        <v>21.336473742618715</v>
      </c>
      <c r="AR276" s="24">
        <v>18.051111830084931</v>
      </c>
      <c r="AS276" s="24">
        <v>24.049193100176829</v>
      </c>
      <c r="AT276" s="24">
        <v>28.217952877461677</v>
      </c>
      <c r="AU276" s="24">
        <v>26.658089466087223</v>
      </c>
      <c r="AV276" s="24">
        <v>29.796146527821254</v>
      </c>
      <c r="AW276" s="24">
        <v>29.160805137737725</v>
      </c>
      <c r="AX276" s="24">
        <v>14.907636317581778</v>
      </c>
      <c r="AY276" s="24">
        <v>32.171216889363897</v>
      </c>
    </row>
    <row r="277" spans="1:51" x14ac:dyDescent="0.2">
      <c r="A277" s="23">
        <v>45321</v>
      </c>
      <c r="B277" s="24">
        <v>13.479844998381006</v>
      </c>
      <c r="C277" s="24">
        <v>20.838656893630844</v>
      </c>
      <c r="D277" s="24">
        <v>16.277774159247326</v>
      </c>
      <c r="E277" s="24">
        <v>22.855419333108873</v>
      </c>
      <c r="F277" s="24">
        <v>15.248705932239769</v>
      </c>
      <c r="G277" s="24">
        <v>21.040856882149132</v>
      </c>
      <c r="H277" s="24">
        <v>44.529819267735078</v>
      </c>
      <c r="I277" s="24">
        <v>31.540749858611026</v>
      </c>
      <c r="J277" s="24">
        <v>14.484970111894777</v>
      </c>
      <c r="K277" s="24">
        <v>32.025696907361834</v>
      </c>
      <c r="L277" s="24">
        <v>38.062366604942795</v>
      </c>
      <c r="M277" s="24">
        <v>21.564767966849171</v>
      </c>
      <c r="N277" s="24">
        <v>25.599750605151094</v>
      </c>
      <c r="O277" s="24">
        <v>20.997950301969482</v>
      </c>
      <c r="P277" s="24">
        <v>29.984370486445602</v>
      </c>
      <c r="Q277" s="24">
        <v>13.888593537791429</v>
      </c>
      <c r="R277" s="24">
        <v>34.312268717603224</v>
      </c>
      <c r="S277" s="24">
        <v>18.883162398370573</v>
      </c>
      <c r="T277" s="24">
        <v>22.936118513171444</v>
      </c>
      <c r="U277" s="24">
        <v>18.428061696040825</v>
      </c>
      <c r="V277" s="24">
        <v>13.342050074866851</v>
      </c>
      <c r="W277" s="24">
        <v>33.658373631906493</v>
      </c>
      <c r="X277" s="24">
        <v>13.311415830012768</v>
      </c>
      <c r="Y277" s="24">
        <v>23.637161618364619</v>
      </c>
      <c r="Z277" s="24">
        <v>48.731936637109783</v>
      </c>
      <c r="AA277" s="24">
        <v>23.673191332996961</v>
      </c>
      <c r="AB277" s="24">
        <v>49.586690970210384</v>
      </c>
      <c r="AC277" s="24">
        <v>28.765021715336974</v>
      </c>
      <c r="AD277" s="24">
        <v>32.037412675131769</v>
      </c>
      <c r="AE277" s="24">
        <v>52.932832441171023</v>
      </c>
      <c r="AF277" s="24">
        <v>25.084589221718641</v>
      </c>
      <c r="AG277" s="24">
        <v>12.71656587928538</v>
      </c>
      <c r="AH277" s="24">
        <v>26.898790149582393</v>
      </c>
      <c r="AI277" s="24">
        <v>34.073316961727485</v>
      </c>
      <c r="AJ277" s="24">
        <v>26.867566785676395</v>
      </c>
      <c r="AK277" s="24">
        <v>21.616825372296937</v>
      </c>
      <c r="AL277" s="24">
        <v>41.416152768858566</v>
      </c>
      <c r="AM277" s="24">
        <v>27.643297562929408</v>
      </c>
      <c r="AN277" s="24">
        <v>29.782811285661751</v>
      </c>
      <c r="AO277" s="24">
        <v>39.873752238958915</v>
      </c>
      <c r="AP277" s="24">
        <v>15.831991936541979</v>
      </c>
      <c r="AQ277" s="24">
        <v>21.762243205135487</v>
      </c>
      <c r="AR277" s="24">
        <v>17.958561301195623</v>
      </c>
      <c r="AS277" s="24">
        <v>22.007249894808968</v>
      </c>
      <c r="AT277" s="24">
        <v>27.942809147167843</v>
      </c>
      <c r="AU277" s="24">
        <v>25.829147386061969</v>
      </c>
      <c r="AV277" s="24">
        <v>29.739623989330987</v>
      </c>
      <c r="AW277" s="24">
        <v>27.10011405823246</v>
      </c>
      <c r="AX277" s="24">
        <v>15.063309299296016</v>
      </c>
      <c r="AY277" s="24">
        <v>30.496278797784459</v>
      </c>
    </row>
    <row r="278" spans="1:51" x14ac:dyDescent="0.2">
      <c r="A278" s="23">
        <v>45320</v>
      </c>
      <c r="B278" s="24">
        <v>13.056672936867075</v>
      </c>
      <c r="C278" s="24">
        <v>21.015235066096114</v>
      </c>
      <c r="D278" s="24">
        <v>15.815998190094561</v>
      </c>
      <c r="E278" s="24">
        <v>22.199285271844012</v>
      </c>
      <c r="F278" s="24">
        <v>14.250555964735804</v>
      </c>
      <c r="G278" s="24">
        <v>20.711596354511414</v>
      </c>
      <c r="H278" s="24">
        <v>44.439222778672736</v>
      </c>
      <c r="I278" s="24">
        <v>31.028150669437334</v>
      </c>
      <c r="J278" s="24">
        <v>14.11863183032715</v>
      </c>
      <c r="K278" s="24">
        <v>31.005779211089813</v>
      </c>
      <c r="L278" s="24">
        <v>37.742256712772722</v>
      </c>
      <c r="M278" s="24">
        <v>21.733027428652182</v>
      </c>
      <c r="N278" s="24">
        <v>25.702887867367235</v>
      </c>
      <c r="O278" s="24">
        <v>23.053929093353343</v>
      </c>
      <c r="P278" s="24">
        <v>30.21614187448505</v>
      </c>
      <c r="Q278" s="24">
        <v>14.340213522178901</v>
      </c>
      <c r="R278" s="24">
        <v>34.331275104553974</v>
      </c>
      <c r="S278" s="24">
        <v>18.50667190286152</v>
      </c>
      <c r="T278" s="24">
        <v>22.908819324506112</v>
      </c>
      <c r="U278" s="24">
        <v>18.090392613816277</v>
      </c>
      <c r="V278" s="24">
        <v>12.914984943304757</v>
      </c>
      <c r="W278" s="24">
        <v>30.173992353030386</v>
      </c>
      <c r="X278" s="24">
        <v>34.757316829471982</v>
      </c>
      <c r="Y278" s="24">
        <v>23.62993707419043</v>
      </c>
      <c r="Z278" s="24">
        <v>53.107156458084944</v>
      </c>
      <c r="AA278" s="24">
        <v>24.171706897969784</v>
      </c>
      <c r="AB278" s="24">
        <v>44.306710443504777</v>
      </c>
      <c r="AC278" s="24">
        <v>28.050297568337065</v>
      </c>
      <c r="AD278" s="24">
        <v>31.850751677296717</v>
      </c>
      <c r="AE278" s="24">
        <v>44.632852814797182</v>
      </c>
      <c r="AF278" s="24">
        <v>26.020081734837849</v>
      </c>
      <c r="AG278" s="24">
        <v>12.082441874758475</v>
      </c>
      <c r="AH278" s="24">
        <v>27.36753103183619</v>
      </c>
      <c r="AI278" s="24">
        <v>33.817924360380971</v>
      </c>
      <c r="AJ278" s="24">
        <v>26.974053592783171</v>
      </c>
      <c r="AK278" s="24">
        <v>21.62197430358442</v>
      </c>
      <c r="AL278" s="24">
        <v>40.385153966558455</v>
      </c>
      <c r="AM278" s="24">
        <v>27.552261711560902</v>
      </c>
      <c r="AN278" s="24">
        <v>30.451440922412239</v>
      </c>
      <c r="AO278" s="24">
        <v>36.213295014399534</v>
      </c>
      <c r="AP278" s="24">
        <v>16.006698392303495</v>
      </c>
      <c r="AQ278" s="24">
        <v>21.981620373033273</v>
      </c>
      <c r="AR278" s="24">
        <v>17.726869293991975</v>
      </c>
      <c r="AS278" s="24">
        <v>22.73790523129566</v>
      </c>
      <c r="AT278" s="24">
        <v>28.604454444827685</v>
      </c>
      <c r="AU278" s="24">
        <v>25.441792618403799</v>
      </c>
      <c r="AV278" s="24">
        <v>30.640533183137254</v>
      </c>
      <c r="AW278" s="24">
        <v>26.568119709857349</v>
      </c>
      <c r="AX278" s="24">
        <v>13.877065982171786</v>
      </c>
      <c r="AY278" s="24">
        <v>22.294276570735349</v>
      </c>
    </row>
    <row r="279" spans="1:51" x14ac:dyDescent="0.2">
      <c r="A279" s="23">
        <v>45317</v>
      </c>
      <c r="B279" s="24">
        <v>12.551118534096043</v>
      </c>
      <c r="C279" s="24">
        <v>20.72541297424134</v>
      </c>
      <c r="D279" s="24">
        <v>15.441471131512349</v>
      </c>
      <c r="E279" s="24">
        <v>22.626444772661532</v>
      </c>
      <c r="F279" s="24">
        <v>14.105727045826503</v>
      </c>
      <c r="G279" s="24">
        <v>20.749110085485917</v>
      </c>
      <c r="H279" s="24">
        <v>43.924499603868867</v>
      </c>
      <c r="I279" s="24">
        <v>30.618315360310195</v>
      </c>
      <c r="J279" s="24">
        <v>14.720374286558801</v>
      </c>
      <c r="K279" s="24">
        <v>28.125943585081348</v>
      </c>
      <c r="L279" s="24">
        <v>37.614108036738017</v>
      </c>
      <c r="M279" s="24">
        <v>21.561333608634126</v>
      </c>
      <c r="N279" s="24">
        <v>25.859773723498417</v>
      </c>
      <c r="O279" s="24">
        <v>22.740726757688236</v>
      </c>
      <c r="P279" s="24">
        <v>30.315799619677712</v>
      </c>
      <c r="Q279" s="24">
        <v>14.273466754054256</v>
      </c>
      <c r="R279" s="24">
        <v>34.403579231130436</v>
      </c>
      <c r="S279" s="24">
        <v>17.672119165259641</v>
      </c>
      <c r="T279" s="24">
        <v>22.734158033016634</v>
      </c>
      <c r="U279" s="24">
        <v>17.303665447283464</v>
      </c>
      <c r="V279" s="24">
        <v>12.492243085156572</v>
      </c>
      <c r="W279" s="24">
        <v>29.547249049106355</v>
      </c>
      <c r="X279" s="24">
        <v>48.512339982505942</v>
      </c>
      <c r="Y279" s="24">
        <v>23.864042031214876</v>
      </c>
      <c r="Z279" s="24">
        <v>50.05532468192569</v>
      </c>
      <c r="AA279" s="24">
        <v>23.726245783142609</v>
      </c>
      <c r="AB279" s="24">
        <v>44.33333917258733</v>
      </c>
      <c r="AC279" s="24">
        <v>24.99094568744411</v>
      </c>
      <c r="AD279" s="24">
        <v>31.275137470110252</v>
      </c>
      <c r="AE279" s="24">
        <v>45.356566835960727</v>
      </c>
      <c r="AF279" s="24">
        <v>28.075435945183234</v>
      </c>
      <c r="AG279" s="24">
        <v>12.650198750440156</v>
      </c>
      <c r="AH279" s="24">
        <v>19.719587845238525</v>
      </c>
      <c r="AI279" s="24">
        <v>37.528853403998845</v>
      </c>
      <c r="AJ279" s="24">
        <v>26.670794312736355</v>
      </c>
      <c r="AK279" s="24">
        <v>21.455191266369692</v>
      </c>
      <c r="AL279" s="24">
        <v>40.263197736200851</v>
      </c>
      <c r="AM279" s="24">
        <v>27.516129414004325</v>
      </c>
      <c r="AN279" s="24">
        <v>30.330243384567186</v>
      </c>
      <c r="AO279" s="24">
        <v>35.217632445217298</v>
      </c>
      <c r="AP279" s="24">
        <v>14.980687272277871</v>
      </c>
      <c r="AQ279" s="24">
        <v>17.561379887009338</v>
      </c>
      <c r="AR279" s="24">
        <v>17.758989899167304</v>
      </c>
      <c r="AS279" s="24">
        <v>22.354465836142296</v>
      </c>
      <c r="AT279" s="24">
        <v>28.669845236263832</v>
      </c>
      <c r="AU279" s="24">
        <v>25.981508328878746</v>
      </c>
      <c r="AV279" s="24">
        <v>30.647506835676605</v>
      </c>
      <c r="AW279" s="24">
        <v>26.423566618328508</v>
      </c>
      <c r="AX279" s="24">
        <v>13.61310854694271</v>
      </c>
      <c r="AY279" s="24">
        <v>21.265935345934079</v>
      </c>
    </row>
    <row r="280" spans="1:51" x14ac:dyDescent="0.2">
      <c r="A280" s="23">
        <v>45316</v>
      </c>
      <c r="B280" s="24">
        <v>12.801124856120774</v>
      </c>
      <c r="C280" s="24">
        <v>24.403575410707862</v>
      </c>
      <c r="D280" s="24">
        <v>16.131267497990216</v>
      </c>
      <c r="E280" s="24">
        <v>23.239786560689236</v>
      </c>
      <c r="F280" s="24">
        <v>13.200483300662217</v>
      </c>
      <c r="G280" s="24">
        <v>19.091216708424863</v>
      </c>
      <c r="H280" s="24">
        <v>39.766464378799363</v>
      </c>
      <c r="I280" s="24">
        <v>35.036335181145169</v>
      </c>
      <c r="J280" s="24">
        <v>16.249880832450962</v>
      </c>
      <c r="K280" s="24">
        <v>30.085854365201186</v>
      </c>
      <c r="L280" s="24">
        <v>40.703350072957036</v>
      </c>
      <c r="M280" s="24">
        <v>24.077799841755905</v>
      </c>
      <c r="N280" s="24">
        <v>24.834052727114585</v>
      </c>
      <c r="O280" s="24">
        <v>23.34274261622166</v>
      </c>
      <c r="P280" s="24">
        <v>30.235525922082189</v>
      </c>
      <c r="Q280" s="24">
        <v>14.722555808425334</v>
      </c>
      <c r="R280" s="24">
        <v>34.256588240419383</v>
      </c>
      <c r="S280" s="24">
        <v>16.627100630186234</v>
      </c>
      <c r="T280" s="24">
        <v>28.520759968828916</v>
      </c>
      <c r="U280" s="24">
        <v>17.662420629822503</v>
      </c>
      <c r="V280" s="24">
        <v>12.864374023404743</v>
      </c>
      <c r="W280" s="24">
        <v>31.088511175226504</v>
      </c>
      <c r="X280" s="24">
        <v>48.620530776077366</v>
      </c>
      <c r="Y280" s="24">
        <v>23.275026532724873</v>
      </c>
      <c r="Z280" s="24">
        <v>51.734890902775085</v>
      </c>
      <c r="AA280" s="24">
        <v>24.649599205891658</v>
      </c>
      <c r="AB280" s="24">
        <v>42.336398163677444</v>
      </c>
      <c r="AC280" s="24">
        <v>24.986929376269241</v>
      </c>
      <c r="AD280" s="24">
        <v>34.125134964353485</v>
      </c>
      <c r="AE280" s="24">
        <v>42.010949588252082</v>
      </c>
      <c r="AF280" s="24">
        <v>29.842652367687215</v>
      </c>
      <c r="AG280" s="24">
        <v>12.325710641931924</v>
      </c>
      <c r="AH280" s="24">
        <v>20.563175577951387</v>
      </c>
      <c r="AI280" s="24">
        <v>36.003816144319529</v>
      </c>
      <c r="AJ280" s="24">
        <v>26.795395211148531</v>
      </c>
      <c r="AK280" s="24">
        <v>21.764210573695948</v>
      </c>
      <c r="AL280" s="24">
        <v>43.663135616642876</v>
      </c>
      <c r="AM280" s="24">
        <v>28.236445483498759</v>
      </c>
      <c r="AN280" s="24">
        <v>32.659891373845532</v>
      </c>
      <c r="AO280" s="24">
        <v>35.075861572183648</v>
      </c>
      <c r="AP280" s="24">
        <v>15.728789290307738</v>
      </c>
      <c r="AQ280" s="24">
        <v>17.667321002028931</v>
      </c>
      <c r="AR280" s="24">
        <v>21.196397017567953</v>
      </c>
      <c r="AS280" s="24">
        <v>27.453462955139827</v>
      </c>
      <c r="AT280" s="24">
        <v>28.964081125312703</v>
      </c>
      <c r="AU280" s="24">
        <v>27.42277349705347</v>
      </c>
      <c r="AV280" s="24">
        <v>30.654004527445895</v>
      </c>
      <c r="AW280" s="24">
        <v>29.274011386005572</v>
      </c>
      <c r="AX280" s="24">
        <v>12.426801724958445</v>
      </c>
      <c r="AY280" s="24">
        <v>22.691900563839809</v>
      </c>
    </row>
    <row r="281" spans="1:51" x14ac:dyDescent="0.2">
      <c r="A281" s="23">
        <v>45315</v>
      </c>
      <c r="B281" s="24">
        <v>12.598147502391409</v>
      </c>
      <c r="C281" s="24">
        <v>24.214882620707698</v>
      </c>
      <c r="D281" s="24">
        <v>15.61952644322764</v>
      </c>
      <c r="E281" s="24">
        <v>21.405738003996227</v>
      </c>
      <c r="F281" s="24">
        <v>13.500378068588812</v>
      </c>
      <c r="G281" s="24">
        <v>18.724654605804396</v>
      </c>
      <c r="H281" s="24">
        <v>22.756987725510939</v>
      </c>
      <c r="I281" s="24">
        <v>35.07979358546001</v>
      </c>
      <c r="J281" s="24">
        <v>14.48171419652045</v>
      </c>
      <c r="K281" s="24">
        <v>29.984354518762704</v>
      </c>
      <c r="L281" s="24">
        <v>34.357647323868015</v>
      </c>
      <c r="M281" s="24">
        <v>22.793358386415861</v>
      </c>
      <c r="N281" s="24">
        <v>18.813879807397985</v>
      </c>
      <c r="O281" s="24">
        <v>23.181316336092962</v>
      </c>
      <c r="P281" s="24">
        <v>20.87498732197475</v>
      </c>
      <c r="Q281" s="24">
        <v>14.685771040171733</v>
      </c>
      <c r="R281" s="24">
        <v>22.828262042882677</v>
      </c>
      <c r="S281" s="24">
        <v>15.88712399571283</v>
      </c>
      <c r="T281" s="24">
        <v>27.041183967668939</v>
      </c>
      <c r="U281" s="24">
        <v>14.414646601903945</v>
      </c>
      <c r="V281" s="24">
        <v>12.502453351024911</v>
      </c>
      <c r="W281" s="24">
        <v>26.33911548359999</v>
      </c>
      <c r="X281" s="24">
        <v>48.571986075310804</v>
      </c>
      <c r="Y281" s="24">
        <v>21.89412117734015</v>
      </c>
      <c r="Z281" s="24">
        <v>50.083869627640183</v>
      </c>
      <c r="AA281" s="24">
        <v>24.651341215591327</v>
      </c>
      <c r="AB281" s="24">
        <v>42.448930645986749</v>
      </c>
      <c r="AC281" s="24">
        <v>22.791561532111118</v>
      </c>
      <c r="AD281" s="24">
        <v>34.712352302057603</v>
      </c>
      <c r="AE281" s="24">
        <v>41.972554177877278</v>
      </c>
      <c r="AF281" s="24">
        <v>28.735988043619717</v>
      </c>
      <c r="AG281" s="24">
        <v>12.138531179332684</v>
      </c>
      <c r="AH281" s="24">
        <v>20.880746969130794</v>
      </c>
      <c r="AI281" s="24">
        <v>36.371585330026768</v>
      </c>
      <c r="AJ281" s="24">
        <v>25.873298462681493</v>
      </c>
      <c r="AK281" s="24">
        <v>20.620265416490838</v>
      </c>
      <c r="AL281" s="24">
        <v>34.080772572631865</v>
      </c>
      <c r="AM281" s="24">
        <v>24.439732358832753</v>
      </c>
      <c r="AN281" s="24">
        <v>31.722895669628375</v>
      </c>
      <c r="AO281" s="24">
        <v>39.735331309370302</v>
      </c>
      <c r="AP281" s="24">
        <v>15.740431469043552</v>
      </c>
      <c r="AQ281" s="24">
        <v>17.782856260934576</v>
      </c>
      <c r="AR281" s="24">
        <v>20.36155660889267</v>
      </c>
      <c r="AS281" s="24">
        <v>27.387942356114291</v>
      </c>
      <c r="AT281" s="24">
        <v>24.413431929783201</v>
      </c>
      <c r="AU281" s="24">
        <v>25.459458493063327</v>
      </c>
      <c r="AV281" s="24">
        <v>28.661640347666566</v>
      </c>
      <c r="AW281" s="24">
        <v>29.370441120583905</v>
      </c>
      <c r="AX281" s="24">
        <v>11.538138991865354</v>
      </c>
      <c r="AY281" s="24">
        <v>21.683314538819147</v>
      </c>
    </row>
    <row r="282" spans="1:51" x14ac:dyDescent="0.2">
      <c r="A282" s="23">
        <v>45314</v>
      </c>
      <c r="B282" s="24">
        <v>11.437522612219544</v>
      </c>
      <c r="C282" s="24">
        <v>24.125749127323822</v>
      </c>
      <c r="D282" s="24">
        <v>14.210979117668824</v>
      </c>
      <c r="E282" s="24">
        <v>21.060649812376898</v>
      </c>
      <c r="F282" s="24">
        <v>11.75655647302132</v>
      </c>
      <c r="G282" s="24">
        <v>15.45616954097795</v>
      </c>
      <c r="H282" s="24">
        <v>19.513738416031163</v>
      </c>
      <c r="I282" s="24">
        <v>35.190777742721096</v>
      </c>
      <c r="J282" s="24">
        <v>15.333220288135863</v>
      </c>
      <c r="K282" s="24">
        <v>29.923060470085733</v>
      </c>
      <c r="L282" s="24">
        <v>28.645543735103903</v>
      </c>
      <c r="M282" s="24">
        <v>21.705595225980716</v>
      </c>
      <c r="N282" s="24">
        <v>16.364328573986779</v>
      </c>
      <c r="O282" s="24">
        <v>22.335630735867795</v>
      </c>
      <c r="P282" s="24">
        <v>19.204435416472791</v>
      </c>
      <c r="Q282" s="24">
        <v>11.697391914807008</v>
      </c>
      <c r="R282" s="24">
        <v>19.357462699446174</v>
      </c>
      <c r="S282" s="24">
        <v>15.433750294922971</v>
      </c>
      <c r="T282" s="24">
        <v>26.897096894478693</v>
      </c>
      <c r="U282" s="24">
        <v>14.442111550515353</v>
      </c>
      <c r="V282" s="24">
        <v>11.212534861349347</v>
      </c>
      <c r="W282" s="24">
        <v>25.660799970538548</v>
      </c>
      <c r="X282" s="24">
        <v>48.44849932100599</v>
      </c>
      <c r="Y282" s="24">
        <v>20.934890016177246</v>
      </c>
      <c r="Z282" s="24">
        <v>50.93242164861104</v>
      </c>
      <c r="AA282" s="24">
        <v>21.172929446438779</v>
      </c>
      <c r="AB282" s="24">
        <v>43.243276783514368</v>
      </c>
      <c r="AC282" s="24">
        <v>22.135655783493696</v>
      </c>
      <c r="AD282" s="24">
        <v>30.704307520704049</v>
      </c>
      <c r="AE282" s="24">
        <v>42.287599541902345</v>
      </c>
      <c r="AF282" s="24">
        <v>27.480311676126036</v>
      </c>
      <c r="AG282" s="24">
        <v>11.317438472243008</v>
      </c>
      <c r="AH282" s="24">
        <v>18.925913520116602</v>
      </c>
      <c r="AI282" s="24">
        <v>36.583739288156551</v>
      </c>
      <c r="AJ282" s="24">
        <v>25.674409524370112</v>
      </c>
      <c r="AK282" s="24">
        <v>17.092544710741862</v>
      </c>
      <c r="AL282" s="24">
        <v>29.111532617619993</v>
      </c>
      <c r="AM282" s="24">
        <v>18.19437135728348</v>
      </c>
      <c r="AN282" s="24">
        <v>31.708513499110623</v>
      </c>
      <c r="AO282" s="24">
        <v>40.744352684438418</v>
      </c>
      <c r="AP282" s="24">
        <v>15.056758486590715</v>
      </c>
      <c r="AQ282" s="24">
        <v>16.689753074227173</v>
      </c>
      <c r="AR282" s="24">
        <v>19.683159816481727</v>
      </c>
      <c r="AS282" s="24">
        <v>26.896152932813749</v>
      </c>
      <c r="AT282" s="24">
        <v>14.561491247646291</v>
      </c>
      <c r="AU282" s="24">
        <v>24.991521346732913</v>
      </c>
      <c r="AV282" s="24">
        <v>27.158103325558503</v>
      </c>
      <c r="AW282" s="24">
        <v>28.219494557258724</v>
      </c>
      <c r="AX282" s="24">
        <v>10.791217216584169</v>
      </c>
      <c r="AY282" s="24">
        <v>21.160063323673953</v>
      </c>
    </row>
    <row r="283" spans="1:51" x14ac:dyDescent="0.2">
      <c r="A283" s="23">
        <v>45313</v>
      </c>
      <c r="B283" s="24">
        <v>11.487053431136573</v>
      </c>
      <c r="C283" s="24">
        <v>23.690451724809797</v>
      </c>
      <c r="D283" s="24">
        <v>14.480049964930883</v>
      </c>
      <c r="E283" s="24">
        <v>20.305161352221816</v>
      </c>
      <c r="F283" s="24">
        <v>11.895283537353558</v>
      </c>
      <c r="G283" s="24">
        <v>15.604259304843858</v>
      </c>
      <c r="H283" s="24">
        <v>19.831952578585184</v>
      </c>
      <c r="I283" s="24">
        <v>35.121062859470371</v>
      </c>
      <c r="J283" s="24">
        <v>14.834042944172808</v>
      </c>
      <c r="K283" s="24">
        <v>29.44117800540905</v>
      </c>
      <c r="L283" s="24">
        <v>28.564073812857924</v>
      </c>
      <c r="M283" s="24">
        <v>21.679690817724083</v>
      </c>
      <c r="N283" s="24">
        <v>16.356888064294214</v>
      </c>
      <c r="O283" s="24">
        <v>21.73018708777078</v>
      </c>
      <c r="P283" s="24">
        <v>18.839648662265624</v>
      </c>
      <c r="Q283" s="24">
        <v>12.185081436700578</v>
      </c>
      <c r="R283" s="24">
        <v>19.578696760543533</v>
      </c>
      <c r="S283" s="24">
        <v>14.465765334795162</v>
      </c>
      <c r="T283" s="24">
        <v>27.113267178444811</v>
      </c>
      <c r="U283" s="24">
        <v>14.504745267108019</v>
      </c>
      <c r="V283" s="24">
        <v>11.149958060557941</v>
      </c>
      <c r="W283" s="24">
        <v>26.931218543367898</v>
      </c>
      <c r="X283" s="24">
        <v>48.362763835155974</v>
      </c>
      <c r="Y283" s="24">
        <v>21.159630259042316</v>
      </c>
      <c r="Z283" s="24">
        <v>50.970922396234791</v>
      </c>
      <c r="AA283" s="24">
        <v>17.503759329718601</v>
      </c>
      <c r="AB283" s="24">
        <v>42.763388160245391</v>
      </c>
      <c r="AC283" s="24">
        <v>22.034365909214717</v>
      </c>
      <c r="AD283" s="24">
        <v>28.919123293469884</v>
      </c>
      <c r="AE283" s="24">
        <v>46.766824339967727</v>
      </c>
      <c r="AF283" s="24">
        <v>27.729184412919519</v>
      </c>
      <c r="AG283" s="24">
        <v>11.209200927881092</v>
      </c>
      <c r="AH283" s="24">
        <v>18.901614905627106</v>
      </c>
      <c r="AI283" s="24">
        <v>36.700850724223763</v>
      </c>
      <c r="AJ283" s="24">
        <v>25.561465224336843</v>
      </c>
      <c r="AK283" s="24">
        <v>15.774365266990005</v>
      </c>
      <c r="AL283" s="24">
        <v>29.239551440348521</v>
      </c>
      <c r="AM283" s="24">
        <v>17.745171570543221</v>
      </c>
      <c r="AN283" s="24">
        <v>32.948018881755559</v>
      </c>
      <c r="AO283" s="24">
        <v>40.800238887783799</v>
      </c>
      <c r="AP283" s="24">
        <v>14.857024535047897</v>
      </c>
      <c r="AQ283" s="24">
        <v>16.726510409114159</v>
      </c>
      <c r="AR283" s="24">
        <v>19.527138301946998</v>
      </c>
      <c r="AS283" s="24">
        <v>27.398607277425086</v>
      </c>
      <c r="AT283" s="24">
        <v>14.771418242466879</v>
      </c>
      <c r="AU283" s="24">
        <v>24.834260756773546</v>
      </c>
      <c r="AV283" s="24">
        <v>29.750765936561521</v>
      </c>
      <c r="AW283" s="24">
        <v>27.609198518566387</v>
      </c>
      <c r="AX283" s="24">
        <v>10.937739338348612</v>
      </c>
      <c r="AY283" s="24">
        <v>21.027585701214015</v>
      </c>
    </row>
    <row r="284" spans="1:51" x14ac:dyDescent="0.2">
      <c r="A284" s="23">
        <v>45310</v>
      </c>
      <c r="B284" s="24">
        <v>11.536920725873342</v>
      </c>
      <c r="C284" s="24">
        <v>23.62075746855901</v>
      </c>
      <c r="D284" s="24">
        <v>14.575200602152197</v>
      </c>
      <c r="E284" s="24">
        <v>20.648492131247743</v>
      </c>
      <c r="F284" s="24">
        <v>11.89342235776061</v>
      </c>
      <c r="G284" s="24">
        <v>15.394688554565089</v>
      </c>
      <c r="H284" s="24">
        <v>19.256707005571993</v>
      </c>
      <c r="I284" s="24">
        <v>35.351472120797958</v>
      </c>
      <c r="J284" s="24">
        <v>14.311140135888326</v>
      </c>
      <c r="K284" s="24">
        <v>28.98216931542968</v>
      </c>
      <c r="L284" s="24">
        <v>28.750398853437368</v>
      </c>
      <c r="M284" s="24">
        <v>21.703716291187227</v>
      </c>
      <c r="N284" s="24">
        <v>16.621190336163249</v>
      </c>
      <c r="O284" s="24">
        <v>22.109189476010393</v>
      </c>
      <c r="P284" s="24">
        <v>18.841323738015458</v>
      </c>
      <c r="Q284" s="24">
        <v>11.404001825133957</v>
      </c>
      <c r="R284" s="24">
        <v>20.508893537123029</v>
      </c>
      <c r="S284" s="24">
        <v>13.647017234988844</v>
      </c>
      <c r="T284" s="24">
        <v>26.755911590697881</v>
      </c>
      <c r="U284" s="24">
        <v>14.505265760388975</v>
      </c>
      <c r="V284" s="24">
        <v>11.168148394733926</v>
      </c>
      <c r="W284" s="24">
        <v>26.93337906094181</v>
      </c>
      <c r="X284" s="24">
        <v>48.436177176017196</v>
      </c>
      <c r="Y284" s="24">
        <v>20.147402341052988</v>
      </c>
      <c r="Z284" s="24">
        <v>51.062422660442635</v>
      </c>
      <c r="AA284" s="24">
        <v>16.670661022780727</v>
      </c>
      <c r="AB284" s="24">
        <v>43.153924979898591</v>
      </c>
      <c r="AC284" s="24">
        <v>21.72349225673797</v>
      </c>
      <c r="AD284" s="24">
        <v>28.208311652135368</v>
      </c>
      <c r="AE284" s="24">
        <v>46.646709302729036</v>
      </c>
      <c r="AF284" s="24">
        <v>26.505749478778803</v>
      </c>
      <c r="AG284" s="24">
        <v>11.220506538835807</v>
      </c>
      <c r="AH284" s="24">
        <v>18.874564292208635</v>
      </c>
      <c r="AI284" s="24">
        <v>36.573779007702065</v>
      </c>
      <c r="AJ284" s="24">
        <v>25.348220013775297</v>
      </c>
      <c r="AK284" s="24">
        <v>15.229567715473211</v>
      </c>
      <c r="AL284" s="24">
        <v>29.748791178911873</v>
      </c>
      <c r="AM284" s="24">
        <v>16.776158601228538</v>
      </c>
      <c r="AN284" s="24">
        <v>32.767173434230948</v>
      </c>
      <c r="AO284" s="24">
        <v>41.710574452798262</v>
      </c>
      <c r="AP284" s="24">
        <v>16.006587985201914</v>
      </c>
      <c r="AQ284" s="24">
        <v>16.215311266957389</v>
      </c>
      <c r="AR284" s="24">
        <v>19.387705122044188</v>
      </c>
      <c r="AS284" s="24">
        <v>28.086913922115453</v>
      </c>
      <c r="AT284" s="24">
        <v>14.54973056554298</v>
      </c>
      <c r="AU284" s="24">
        <v>25.091369438620514</v>
      </c>
      <c r="AV284" s="24">
        <v>29.927036984720189</v>
      </c>
      <c r="AW284" s="24">
        <v>27.612782439625747</v>
      </c>
      <c r="AX284" s="24">
        <v>10.020548950155844</v>
      </c>
      <c r="AY284" s="24">
        <v>20.307078341939963</v>
      </c>
    </row>
    <row r="285" spans="1:51" x14ac:dyDescent="0.2">
      <c r="A285" s="23">
        <v>45309</v>
      </c>
      <c r="B285" s="24">
        <v>11.231861990366937</v>
      </c>
      <c r="C285" s="24">
        <v>23.404434843006442</v>
      </c>
      <c r="D285" s="24">
        <v>14.699255635683841</v>
      </c>
      <c r="E285" s="24">
        <v>21.793180574002768</v>
      </c>
      <c r="F285" s="24">
        <v>11.662457788678376</v>
      </c>
      <c r="G285" s="24">
        <v>14.990943454675667</v>
      </c>
      <c r="H285" s="24">
        <v>18.958878669889238</v>
      </c>
      <c r="I285" s="24">
        <v>37.910055535221069</v>
      </c>
      <c r="J285" s="24">
        <v>15.967654237077518</v>
      </c>
      <c r="K285" s="24">
        <v>30.237629631801088</v>
      </c>
      <c r="L285" s="24">
        <v>28.764823541290355</v>
      </c>
      <c r="M285" s="24">
        <v>21.848180660341772</v>
      </c>
      <c r="N285" s="24">
        <v>16.538881013354469</v>
      </c>
      <c r="O285" s="24">
        <v>20.095550349866038</v>
      </c>
      <c r="P285" s="24">
        <v>18.909104500899193</v>
      </c>
      <c r="Q285" s="24">
        <v>11.368970723236121</v>
      </c>
      <c r="R285" s="24">
        <v>20.576322305077372</v>
      </c>
      <c r="S285" s="24">
        <v>14.283080016591926</v>
      </c>
      <c r="T285" s="24">
        <v>27.198407759900473</v>
      </c>
      <c r="U285" s="24">
        <v>14.22446345185141</v>
      </c>
      <c r="V285" s="24">
        <v>11.115350661494551</v>
      </c>
      <c r="W285" s="24">
        <v>26.72408438626363</v>
      </c>
      <c r="X285" s="24">
        <v>48.517915425632808</v>
      </c>
      <c r="Y285" s="24">
        <v>20.049197941884309</v>
      </c>
      <c r="Z285" s="24">
        <v>49.295718190900537</v>
      </c>
      <c r="AA285" s="24">
        <v>16.872520091187894</v>
      </c>
      <c r="AB285" s="24">
        <v>45.359584803566349</v>
      </c>
      <c r="AC285" s="24">
        <v>21.727408611213516</v>
      </c>
      <c r="AD285" s="24">
        <v>28.314808468851105</v>
      </c>
      <c r="AE285" s="24">
        <v>47.637715191916364</v>
      </c>
      <c r="AF285" s="24">
        <v>26.521767720607873</v>
      </c>
      <c r="AG285" s="24">
        <v>11.311425152577616</v>
      </c>
      <c r="AH285" s="24">
        <v>18.007795925959353</v>
      </c>
      <c r="AI285" s="24">
        <v>35.262975711838152</v>
      </c>
      <c r="AJ285" s="24">
        <v>25.466782357278301</v>
      </c>
      <c r="AK285" s="24">
        <v>15.178010831645947</v>
      </c>
      <c r="AL285" s="24">
        <v>29.650871977964513</v>
      </c>
      <c r="AM285" s="24">
        <v>16.83547509792449</v>
      </c>
      <c r="AN285" s="24">
        <v>34.389061878854946</v>
      </c>
      <c r="AO285" s="24">
        <v>41.719402917237453</v>
      </c>
      <c r="AP285" s="24">
        <v>16.243387845221449</v>
      </c>
      <c r="AQ285" s="24">
        <v>17.350430533334254</v>
      </c>
      <c r="AR285" s="24">
        <v>20.069528545645593</v>
      </c>
      <c r="AS285" s="24">
        <v>30.655154112937506</v>
      </c>
      <c r="AT285" s="24">
        <v>15.047630640029103</v>
      </c>
      <c r="AU285" s="24">
        <v>25.450829122018622</v>
      </c>
      <c r="AV285" s="24">
        <v>29.964845512160501</v>
      </c>
      <c r="AW285" s="24">
        <v>29.474880694441779</v>
      </c>
      <c r="AX285" s="24">
        <v>10.055365721377463</v>
      </c>
      <c r="AY285" s="24">
        <v>20.40099971730174</v>
      </c>
    </row>
    <row r="286" spans="1:51" x14ac:dyDescent="0.2">
      <c r="A286" s="23">
        <v>45308</v>
      </c>
      <c r="B286" s="24">
        <v>11.220928817901092</v>
      </c>
      <c r="C286" s="24">
        <v>21.899936931973848</v>
      </c>
      <c r="D286" s="24">
        <v>14.700645665762208</v>
      </c>
      <c r="E286" s="24">
        <v>20.730648030178756</v>
      </c>
      <c r="F286" s="24">
        <v>11.667217863085106</v>
      </c>
      <c r="G286" s="24">
        <v>14.950027949539985</v>
      </c>
      <c r="H286" s="24">
        <v>18.923499256468457</v>
      </c>
      <c r="I286" s="24">
        <v>37.627642585811749</v>
      </c>
      <c r="J286" s="24">
        <v>16.229575074952006</v>
      </c>
      <c r="K286" s="24">
        <v>30.113585081370378</v>
      </c>
      <c r="L286" s="24">
        <v>29.142919791078651</v>
      </c>
      <c r="M286" s="24">
        <v>19.968677547676872</v>
      </c>
      <c r="N286" s="24">
        <v>16.58656162670362</v>
      </c>
      <c r="O286" s="24">
        <v>19.960070580181618</v>
      </c>
      <c r="P286" s="24">
        <v>18.715333307539115</v>
      </c>
      <c r="Q286" s="24">
        <v>11.974545071415907</v>
      </c>
      <c r="R286" s="24">
        <v>20.288251348483403</v>
      </c>
      <c r="S286" s="24">
        <v>14.188091977746106</v>
      </c>
      <c r="T286" s="24">
        <v>25.88126258912591</v>
      </c>
      <c r="U286" s="24">
        <v>14.557092353938236</v>
      </c>
      <c r="V286" s="24">
        <v>11.115413415691549</v>
      </c>
      <c r="W286" s="24">
        <v>24.432411404614591</v>
      </c>
      <c r="X286" s="24">
        <v>48.207380612041042</v>
      </c>
      <c r="Y286" s="24">
        <v>20.697282045916563</v>
      </c>
      <c r="Z286" s="24">
        <v>41.031979830279177</v>
      </c>
      <c r="AA286" s="24">
        <v>17.481185495947717</v>
      </c>
      <c r="AB286" s="24">
        <v>39.083770804771284</v>
      </c>
      <c r="AC286" s="24">
        <v>21.530614971877998</v>
      </c>
      <c r="AD286" s="24">
        <v>25.890389728816039</v>
      </c>
      <c r="AE286" s="24">
        <v>43.06033898929617</v>
      </c>
      <c r="AF286" s="24">
        <v>25.574056302791536</v>
      </c>
      <c r="AG286" s="24">
        <v>11.311425152577625</v>
      </c>
      <c r="AH286" s="24">
        <v>17.272909670214656</v>
      </c>
      <c r="AI286" s="24">
        <v>34.937351061648094</v>
      </c>
      <c r="AJ286" s="24">
        <v>22.630578978240621</v>
      </c>
      <c r="AK286" s="24">
        <v>15.243601627472691</v>
      </c>
      <c r="AL286" s="24">
        <v>30.430181300052947</v>
      </c>
      <c r="AM286" s="24">
        <v>17.22709433617106</v>
      </c>
      <c r="AN286" s="24">
        <v>30.774694204179305</v>
      </c>
      <c r="AO286" s="24">
        <v>37.681455734803954</v>
      </c>
      <c r="AP286" s="24">
        <v>17.58664362605538</v>
      </c>
      <c r="AQ286" s="24">
        <v>32.352237650910588</v>
      </c>
      <c r="AR286" s="24">
        <v>20.249790257978376</v>
      </c>
      <c r="AS286" s="24">
        <v>29.088792332010367</v>
      </c>
      <c r="AT286" s="24">
        <v>14.883634715186119</v>
      </c>
      <c r="AU286" s="24">
        <v>22.092374621738344</v>
      </c>
      <c r="AV286" s="24">
        <v>29.959732973320946</v>
      </c>
      <c r="AW286" s="24">
        <v>29.165166714482613</v>
      </c>
      <c r="AX286" s="24">
        <v>9.8760479573155386</v>
      </c>
      <c r="AY286" s="24">
        <v>20.479253419975283</v>
      </c>
    </row>
    <row r="287" spans="1:51" x14ac:dyDescent="0.2">
      <c r="A287" s="23">
        <v>45307</v>
      </c>
      <c r="B287" s="24">
        <v>10.548046286930829</v>
      </c>
      <c r="C287" s="24">
        <v>17.561356818101633</v>
      </c>
      <c r="D287" s="24">
        <v>14.141449585651252</v>
      </c>
      <c r="E287" s="24">
        <v>21.321428449528941</v>
      </c>
      <c r="F287" s="24">
        <v>11.091201391998551</v>
      </c>
      <c r="G287" s="24">
        <v>14.597631557297186</v>
      </c>
      <c r="H287" s="24">
        <v>17.068124597363376</v>
      </c>
      <c r="I287" s="24">
        <v>35.993738274279636</v>
      </c>
      <c r="J287" s="24">
        <v>16.25791365659531</v>
      </c>
      <c r="K287" s="24">
        <v>25.476293622199744</v>
      </c>
      <c r="L287" s="24">
        <v>28.482867276123383</v>
      </c>
      <c r="M287" s="24">
        <v>18.973374688606398</v>
      </c>
      <c r="N287" s="24">
        <v>16.089687653755586</v>
      </c>
      <c r="O287" s="24">
        <v>19.717622808577872</v>
      </c>
      <c r="P287" s="24">
        <v>18.774114887256768</v>
      </c>
      <c r="Q287" s="24">
        <v>11.366897636938139</v>
      </c>
      <c r="R287" s="24">
        <v>19.662638875207694</v>
      </c>
      <c r="S287" s="24">
        <v>13.81043118635076</v>
      </c>
      <c r="T287" s="24">
        <v>24.525157460170096</v>
      </c>
      <c r="U287" s="24">
        <v>14.225407520816525</v>
      </c>
      <c r="V287" s="24">
        <v>10.676123773098089</v>
      </c>
      <c r="W287" s="24">
        <v>25.424004958033198</v>
      </c>
      <c r="X287" s="24">
        <v>48.081846689812416</v>
      </c>
      <c r="Y287" s="24">
        <v>14.224907006159849</v>
      </c>
      <c r="Z287" s="24">
        <v>41.367232798061472</v>
      </c>
      <c r="AA287" s="24">
        <v>17.153909982909777</v>
      </c>
      <c r="AB287" s="24">
        <v>39.634418807430983</v>
      </c>
      <c r="AC287" s="24">
        <v>20.516685638629024</v>
      </c>
      <c r="AD287" s="24">
        <v>22.961983161325485</v>
      </c>
      <c r="AE287" s="24">
        <v>44.033228137017517</v>
      </c>
      <c r="AF287" s="24">
        <v>25.30372621862503</v>
      </c>
      <c r="AG287" s="24">
        <v>10.884693104820986</v>
      </c>
      <c r="AH287" s="24">
        <v>16.035820630853966</v>
      </c>
      <c r="AI287" s="24">
        <v>28.667202845217478</v>
      </c>
      <c r="AJ287" s="24">
        <v>20.835902514916526</v>
      </c>
      <c r="AK287" s="24">
        <v>14.654188352595932</v>
      </c>
      <c r="AL287" s="24">
        <v>29.920153769427898</v>
      </c>
      <c r="AM287" s="24">
        <v>16.967344679067079</v>
      </c>
      <c r="AN287" s="24">
        <v>27.986273191922294</v>
      </c>
      <c r="AO287" s="24">
        <v>39.184308540605826</v>
      </c>
      <c r="AP287" s="24">
        <v>17.071567028823615</v>
      </c>
      <c r="AQ287" s="24">
        <v>31.96099060523742</v>
      </c>
      <c r="AR287" s="24">
        <v>19.781692378100821</v>
      </c>
      <c r="AS287" s="24">
        <v>28.364232933726502</v>
      </c>
      <c r="AT287" s="24">
        <v>13.231593194432143</v>
      </c>
      <c r="AU287" s="24">
        <v>19.447390074227091</v>
      </c>
      <c r="AV287" s="24">
        <v>29.310026143089328</v>
      </c>
      <c r="AW287" s="24">
        <v>28.257402635591337</v>
      </c>
      <c r="AX287" s="24">
        <v>9.3361588567371427</v>
      </c>
      <c r="AY287" s="24">
        <v>20.179717958995141</v>
      </c>
    </row>
    <row r="288" spans="1:51" x14ac:dyDescent="0.2">
      <c r="A288" s="23">
        <v>45306</v>
      </c>
      <c r="B288" s="24">
        <v>10.712740490600591</v>
      </c>
      <c r="C288" s="24">
        <v>17.93290400099864</v>
      </c>
      <c r="D288" s="24">
        <v>14.359334384944475</v>
      </c>
      <c r="E288" s="24">
        <v>21.427596471781257</v>
      </c>
      <c r="F288" s="24">
        <v>11.266347718612366</v>
      </c>
      <c r="G288" s="24">
        <v>16.044312521549713</v>
      </c>
      <c r="H288" s="24">
        <v>17.038099376327882</v>
      </c>
      <c r="I288" s="24">
        <v>39.192326594136574</v>
      </c>
      <c r="J288" s="24">
        <v>15.907800643155854</v>
      </c>
      <c r="K288" s="24">
        <v>26.772394665685621</v>
      </c>
      <c r="L288" s="24">
        <v>27.290124780362291</v>
      </c>
      <c r="M288" s="24">
        <v>18.347190874366891</v>
      </c>
      <c r="N288" s="24">
        <v>16.128711329791539</v>
      </c>
      <c r="O288" s="24">
        <v>19.812043816392876</v>
      </c>
      <c r="P288" s="24">
        <v>18.901044475216768</v>
      </c>
      <c r="Q288" s="24">
        <v>12.072689541108774</v>
      </c>
      <c r="R288" s="24">
        <v>19.785382813858089</v>
      </c>
      <c r="S288" s="24">
        <v>13.437978928778161</v>
      </c>
      <c r="T288" s="24">
        <v>24.57287776184592</v>
      </c>
      <c r="U288" s="24">
        <v>12.776701507381432</v>
      </c>
      <c r="V288" s="24">
        <v>11.402809118268925</v>
      </c>
      <c r="W288" s="24">
        <v>25.140887799083455</v>
      </c>
      <c r="X288" s="24">
        <v>47.899410871838214</v>
      </c>
      <c r="Y288" s="24">
        <v>14.266397962688176</v>
      </c>
      <c r="Z288" s="24">
        <v>41.508699376911068</v>
      </c>
      <c r="AA288" s="24">
        <v>16.952264313048435</v>
      </c>
      <c r="AB288" s="24">
        <v>40.472181046879939</v>
      </c>
      <c r="AC288" s="24">
        <v>20.071999105090779</v>
      </c>
      <c r="AD288" s="24">
        <v>22.548668068859588</v>
      </c>
      <c r="AE288" s="24">
        <v>43.380118528749655</v>
      </c>
      <c r="AF288" s="24">
        <v>25.065395600537908</v>
      </c>
      <c r="AG288" s="24">
        <v>9.9504150718763693</v>
      </c>
      <c r="AH288" s="24">
        <v>15.792113025880647</v>
      </c>
      <c r="AI288" s="24">
        <v>28.599170102707134</v>
      </c>
      <c r="AJ288" s="24">
        <v>22.350570452936488</v>
      </c>
      <c r="AK288" s="24">
        <v>13.635973179937105</v>
      </c>
      <c r="AL288" s="24">
        <v>28.707804544253651</v>
      </c>
      <c r="AM288" s="24">
        <v>16.49783255910198</v>
      </c>
      <c r="AN288" s="24">
        <v>28.001241129933561</v>
      </c>
      <c r="AO288" s="24">
        <v>36.103747167373449</v>
      </c>
      <c r="AP288" s="24">
        <v>17.084721957053674</v>
      </c>
      <c r="AQ288" s="24">
        <v>31.8719242956725</v>
      </c>
      <c r="AR288" s="24">
        <v>19.471282973635294</v>
      </c>
      <c r="AS288" s="24">
        <v>28.386243469671545</v>
      </c>
      <c r="AT288" s="24">
        <v>13.47471155405916</v>
      </c>
      <c r="AU288" s="24">
        <v>19.842376320041794</v>
      </c>
      <c r="AV288" s="24">
        <v>35.939658941443362</v>
      </c>
      <c r="AW288" s="24">
        <v>28.680769915892867</v>
      </c>
      <c r="AX288" s="24">
        <v>8.7505325892507457</v>
      </c>
      <c r="AY288" s="24">
        <v>19.711618316362081</v>
      </c>
    </row>
    <row r="289" spans="1:51" x14ac:dyDescent="0.2">
      <c r="A289" s="23">
        <v>45303</v>
      </c>
      <c r="B289" s="24">
        <v>10.696122612522396</v>
      </c>
      <c r="C289" s="24">
        <v>17.998587299819583</v>
      </c>
      <c r="D289" s="24">
        <v>15.043043251904603</v>
      </c>
      <c r="E289" s="24">
        <v>21.050688004730322</v>
      </c>
      <c r="F289" s="24">
        <v>11.838492890854475</v>
      </c>
      <c r="G289" s="24">
        <v>17.373404335000927</v>
      </c>
      <c r="H289" s="24">
        <v>16.843296648656768</v>
      </c>
      <c r="I289" s="24">
        <v>38.792791049929448</v>
      </c>
      <c r="J289" s="24">
        <v>15.881433441283782</v>
      </c>
      <c r="K289" s="24">
        <v>26.894162970755879</v>
      </c>
      <c r="L289" s="24">
        <v>27.063425445712397</v>
      </c>
      <c r="M289" s="24">
        <v>18.310693305688581</v>
      </c>
      <c r="N289" s="24">
        <v>16.412254947547225</v>
      </c>
      <c r="O289" s="24">
        <v>20.294104227637938</v>
      </c>
      <c r="P289" s="24">
        <v>16.986736859366118</v>
      </c>
      <c r="Q289" s="24">
        <v>12.711278231498897</v>
      </c>
      <c r="R289" s="24">
        <v>19.821942759594922</v>
      </c>
      <c r="S289" s="24">
        <v>13.983368632892331</v>
      </c>
      <c r="T289" s="24">
        <v>24.809377510686449</v>
      </c>
      <c r="U289" s="24">
        <v>12.602673253266888</v>
      </c>
      <c r="V289" s="24">
        <v>12.717367494442449</v>
      </c>
      <c r="W289" s="24">
        <v>25.832442376189459</v>
      </c>
      <c r="X289" s="24">
        <v>47.912542705005507</v>
      </c>
      <c r="Y289" s="24">
        <v>15.073664211046705</v>
      </c>
      <c r="Z289" s="24">
        <v>41.57122152723003</v>
      </c>
      <c r="AA289" s="24">
        <v>16.952599932086009</v>
      </c>
      <c r="AB289" s="24">
        <v>40.561476384671714</v>
      </c>
      <c r="AC289" s="24">
        <v>20.401890328213515</v>
      </c>
      <c r="AD289" s="24">
        <v>22.621791605518151</v>
      </c>
      <c r="AE289" s="24">
        <v>41.237525204527017</v>
      </c>
      <c r="AF289" s="24">
        <v>24.992180351842368</v>
      </c>
      <c r="AG289" s="24">
        <v>10.526363101802998</v>
      </c>
      <c r="AH289" s="24">
        <v>15.577243197876488</v>
      </c>
      <c r="AI289" s="24">
        <v>28.748366619791557</v>
      </c>
      <c r="AJ289" s="24">
        <v>22.80687475598922</v>
      </c>
      <c r="AK289" s="24">
        <v>14.756290924825256</v>
      </c>
      <c r="AL289" s="24">
        <v>28.57050135638459</v>
      </c>
      <c r="AM289" s="24">
        <v>16.257699144237797</v>
      </c>
      <c r="AN289" s="24">
        <v>25.311187557702336</v>
      </c>
      <c r="AO289" s="24">
        <v>36.15663765761186</v>
      </c>
      <c r="AP289" s="24">
        <v>17.053095969570709</v>
      </c>
      <c r="AQ289" s="24">
        <v>31.817300880217456</v>
      </c>
      <c r="AR289" s="24">
        <v>19.593552061060969</v>
      </c>
      <c r="AS289" s="24">
        <v>28.327478282765377</v>
      </c>
      <c r="AT289" s="24">
        <v>13.259721571015215</v>
      </c>
      <c r="AU289" s="24">
        <v>19.493629700651653</v>
      </c>
      <c r="AV289" s="24">
        <v>34.175973368788192</v>
      </c>
      <c r="AW289" s="24">
        <v>28.453144781759576</v>
      </c>
      <c r="AX289" s="24">
        <v>9.282442693327484</v>
      </c>
      <c r="AY289" s="24">
        <v>19.712854091638473</v>
      </c>
    </row>
    <row r="290" spans="1:51" x14ac:dyDescent="0.2">
      <c r="A290" s="23">
        <v>45302</v>
      </c>
      <c r="B290" s="24">
        <v>10.584818831413951</v>
      </c>
      <c r="C290" s="24">
        <v>18.774617890123618</v>
      </c>
      <c r="D290" s="24">
        <v>14.320078758779925</v>
      </c>
      <c r="E290" s="24">
        <v>21.093103704077333</v>
      </c>
      <c r="F290" s="24">
        <v>11.599113951088357</v>
      </c>
      <c r="G290" s="24">
        <v>16.81492846233547</v>
      </c>
      <c r="H290" s="24">
        <v>16.890129245633855</v>
      </c>
      <c r="I290" s="24">
        <v>39.225124425265754</v>
      </c>
      <c r="J290" s="24">
        <v>16.195488729711986</v>
      </c>
      <c r="K290" s="24">
        <v>26.859412813537798</v>
      </c>
      <c r="L290" s="24">
        <v>27.09604551820502</v>
      </c>
      <c r="M290" s="24">
        <v>18.036390938326132</v>
      </c>
      <c r="N290" s="24">
        <v>16.550542150573683</v>
      </c>
      <c r="O290" s="24">
        <v>20.306575718759685</v>
      </c>
      <c r="P290" s="24">
        <v>16.991638592868696</v>
      </c>
      <c r="Q290" s="24">
        <v>11.640306565688855</v>
      </c>
      <c r="R290" s="24">
        <v>19.941812333936632</v>
      </c>
      <c r="S290" s="24">
        <v>13.910084132601503</v>
      </c>
      <c r="T290" s="24">
        <v>24.864490055818376</v>
      </c>
      <c r="U290" s="24">
        <v>13.017637055352166</v>
      </c>
      <c r="V290" s="24">
        <v>12.124535954929035</v>
      </c>
      <c r="W290" s="24">
        <v>23.362786224882242</v>
      </c>
      <c r="X290" s="24">
        <v>47.913271435326578</v>
      </c>
      <c r="Y290" s="24">
        <v>15.061361907190211</v>
      </c>
      <c r="Z290" s="24">
        <v>41.225429683400833</v>
      </c>
      <c r="AA290" s="24">
        <v>17.161976602338807</v>
      </c>
      <c r="AB290" s="24">
        <v>38.06649431320988</v>
      </c>
      <c r="AC290" s="24">
        <v>20.254784626033089</v>
      </c>
      <c r="AD290" s="24">
        <v>22.162188415215333</v>
      </c>
      <c r="AE290" s="24">
        <v>41.186306134881804</v>
      </c>
      <c r="AF290" s="24">
        <v>24.750644474243021</v>
      </c>
      <c r="AG290" s="24">
        <v>10.973237720301119</v>
      </c>
      <c r="AH290" s="24">
        <v>15.468825211473007</v>
      </c>
      <c r="AI290" s="24">
        <v>27.841415359616867</v>
      </c>
      <c r="AJ290" s="24">
        <v>22.914913368246697</v>
      </c>
      <c r="AK290" s="24">
        <v>14.447006446115847</v>
      </c>
      <c r="AL290" s="24">
        <v>27.618046747211601</v>
      </c>
      <c r="AM290" s="24">
        <v>16.095834899627427</v>
      </c>
      <c r="AN290" s="24">
        <v>26.779528685742612</v>
      </c>
      <c r="AO290" s="24">
        <v>36.168444748416476</v>
      </c>
      <c r="AP290" s="24">
        <v>17.010407168928211</v>
      </c>
      <c r="AQ290" s="24">
        <v>31.860393788300581</v>
      </c>
      <c r="AR290" s="24">
        <v>19.584792132980741</v>
      </c>
      <c r="AS290" s="24">
        <v>28.19368415425172</v>
      </c>
      <c r="AT290" s="24">
        <v>13.2553199528326</v>
      </c>
      <c r="AU290" s="24">
        <v>20.743816586264504</v>
      </c>
      <c r="AV290" s="24">
        <v>33.382375664272182</v>
      </c>
      <c r="AW290" s="24">
        <v>28.296144897216642</v>
      </c>
      <c r="AX290" s="24">
        <v>8.8673721105745003</v>
      </c>
      <c r="AY290" s="24">
        <v>19.077643927513837</v>
      </c>
    </row>
    <row r="291" spans="1:51" x14ac:dyDescent="0.2">
      <c r="A291" s="23">
        <v>45301</v>
      </c>
      <c r="B291" s="24">
        <v>9.154965868104405</v>
      </c>
      <c r="C291" s="24">
        <v>21.430619304088715</v>
      </c>
      <c r="D291" s="24">
        <v>12.935828492154695</v>
      </c>
      <c r="E291" s="24">
        <v>20.496037975756437</v>
      </c>
      <c r="F291" s="24">
        <v>10.717018413302108</v>
      </c>
      <c r="G291" s="24">
        <v>15.888002457694382</v>
      </c>
      <c r="H291" s="24">
        <v>16.342235290868267</v>
      </c>
      <c r="I291" s="24">
        <v>38.664260748109115</v>
      </c>
      <c r="J291" s="24">
        <v>19.292985255446556</v>
      </c>
      <c r="K291" s="24">
        <v>25.389058728388644</v>
      </c>
      <c r="L291" s="24">
        <v>27.506153391776536</v>
      </c>
      <c r="M291" s="24">
        <v>18.549471027685176</v>
      </c>
      <c r="N291" s="24">
        <v>18.395646526115804</v>
      </c>
      <c r="O291" s="24">
        <v>19.948968772873965</v>
      </c>
      <c r="P291" s="24">
        <v>16.768244399614865</v>
      </c>
      <c r="Q291" s="24">
        <v>11.326894573232201</v>
      </c>
      <c r="R291" s="24">
        <v>18.623774192299326</v>
      </c>
      <c r="S291" s="24">
        <v>14.085996700257867</v>
      </c>
      <c r="T291" s="24">
        <v>28.119289587310593</v>
      </c>
      <c r="U291" s="24">
        <v>13.684498432163815</v>
      </c>
      <c r="V291" s="24">
        <v>10.821871829537224</v>
      </c>
      <c r="W291" s="24">
        <v>23.136472292188994</v>
      </c>
      <c r="X291" s="24">
        <v>48.330362583652651</v>
      </c>
      <c r="Y291" s="24">
        <v>15.63982742584175</v>
      </c>
      <c r="Z291" s="24">
        <v>40.181432908363234</v>
      </c>
      <c r="AA291" s="24">
        <v>17.769224054764834</v>
      </c>
      <c r="AB291" s="24">
        <v>39.04565512028266</v>
      </c>
      <c r="AC291" s="24">
        <v>19.757802967228404</v>
      </c>
      <c r="AD291" s="24">
        <v>22.075505579395656</v>
      </c>
      <c r="AE291" s="24">
        <v>41.021974228498912</v>
      </c>
      <c r="AF291" s="24">
        <v>23.807715156945132</v>
      </c>
      <c r="AG291" s="24">
        <v>10.839917132875458</v>
      </c>
      <c r="AH291" s="24">
        <v>14.836387739399932</v>
      </c>
      <c r="AI291" s="24">
        <v>27.892723325340224</v>
      </c>
      <c r="AJ291" s="24">
        <v>22.863649305270002</v>
      </c>
      <c r="AK291" s="24">
        <v>14.646942236940985</v>
      </c>
      <c r="AL291" s="24">
        <v>27.473434854415203</v>
      </c>
      <c r="AM291" s="24">
        <v>16.715264417714028</v>
      </c>
      <c r="AN291" s="24">
        <v>29.488093157412116</v>
      </c>
      <c r="AO291" s="24">
        <v>35.088355060142959</v>
      </c>
      <c r="AP291" s="24">
        <v>21.118919963697625</v>
      </c>
      <c r="AQ291" s="24">
        <v>32.059767653930464</v>
      </c>
      <c r="AR291" s="24">
        <v>21.598313780952445</v>
      </c>
      <c r="AS291" s="24">
        <v>32.056178209499357</v>
      </c>
      <c r="AT291" s="24">
        <v>14.754252302894871</v>
      </c>
      <c r="AU291" s="24">
        <v>22.630975386436031</v>
      </c>
      <c r="AV291" s="24">
        <v>33.376574380651228</v>
      </c>
      <c r="AW291" s="24">
        <v>28.195929988582513</v>
      </c>
      <c r="AX291" s="24">
        <v>9.5978665173633839</v>
      </c>
      <c r="AY291" s="24">
        <v>20.502824888143259</v>
      </c>
    </row>
    <row r="292" spans="1:51" x14ac:dyDescent="0.2">
      <c r="A292" s="23">
        <v>45300</v>
      </c>
      <c r="B292" s="24">
        <v>9.7012151584215793</v>
      </c>
      <c r="C292" s="24">
        <v>21.631087496791679</v>
      </c>
      <c r="D292" s="24">
        <v>14.329969642491589</v>
      </c>
      <c r="E292" s="24">
        <v>19.701205259636165</v>
      </c>
      <c r="F292" s="24">
        <v>10.52661760238589</v>
      </c>
      <c r="G292" s="24">
        <v>15.575800445557</v>
      </c>
      <c r="H292" s="24">
        <v>15.94290016225335</v>
      </c>
      <c r="I292" s="24">
        <v>38.187142012092217</v>
      </c>
      <c r="J292" s="24">
        <v>19.555313020923951</v>
      </c>
      <c r="K292" s="24">
        <v>25.454641611291571</v>
      </c>
      <c r="L292" s="24">
        <v>26.943258574422419</v>
      </c>
      <c r="M292" s="24">
        <v>18.151833556184947</v>
      </c>
      <c r="N292" s="24">
        <v>17.049870483361804</v>
      </c>
      <c r="O292" s="24">
        <v>19.616340917186498</v>
      </c>
      <c r="P292" s="24">
        <v>15.803449138356463</v>
      </c>
      <c r="Q292" s="24">
        <v>10.979163810239669</v>
      </c>
      <c r="R292" s="24">
        <v>17.955365427798732</v>
      </c>
      <c r="S292" s="24">
        <v>14.129721131036931</v>
      </c>
      <c r="T292" s="24">
        <v>27.851325895157832</v>
      </c>
      <c r="U292" s="24">
        <v>14.26036002701348</v>
      </c>
      <c r="V292" s="24">
        <v>12.058920328743485</v>
      </c>
      <c r="W292" s="24">
        <v>23.998294269590627</v>
      </c>
      <c r="X292" s="24">
        <v>48.527210855280295</v>
      </c>
      <c r="Y292" s="24">
        <v>14.885208545307199</v>
      </c>
      <c r="Z292" s="24">
        <v>40.178828822103576</v>
      </c>
      <c r="AA292" s="24">
        <v>17.70544337057915</v>
      </c>
      <c r="AB292" s="24">
        <v>39.103016750600368</v>
      </c>
      <c r="AC292" s="24">
        <v>20.403996732496399</v>
      </c>
      <c r="AD292" s="24">
        <v>22.035829447168521</v>
      </c>
      <c r="AE292" s="24">
        <v>50.627799668282307</v>
      </c>
      <c r="AF292" s="24">
        <v>22.601265239346496</v>
      </c>
      <c r="AG292" s="24">
        <v>10.684059710100177</v>
      </c>
      <c r="AH292" s="24">
        <v>14.254610699560349</v>
      </c>
      <c r="AI292" s="24">
        <v>28.565996591843366</v>
      </c>
      <c r="AJ292" s="24">
        <v>22.703421721377126</v>
      </c>
      <c r="AK292" s="24">
        <v>14.522756886370196</v>
      </c>
      <c r="AL292" s="24">
        <v>24.627011322597184</v>
      </c>
      <c r="AM292" s="24">
        <v>16.578879113511523</v>
      </c>
      <c r="AN292" s="24">
        <v>30.440210412496047</v>
      </c>
      <c r="AO292" s="24">
        <v>35.045196738376056</v>
      </c>
      <c r="AP292" s="24">
        <v>21.373542991178688</v>
      </c>
      <c r="AQ292" s="24">
        <v>32.332082517073722</v>
      </c>
      <c r="AR292" s="24">
        <v>21.614167979988412</v>
      </c>
      <c r="AS292" s="24">
        <v>31.905546904771153</v>
      </c>
      <c r="AT292" s="24">
        <v>15.429804102639007</v>
      </c>
      <c r="AU292" s="24">
        <v>22.257233247327584</v>
      </c>
      <c r="AV292" s="24">
        <v>30.782610656352428</v>
      </c>
      <c r="AW292" s="24">
        <v>24.354719390615195</v>
      </c>
      <c r="AX292" s="24">
        <v>10.5360740181028</v>
      </c>
      <c r="AY292" s="24">
        <v>20.421380850309053</v>
      </c>
    </row>
    <row r="293" spans="1:51" x14ac:dyDescent="0.2">
      <c r="A293" s="23">
        <v>45299</v>
      </c>
      <c r="B293" s="24">
        <v>9.7012151584215793</v>
      </c>
      <c r="C293" s="24">
        <v>21.654566745785225</v>
      </c>
      <c r="D293" s="24">
        <v>14.580909835782723</v>
      </c>
      <c r="E293" s="24">
        <v>19.592669949724812</v>
      </c>
      <c r="F293" s="24">
        <v>10.498371251495797</v>
      </c>
      <c r="G293" s="24">
        <v>15.770994632841507</v>
      </c>
      <c r="H293" s="24">
        <v>15.948190449352769</v>
      </c>
      <c r="I293" s="24">
        <v>38.566618002155451</v>
      </c>
      <c r="J293" s="24">
        <v>19.790057015204788</v>
      </c>
      <c r="K293" s="24">
        <v>24.48238069350845</v>
      </c>
      <c r="L293" s="24">
        <v>27.22679721042028</v>
      </c>
      <c r="M293" s="24">
        <v>18.627895594578547</v>
      </c>
      <c r="N293" s="24">
        <v>18.839844457381467</v>
      </c>
      <c r="O293" s="24">
        <v>19.884854775189865</v>
      </c>
      <c r="P293" s="24">
        <v>15.2183563266824</v>
      </c>
      <c r="Q293" s="24">
        <v>11.15000304447098</v>
      </c>
      <c r="R293" s="24">
        <v>19.583433614215046</v>
      </c>
      <c r="S293" s="24">
        <v>14.509635040898232</v>
      </c>
      <c r="T293" s="24">
        <v>28.8932134240093</v>
      </c>
      <c r="U293" s="24">
        <v>13.875525147153391</v>
      </c>
      <c r="V293" s="24">
        <v>12.029810268227973</v>
      </c>
      <c r="W293" s="24">
        <v>23.829584397308789</v>
      </c>
      <c r="X293" s="24">
        <v>48.95086586901143</v>
      </c>
      <c r="Y293" s="24">
        <v>14.687280547161667</v>
      </c>
      <c r="Z293" s="24">
        <v>39.707039297879199</v>
      </c>
      <c r="AA293" s="24">
        <v>18.527915430548092</v>
      </c>
      <c r="AB293" s="24">
        <v>40.10342577259933</v>
      </c>
      <c r="AC293" s="24">
        <v>20.705552792111618</v>
      </c>
      <c r="AD293" s="24">
        <v>22.976926132315302</v>
      </c>
      <c r="AE293" s="24">
        <v>51.069879054473745</v>
      </c>
      <c r="AF293" s="24">
        <v>28.18226666509895</v>
      </c>
      <c r="AG293" s="24">
        <v>10.998847529980479</v>
      </c>
      <c r="AH293" s="24">
        <v>13.932716742385308</v>
      </c>
      <c r="AI293" s="24">
        <v>29.176180264962319</v>
      </c>
      <c r="AJ293" s="24">
        <v>24.392279509473145</v>
      </c>
      <c r="AK293" s="24">
        <v>16.112205419328888</v>
      </c>
      <c r="AL293" s="24">
        <v>24.379111714109943</v>
      </c>
      <c r="AM293" s="24">
        <v>16.546004616054926</v>
      </c>
      <c r="AN293" s="24">
        <v>31.325491884562197</v>
      </c>
      <c r="AO293" s="24">
        <v>36.081367723051798</v>
      </c>
      <c r="AP293" s="24">
        <v>21.472208449724949</v>
      </c>
      <c r="AQ293" s="24">
        <v>31.737855960778234</v>
      </c>
      <c r="AR293" s="24">
        <v>21.678652633015393</v>
      </c>
      <c r="AS293" s="24">
        <v>32.17595906827389</v>
      </c>
      <c r="AT293" s="24">
        <v>15.11635913335688</v>
      </c>
      <c r="AU293" s="24">
        <v>21.716475003678639</v>
      </c>
      <c r="AV293" s="24">
        <v>29.224299173212565</v>
      </c>
      <c r="AW293" s="24">
        <v>26.322956833370917</v>
      </c>
      <c r="AX293" s="24">
        <v>10.811566799780794</v>
      </c>
      <c r="AY293" s="24">
        <v>19.637652103460383</v>
      </c>
    </row>
    <row r="294" spans="1:51" x14ac:dyDescent="0.2">
      <c r="A294" s="23">
        <v>45296</v>
      </c>
      <c r="B294" s="24">
        <v>9.7144047567295253</v>
      </c>
      <c r="C294" s="24">
        <v>21.34530830356433</v>
      </c>
      <c r="D294" s="24">
        <v>14.476893997405915</v>
      </c>
      <c r="E294" s="24">
        <v>19.653426675651758</v>
      </c>
      <c r="F294" s="24">
        <v>10.66692828018391</v>
      </c>
      <c r="G294" s="24">
        <v>16.424526732871108</v>
      </c>
      <c r="H294" s="24">
        <v>16.034332889732017</v>
      </c>
      <c r="I294" s="24">
        <v>38.564281110333503</v>
      </c>
      <c r="J294" s="24">
        <v>20.127620084877915</v>
      </c>
      <c r="K294" s="24">
        <v>23.888788658626378</v>
      </c>
      <c r="L294" s="24">
        <v>26.585431216245901</v>
      </c>
      <c r="M294" s="24">
        <v>18.093593261257137</v>
      </c>
      <c r="N294" s="24">
        <v>21.730991908504098</v>
      </c>
      <c r="O294" s="24">
        <v>19.939522484245135</v>
      </c>
      <c r="P294" s="24">
        <v>16.439587084024588</v>
      </c>
      <c r="Q294" s="24">
        <v>10.765496563471679</v>
      </c>
      <c r="R294" s="24">
        <v>20.348893385676099</v>
      </c>
      <c r="S294" s="24">
        <v>13.410562440696452</v>
      </c>
      <c r="T294" s="24">
        <v>28.174374610194551</v>
      </c>
      <c r="U294" s="24">
        <v>13.896653425907749</v>
      </c>
      <c r="V294" s="24">
        <v>11.956408076697061</v>
      </c>
      <c r="W294" s="24">
        <v>22.823891023461439</v>
      </c>
      <c r="X294" s="24">
        <v>48.83879658312032</v>
      </c>
      <c r="Y294" s="24">
        <v>14.327022512930748</v>
      </c>
      <c r="Z294" s="24">
        <v>53.810606526620262</v>
      </c>
      <c r="AA294" s="24">
        <v>17.677431857113667</v>
      </c>
      <c r="AB294" s="24">
        <v>51.116902419150229</v>
      </c>
      <c r="AC294" s="24">
        <v>19.085914595820395</v>
      </c>
      <c r="AD294" s="24">
        <v>22.615333960869744</v>
      </c>
      <c r="AE294" s="24">
        <v>59.514082820123654</v>
      </c>
      <c r="AF294" s="24">
        <v>27.386080183784305</v>
      </c>
      <c r="AG294" s="24">
        <v>10.392334158025587</v>
      </c>
      <c r="AH294" s="24">
        <v>21.027600103357869</v>
      </c>
      <c r="AI294" s="24">
        <v>27.726569913415805</v>
      </c>
      <c r="AJ294" s="24">
        <v>25.003404144231958</v>
      </c>
      <c r="AK294" s="24">
        <v>16.226898802914366</v>
      </c>
      <c r="AL294" s="24">
        <v>24.076795506585068</v>
      </c>
      <c r="AM294" s="24">
        <v>14.342244120001538</v>
      </c>
      <c r="AN294" s="24">
        <v>33.391474042526973</v>
      </c>
      <c r="AO294" s="24">
        <v>34.611146699010355</v>
      </c>
      <c r="AP294" s="24">
        <v>21.112517744682581</v>
      </c>
      <c r="AQ294" s="24">
        <v>31.730285077817182</v>
      </c>
      <c r="AR294" s="24">
        <v>21.827413411594989</v>
      </c>
      <c r="AS294" s="24">
        <v>31.963059744922855</v>
      </c>
      <c r="AT294" s="24">
        <v>14.649808000113445</v>
      </c>
      <c r="AU294" s="24">
        <v>20.543390034711873</v>
      </c>
      <c r="AV294" s="24">
        <v>29.165554299573156</v>
      </c>
      <c r="AW294" s="24">
        <v>25.408252910962858</v>
      </c>
      <c r="AX294" s="24">
        <v>11.132107160474376</v>
      </c>
      <c r="AY294" s="24">
        <v>21.107818415543854</v>
      </c>
    </row>
    <row r="295" spans="1:51" x14ac:dyDescent="0.2">
      <c r="A295" s="23">
        <v>45295</v>
      </c>
      <c r="B295" s="24">
        <v>9.6324380823414177</v>
      </c>
      <c r="C295" s="24">
        <v>21.324734148817772</v>
      </c>
      <c r="D295" s="24">
        <v>13.794121046193315</v>
      </c>
      <c r="E295" s="24">
        <v>19.032030323987357</v>
      </c>
      <c r="F295" s="24">
        <v>10.469423155716051</v>
      </c>
      <c r="G295" s="24">
        <v>16.369910291569493</v>
      </c>
      <c r="H295" s="24">
        <v>16.317776963413881</v>
      </c>
      <c r="I295" s="24">
        <v>38.876920719093953</v>
      </c>
      <c r="J295" s="24">
        <v>19.226134848738095</v>
      </c>
      <c r="K295" s="24">
        <v>24.012717095847577</v>
      </c>
      <c r="L295" s="24">
        <v>26.705913840729636</v>
      </c>
      <c r="M295" s="24">
        <v>18.134671281570373</v>
      </c>
      <c r="N295" s="24">
        <v>21.529011162420371</v>
      </c>
      <c r="O295" s="24">
        <v>21.079449306266135</v>
      </c>
      <c r="P295" s="24">
        <v>17.189207500183247</v>
      </c>
      <c r="Q295" s="24">
        <v>10.624599384578151</v>
      </c>
      <c r="R295" s="24">
        <v>19.846570879381744</v>
      </c>
      <c r="S295" s="24">
        <v>14.512666977029005</v>
      </c>
      <c r="T295" s="24">
        <v>28.244439105308153</v>
      </c>
      <c r="U295" s="24">
        <v>12.896853888022756</v>
      </c>
      <c r="V295" s="24">
        <v>11.956460521564066</v>
      </c>
      <c r="W295" s="24">
        <v>21.714543615208736</v>
      </c>
      <c r="X295" s="24">
        <v>48.720785725101585</v>
      </c>
      <c r="Y295" s="24">
        <v>15.798255177465318</v>
      </c>
      <c r="Z295" s="24">
        <v>53.798360550971431</v>
      </c>
      <c r="AA295" s="24">
        <v>17.604699286197622</v>
      </c>
      <c r="AB295" s="24">
        <v>50.114212934986476</v>
      </c>
      <c r="AC295" s="24">
        <v>12.453450119080262</v>
      </c>
      <c r="AD295" s="24">
        <v>22.502468298788369</v>
      </c>
      <c r="AE295" s="24">
        <v>59.592491598326959</v>
      </c>
      <c r="AF295" s="24">
        <v>27.819178058441899</v>
      </c>
      <c r="AG295" s="24">
        <v>9.9097958757052655</v>
      </c>
      <c r="AH295" s="24">
        <v>20.879020380505054</v>
      </c>
      <c r="AI295" s="24">
        <v>28.316192519058674</v>
      </c>
      <c r="AJ295" s="24">
        <v>20.777217379132374</v>
      </c>
      <c r="AK295" s="24">
        <v>16.421491293444841</v>
      </c>
      <c r="AL295" s="24">
        <v>24.29521910727026</v>
      </c>
      <c r="AM295" s="24">
        <v>14.453734127760859</v>
      </c>
      <c r="AN295" s="24">
        <v>33.468684476446683</v>
      </c>
      <c r="AO295" s="24">
        <v>36.297759385830268</v>
      </c>
      <c r="AP295" s="24">
        <v>18.507757923444405</v>
      </c>
      <c r="AQ295" s="24">
        <v>29.91926127876301</v>
      </c>
      <c r="AR295" s="24">
        <v>20.81643790756991</v>
      </c>
      <c r="AS295" s="24">
        <v>30.890756057857189</v>
      </c>
      <c r="AT295" s="24">
        <v>14.485293207755449</v>
      </c>
      <c r="AU295" s="24">
        <v>21.121198518413241</v>
      </c>
      <c r="AV295" s="24">
        <v>29.020865603773554</v>
      </c>
      <c r="AW295" s="24">
        <v>26.74664711702723</v>
      </c>
      <c r="AX295" s="24">
        <v>10.303385583099084</v>
      </c>
      <c r="AY295" s="24">
        <v>21.149918346981202</v>
      </c>
    </row>
    <row r="296" spans="1:51" x14ac:dyDescent="0.2">
      <c r="A296" s="23">
        <v>45294</v>
      </c>
      <c r="B296" s="24">
        <v>10.404199590200989</v>
      </c>
      <c r="C296" s="24">
        <v>20.6948362439446</v>
      </c>
      <c r="D296" s="24">
        <v>15.941653204748016</v>
      </c>
      <c r="E296" s="24">
        <v>19.322604937466263</v>
      </c>
      <c r="F296" s="24">
        <v>11.398961256169935</v>
      </c>
      <c r="G296" s="24">
        <v>15.430104740043651</v>
      </c>
      <c r="H296" s="24">
        <v>20.569888696777554</v>
      </c>
      <c r="I296" s="24">
        <v>38.878096557415738</v>
      </c>
      <c r="J296" s="24">
        <v>19.477694185667453</v>
      </c>
      <c r="K296" s="24">
        <v>25.742706270916614</v>
      </c>
      <c r="L296" s="24">
        <v>21.624769380923311</v>
      </c>
      <c r="M296" s="24">
        <v>17.590550279538959</v>
      </c>
      <c r="N296" s="24">
        <v>21.820056331273463</v>
      </c>
      <c r="O296" s="24">
        <v>21.11224103204723</v>
      </c>
      <c r="P296" s="24">
        <v>17.22388878547973</v>
      </c>
      <c r="Q296" s="24">
        <v>10.851463286982602</v>
      </c>
      <c r="R296" s="24">
        <v>19.71827055963097</v>
      </c>
      <c r="S296" s="24">
        <v>14.312609170310028</v>
      </c>
      <c r="T296" s="24">
        <v>28.103264300510073</v>
      </c>
      <c r="U296" s="24">
        <v>12.718515908257256</v>
      </c>
      <c r="V296" s="24">
        <v>12.385168723204467</v>
      </c>
      <c r="W296" s="24">
        <v>21.513399201796037</v>
      </c>
      <c r="X296" s="24">
        <v>48.684447754748277</v>
      </c>
      <c r="Y296" s="24">
        <v>15.744316360993873</v>
      </c>
      <c r="Z296" s="24">
        <v>52.941167593108197</v>
      </c>
      <c r="AA296" s="24">
        <v>17.585584318550968</v>
      </c>
      <c r="AB296" s="24">
        <v>50.694334475721966</v>
      </c>
      <c r="AC296" s="24">
        <v>13.009296356744898</v>
      </c>
      <c r="AD296" s="24">
        <v>21.82785463031637</v>
      </c>
      <c r="AE296" s="24">
        <v>61.147840541681113</v>
      </c>
      <c r="AF296" s="24">
        <v>27.456029762286587</v>
      </c>
      <c r="AG296" s="24">
        <v>11.198602168563911</v>
      </c>
      <c r="AH296" s="24">
        <v>22.129632999092927</v>
      </c>
      <c r="AI296" s="24">
        <v>28.258260602486637</v>
      </c>
      <c r="AJ296" s="24">
        <v>20.629274563686078</v>
      </c>
      <c r="AK296" s="24">
        <v>15.590912813210711</v>
      </c>
      <c r="AL296" s="24">
        <v>24.307641572772003</v>
      </c>
      <c r="AM296" s="24">
        <v>14.345326995433695</v>
      </c>
      <c r="AN296" s="24">
        <v>33.016341546151807</v>
      </c>
      <c r="AO296" s="24">
        <v>35.609400600356494</v>
      </c>
      <c r="AP296" s="24">
        <v>18.516415575703864</v>
      </c>
      <c r="AQ296" s="24">
        <v>29.852720026146795</v>
      </c>
      <c r="AR296" s="24">
        <v>20.66322732507113</v>
      </c>
      <c r="AS296" s="24">
        <v>28.541945821020761</v>
      </c>
      <c r="AT296" s="24">
        <v>14.481515030524347</v>
      </c>
      <c r="AU296" s="24">
        <v>21.238743364905506</v>
      </c>
      <c r="AV296" s="24">
        <v>28.714587272823543</v>
      </c>
      <c r="AW296" s="24">
        <v>31.516344979369165</v>
      </c>
      <c r="AX296" s="24">
        <v>11.063106163735066</v>
      </c>
      <c r="AY296" s="24">
        <v>20.7365313956258</v>
      </c>
    </row>
    <row r="297" spans="1:51" x14ac:dyDescent="0.2">
      <c r="A297" s="23">
        <v>45293</v>
      </c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</row>
    <row r="298" spans="1:51" x14ac:dyDescent="0.2">
      <c r="A298" s="23">
        <v>45293</v>
      </c>
      <c r="B298" s="24"/>
      <c r="C298" s="24"/>
      <c r="D298" s="24"/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统计区域</vt:lpstr>
      <vt:lpstr>原始数据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Zhai Shuai</dc:creator>
  <cp:lastModifiedBy>Zhai Shuai</cp:lastModifiedBy>
  <dcterms:created xsi:type="dcterms:W3CDTF">2024-07-03T05:59:34Z</dcterms:created>
  <dcterms:modified xsi:type="dcterms:W3CDTF">2025-03-11T05:28:15Z</dcterms:modified>
</cp:coreProperties>
</file>