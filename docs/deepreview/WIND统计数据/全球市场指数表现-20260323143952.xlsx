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模板详情\20240628 全球市场指数表现\"/>
    </mc:Choice>
  </mc:AlternateContent>
  <bookViews>
    <workbookView xWindow="0" yWindow="0" windowWidth="28800" windowHeight="12165"/>
  </bookViews>
  <sheets>
    <sheet name="全球市场指数表现" sheetId="2" r:id="rId1"/>
    <sheet name="Wind模板" sheetId="3" state="veryHidden" r:id="rId2"/>
    <sheet name="指数列表" sheetId="1" state="hidden" r:id="rId3"/>
  </sheets>
  <externalReferences>
    <externalReference r:id="rId4"/>
  </externalReferenc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N1" i="2" l="1"/>
  <c r="B2" i="1" s="1"/>
  <c r="A6" i="1"/>
  <c r="J6" i="2" l="1"/>
  <c r="K6" i="2"/>
  <c r="H6" i="2"/>
  <c r="I6" i="2"/>
  <c r="F6" i="2"/>
  <c r="G6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9" i="2"/>
  <c r="E1639" i="2"/>
  <c r="E1783" i="2"/>
  <c r="E1927" i="2"/>
  <c r="E2071" i="2"/>
  <c r="E1608" i="2"/>
  <c r="E1736" i="2"/>
  <c r="E1880" i="2"/>
  <c r="E2024" i="2"/>
  <c r="E2168" i="2"/>
  <c r="E1689" i="2"/>
  <c r="E2121" i="2"/>
  <c r="E1825" i="2"/>
  <c r="E1682" i="2"/>
  <c r="E1886" i="2"/>
  <c r="E1828" i="2"/>
  <c r="E1746" i="2"/>
  <c r="E1890" i="2"/>
  <c r="E2034" i="2"/>
  <c r="E2178" i="2"/>
  <c r="E1213" i="2"/>
  <c r="D1874" i="2"/>
  <c r="D1634" i="2"/>
  <c r="D1802" i="2"/>
  <c r="D1153" i="2"/>
  <c r="D1664" i="2"/>
  <c r="D1987" i="2"/>
  <c r="D1501" i="2"/>
  <c r="D1964" i="2"/>
  <c r="D1081" i="2"/>
  <c r="D1832" i="2"/>
  <c r="D1772" i="2"/>
  <c r="D1927" i="2"/>
  <c r="D1692" i="2"/>
  <c r="D1477" i="2"/>
  <c r="D1990" i="2"/>
  <c r="D2023" i="2"/>
  <c r="D1951" i="2"/>
  <c r="D1619" i="2"/>
  <c r="D1642" i="2"/>
  <c r="D1963" i="2"/>
  <c r="D1885" i="2"/>
  <c r="D1831" i="2"/>
  <c r="D2026" i="2"/>
  <c r="E1010" i="2"/>
  <c r="E1022" i="2"/>
  <c r="E1034" i="2"/>
  <c r="D1046" i="2"/>
  <c r="D1058" i="2"/>
  <c r="E1070" i="2"/>
  <c r="D1082" i="2"/>
  <c r="D1094" i="2"/>
  <c r="E1106" i="2"/>
  <c r="D1118" i="2"/>
  <c r="E1130" i="2"/>
  <c r="E1142" i="2"/>
  <c r="D1154" i="2"/>
  <c r="E1166" i="2"/>
  <c r="E1178" i="2"/>
  <c r="D1190" i="2"/>
  <c r="E1202" i="2"/>
  <c r="E1214" i="2"/>
  <c r="E1226" i="2"/>
  <c r="D1238" i="2"/>
  <c r="E1250" i="2"/>
  <c r="E1262" i="2"/>
  <c r="E1274" i="2"/>
  <c r="E1286" i="2"/>
  <c r="E1298" i="2"/>
  <c r="E1310" i="2"/>
  <c r="E1322" i="2"/>
  <c r="E1334" i="2"/>
  <c r="D1346" i="2"/>
  <c r="E1358" i="2"/>
  <c r="E1370" i="2"/>
  <c r="E1382" i="2"/>
  <c r="E1394" i="2"/>
  <c r="E1406" i="2"/>
  <c r="E1418" i="2"/>
  <c r="E1430" i="2"/>
  <c r="E1442" i="2"/>
  <c r="D1454" i="2"/>
  <c r="E1466" i="2"/>
  <c r="D1478" i="2"/>
  <c r="D1490" i="2"/>
  <c r="D1502" i="2"/>
  <c r="D1514" i="2"/>
  <c r="E1526" i="2"/>
  <c r="E1538" i="2"/>
  <c r="D1550" i="2"/>
  <c r="E1562" i="2"/>
  <c r="E1574" i="2"/>
  <c r="E1586" i="2"/>
  <c r="E1651" i="2"/>
  <c r="E1795" i="2"/>
  <c r="E1939" i="2"/>
  <c r="E2083" i="2"/>
  <c r="E1620" i="2"/>
  <c r="E1748" i="2"/>
  <c r="E1892" i="2"/>
  <c r="E2036" i="2"/>
  <c r="E2180" i="2"/>
  <c r="E1773" i="2"/>
  <c r="E1622" i="2"/>
  <c r="E1921" i="2"/>
  <c r="E1694" i="2"/>
  <c r="E1898" i="2"/>
  <c r="E1972" i="2"/>
  <c r="E1758" i="2"/>
  <c r="E1902" i="2"/>
  <c r="E2046" i="2"/>
  <c r="E2190" i="2"/>
  <c r="E1249" i="2"/>
  <c r="D1897" i="2"/>
  <c r="D1778" i="2"/>
  <c r="D1946" i="2"/>
  <c r="D1095" i="2"/>
  <c r="D1808" i="2"/>
  <c r="D1677" i="2"/>
  <c r="D1273" i="2"/>
  <c r="D1011" i="2"/>
  <c r="D1023" i="2"/>
  <c r="D1035" i="2"/>
  <c r="D1047" i="2"/>
  <c r="D1059" i="2"/>
  <c r="D1071" i="2"/>
  <c r="D1083" i="2"/>
  <c r="D1119" i="2"/>
  <c r="E1131" i="2"/>
  <c r="E1155" i="2"/>
  <c r="D1227" i="2"/>
  <c r="D1299" i="2"/>
  <c r="D1347" i="2"/>
  <c r="D1359" i="2"/>
  <c r="D1383" i="2"/>
  <c r="E1443" i="2"/>
  <c r="D1491" i="2"/>
  <c r="D1503" i="2"/>
  <c r="D1515" i="2"/>
  <c r="D1563" i="2"/>
  <c r="D1575" i="2"/>
  <c r="E1587" i="2"/>
  <c r="E1663" i="2"/>
  <c r="E1807" i="2"/>
  <c r="E1951" i="2"/>
  <c r="E2095" i="2"/>
  <c r="E1346" i="2"/>
  <c r="E1760" i="2"/>
  <c r="E1904" i="2"/>
  <c r="E2048" i="2"/>
  <c r="E2192" i="2"/>
  <c r="E1797" i="2"/>
  <c r="E1654" i="2"/>
  <c r="E1945" i="2"/>
  <c r="E1706" i="2"/>
  <c r="E1910" i="2"/>
  <c r="E1984" i="2"/>
  <c r="E1770" i="2"/>
  <c r="E1914" i="2"/>
  <c r="E2058" i="2"/>
  <c r="E2202" i="2"/>
  <c r="E1285" i="2"/>
  <c r="D1009" i="2"/>
  <c r="D1045" i="2"/>
  <c r="D1756" i="2"/>
  <c r="D1718" i="2"/>
  <c r="D1952" i="2"/>
  <c r="D2182" i="2"/>
  <c r="D1710" i="2"/>
  <c r="D1513" i="2"/>
  <c r="D1693" i="2"/>
  <c r="D2120" i="2"/>
  <c r="D1093" i="2"/>
  <c r="D1249" i="2"/>
  <c r="D2048" i="2"/>
  <c r="D1795" i="2"/>
  <c r="D1261" i="2"/>
  <c r="D1857" i="2"/>
  <c r="D1724" i="2"/>
  <c r="D1286" i="2"/>
  <c r="D1982" i="2"/>
  <c r="D1736" i="2"/>
  <c r="D1821" i="2"/>
  <c r="D2119" i="2"/>
  <c r="D1933" i="2"/>
  <c r="D1024" i="2"/>
  <c r="D1036" i="2"/>
  <c r="D1096" i="2"/>
  <c r="D1144" i="2"/>
  <c r="D1192" i="2"/>
  <c r="D1276" i="2"/>
  <c r="E1675" i="2"/>
  <c r="E1819" i="2"/>
  <c r="E1963" i="2"/>
  <c r="E2107" i="2"/>
  <c r="E1628" i="2"/>
  <c r="E1772" i="2"/>
  <c r="E1916" i="2"/>
  <c r="E2060" i="2"/>
  <c r="E1597" i="2"/>
  <c r="E1821" i="2"/>
  <c r="E1716" i="2"/>
  <c r="E1969" i="2"/>
  <c r="E1718" i="2"/>
  <c r="E1922" i="2"/>
  <c r="E1638" i="2"/>
  <c r="E1782" i="2"/>
  <c r="E1926" i="2"/>
  <c r="E2070" i="2"/>
  <c r="E1607" i="2"/>
  <c r="E1297" i="2"/>
  <c r="D1754" i="2"/>
  <c r="D1240" i="2"/>
  <c r="D1069" i="2"/>
  <c r="D1694" i="2"/>
  <c r="D2096" i="2"/>
  <c r="D1752" i="2"/>
  <c r="D1854" i="2"/>
  <c r="D1954" i="2"/>
  <c r="D1722" i="2"/>
  <c r="D1749" i="2"/>
  <c r="D1838" i="2"/>
  <c r="D1700" i="2"/>
  <c r="D1750" i="2"/>
  <c r="D1939" i="2"/>
  <c r="D1741" i="2"/>
  <c r="D1644" i="2"/>
  <c r="D1868" i="2"/>
  <c r="D2137" i="2"/>
  <c r="D1780" i="2"/>
  <c r="D1880" i="2"/>
  <c r="D2143" i="2"/>
  <c r="D1748" i="2"/>
  <c r="D1345" i="2"/>
  <c r="D1645" i="2"/>
  <c r="E1687" i="2"/>
  <c r="E1831" i="2"/>
  <c r="E1975" i="2"/>
  <c r="E2119" i="2"/>
  <c r="E1640" i="2"/>
  <c r="E1784" i="2"/>
  <c r="E1928" i="2"/>
  <c r="E2072" i="2"/>
  <c r="E1609" i="2"/>
  <c r="E1833" i="2"/>
  <c r="E1728" i="2"/>
  <c r="E2065" i="2"/>
  <c r="E1730" i="2"/>
  <c r="E2030" i="2"/>
  <c r="E1650" i="2"/>
  <c r="E1794" i="2"/>
  <c r="E1938" i="2"/>
  <c r="E2082" i="2"/>
  <c r="E1619" i="2"/>
  <c r="E1321" i="2"/>
  <c r="D1021" i="2"/>
  <c r="D1528" i="2"/>
  <c r="D1177" i="2"/>
  <c r="D1698" i="2"/>
  <c r="D1309" i="2"/>
  <c r="D1662" i="2"/>
  <c r="D1998" i="2"/>
  <c r="D2098" i="2"/>
  <c r="D1866" i="2"/>
  <c r="D2037" i="2"/>
  <c r="D2125" i="2"/>
  <c r="D1844" i="2"/>
  <c r="D1274" i="2"/>
  <c r="D2083" i="2"/>
  <c r="D1129" i="2"/>
  <c r="D2056" i="2"/>
  <c r="D2012" i="2"/>
  <c r="D1357" i="2"/>
  <c r="D1417" i="2"/>
  <c r="D2024" i="2"/>
  <c r="D1333" i="2"/>
  <c r="D1892" i="2"/>
  <c r="D1596" i="2"/>
  <c r="D1441" i="2"/>
  <c r="E1699" i="2"/>
  <c r="E1843" i="2"/>
  <c r="E1987" i="2"/>
  <c r="E2131" i="2"/>
  <c r="E1652" i="2"/>
  <c r="E1796" i="2"/>
  <c r="E1940" i="2"/>
  <c r="E2084" i="2"/>
  <c r="E1621" i="2"/>
  <c r="E1917" i="2"/>
  <c r="E1860" i="2"/>
  <c r="E2113" i="2"/>
  <c r="E1742" i="2"/>
  <c r="E2042" i="2"/>
  <c r="E1662" i="2"/>
  <c r="E1806" i="2"/>
  <c r="E1950" i="2"/>
  <c r="E2094" i="2"/>
  <c r="E1009" i="2"/>
  <c r="E1357" i="2"/>
  <c r="D1143" i="2"/>
  <c r="D1465" i="2"/>
  <c r="D1670" i="2"/>
  <c r="D1842" i="2"/>
  <c r="D1725" i="2"/>
  <c r="D1999" i="2"/>
  <c r="D2142" i="2"/>
  <c r="D1285" i="2"/>
  <c r="D2010" i="2"/>
  <c r="D1405" i="2"/>
  <c r="D1213" i="2"/>
  <c r="D1988" i="2"/>
  <c r="D2167" i="2"/>
  <c r="D1712" i="2"/>
  <c r="D1699" i="2"/>
  <c r="D1614" i="2"/>
  <c r="D2156" i="2"/>
  <c r="D2131" i="2"/>
  <c r="D1770" i="2"/>
  <c r="D2168" i="2"/>
  <c r="D2065" i="2"/>
  <c r="D2036" i="2"/>
  <c r="E1872" i="2"/>
  <c r="E2004" i="2"/>
  <c r="E2016" i="2"/>
  <c r="E2148" i="2"/>
  <c r="E1147" i="2"/>
  <c r="E1291" i="2"/>
  <c r="D1363" i="2"/>
  <c r="E1435" i="2"/>
  <c r="D1459" i="2"/>
  <c r="D1483" i="2"/>
  <c r="D1543" i="2"/>
  <c r="E1579" i="2"/>
  <c r="E1711" i="2"/>
  <c r="E1855" i="2"/>
  <c r="E1999" i="2"/>
  <c r="E2143" i="2"/>
  <c r="E1664" i="2"/>
  <c r="E1808" i="2"/>
  <c r="E1952" i="2"/>
  <c r="E2096" i="2"/>
  <c r="E1011" i="2"/>
  <c r="E1941" i="2"/>
  <c r="E2160" i="2"/>
  <c r="E1602" i="2"/>
  <c r="E1754" i="2"/>
  <c r="E2054" i="2"/>
  <c r="E1674" i="2"/>
  <c r="E1818" i="2"/>
  <c r="E1962" i="2"/>
  <c r="E2106" i="2"/>
  <c r="E1033" i="2"/>
  <c r="E1393" i="2"/>
  <c r="D1216" i="2"/>
  <c r="D1646" i="2"/>
  <c r="D1814" i="2"/>
  <c r="D1986" i="2"/>
  <c r="D1869" i="2"/>
  <c r="D1849" i="2"/>
  <c r="D1759" i="2"/>
  <c r="D1753" i="2"/>
  <c r="D2154" i="2"/>
  <c r="D1201" i="2"/>
  <c r="D1734" i="2"/>
  <c r="D2132" i="2"/>
  <c r="D1886" i="2"/>
  <c r="D1856" i="2"/>
  <c r="D1760" i="2"/>
  <c r="D1758" i="2"/>
  <c r="D1105" i="2"/>
  <c r="D1608" i="2"/>
  <c r="D1914" i="2"/>
  <c r="D1653" i="2"/>
  <c r="D2030" i="2"/>
  <c r="D2180" i="2"/>
  <c r="D1904" i="2"/>
  <c r="D1040" i="2"/>
  <c r="E1052" i="2"/>
  <c r="D1088" i="2"/>
  <c r="E1100" i="2"/>
  <c r="D1124" i="2"/>
  <c r="E1196" i="2"/>
  <c r="D1220" i="2"/>
  <c r="E1244" i="2"/>
  <c r="D1280" i="2"/>
  <c r="D1304" i="2"/>
  <c r="E1340" i="2"/>
  <c r="D1352" i="2"/>
  <c r="D1436" i="2"/>
  <c r="E1484" i="2"/>
  <c r="D1532" i="2"/>
  <c r="E1723" i="2"/>
  <c r="E1867" i="2"/>
  <c r="E2011" i="2"/>
  <c r="E2155" i="2"/>
  <c r="E1676" i="2"/>
  <c r="E1820" i="2"/>
  <c r="E1964" i="2"/>
  <c r="E2108" i="2"/>
  <c r="E1083" i="2"/>
  <c r="E1965" i="2"/>
  <c r="E1633" i="2"/>
  <c r="E1388" i="2"/>
  <c r="E1766" i="2"/>
  <c r="E2066" i="2"/>
  <c r="E1686" i="2"/>
  <c r="E1830" i="2"/>
  <c r="E1974" i="2"/>
  <c r="E2118" i="2"/>
  <c r="E1069" i="2"/>
  <c r="E1429" i="2"/>
  <c r="D1460" i="2"/>
  <c r="D1790" i="2"/>
  <c r="D1958" i="2"/>
  <c r="D2130" i="2"/>
  <c r="D2086" i="2"/>
  <c r="D1620" i="2"/>
  <c r="D1903" i="2"/>
  <c r="D1650" i="2"/>
  <c r="D1627" i="2"/>
  <c r="D1657" i="2"/>
  <c r="D1878" i="2"/>
  <c r="D1617" i="2"/>
  <c r="D1602" i="2"/>
  <c r="D2000" i="2"/>
  <c r="D1711" i="2"/>
  <c r="D1902" i="2"/>
  <c r="D1453" i="2"/>
  <c r="D1950" i="2"/>
  <c r="D2058" i="2"/>
  <c r="D1941" i="2"/>
  <c r="D1638" i="2"/>
  <c r="D1165" i="2"/>
  <c r="D1826" i="2"/>
  <c r="E1838" i="2"/>
  <c r="D1850" i="2"/>
  <c r="D1862" i="2"/>
  <c r="E1874" i="2"/>
  <c r="D1898" i="2"/>
  <c r="D1910" i="2"/>
  <c r="D1922" i="2"/>
  <c r="E1934" i="2"/>
  <c r="E1946" i="2"/>
  <c r="E1958" i="2"/>
  <c r="D1970" i="2"/>
  <c r="E1982" i="2"/>
  <c r="E1994" i="2"/>
  <c r="E2006" i="2"/>
  <c r="D2018" i="2"/>
  <c r="D2042" i="2"/>
  <c r="D2054" i="2"/>
  <c r="D2066" i="2"/>
  <c r="E2078" i="2"/>
  <c r="D2090" i="2"/>
  <c r="E2102" i="2"/>
  <c r="E2114" i="2"/>
  <c r="E2126" i="2"/>
  <c r="E2138" i="2"/>
  <c r="E2150" i="2"/>
  <c r="D2162" i="2"/>
  <c r="D2186" i="2"/>
  <c r="D2198" i="2"/>
  <c r="D1603" i="2"/>
  <c r="E1615" i="2"/>
  <c r="E1627" i="2"/>
  <c r="E1017" i="2"/>
  <c r="E1029" i="2"/>
  <c r="E1041" i="2"/>
  <c r="D1053" i="2"/>
  <c r="D1065" i="2"/>
  <c r="D1077" i="2"/>
  <c r="D1089" i="2"/>
  <c r="D1101" i="2"/>
  <c r="D1113" i="2"/>
  <c r="D1125" i="2"/>
  <c r="E1137" i="2"/>
  <c r="D1149" i="2"/>
  <c r="E1161" i="2"/>
  <c r="E1173" i="2"/>
  <c r="E1185" i="2"/>
  <c r="D1197" i="2"/>
  <c r="E1209" i="2"/>
  <c r="E1221" i="2"/>
  <c r="D1233" i="2"/>
  <c r="D1245" i="2"/>
  <c r="E1257" i="2"/>
  <c r="D1269" i="2"/>
  <c r="E1281" i="2"/>
  <c r="E1293" i="2"/>
  <c r="E1305" i="2"/>
  <c r="E1317" i="2"/>
  <c r="E1329" i="2"/>
  <c r="D1341" i="2"/>
  <c r="E1353" i="2"/>
  <c r="E1365" i="2"/>
  <c r="E1377" i="2"/>
  <c r="E1389" i="2"/>
  <c r="E1401" i="2"/>
  <c r="E1413" i="2"/>
  <c r="E1425" i="2"/>
  <c r="E1437" i="2"/>
  <c r="D1449" i="2"/>
  <c r="E1461" i="2"/>
  <c r="E1473" i="2"/>
  <c r="E1485" i="2"/>
  <c r="D1497" i="2"/>
  <c r="D1509" i="2"/>
  <c r="D1521" i="2"/>
  <c r="E1533" i="2"/>
  <c r="D1545" i="2"/>
  <c r="E1557" i="2"/>
  <c r="D1569" i="2"/>
  <c r="E1581" i="2"/>
  <c r="E1593" i="2"/>
  <c r="E1735" i="2"/>
  <c r="E1879" i="2"/>
  <c r="E2023" i="2"/>
  <c r="E2167" i="2"/>
  <c r="E1688" i="2"/>
  <c r="E1832" i="2"/>
  <c r="E1976" i="2"/>
  <c r="E2120" i="2"/>
  <c r="E1323" i="2"/>
  <c r="E1977" i="2"/>
  <c r="E1657" i="2"/>
  <c r="E1634" i="2"/>
  <c r="E1778" i="2"/>
  <c r="E2174" i="2"/>
  <c r="E1698" i="2"/>
  <c r="E1842" i="2"/>
  <c r="E1986" i="2"/>
  <c r="E2130" i="2"/>
  <c r="E1105" i="2"/>
  <c r="E1441" i="2"/>
  <c r="D1766" i="2"/>
  <c r="D1237" i="2"/>
  <c r="D2102" i="2"/>
  <c r="D1747" i="2"/>
  <c r="D1142" i="2"/>
  <c r="D1735" i="2"/>
  <c r="D2047" i="2"/>
  <c r="D2082" i="2"/>
  <c r="E1635" i="2"/>
  <c r="E1647" i="2"/>
  <c r="D1659" i="2"/>
  <c r="E1671" i="2"/>
  <c r="D1683" i="2"/>
  <c r="E1695" i="2"/>
  <c r="D1707" i="2"/>
  <c r="E1719" i="2"/>
  <c r="E1731" i="2"/>
  <c r="D1743" i="2"/>
  <c r="E1755" i="2"/>
  <c r="E1767" i="2"/>
  <c r="D1779" i="2"/>
  <c r="E1791" i="2"/>
  <c r="D1803" i="2"/>
  <c r="E1815" i="2"/>
  <c r="D1827" i="2"/>
  <c r="E1839" i="2"/>
  <c r="D1851" i="2"/>
  <c r="E1863" i="2"/>
  <c r="E1875" i="2"/>
  <c r="D1887" i="2"/>
  <c r="D1899" i="2"/>
  <c r="E1911" i="2"/>
  <c r="D1923" i="2"/>
  <c r="D1935" i="2"/>
  <c r="D1947" i="2"/>
  <c r="D1959" i="2"/>
  <c r="D1971" i="2"/>
  <c r="D1983" i="2"/>
  <c r="D1995" i="2"/>
  <c r="E2007" i="2"/>
  <c r="E2019" i="2"/>
  <c r="D2031" i="2"/>
  <c r="D2043" i="2"/>
  <c r="E2055" i="2"/>
  <c r="E2067" i="2"/>
  <c r="E2079" i="2"/>
  <c r="D2091" i="2"/>
  <c r="D2103" i="2"/>
  <c r="D2115" i="2"/>
  <c r="D2127" i="2"/>
  <c r="D2139" i="2"/>
  <c r="E2151" i="2"/>
  <c r="E2163" i="2"/>
  <c r="D2175" i="2"/>
  <c r="E2187" i="2"/>
  <c r="E2199" i="2"/>
  <c r="D1604" i="2"/>
  <c r="D1616" i="2"/>
  <c r="D1030" i="2"/>
  <c r="E1747" i="2"/>
  <c r="E1891" i="2"/>
  <c r="E2035" i="2"/>
  <c r="E2179" i="2"/>
  <c r="E1700" i="2"/>
  <c r="E1844" i="2"/>
  <c r="E1988" i="2"/>
  <c r="E2132" i="2"/>
  <c r="E1629" i="2"/>
  <c r="E2061" i="2"/>
  <c r="E1681" i="2"/>
  <c r="E1646" i="2"/>
  <c r="E1790" i="2"/>
  <c r="E2186" i="2"/>
  <c r="E1710" i="2"/>
  <c r="E1854" i="2"/>
  <c r="E1998" i="2"/>
  <c r="E2142" i="2"/>
  <c r="E1141" i="2"/>
  <c r="E1501" i="2"/>
  <c r="D1525" i="2"/>
  <c r="D1744" i="2"/>
  <c r="D1022" i="2"/>
  <c r="D1891" i="2"/>
  <c r="D1489" i="2"/>
  <c r="D2001" i="2"/>
  <c r="D2191" i="2"/>
  <c r="D1896" i="2"/>
  <c r="D1915" i="2"/>
  <c r="D1393" i="2"/>
  <c r="D2166" i="2"/>
  <c r="D1905" i="2"/>
  <c r="D1890" i="2"/>
  <c r="D1629" i="2"/>
  <c r="D1117" i="2"/>
  <c r="D2190" i="2"/>
  <c r="D1785" i="2"/>
  <c r="D2060" i="2"/>
  <c r="D1189" i="2"/>
  <c r="D1870" i="2"/>
  <c r="D1926" i="2"/>
  <c r="D1809" i="2"/>
  <c r="D1686" i="2"/>
  <c r="E1636" i="2"/>
  <c r="D1648" i="2"/>
  <c r="D1660" i="2"/>
  <c r="E1672" i="2"/>
  <c r="D1684" i="2"/>
  <c r="D1696" i="2"/>
  <c r="E1708" i="2"/>
  <c r="E1720" i="2"/>
  <c r="E1732" i="2"/>
  <c r="E1744" i="2"/>
  <c r="E1756" i="2"/>
  <c r="E1768" i="2"/>
  <c r="E1780" i="2"/>
  <c r="E1792" i="2"/>
  <c r="D1804" i="2"/>
  <c r="E1816" i="2"/>
  <c r="D1828" i="2"/>
  <c r="D1840" i="2"/>
  <c r="E1852" i="2"/>
  <c r="E1864" i="2"/>
  <c r="E1876" i="2"/>
  <c r="E1888" i="2"/>
  <c r="D1900" i="2"/>
  <c r="E1912" i="2"/>
  <c r="D1924" i="2"/>
  <c r="D1936" i="2"/>
  <c r="D1948" i="2"/>
  <c r="E1960" i="2"/>
  <c r="D1972" i="2"/>
  <c r="D1984" i="2"/>
  <c r="E1996" i="2"/>
  <c r="E2008" i="2"/>
  <c r="E2020" i="2"/>
  <c r="E2032" i="2"/>
  <c r="D2044" i="2"/>
  <c r="E2056" i="2"/>
  <c r="D2068" i="2"/>
  <c r="E2080" i="2"/>
  <c r="D2092" i="2"/>
  <c r="D2104" i="2"/>
  <c r="E2116" i="2"/>
  <c r="E2128" i="2"/>
  <c r="E2140" i="2"/>
  <c r="E2152" i="2"/>
  <c r="D2164" i="2"/>
  <c r="D2176" i="2"/>
  <c r="E2188" i="2"/>
  <c r="E2200" i="2"/>
  <c r="D1605" i="2"/>
  <c r="E1617" i="2"/>
  <c r="E1019" i="2"/>
  <c r="D1031" i="2"/>
  <c r="D1043" i="2"/>
  <c r="E1055" i="2"/>
  <c r="E1067" i="2"/>
  <c r="D1079" i="2"/>
  <c r="D1091" i="2"/>
  <c r="D1103" i="2"/>
  <c r="D1115" i="2"/>
  <c r="D1127" i="2"/>
  <c r="E1139" i="2"/>
  <c r="E1151" i="2"/>
  <c r="D1163" i="2"/>
  <c r="E1175" i="2"/>
  <c r="E1187" i="2"/>
  <c r="E1199" i="2"/>
  <c r="D1211" i="2"/>
  <c r="D1223" i="2"/>
  <c r="E1235" i="2"/>
  <c r="D1247" i="2"/>
  <c r="D1259" i="2"/>
  <c r="D1271" i="2"/>
  <c r="E1283" i="2"/>
  <c r="E1295" i="2"/>
  <c r="D1307" i="2"/>
  <c r="E1319" i="2"/>
  <c r="E1331" i="2"/>
  <c r="E1343" i="2"/>
  <c r="D1355" i="2"/>
  <c r="D1367" i="2"/>
  <c r="E1379" i="2"/>
  <c r="D1391" i="2"/>
  <c r="D1403" i="2"/>
  <c r="D1415" i="2"/>
  <c r="E1427" i="2"/>
  <c r="E1439" i="2"/>
  <c r="E1451" i="2"/>
  <c r="E1463" i="2"/>
  <c r="E1475" i="2"/>
  <c r="E1487" i="2"/>
  <c r="D1499" i="2"/>
  <c r="D1511" i="2"/>
  <c r="E1523" i="2"/>
  <c r="E1535" i="2"/>
  <c r="D1547" i="2"/>
  <c r="E1559" i="2"/>
  <c r="E1571" i="2"/>
  <c r="E1583" i="2"/>
  <c r="E1595" i="2"/>
  <c r="E1759" i="2"/>
  <c r="E1903" i="2"/>
  <c r="E2047" i="2"/>
  <c r="E2191" i="2"/>
  <c r="E1712" i="2"/>
  <c r="E1856" i="2"/>
  <c r="E2000" i="2"/>
  <c r="E2144" i="2"/>
  <c r="E1653" i="2"/>
  <c r="E2085" i="2"/>
  <c r="E1777" i="2"/>
  <c r="E1658" i="2"/>
  <c r="E1802" i="2"/>
  <c r="E2198" i="2"/>
  <c r="E1722" i="2"/>
  <c r="E1866" i="2"/>
  <c r="E2010" i="2"/>
  <c r="E2154" i="2"/>
  <c r="E1153" i="2"/>
  <c r="E1573" i="2"/>
  <c r="D1297" i="2"/>
  <c r="D1057" i="2"/>
  <c r="D1706" i="2"/>
  <c r="D2035" i="2"/>
  <c r="D1609" i="2"/>
  <c r="D2076" i="2"/>
  <c r="D1676" i="2"/>
  <c r="D1864" i="2"/>
  <c r="D1637" i="2"/>
  <c r="D1673" i="2"/>
  <c r="D1685" i="2"/>
  <c r="E1709" i="2"/>
  <c r="D1721" i="2"/>
  <c r="E1733" i="2"/>
  <c r="D1781" i="2"/>
  <c r="D1793" i="2"/>
  <c r="D1841" i="2"/>
  <c r="E1853" i="2"/>
  <c r="D1913" i="2"/>
  <c r="D1973" i="2"/>
  <c r="D2021" i="2"/>
  <c r="D2081" i="2"/>
  <c r="D2093" i="2"/>
  <c r="D2129" i="2"/>
  <c r="D2201" i="2"/>
  <c r="D1308" i="2"/>
  <c r="E1332" i="2"/>
  <c r="E1476" i="2"/>
  <c r="D1488" i="2"/>
  <c r="E1771" i="2"/>
  <c r="E1915" i="2"/>
  <c r="E2059" i="2"/>
  <c r="E1596" i="2"/>
  <c r="E1724" i="2"/>
  <c r="E1868" i="2"/>
  <c r="E2012" i="2"/>
  <c r="E2156" i="2"/>
  <c r="E1677" i="2"/>
  <c r="E2109" i="2"/>
  <c r="E1801" i="2"/>
  <c r="E1670" i="2"/>
  <c r="E1814" i="2"/>
  <c r="E1603" i="2"/>
  <c r="E1734" i="2"/>
  <c r="E1878" i="2"/>
  <c r="E2022" i="2"/>
  <c r="E2166" i="2"/>
  <c r="E1177" i="2"/>
  <c r="D1730" i="2"/>
  <c r="D1033" i="2"/>
  <c r="D1658" i="2"/>
  <c r="D1381" i="2"/>
  <c r="D2179" i="2"/>
  <c r="D1633" i="2"/>
  <c r="D1742" i="2"/>
  <c r="D1820" i="2"/>
  <c r="D2094" i="2"/>
  <c r="D1688" i="2"/>
  <c r="D1141" i="2"/>
  <c r="D1783" i="2"/>
  <c r="D1978" i="2"/>
  <c r="D2178" i="2"/>
  <c r="D2061" i="2"/>
  <c r="D1682" i="2"/>
  <c r="D1807" i="2"/>
  <c r="D1714" i="2"/>
  <c r="D1940" i="2"/>
  <c r="D1819" i="2"/>
  <c r="D1573" i="2"/>
  <c r="D1687" i="2"/>
  <c r="D1882" i="2"/>
  <c r="D1420" i="2"/>
  <c r="D1717" i="2"/>
  <c r="D2095" i="2"/>
  <c r="D2173" i="2"/>
  <c r="D1938" i="2"/>
  <c r="D1962" i="2"/>
  <c r="D1630" i="2"/>
  <c r="D1771" i="2"/>
  <c r="D1746" i="2"/>
  <c r="D1641" i="2"/>
  <c r="D1782" i="2"/>
  <c r="D1843" i="2"/>
  <c r="D2106" i="2"/>
  <c r="D1774" i="2"/>
  <c r="D1867" i="2"/>
  <c r="D1794" i="2"/>
  <c r="D1945" i="2"/>
  <c r="D1628" i="2"/>
  <c r="D2192" i="2"/>
  <c r="D2059" i="2"/>
  <c r="D2034" i="2"/>
  <c r="D2073" i="2"/>
  <c r="D2070" i="2"/>
  <c r="D1369" i="2"/>
  <c r="D1723" i="2"/>
  <c r="D2062" i="2"/>
  <c r="D1976" i="2"/>
  <c r="D1651" i="2"/>
  <c r="D1549" i="2"/>
  <c r="D1975" i="2"/>
  <c r="D1796" i="2"/>
  <c r="D1681" i="2"/>
  <c r="D2144" i="2"/>
  <c r="D2011" i="2"/>
  <c r="D1920" i="2"/>
  <c r="D1977" i="2"/>
  <c r="D1607" i="2"/>
  <c r="D1585" i="2"/>
  <c r="D1597" i="2"/>
  <c r="D1833" i="2"/>
  <c r="D1640" i="2"/>
  <c r="D1561" i="2"/>
  <c r="D1916" i="2"/>
  <c r="D1801" i="2"/>
  <c r="D1784" i="2"/>
  <c r="D1830" i="2"/>
  <c r="D1806" i="2"/>
  <c r="D1225" i="2"/>
  <c r="D1932" i="2"/>
  <c r="D1776" i="2"/>
  <c r="D2097" i="2"/>
  <c r="D2022" i="2"/>
  <c r="D2202" i="2"/>
  <c r="D1974" i="2"/>
  <c r="D2152" i="2"/>
  <c r="D2108" i="2"/>
  <c r="D1429" i="2"/>
  <c r="D2133" i="2"/>
  <c r="D1773" i="2"/>
  <c r="D2155" i="2"/>
  <c r="D1639" i="2"/>
  <c r="D1537" i="2"/>
  <c r="D1675" i="2"/>
  <c r="D1621" i="2"/>
  <c r="D2174" i="2"/>
  <c r="D1928" i="2"/>
  <c r="D2084" i="2"/>
  <c r="D1652" i="2"/>
  <c r="D2107" i="2"/>
  <c r="D2072" i="2"/>
  <c r="D1845" i="2"/>
  <c r="D1663" i="2"/>
  <c r="D1818" i="2"/>
  <c r="D1665" i="2"/>
  <c r="D2118" i="2"/>
  <c r="D2071" i="2"/>
  <c r="D1855" i="2"/>
  <c r="D1761" i="2"/>
  <c r="D2046" i="2"/>
  <c r="D1726" i="2"/>
  <c r="D1879" i="2"/>
  <c r="D1674" i="2"/>
  <c r="D1370" i="2"/>
  <c r="D1538" i="2"/>
  <c r="E1245" i="2"/>
  <c r="D2116" i="2"/>
  <c r="E1936" i="2"/>
  <c r="D1535" i="2"/>
  <c r="E2044" i="2"/>
  <c r="D1281" i="2"/>
  <c r="E2162" i="2"/>
  <c r="E1862" i="2"/>
  <c r="E1043" i="2"/>
  <c r="E1163" i="2"/>
  <c r="D1257" i="2"/>
  <c r="D1839" i="2"/>
  <c r="D1173" i="2"/>
  <c r="E1851" i="2"/>
  <c r="E2103" i="2"/>
  <c r="D1863" i="2"/>
  <c r="D1733" i="2"/>
  <c r="D1593" i="2"/>
  <c r="E1584" i="2"/>
  <c r="J1512" i="2"/>
  <c r="H1392" i="2"/>
  <c r="F1368" i="2"/>
  <c r="I1320" i="2"/>
  <c r="H1236" i="2"/>
  <c r="K1212" i="2"/>
  <c r="D1188" i="2"/>
  <c r="H1176" i="2"/>
  <c r="I1152" i="2"/>
  <c r="F1128" i="2"/>
  <c r="D1104" i="2"/>
  <c r="H1092" i="2"/>
  <c r="G1068" i="2"/>
  <c r="F1044" i="2"/>
  <c r="K1032" i="2"/>
  <c r="I1618" i="2"/>
  <c r="J2201" i="2"/>
  <c r="E2177" i="2"/>
  <c r="K2165" i="2"/>
  <c r="H2141" i="2"/>
  <c r="F2117" i="2"/>
  <c r="J2105" i="2"/>
  <c r="I2081" i="2"/>
  <c r="G2057" i="2"/>
  <c r="D2033" i="2"/>
  <c r="J2021" i="2"/>
  <c r="I1997" i="2"/>
  <c r="G1973" i="2"/>
  <c r="E1949" i="2"/>
  <c r="K1937" i="2"/>
  <c r="H1913" i="2"/>
  <c r="F1889" i="2"/>
  <c r="J1877" i="2"/>
  <c r="J1853" i="2"/>
  <c r="H1829" i="2"/>
  <c r="E1805" i="2"/>
  <c r="K1793" i="2"/>
  <c r="I1769" i="2"/>
  <c r="G1745" i="2"/>
  <c r="E1721" i="2"/>
  <c r="G1709" i="2"/>
  <c r="K1685" i="2"/>
  <c r="I1661" i="2"/>
  <c r="H1649" i="2"/>
  <c r="I2400" i="2"/>
  <c r="I2376" i="2"/>
  <c r="I2352" i="2"/>
  <c r="J2328" i="2"/>
  <c r="I2304" i="2"/>
  <c r="H2280" i="2"/>
  <c r="K2256" i="2"/>
  <c r="H2232" i="2"/>
  <c r="I2208" i="2"/>
  <c r="H1464" i="2"/>
  <c r="J1595" i="2"/>
  <c r="J1571" i="2"/>
  <c r="J1547" i="2"/>
  <c r="J1523" i="2"/>
  <c r="J1499" i="2"/>
  <c r="J1475" i="2"/>
  <c r="G1451" i="2"/>
  <c r="G1427" i="2"/>
  <c r="G1403" i="2"/>
  <c r="G1379" i="2"/>
  <c r="G1355" i="2"/>
  <c r="G1331" i="2"/>
  <c r="F1307" i="2"/>
  <c r="F1283" i="2"/>
  <c r="F1259" i="2"/>
  <c r="F1235" i="2"/>
  <c r="F1211" i="2"/>
  <c r="F1187" i="2"/>
  <c r="F1163" i="2"/>
  <c r="F1139" i="2"/>
  <c r="F1115" i="2"/>
  <c r="F1091" i="2"/>
  <c r="F1067" i="2"/>
  <c r="F1043" i="2"/>
  <c r="F1019" i="2"/>
  <c r="J1605" i="2"/>
  <c r="F2188" i="2"/>
  <c r="G2164" i="2"/>
  <c r="G2140" i="2"/>
  <c r="G2116" i="2"/>
  <c r="G2092" i="2"/>
  <c r="G2068" i="2"/>
  <c r="G2044" i="2"/>
  <c r="G2020" i="2"/>
  <c r="G1996" i="2"/>
  <c r="G1972" i="2"/>
  <c r="G1948" i="2"/>
  <c r="G1924" i="2"/>
  <c r="G1900" i="2"/>
  <c r="E1238" i="2"/>
  <c r="E1683" i="2"/>
  <c r="D1960" i="2"/>
  <c r="D1235" i="2"/>
  <c r="E1648" i="2"/>
  <c r="D1888" i="2"/>
  <c r="D1583" i="2"/>
  <c r="D1485" i="2"/>
  <c r="E2018" i="2"/>
  <c r="D1305" i="2"/>
  <c r="E1101" i="2"/>
  <c r="E1053" i="2"/>
  <c r="E1707" i="2"/>
  <c r="E2115" i="2"/>
  <c r="D1755" i="2"/>
  <c r="E1149" i="2"/>
  <c r="E1959" i="2"/>
  <c r="D1731" i="2"/>
  <c r="D1875" i="2"/>
  <c r="E1497" i="2"/>
  <c r="F1584" i="2"/>
  <c r="K1512" i="2"/>
  <c r="I1392" i="2"/>
  <c r="G1368" i="2"/>
  <c r="D1260" i="2"/>
  <c r="G1236" i="2"/>
  <c r="F1212" i="2"/>
  <c r="K1188" i="2"/>
  <c r="J1176" i="2"/>
  <c r="G1152" i="2"/>
  <c r="I1128" i="2"/>
  <c r="K1104" i="2"/>
  <c r="J1092" i="2"/>
  <c r="I1068" i="2"/>
  <c r="H1044" i="2"/>
  <c r="D1020" i="2"/>
  <c r="J1618" i="2"/>
  <c r="K2201" i="2"/>
  <c r="F2177" i="2"/>
  <c r="J2165" i="2"/>
  <c r="I2141" i="2"/>
  <c r="G2117" i="2"/>
  <c r="E2093" i="2"/>
  <c r="K2081" i="2"/>
  <c r="H2057" i="2"/>
  <c r="F2033" i="2"/>
  <c r="D2009" i="2"/>
  <c r="K1997" i="2"/>
  <c r="H1973" i="2"/>
  <c r="F1949" i="2"/>
  <c r="J1937" i="2"/>
  <c r="I1913" i="2"/>
  <c r="G1889" i="2"/>
  <c r="D1865" i="2"/>
  <c r="K1853" i="2"/>
  <c r="I1829" i="2"/>
  <c r="G1805" i="2"/>
  <c r="F1793" i="2"/>
  <c r="J1769" i="2"/>
  <c r="H1745" i="2"/>
  <c r="I1721" i="2"/>
  <c r="H1709" i="2"/>
  <c r="F1685" i="2"/>
  <c r="J1661" i="2"/>
  <c r="E1637" i="2"/>
  <c r="K2400" i="2"/>
  <c r="K2376" i="2"/>
  <c r="D1202" i="2"/>
  <c r="E1840" i="2"/>
  <c r="D1523" i="2"/>
  <c r="E1247" i="2"/>
  <c r="D1175" i="2"/>
  <c r="D2140" i="2"/>
  <c r="D2020" i="2"/>
  <c r="D2150" i="2"/>
  <c r="D1137" i="2"/>
  <c r="D1994" i="2"/>
  <c r="D1209" i="2"/>
  <c r="D1934" i="2"/>
  <c r="E1113" i="2"/>
  <c r="E1449" i="2"/>
  <c r="E1971" i="2"/>
  <c r="D1437" i="2"/>
  <c r="D2079" i="2"/>
  <c r="D1767" i="2"/>
  <c r="E1550" i="2"/>
  <c r="E1478" i="2"/>
  <c r="G1584" i="2"/>
  <c r="D1440" i="2"/>
  <c r="K1392" i="2"/>
  <c r="H1368" i="2"/>
  <c r="J1260" i="2"/>
  <c r="I1236" i="2"/>
  <c r="H1212" i="2"/>
  <c r="F1188" i="2"/>
  <c r="E1164" i="2"/>
  <c r="H1152" i="2"/>
  <c r="G1128" i="2"/>
  <c r="F1104" i="2"/>
  <c r="E1080" i="2"/>
  <c r="J1068" i="2"/>
  <c r="G1044" i="2"/>
  <c r="F1020" i="2"/>
  <c r="K1618" i="2"/>
  <c r="F2201" i="2"/>
  <c r="G2177" i="2"/>
  <c r="D2153" i="2"/>
  <c r="K2141" i="2"/>
  <c r="H2117" i="2"/>
  <c r="F2093" i="2"/>
  <c r="J2081" i="2"/>
  <c r="I2057" i="2"/>
  <c r="G2033" i="2"/>
  <c r="F2009" i="2"/>
  <c r="J1997" i="2"/>
  <c r="I1973" i="2"/>
  <c r="G1949" i="2"/>
  <c r="E1925" i="2"/>
  <c r="K1913" i="2"/>
  <c r="H1889" i="2"/>
  <c r="G1865" i="2"/>
  <c r="F1853" i="2"/>
  <c r="J1829" i="2"/>
  <c r="H1805" i="2"/>
  <c r="E1781" i="2"/>
  <c r="K1769" i="2"/>
  <c r="I1745" i="2"/>
  <c r="J1721" i="2"/>
  <c r="E1697" i="2"/>
  <c r="G1685" i="2"/>
  <c r="K1661" i="2"/>
  <c r="I1637" i="2"/>
  <c r="J2388" i="2"/>
  <c r="D1214" i="2"/>
  <c r="D1029" i="2"/>
  <c r="E2176" i="2"/>
  <c r="E2104" i="2"/>
  <c r="D2008" i="2"/>
  <c r="D1199" i="2"/>
  <c r="D2188" i="2"/>
  <c r="D1439" i="2"/>
  <c r="D2006" i="2"/>
  <c r="D1463" i="2"/>
  <c r="E1031" i="2"/>
  <c r="E2090" i="2"/>
  <c r="E2175" i="2"/>
  <c r="E1065" i="2"/>
  <c r="E2031" i="2"/>
  <c r="D1635" i="2"/>
  <c r="D2055" i="2"/>
  <c r="E1604" i="2"/>
  <c r="D1250" i="2"/>
  <c r="E1190" i="2"/>
  <c r="H1584" i="2"/>
  <c r="F1440" i="2"/>
  <c r="J1392" i="2"/>
  <c r="I1368" i="2"/>
  <c r="K1260" i="2"/>
  <c r="E1224" i="2"/>
  <c r="G1212" i="2"/>
  <c r="I1188" i="2"/>
  <c r="K1164" i="2"/>
  <c r="J1152" i="2"/>
  <c r="H1128" i="2"/>
  <c r="I1104" i="2"/>
  <c r="K1080" i="2"/>
  <c r="K1068" i="2"/>
  <c r="I1044" i="2"/>
  <c r="H1020" i="2"/>
  <c r="E1606" i="2"/>
  <c r="G2201" i="2"/>
  <c r="H2177" i="2"/>
  <c r="F2153" i="2"/>
  <c r="J2141" i="2"/>
  <c r="I2117" i="2"/>
  <c r="G2093" i="2"/>
  <c r="E2069" i="2"/>
  <c r="K2057" i="2"/>
  <c r="H2033" i="2"/>
  <c r="G2009" i="2"/>
  <c r="E1985" i="2"/>
  <c r="K1973" i="2"/>
  <c r="H1949" i="2"/>
  <c r="F1925" i="2"/>
  <c r="J1913" i="2"/>
  <c r="I1889" i="2"/>
  <c r="H1865" i="2"/>
  <c r="E1841" i="2"/>
  <c r="K1829" i="2"/>
  <c r="I1805" i="2"/>
  <c r="G1781" i="2"/>
  <c r="F1769" i="2"/>
  <c r="J1745" i="2"/>
  <c r="K1721" i="2"/>
  <c r="I1697" i="2"/>
  <c r="H1685" i="2"/>
  <c r="F1661" i="2"/>
  <c r="J1637" i="2"/>
  <c r="F2388" i="2"/>
  <c r="F2364" i="2"/>
  <c r="G2340" i="2"/>
  <c r="J2316" i="2"/>
  <c r="F2292" i="2"/>
  <c r="D1310" i="2"/>
  <c r="E1696" i="2"/>
  <c r="D1816" i="2"/>
  <c r="D1067" i="2"/>
  <c r="D1912" i="2"/>
  <c r="E1103" i="2"/>
  <c r="D1708" i="2"/>
  <c r="D1295" i="2"/>
  <c r="D2138" i="2"/>
  <c r="D1139" i="2"/>
  <c r="E1089" i="2"/>
  <c r="D1425" i="2"/>
  <c r="D1533" i="2"/>
  <c r="D1353" i="2"/>
  <c r="D1647" i="2"/>
  <c r="E1827" i="2"/>
  <c r="D1719" i="2"/>
  <c r="E1923" i="2"/>
  <c r="D1226" i="2"/>
  <c r="E1046" i="2"/>
  <c r="I1584" i="2"/>
  <c r="G1440" i="2"/>
  <c r="D1380" i="2"/>
  <c r="K1368" i="2"/>
  <c r="F1260" i="2"/>
  <c r="J1224" i="2"/>
  <c r="I1212" i="2"/>
  <c r="G1188" i="2"/>
  <c r="F1164" i="2"/>
  <c r="K1140" i="2"/>
  <c r="J1128" i="2"/>
  <c r="G1104" i="2"/>
  <c r="F1080" i="2"/>
  <c r="E1056" i="2"/>
  <c r="J1044" i="2"/>
  <c r="G1020" i="2"/>
  <c r="F1606" i="2"/>
  <c r="H2201" i="2"/>
  <c r="I2177" i="2"/>
  <c r="G2153" i="2"/>
  <c r="E2129" i="2"/>
  <c r="K2117" i="2"/>
  <c r="H2093" i="2"/>
  <c r="F2069" i="2"/>
  <c r="J2057" i="2"/>
  <c r="I2033" i="2"/>
  <c r="H2009" i="2"/>
  <c r="F1985" i="2"/>
  <c r="J1973" i="2"/>
  <c r="I1949" i="2"/>
  <c r="G1925" i="2"/>
  <c r="D1901" i="2"/>
  <c r="K1889" i="2"/>
  <c r="I1865" i="2"/>
  <c r="G1841" i="2"/>
  <c r="F1829" i="2"/>
  <c r="J1805" i="2"/>
  <c r="H1781" i="2"/>
  <c r="D1757" i="2"/>
  <c r="K1745" i="2"/>
  <c r="F1721" i="2"/>
  <c r="J1697" i="2"/>
  <c r="E1673" i="2"/>
  <c r="G1661" i="2"/>
  <c r="K1637" i="2"/>
  <c r="G2388" i="2"/>
  <c r="D1166" i="2"/>
  <c r="E1684" i="2"/>
  <c r="D1379" i="2"/>
  <c r="E2092" i="2"/>
  <c r="D2032" i="2"/>
  <c r="D1996" i="2"/>
  <c r="E1403" i="2"/>
  <c r="D1427" i="2"/>
  <c r="D1319" i="2"/>
  <c r="D1331" i="2"/>
  <c r="E1970" i="2"/>
  <c r="D1221" i="2"/>
  <c r="D1161" i="2"/>
  <c r="D1017" i="2"/>
  <c r="E1887" i="2"/>
  <c r="D2151" i="2"/>
  <c r="E2091" i="2"/>
  <c r="E1779" i="2"/>
  <c r="D1334" i="2"/>
  <c r="D1562" i="2"/>
  <c r="J1584" i="2"/>
  <c r="H1440" i="2"/>
  <c r="F1380" i="2"/>
  <c r="J1368" i="2"/>
  <c r="H1260" i="2"/>
  <c r="K1224" i="2"/>
  <c r="E1200" i="2"/>
  <c r="H1188" i="2"/>
  <c r="I1164" i="2"/>
  <c r="F1140" i="2"/>
  <c r="E1116" i="2"/>
  <c r="H1104" i="2"/>
  <c r="I1080" i="2"/>
  <c r="F1056" i="2"/>
  <c r="K1044" i="2"/>
  <c r="I1020" i="2"/>
  <c r="G1606" i="2"/>
  <c r="D2189" i="2"/>
  <c r="K2177" i="2"/>
  <c r="H2153" i="2"/>
  <c r="F2129" i="2"/>
  <c r="J2117" i="2"/>
  <c r="I2093" i="2"/>
  <c r="G2069" i="2"/>
  <c r="D2045" i="2"/>
  <c r="K2033" i="2"/>
  <c r="I2009" i="2"/>
  <c r="G1985" i="2"/>
  <c r="D1961" i="2"/>
  <c r="K1949" i="2"/>
  <c r="H1925" i="2"/>
  <c r="F1901" i="2"/>
  <c r="J1889" i="2"/>
  <c r="J1865" i="2"/>
  <c r="H1841" i="2"/>
  <c r="D1817" i="2"/>
  <c r="K1805" i="2"/>
  <c r="I1781" i="2"/>
  <c r="G1757" i="2"/>
  <c r="F1745" i="2"/>
  <c r="G1721" i="2"/>
  <c r="K1697" i="2"/>
  <c r="I1673" i="2"/>
  <c r="H1661" i="2"/>
  <c r="F1637" i="2"/>
  <c r="H2388" i="2"/>
  <c r="H2364" i="2"/>
  <c r="J2340" i="2"/>
  <c r="H2316" i="2"/>
  <c r="H2292" i="2"/>
  <c r="H2268" i="2"/>
  <c r="G2244" i="2"/>
  <c r="H2220" i="2"/>
  <c r="H1560" i="2"/>
  <c r="J1296" i="2"/>
  <c r="I1595" i="2"/>
  <c r="I1571" i="2"/>
  <c r="I1547" i="2"/>
  <c r="I1523" i="2"/>
  <c r="I1499" i="2"/>
  <c r="I1475" i="2"/>
  <c r="F1451" i="2"/>
  <c r="F1427" i="2"/>
  <c r="F1403" i="2"/>
  <c r="F1379" i="2"/>
  <c r="F1355" i="2"/>
  <c r="F1331" i="2"/>
  <c r="K1307" i="2"/>
  <c r="K1283" i="2"/>
  <c r="K1259" i="2"/>
  <c r="K1235" i="2"/>
  <c r="K1211" i="2"/>
  <c r="K1187" i="2"/>
  <c r="K1163" i="2"/>
  <c r="K1139" i="2"/>
  <c r="K1115" i="2"/>
  <c r="K1091" i="2"/>
  <c r="H1067" i="2"/>
  <c r="K1043" i="2"/>
  <c r="K1019" i="2"/>
  <c r="I1605" i="2"/>
  <c r="K2188" i="2"/>
  <c r="F2164" i="2"/>
  <c r="F2140" i="2"/>
  <c r="F2116" i="2"/>
  <c r="F2092" i="2"/>
  <c r="F2068" i="2"/>
  <c r="F2044" i="2"/>
  <c r="F2020" i="2"/>
  <c r="F1996" i="2"/>
  <c r="F1972" i="2"/>
  <c r="F1948" i="2"/>
  <c r="F1924" i="2"/>
  <c r="F1900" i="2"/>
  <c r="F1876" i="2"/>
  <c r="H1852" i="2"/>
  <c r="H1828" i="2"/>
  <c r="H1804" i="2"/>
  <c r="H1780" i="2"/>
  <c r="H1756" i="2"/>
  <c r="H1732" i="2"/>
  <c r="K1708" i="2"/>
  <c r="K1684" i="2"/>
  <c r="K1660" i="2"/>
  <c r="K1636" i="2"/>
  <c r="G2387" i="2"/>
  <c r="G2363" i="2"/>
  <c r="E1118" i="2"/>
  <c r="D2080" i="2"/>
  <c r="E2164" i="2"/>
  <c r="E1660" i="2"/>
  <c r="D1343" i="2"/>
  <c r="E1091" i="2"/>
  <c r="E1605" i="2"/>
  <c r="D1055" i="2"/>
  <c r="D1283" i="2"/>
  <c r="E1125" i="2"/>
  <c r="E1826" i="2"/>
  <c r="D1329" i="2"/>
  <c r="E2139" i="2"/>
  <c r="D2187" i="2"/>
  <c r="E1341" i="2"/>
  <c r="D1695" i="2"/>
  <c r="E1947" i="2"/>
  <c r="D2199" i="2"/>
  <c r="E1514" i="2"/>
  <c r="D1106" i="2"/>
  <c r="K1584" i="2"/>
  <c r="I1440" i="2"/>
  <c r="G1380" i="2"/>
  <c r="D1320" i="2"/>
  <c r="G1260" i="2"/>
  <c r="F1224" i="2"/>
  <c r="J1200" i="2"/>
  <c r="J1188" i="2"/>
  <c r="G1164" i="2"/>
  <c r="I1140" i="2"/>
  <c r="K1116" i="2"/>
  <c r="J1104" i="2"/>
  <c r="G1080" i="2"/>
  <c r="H1056" i="2"/>
  <c r="D1032" i="2"/>
  <c r="J1020" i="2"/>
  <c r="H1606" i="2"/>
  <c r="I2189" i="2"/>
  <c r="J2177" i="2"/>
  <c r="I2153" i="2"/>
  <c r="G2129" i="2"/>
  <c r="D2105" i="2"/>
  <c r="K2093" i="2"/>
  <c r="H2069" i="2"/>
  <c r="F2045" i="2"/>
  <c r="J2033" i="2"/>
  <c r="K2009" i="2"/>
  <c r="H1985" i="2"/>
  <c r="F1961" i="2"/>
  <c r="J1949" i="2"/>
  <c r="I1925" i="2"/>
  <c r="G1901" i="2"/>
  <c r="D1877" i="2"/>
  <c r="F1865" i="2"/>
  <c r="I1841" i="2"/>
  <c r="G1817" i="2"/>
  <c r="F1805" i="2"/>
  <c r="J1781" i="2"/>
  <c r="H1757" i="2"/>
  <c r="G1733" i="2"/>
  <c r="H1721" i="2"/>
  <c r="F1697" i="2"/>
  <c r="J1673" i="2"/>
  <c r="E1649" i="2"/>
  <c r="G1637" i="2"/>
  <c r="I2388" i="2"/>
  <c r="I2364" i="2"/>
  <c r="I2340" i="2"/>
  <c r="I2316" i="2"/>
  <c r="I2292" i="2"/>
  <c r="I2268" i="2"/>
  <c r="H2244" i="2"/>
  <c r="I2220" i="2"/>
  <c r="I1560" i="2"/>
  <c r="K1296" i="2"/>
  <c r="J1583" i="2"/>
  <c r="J1559" i="2"/>
  <c r="J1535" i="2"/>
  <c r="J1511" i="2"/>
  <c r="J1487" i="2"/>
  <c r="G1463" i="2"/>
  <c r="G1439" i="2"/>
  <c r="G1415" i="2"/>
  <c r="G1391" i="2"/>
  <c r="G1367" i="2"/>
  <c r="G1343" i="2"/>
  <c r="F1319" i="2"/>
  <c r="F1295" i="2"/>
  <c r="F1271" i="2"/>
  <c r="F1247" i="2"/>
  <c r="F1223" i="2"/>
  <c r="F1199" i="2"/>
  <c r="F1175" i="2"/>
  <c r="F1151" i="2"/>
  <c r="F1127" i="2"/>
  <c r="F1103" i="2"/>
  <c r="F1079" i="2"/>
  <c r="F1055" i="2"/>
  <c r="F1031" i="2"/>
  <c r="I1617" i="2"/>
  <c r="J2200" i="2"/>
  <c r="G2176" i="2"/>
  <c r="G2152" i="2"/>
  <c r="G2128" i="2"/>
  <c r="G2104" i="2"/>
  <c r="G2080" i="2"/>
  <c r="G2056" i="2"/>
  <c r="G2032" i="2"/>
  <c r="G2008" i="2"/>
  <c r="G1984" i="2"/>
  <c r="G1960" i="2"/>
  <c r="G1936" i="2"/>
  <c r="G1912" i="2"/>
  <c r="E1094" i="2"/>
  <c r="E1545" i="2"/>
  <c r="D1876" i="2"/>
  <c r="D1559" i="2"/>
  <c r="E1547" i="2"/>
  <c r="E1900" i="2"/>
  <c r="D1852" i="2"/>
  <c r="E1511" i="2"/>
  <c r="D1475" i="2"/>
  <c r="E1850" i="2"/>
  <c r="D1571" i="2"/>
  <c r="D1615" i="2"/>
  <c r="E1509" i="2"/>
  <c r="E1995" i="2"/>
  <c r="D2007" i="2"/>
  <c r="D1671" i="2"/>
  <c r="E1803" i="2"/>
  <c r="E1569" i="2"/>
  <c r="E1082" i="2"/>
  <c r="D1581" i="2"/>
  <c r="E1512" i="2"/>
  <c r="K1440" i="2"/>
  <c r="H1380" i="2"/>
  <c r="J1320" i="2"/>
  <c r="I1260" i="2"/>
  <c r="H1224" i="2"/>
  <c r="K1200" i="2"/>
  <c r="D1176" i="2"/>
  <c r="H1164" i="2"/>
  <c r="G1140" i="2"/>
  <c r="F1116" i="2"/>
  <c r="E1092" i="2"/>
  <c r="H1080" i="2"/>
  <c r="G1056" i="2"/>
  <c r="F1032" i="2"/>
  <c r="K1020" i="2"/>
  <c r="I1606" i="2"/>
  <c r="J2189" i="2"/>
  <c r="D2165" i="2"/>
  <c r="K2153" i="2"/>
  <c r="H2129" i="2"/>
  <c r="F2105" i="2"/>
  <c r="J2093" i="2"/>
  <c r="I2069" i="2"/>
  <c r="G2045" i="2"/>
  <c r="F2021" i="2"/>
  <c r="J2009" i="2"/>
  <c r="I1985" i="2"/>
  <c r="G1961" i="2"/>
  <c r="E1937" i="2"/>
  <c r="K1925" i="2"/>
  <c r="H1901" i="2"/>
  <c r="F1877" i="2"/>
  <c r="K1865" i="2"/>
  <c r="J1841" i="2"/>
  <c r="H1817" i="2"/>
  <c r="E1793" i="2"/>
  <c r="K1781" i="2"/>
  <c r="I1757" i="2"/>
  <c r="H1733" i="2"/>
  <c r="D1709" i="2"/>
  <c r="G1697" i="2"/>
  <c r="K1673" i="2"/>
  <c r="I1649" i="2"/>
  <c r="H1637" i="2"/>
  <c r="K2388" i="2"/>
  <c r="K2364" i="2"/>
  <c r="D1034" i="2"/>
  <c r="D1792" i="2"/>
  <c r="D2128" i="2"/>
  <c r="E1948" i="2"/>
  <c r="E1115" i="2"/>
  <c r="D1720" i="2"/>
  <c r="E1415" i="2"/>
  <c r="E1367" i="2"/>
  <c r="E1499" i="2"/>
  <c r="E1490" i="2"/>
  <c r="D2078" i="2"/>
  <c r="E1743" i="2"/>
  <c r="E1077" i="2"/>
  <c r="D1815" i="2"/>
  <c r="D1389" i="2"/>
  <c r="E2127" i="2"/>
  <c r="E1659" i="2"/>
  <c r="E1563" i="2"/>
  <c r="D1130" i="2"/>
  <c r="D1010" i="2"/>
  <c r="F1512" i="2"/>
  <c r="J1440" i="2"/>
  <c r="I1380" i="2"/>
  <c r="K1320" i="2"/>
  <c r="E1236" i="2"/>
  <c r="G1224" i="2"/>
  <c r="F1200" i="2"/>
  <c r="K1176" i="2"/>
  <c r="J1164" i="2"/>
  <c r="H1140" i="2"/>
  <c r="I1116" i="2"/>
  <c r="K1092" i="2"/>
  <c r="J1080" i="2"/>
  <c r="I1056" i="2"/>
  <c r="H1032" i="2"/>
  <c r="E1618" i="2"/>
  <c r="J1606" i="2"/>
  <c r="K2189" i="2"/>
  <c r="F2165" i="2"/>
  <c r="J2153" i="2"/>
  <c r="I2129" i="2"/>
  <c r="G2105" i="2"/>
  <c r="E2081" i="2"/>
  <c r="K2069" i="2"/>
  <c r="H2045" i="2"/>
  <c r="G2021" i="2"/>
  <c r="D1997" i="2"/>
  <c r="K1985" i="2"/>
  <c r="H1961" i="2"/>
  <c r="F1937" i="2"/>
  <c r="J1925" i="2"/>
  <c r="I1901" i="2"/>
  <c r="G1877" i="2"/>
  <c r="D1853" i="2"/>
  <c r="K1841" i="2"/>
  <c r="I1817" i="2"/>
  <c r="G1793" i="2"/>
  <c r="F1781" i="2"/>
  <c r="J1757" i="2"/>
  <c r="I1733" i="2"/>
  <c r="I1709" i="2"/>
  <c r="H1697" i="2"/>
  <c r="F1673" i="2"/>
  <c r="J1649" i="2"/>
  <c r="J2400" i="2"/>
  <c r="J2376" i="2"/>
  <c r="D1070" i="2"/>
  <c r="E1271" i="2"/>
  <c r="D1636" i="2"/>
  <c r="D1732" i="2"/>
  <c r="E2068" i="2"/>
  <c r="D1595" i="2"/>
  <c r="D1151" i="2"/>
  <c r="E1223" i="2"/>
  <c r="E1355" i="2"/>
  <c r="D2126" i="2"/>
  <c r="D1041" i="2"/>
  <c r="D1791" i="2"/>
  <c r="D1461" i="2"/>
  <c r="D1557" i="2"/>
  <c r="D1473" i="2"/>
  <c r="E1983" i="2"/>
  <c r="D1911" i="2"/>
  <c r="D2019" i="2"/>
  <c r="E1521" i="2"/>
  <c r="E1454" i="2"/>
  <c r="G1512" i="2"/>
  <c r="D1392" i="2"/>
  <c r="K1380" i="2"/>
  <c r="F1320" i="2"/>
  <c r="J1236" i="2"/>
  <c r="I1224" i="2"/>
  <c r="H1200" i="2"/>
  <c r="F1176" i="2"/>
  <c r="E1152" i="2"/>
  <c r="J1140" i="2"/>
  <c r="G1116" i="2"/>
  <c r="F1092" i="2"/>
  <c r="E1068" i="2"/>
  <c r="J1056" i="2"/>
  <c r="G1032" i="2"/>
  <c r="F1618" i="2"/>
  <c r="K1606" i="2"/>
  <c r="F2189" i="2"/>
  <c r="G2165" i="2"/>
  <c r="D2141" i="2"/>
  <c r="K2129" i="2"/>
  <c r="H2105" i="2"/>
  <c r="F2081" i="2"/>
  <c r="J2069" i="2"/>
  <c r="I2045" i="2"/>
  <c r="H2021" i="2"/>
  <c r="F1997" i="2"/>
  <c r="J1985" i="2"/>
  <c r="I1961" i="2"/>
  <c r="G1937" i="2"/>
  <c r="E1913" i="2"/>
  <c r="K1901" i="2"/>
  <c r="H1877" i="2"/>
  <c r="G1853" i="2"/>
  <c r="F1841" i="2"/>
  <c r="J1817" i="2"/>
  <c r="H1793" i="2"/>
  <c r="E1769" i="2"/>
  <c r="K1757" i="2"/>
  <c r="J1733" i="2"/>
  <c r="J1709" i="2"/>
  <c r="E1685" i="2"/>
  <c r="G1673" i="2"/>
  <c r="K1649" i="2"/>
  <c r="F2400" i="2"/>
  <c r="F2376" i="2"/>
  <c r="J2352" i="2"/>
  <c r="G2328" i="2"/>
  <c r="F2304" i="2"/>
  <c r="E1058" i="2"/>
  <c r="E1269" i="2"/>
  <c r="D1672" i="2"/>
  <c r="D1487" i="2"/>
  <c r="E1924" i="2"/>
  <c r="D2200" i="2"/>
  <c r="E1391" i="2"/>
  <c r="E1079" i="2"/>
  <c r="E1211" i="2"/>
  <c r="D1185" i="2"/>
  <c r="D1451" i="2"/>
  <c r="D1401" i="2"/>
  <c r="D1317" i="2"/>
  <c r="D1365" i="2"/>
  <c r="D1293" i="2"/>
  <c r="E1047" i="2"/>
  <c r="E1616" i="2"/>
  <c r="E2043" i="2"/>
  <c r="E1502" i="2"/>
  <c r="E1154" i="2"/>
  <c r="H1512" i="2"/>
  <c r="F1392" i="2"/>
  <c r="J1380" i="2"/>
  <c r="H1320" i="2"/>
  <c r="K1236" i="2"/>
  <c r="E1212" i="2"/>
  <c r="G1200" i="2"/>
  <c r="I1176" i="2"/>
  <c r="K1152" i="2"/>
  <c r="D1128" i="2"/>
  <c r="H1116" i="2"/>
  <c r="I1092" i="2"/>
  <c r="F1068" i="2"/>
  <c r="K1056" i="2"/>
  <c r="I1032" i="2"/>
  <c r="G1618" i="2"/>
  <c r="E2201" i="2"/>
  <c r="G2189" i="2"/>
  <c r="H2165" i="2"/>
  <c r="F2141" i="2"/>
  <c r="J2129" i="2"/>
  <c r="I2105" i="2"/>
  <c r="G2081" i="2"/>
  <c r="E2057" i="2"/>
  <c r="K2045" i="2"/>
  <c r="I2021" i="2"/>
  <c r="G1997" i="2"/>
  <c r="E1973" i="2"/>
  <c r="K1961" i="2"/>
  <c r="H1937" i="2"/>
  <c r="F1913" i="2"/>
  <c r="J1901" i="2"/>
  <c r="I1877" i="2"/>
  <c r="H1853" i="2"/>
  <c r="E1829" i="2"/>
  <c r="K1817" i="2"/>
  <c r="I1793" i="2"/>
  <c r="G1769" i="2"/>
  <c r="F1757" i="2"/>
  <c r="K1733" i="2"/>
  <c r="K1709" i="2"/>
  <c r="I1685" i="2"/>
  <c r="H1673" i="2"/>
  <c r="F1649" i="2"/>
  <c r="G2400" i="2"/>
  <c r="G2376" i="2"/>
  <c r="D1442" i="2"/>
  <c r="E1259" i="2"/>
  <c r="D1768" i="2"/>
  <c r="E1127" i="2"/>
  <c r="E1804" i="2"/>
  <c r="D1019" i="2"/>
  <c r="D2114" i="2"/>
  <c r="E1233" i="2"/>
  <c r="E1197" i="2"/>
  <c r="D1187" i="2"/>
  <c r="E1307" i="2"/>
  <c r="D2163" i="2"/>
  <c r="D1413" i="2"/>
  <c r="D1377" i="2"/>
  <c r="D2067" i="2"/>
  <c r="D1443" i="2"/>
  <c r="E1935" i="2"/>
  <c r="E1899" i="2"/>
  <c r="D1430" i="2"/>
  <c r="E1532" i="2"/>
  <c r="I1512" i="2"/>
  <c r="G1392" i="2"/>
  <c r="E1368" i="2"/>
  <c r="G1320" i="2"/>
  <c r="F1236" i="2"/>
  <c r="J1212" i="2"/>
  <c r="I1200" i="2"/>
  <c r="G1176" i="2"/>
  <c r="F1152" i="2"/>
  <c r="K1128" i="2"/>
  <c r="J1116" i="2"/>
  <c r="G1092" i="2"/>
  <c r="H1068" i="2"/>
  <c r="D1044" i="2"/>
  <c r="J1032" i="2"/>
  <c r="H1618" i="2"/>
  <c r="I2201" i="2"/>
  <c r="H2189" i="2"/>
  <c r="I2165" i="2"/>
  <c r="G2141" i="2"/>
  <c r="D2117" i="2"/>
  <c r="K2105" i="2"/>
  <c r="H2081" i="2"/>
  <c r="F2057" i="2"/>
  <c r="J2045" i="2"/>
  <c r="K2021" i="2"/>
  <c r="H1997" i="2"/>
  <c r="F1973" i="2"/>
  <c r="J1961" i="2"/>
  <c r="I1937" i="2"/>
  <c r="G1913" i="2"/>
  <c r="D1889" i="2"/>
  <c r="K1877" i="2"/>
  <c r="I1853" i="2"/>
  <c r="G1829" i="2"/>
  <c r="F1817" i="2"/>
  <c r="J1793" i="2"/>
  <c r="H1769" i="2"/>
  <c r="D1745" i="2"/>
  <c r="F1733" i="2"/>
  <c r="F1709" i="2"/>
  <c r="J1685" i="2"/>
  <c r="E1661" i="2"/>
  <c r="G1649" i="2"/>
  <c r="H2400" i="2"/>
  <c r="H2376" i="2"/>
  <c r="H2352" i="2"/>
  <c r="I2328" i="2"/>
  <c r="H2304" i="2"/>
  <c r="G2280" i="2"/>
  <c r="H2256" i="2"/>
  <c r="G2232" i="2"/>
  <c r="J2208" i="2"/>
  <c r="G1464" i="2"/>
  <c r="E2189" i="2"/>
  <c r="I1583" i="2"/>
  <c r="I1559" i="2"/>
  <c r="I1535" i="2"/>
  <c r="I1511" i="2"/>
  <c r="I1487" i="2"/>
  <c r="F1463" i="2"/>
  <c r="F1439" i="2"/>
  <c r="F1415" i="2"/>
  <c r="F1391" i="2"/>
  <c r="F1367" i="2"/>
  <c r="F1343" i="2"/>
  <c r="K1319" i="2"/>
  <c r="K1295" i="2"/>
  <c r="K1271" i="2"/>
  <c r="K1247" i="2"/>
  <c r="K1223" i="2"/>
  <c r="K1199" i="2"/>
  <c r="K1175" i="2"/>
  <c r="K1151" i="2"/>
  <c r="K1127" i="2"/>
  <c r="K1103" i="2"/>
  <c r="K1079" i="2"/>
  <c r="K1055" i="2"/>
  <c r="K1031" i="2"/>
  <c r="H1617" i="2"/>
  <c r="K2200" i="2"/>
  <c r="F2176" i="2"/>
  <c r="F2152" i="2"/>
  <c r="F2128" i="2"/>
  <c r="F2104" i="2"/>
  <c r="F2080" i="2"/>
  <c r="F2056" i="2"/>
  <c r="F2032" i="2"/>
  <c r="F2008" i="2"/>
  <c r="F1984" i="2"/>
  <c r="F1960" i="2"/>
  <c r="F1936" i="2"/>
  <c r="F1912" i="2"/>
  <c r="F1888" i="2"/>
  <c r="H1864" i="2"/>
  <c r="H1840" i="2"/>
  <c r="H1816" i="2"/>
  <c r="H1792" i="2"/>
  <c r="H1768" i="2"/>
  <c r="H1744" i="2"/>
  <c r="K1720" i="2"/>
  <c r="K1696" i="2"/>
  <c r="K1672" i="2"/>
  <c r="K1648" i="2"/>
  <c r="H2399" i="2"/>
  <c r="H2375" i="2"/>
  <c r="G2351" i="2"/>
  <c r="J2364" i="2"/>
  <c r="G2316" i="2"/>
  <c r="K2268" i="2"/>
  <c r="K2232" i="2"/>
  <c r="D1560" i="2"/>
  <c r="H1296" i="2"/>
  <c r="F1571" i="2"/>
  <c r="F1535" i="2"/>
  <c r="F1499" i="2"/>
  <c r="I1463" i="2"/>
  <c r="I1427" i="2"/>
  <c r="I1391" i="2"/>
  <c r="I1355" i="2"/>
  <c r="H1319" i="2"/>
  <c r="H1283" i="2"/>
  <c r="H1247" i="2"/>
  <c r="H1211" i="2"/>
  <c r="H1175" i="2"/>
  <c r="H1139" i="2"/>
  <c r="H1103" i="2"/>
  <c r="I1067" i="2"/>
  <c r="H1031" i="2"/>
  <c r="F1605" i="2"/>
  <c r="I2176" i="2"/>
  <c r="I2140" i="2"/>
  <c r="I2104" i="2"/>
  <c r="I2068" i="2"/>
  <c r="I2032" i="2"/>
  <c r="I1996" i="2"/>
  <c r="I1960" i="2"/>
  <c r="I1924" i="2"/>
  <c r="H1888" i="2"/>
  <c r="J1864" i="2"/>
  <c r="F1828" i="2"/>
  <c r="I1804" i="2"/>
  <c r="K1780" i="2"/>
  <c r="G1744" i="2"/>
  <c r="I1720" i="2"/>
  <c r="F1684" i="2"/>
  <c r="H1660" i="2"/>
  <c r="J1636" i="2"/>
  <c r="J2375" i="2"/>
  <c r="H2351" i="2"/>
  <c r="H2327" i="2"/>
  <c r="F2303" i="2"/>
  <c r="H2279" i="2"/>
  <c r="G2255" i="2"/>
  <c r="H2231" i="2"/>
  <c r="G2207" i="2"/>
  <c r="H1356" i="2"/>
  <c r="E1582" i="2"/>
  <c r="J1570" i="2"/>
  <c r="H1546" i="2"/>
  <c r="F1522" i="2"/>
  <c r="K1510" i="2"/>
  <c r="I1486" i="2"/>
  <c r="G1462" i="2"/>
  <c r="D1438" i="2"/>
  <c r="K1426" i="2"/>
  <c r="H1402" i="2"/>
  <c r="F1378" i="2"/>
  <c r="J1366" i="2"/>
  <c r="I1342" i="2"/>
  <c r="K1318" i="2"/>
  <c r="D1294" i="2"/>
  <c r="G1282" i="2"/>
  <c r="F1258" i="2"/>
  <c r="J1234" i="2"/>
  <c r="I1222" i="2"/>
  <c r="H1198" i="2"/>
  <c r="F1174" i="2"/>
  <c r="E1150" i="2"/>
  <c r="H1138" i="2"/>
  <c r="I1114" i="2"/>
  <c r="K1090" i="2"/>
  <c r="J1078" i="2"/>
  <c r="I1054" i="2"/>
  <c r="H1030" i="2"/>
  <c r="F1616" i="2"/>
  <c r="I2199" i="2"/>
  <c r="F2175" i="2"/>
  <c r="F2151" i="2"/>
  <c r="F2127" i="2"/>
  <c r="F2103" i="2"/>
  <c r="F2079" i="2"/>
  <c r="F2055" i="2"/>
  <c r="F2031" i="2"/>
  <c r="F2007" i="2"/>
  <c r="F1983" i="2"/>
  <c r="F1959" i="2"/>
  <c r="G2364" i="2"/>
  <c r="K2316" i="2"/>
  <c r="F2268" i="2"/>
  <c r="F2232" i="2"/>
  <c r="F1560" i="2"/>
  <c r="G1296" i="2"/>
  <c r="G1571" i="2"/>
  <c r="G1535" i="2"/>
  <c r="G1499" i="2"/>
  <c r="J1463" i="2"/>
  <c r="J1427" i="2"/>
  <c r="J1391" i="2"/>
  <c r="J1355" i="2"/>
  <c r="I1319" i="2"/>
  <c r="I1283" i="2"/>
  <c r="I1247" i="2"/>
  <c r="I1211" i="2"/>
  <c r="I1175" i="2"/>
  <c r="I1139" i="2"/>
  <c r="I1103" i="2"/>
  <c r="J1067" i="2"/>
  <c r="I1031" i="2"/>
  <c r="G1605" i="2"/>
  <c r="J2176" i="2"/>
  <c r="J2140" i="2"/>
  <c r="J2104" i="2"/>
  <c r="J2068" i="2"/>
  <c r="J2032" i="2"/>
  <c r="J1996" i="2"/>
  <c r="J1960" i="2"/>
  <c r="J1924" i="2"/>
  <c r="I1888" i="2"/>
  <c r="K1864" i="2"/>
  <c r="G1828" i="2"/>
  <c r="J1804" i="2"/>
  <c r="F1768" i="2"/>
  <c r="I1744" i="2"/>
  <c r="J1720" i="2"/>
  <c r="G1684" i="2"/>
  <c r="I1660" i="2"/>
  <c r="I2399" i="2"/>
  <c r="K2375" i="2"/>
  <c r="F2351" i="2"/>
  <c r="G2327" i="2"/>
  <c r="G2303" i="2"/>
  <c r="F2279" i="2"/>
  <c r="H2255" i="2"/>
  <c r="G2231" i="2"/>
  <c r="H2207" i="2"/>
  <c r="I1356" i="2"/>
  <c r="F1582" i="2"/>
  <c r="K1570" i="2"/>
  <c r="I1546" i="2"/>
  <c r="G1522" i="2"/>
  <c r="E1498" i="2"/>
  <c r="J1486" i="2"/>
  <c r="H1462" i="2"/>
  <c r="F1438" i="2"/>
  <c r="J1426" i="2"/>
  <c r="I1402" i="2"/>
  <c r="G1378" i="2"/>
  <c r="D1354" i="2"/>
  <c r="K1342" i="2"/>
  <c r="F1318" i="2"/>
  <c r="J1294" i="2"/>
  <c r="I1282" i="2"/>
  <c r="H1258" i="2"/>
  <c r="K1234" i="2"/>
  <c r="D1210" i="2"/>
  <c r="G1198" i="2"/>
  <c r="I1174" i="2"/>
  <c r="K1150" i="2"/>
  <c r="J1138" i="2"/>
  <c r="G1114" i="2"/>
  <c r="F1090" i="2"/>
  <c r="E1066" i="2"/>
  <c r="G1054" i="2"/>
  <c r="K1030" i="2"/>
  <c r="G1616" i="2"/>
  <c r="J2199" i="2"/>
  <c r="G2175" i="2"/>
  <c r="G2151" i="2"/>
  <c r="G2127" i="2"/>
  <c r="G2103" i="2"/>
  <c r="G2079" i="2"/>
  <c r="G2055" i="2"/>
  <c r="G2031" i="2"/>
  <c r="G2007" i="2"/>
  <c r="G1983" i="2"/>
  <c r="G1959" i="2"/>
  <c r="G1935" i="2"/>
  <c r="G1911" i="2"/>
  <c r="G1887" i="2"/>
  <c r="H1863" i="2"/>
  <c r="H1839" i="2"/>
  <c r="H1815" i="2"/>
  <c r="H1791" i="2"/>
  <c r="H1767" i="2"/>
  <c r="H1743" i="2"/>
  <c r="J1719" i="2"/>
  <c r="J1695" i="2"/>
  <c r="J1671" i="2"/>
  <c r="J1647" i="2"/>
  <c r="F2398" i="2"/>
  <c r="F2374" i="2"/>
  <c r="G2350" i="2"/>
  <c r="F2326" i="2"/>
  <c r="F2302" i="2"/>
  <c r="J2278" i="2"/>
  <c r="F2254" i="2"/>
  <c r="K2230" i="2"/>
  <c r="G2206" i="2"/>
  <c r="E1452" i="2"/>
  <c r="G1308" i="2"/>
  <c r="F1581" i="2"/>
  <c r="F1557" i="2"/>
  <c r="F1533" i="2"/>
  <c r="F1509" i="2"/>
  <c r="F1485" i="2"/>
  <c r="I1461" i="2"/>
  <c r="I1437" i="2"/>
  <c r="I1413" i="2"/>
  <c r="I1389" i="2"/>
  <c r="I1365" i="2"/>
  <c r="I1341" i="2"/>
  <c r="H1317" i="2"/>
  <c r="H1293" i="2"/>
  <c r="F2352" i="2"/>
  <c r="J2304" i="2"/>
  <c r="G2268" i="2"/>
  <c r="J2232" i="2"/>
  <c r="G1560" i="2"/>
  <c r="I1296" i="2"/>
  <c r="H1571" i="2"/>
  <c r="H1535" i="2"/>
  <c r="H1499" i="2"/>
  <c r="K1463" i="2"/>
  <c r="K1427" i="2"/>
  <c r="K1391" i="2"/>
  <c r="K1355" i="2"/>
  <c r="J1319" i="2"/>
  <c r="J1283" i="2"/>
  <c r="J1247" i="2"/>
  <c r="J1211" i="2"/>
  <c r="J1175" i="2"/>
  <c r="J1139" i="2"/>
  <c r="J1103" i="2"/>
  <c r="K1067" i="2"/>
  <c r="J1031" i="2"/>
  <c r="H1605" i="2"/>
  <c r="K2176" i="2"/>
  <c r="K2140" i="2"/>
  <c r="K2104" i="2"/>
  <c r="K2068" i="2"/>
  <c r="K2032" i="2"/>
  <c r="K1996" i="2"/>
  <c r="K1960" i="2"/>
  <c r="K1924" i="2"/>
  <c r="J1888" i="2"/>
  <c r="F1852" i="2"/>
  <c r="I1828" i="2"/>
  <c r="K1804" i="2"/>
  <c r="G1768" i="2"/>
  <c r="J1744" i="2"/>
  <c r="F1708" i="2"/>
  <c r="H1684" i="2"/>
  <c r="J1660" i="2"/>
  <c r="J2399" i="2"/>
  <c r="F2375" i="2"/>
  <c r="I2339" i="2"/>
  <c r="I2315" i="2"/>
  <c r="I2291" i="2"/>
  <c r="I2267" i="2"/>
  <c r="I2243" i="2"/>
  <c r="I2219" i="2"/>
  <c r="G2352" i="2"/>
  <c r="G2304" i="2"/>
  <c r="J2268" i="2"/>
  <c r="I2232" i="2"/>
  <c r="J1560" i="2"/>
  <c r="K1595" i="2"/>
  <c r="K1559" i="2"/>
  <c r="K1523" i="2"/>
  <c r="K1487" i="2"/>
  <c r="H1451" i="2"/>
  <c r="H1415" i="2"/>
  <c r="H1379" i="2"/>
  <c r="H1343" i="2"/>
  <c r="G1307" i="2"/>
  <c r="G1271" i="2"/>
  <c r="G1235" i="2"/>
  <c r="G1199" i="2"/>
  <c r="G1163" i="2"/>
  <c r="G1127" i="2"/>
  <c r="G1091" i="2"/>
  <c r="G1055" i="2"/>
  <c r="G1019" i="2"/>
  <c r="F2200" i="2"/>
  <c r="H2164" i="2"/>
  <c r="H2128" i="2"/>
  <c r="H2092" i="2"/>
  <c r="H2056" i="2"/>
  <c r="H2020" i="2"/>
  <c r="H1984" i="2"/>
  <c r="H1948" i="2"/>
  <c r="H1912" i="2"/>
  <c r="K1888" i="2"/>
  <c r="G1852" i="2"/>
  <c r="J1828" i="2"/>
  <c r="F1792" i="2"/>
  <c r="I1768" i="2"/>
  <c r="K1744" i="2"/>
  <c r="G1708" i="2"/>
  <c r="I1684" i="2"/>
  <c r="F1648" i="2"/>
  <c r="K2399" i="2"/>
  <c r="G2375" i="2"/>
  <c r="J2339" i="2"/>
  <c r="J2315" i="2"/>
  <c r="J2291" i="2"/>
  <c r="J2267" i="2"/>
  <c r="K2352" i="2"/>
  <c r="K2304" i="2"/>
  <c r="F2256" i="2"/>
  <c r="J2220" i="2"/>
  <c r="K1560" i="2"/>
  <c r="F1595" i="2"/>
  <c r="F1559" i="2"/>
  <c r="F1523" i="2"/>
  <c r="F1487" i="2"/>
  <c r="I1451" i="2"/>
  <c r="I1415" i="2"/>
  <c r="I1379" i="2"/>
  <c r="I1343" i="2"/>
  <c r="H1307" i="2"/>
  <c r="H1271" i="2"/>
  <c r="H1235" i="2"/>
  <c r="H1199" i="2"/>
  <c r="H1163" i="2"/>
  <c r="H1127" i="2"/>
  <c r="H1091" i="2"/>
  <c r="H1055" i="2"/>
  <c r="H1019" i="2"/>
  <c r="G2200" i="2"/>
  <c r="I2164" i="2"/>
  <c r="I2128" i="2"/>
  <c r="I2092" i="2"/>
  <c r="I2056" i="2"/>
  <c r="I2020" i="2"/>
  <c r="I1984" i="2"/>
  <c r="I1948" i="2"/>
  <c r="I1912" i="2"/>
  <c r="G1876" i="2"/>
  <c r="I1852" i="2"/>
  <c r="K1828" i="2"/>
  <c r="G1792" i="2"/>
  <c r="J1768" i="2"/>
  <c r="F1732" i="2"/>
  <c r="H1708" i="2"/>
  <c r="J1684" i="2"/>
  <c r="G1648" i="2"/>
  <c r="F2399" i="2"/>
  <c r="I2363" i="2"/>
  <c r="K2339" i="2"/>
  <c r="K2315" i="2"/>
  <c r="F2340" i="2"/>
  <c r="J2292" i="2"/>
  <c r="J2256" i="2"/>
  <c r="F2220" i="2"/>
  <c r="D1464" i="2"/>
  <c r="G1595" i="2"/>
  <c r="G1559" i="2"/>
  <c r="G1523" i="2"/>
  <c r="G1487" i="2"/>
  <c r="J1451" i="2"/>
  <c r="J1415" i="2"/>
  <c r="J1379" i="2"/>
  <c r="J1343" i="2"/>
  <c r="I1307" i="2"/>
  <c r="I1271" i="2"/>
  <c r="I1235" i="2"/>
  <c r="I1199" i="2"/>
  <c r="I1163" i="2"/>
  <c r="I1127" i="2"/>
  <c r="I1091" i="2"/>
  <c r="I1055" i="2"/>
  <c r="I1019" i="2"/>
  <c r="H2200" i="2"/>
  <c r="J2164" i="2"/>
  <c r="J2128" i="2"/>
  <c r="J2092" i="2"/>
  <c r="J2056" i="2"/>
  <c r="J2020" i="2"/>
  <c r="J1984" i="2"/>
  <c r="J1948" i="2"/>
  <c r="J1912" i="2"/>
  <c r="H1876" i="2"/>
  <c r="J1852" i="2"/>
  <c r="F1816" i="2"/>
  <c r="I1792" i="2"/>
  <c r="K1768" i="2"/>
  <c r="G1732" i="2"/>
  <c r="I1708" i="2"/>
  <c r="F1672" i="2"/>
  <c r="H1648" i="2"/>
  <c r="G2399" i="2"/>
  <c r="J2363" i="2"/>
  <c r="H2339" i="2"/>
  <c r="F2315" i="2"/>
  <c r="H2340" i="2"/>
  <c r="G2292" i="2"/>
  <c r="G2256" i="2"/>
  <c r="G2220" i="2"/>
  <c r="F1464" i="2"/>
  <c r="H1595" i="2"/>
  <c r="H1559" i="2"/>
  <c r="H1523" i="2"/>
  <c r="H1487" i="2"/>
  <c r="K1451" i="2"/>
  <c r="K1415" i="2"/>
  <c r="K1379" i="2"/>
  <c r="K1343" i="2"/>
  <c r="J1307" i="2"/>
  <c r="J1271" i="2"/>
  <c r="J1235" i="2"/>
  <c r="J1199" i="2"/>
  <c r="J1163" i="2"/>
  <c r="J1127" i="2"/>
  <c r="J1091" i="2"/>
  <c r="J1055" i="2"/>
  <c r="J1019" i="2"/>
  <c r="I2200" i="2"/>
  <c r="K2164" i="2"/>
  <c r="K2128" i="2"/>
  <c r="K2092" i="2"/>
  <c r="K2056" i="2"/>
  <c r="K2020" i="2"/>
  <c r="K1984" i="2"/>
  <c r="K1948" i="2"/>
  <c r="K1912" i="2"/>
  <c r="I1876" i="2"/>
  <c r="K1852" i="2"/>
  <c r="G1816" i="2"/>
  <c r="J1792" i="2"/>
  <c r="F1756" i="2"/>
  <c r="I1732" i="2"/>
  <c r="J1708" i="2"/>
  <c r="G1672" i="2"/>
  <c r="I1648" i="2"/>
  <c r="I2387" i="2"/>
  <c r="K2363" i="2"/>
  <c r="F2339" i="2"/>
  <c r="G2315" i="2"/>
  <c r="H2291" i="2"/>
  <c r="G2267" i="2"/>
  <c r="G2243" i="2"/>
  <c r="G2219" i="2"/>
  <c r="I1524" i="2"/>
  <c r="F1594" i="2"/>
  <c r="K1582" i="2"/>
  <c r="I1558" i="2"/>
  <c r="G1534" i="2"/>
  <c r="E1510" i="2"/>
  <c r="J1498" i="2"/>
  <c r="H1474" i="2"/>
  <c r="F1450" i="2"/>
  <c r="J1438" i="2"/>
  <c r="I1414" i="2"/>
  <c r="G1390" i="2"/>
  <c r="E1366" i="2"/>
  <c r="K1354" i="2"/>
  <c r="H1330" i="2"/>
  <c r="J1306" i="2"/>
  <c r="I1294" i="2"/>
  <c r="H1270" i="2"/>
  <c r="K1246" i="2"/>
  <c r="E1222" i="2"/>
  <c r="G1210" i="2"/>
  <c r="I1186" i="2"/>
  <c r="K1162" i="2"/>
  <c r="J1150" i="2"/>
  <c r="H1126" i="2"/>
  <c r="F1102" i="2"/>
  <c r="E1078" i="2"/>
  <c r="G1066" i="2"/>
  <c r="K1042" i="2"/>
  <c r="F1018" i="2"/>
  <c r="F1604" i="2"/>
  <c r="I2187" i="2"/>
  <c r="F2163" i="2"/>
  <c r="F2139" i="2"/>
  <c r="F2115" i="2"/>
  <c r="F2091" i="2"/>
  <c r="F2067" i="2"/>
  <c r="F2043" i="2"/>
  <c r="F2019" i="2"/>
  <c r="F1995" i="2"/>
  <c r="F1971" i="2"/>
  <c r="F1947" i="2"/>
  <c r="K2340" i="2"/>
  <c r="K2292" i="2"/>
  <c r="I2256" i="2"/>
  <c r="K2220" i="2"/>
  <c r="I1464" i="2"/>
  <c r="K1583" i="2"/>
  <c r="K1547" i="2"/>
  <c r="K1511" i="2"/>
  <c r="K1475" i="2"/>
  <c r="H1439" i="2"/>
  <c r="H1403" i="2"/>
  <c r="H1367" i="2"/>
  <c r="H1331" i="2"/>
  <c r="G1295" i="2"/>
  <c r="G1259" i="2"/>
  <c r="G1223" i="2"/>
  <c r="G1187" i="2"/>
  <c r="G1151" i="2"/>
  <c r="G1115" i="2"/>
  <c r="G1079" i="2"/>
  <c r="G1043" i="2"/>
  <c r="J1617" i="2"/>
  <c r="G2188" i="2"/>
  <c r="H2152" i="2"/>
  <c r="H2116" i="2"/>
  <c r="H2080" i="2"/>
  <c r="H2044" i="2"/>
  <c r="H2008" i="2"/>
  <c r="H1972" i="2"/>
  <c r="H1936" i="2"/>
  <c r="H1900" i="2"/>
  <c r="J1876" i="2"/>
  <c r="F1840" i="2"/>
  <c r="I1816" i="2"/>
  <c r="K1792" i="2"/>
  <c r="G1756" i="2"/>
  <c r="J1732" i="2"/>
  <c r="F1696" i="2"/>
  <c r="H1672" i="2"/>
  <c r="J1648" i="2"/>
  <c r="J2387" i="2"/>
  <c r="F2363" i="2"/>
  <c r="G2339" i="2"/>
  <c r="H2315" i="2"/>
  <c r="G2291" i="2"/>
  <c r="H2267" i="2"/>
  <c r="H2243" i="2"/>
  <c r="H2219" i="2"/>
  <c r="J1524" i="2"/>
  <c r="G1594" i="2"/>
  <c r="E1570" i="2"/>
  <c r="J1558" i="2"/>
  <c r="H1534" i="2"/>
  <c r="F1510" i="2"/>
  <c r="K1498" i="2"/>
  <c r="I1474" i="2"/>
  <c r="G1450" i="2"/>
  <c r="E1426" i="2"/>
  <c r="K1414" i="2"/>
  <c r="H1390" i="2"/>
  <c r="F1366" i="2"/>
  <c r="J1354" i="2"/>
  <c r="I1330" i="2"/>
  <c r="K1306" i="2"/>
  <c r="D1282" i="2"/>
  <c r="G1270" i="2"/>
  <c r="F1246" i="2"/>
  <c r="J1222" i="2"/>
  <c r="I1210" i="2"/>
  <c r="G1186" i="2"/>
  <c r="F1162" i="2"/>
  <c r="D1138" i="2"/>
  <c r="G1126" i="2"/>
  <c r="I1102" i="2"/>
  <c r="K1078" i="2"/>
  <c r="I1066" i="2"/>
  <c r="I1042" i="2"/>
  <c r="H1018" i="2"/>
  <c r="G1604" i="2"/>
  <c r="J2187" i="2"/>
  <c r="G2163" i="2"/>
  <c r="G2139" i="2"/>
  <c r="G2115" i="2"/>
  <c r="G2091" i="2"/>
  <c r="G2067" i="2"/>
  <c r="G2043" i="2"/>
  <c r="G2019" i="2"/>
  <c r="G1995" i="2"/>
  <c r="G1971" i="2"/>
  <c r="G1947" i="2"/>
  <c r="G1923" i="2"/>
  <c r="G1899" i="2"/>
  <c r="G1875" i="2"/>
  <c r="H1851" i="2"/>
  <c r="H1827" i="2"/>
  <c r="H1803" i="2"/>
  <c r="H1779" i="2"/>
  <c r="H1755" i="2"/>
  <c r="H1731" i="2"/>
  <c r="J1707" i="2"/>
  <c r="J1683" i="2"/>
  <c r="J1659" i="2"/>
  <c r="J1635" i="2"/>
  <c r="G2386" i="2"/>
  <c r="G2362" i="2"/>
  <c r="F2338" i="2"/>
  <c r="F2314" i="2"/>
  <c r="F2290" i="2"/>
  <c r="G2266" i="2"/>
  <c r="G2242" i="2"/>
  <c r="F2218" i="2"/>
  <c r="F1536" i="2"/>
  <c r="J1452" i="2"/>
  <c r="F1593" i="2"/>
  <c r="F1569" i="2"/>
  <c r="F1545" i="2"/>
  <c r="F1521" i="2"/>
  <c r="F1497" i="2"/>
  <c r="F1473" i="2"/>
  <c r="I1449" i="2"/>
  <c r="I1425" i="2"/>
  <c r="I1401" i="2"/>
  <c r="I1377" i="2"/>
  <c r="I1353" i="2"/>
  <c r="I1329" i="2"/>
  <c r="H1305" i="2"/>
  <c r="H1281" i="2"/>
  <c r="F2328" i="2"/>
  <c r="J2280" i="2"/>
  <c r="K2244" i="2"/>
  <c r="F2208" i="2"/>
  <c r="J1464" i="2"/>
  <c r="F1583" i="2"/>
  <c r="F1547" i="2"/>
  <c r="F1511" i="2"/>
  <c r="F1475" i="2"/>
  <c r="I1439" i="2"/>
  <c r="I1403" i="2"/>
  <c r="I1367" i="2"/>
  <c r="I1331" i="2"/>
  <c r="H1295" i="2"/>
  <c r="H1259" i="2"/>
  <c r="H1223" i="2"/>
  <c r="H1187" i="2"/>
  <c r="H1151" i="2"/>
  <c r="H1115" i="2"/>
  <c r="H1079" i="2"/>
  <c r="H1043" i="2"/>
  <c r="K1617" i="2"/>
  <c r="H2188" i="2"/>
  <c r="I2152" i="2"/>
  <c r="I2116" i="2"/>
  <c r="I2080" i="2"/>
  <c r="I2044" i="2"/>
  <c r="I2008" i="2"/>
  <c r="I1972" i="2"/>
  <c r="I1936" i="2"/>
  <c r="I1900" i="2"/>
  <c r="K1876" i="2"/>
  <c r="G1840" i="2"/>
  <c r="J1816" i="2"/>
  <c r="F1780" i="2"/>
  <c r="I1756" i="2"/>
  <c r="K1732" i="2"/>
  <c r="G1696" i="2"/>
  <c r="I1672" i="2"/>
  <c r="F1636" i="2"/>
  <c r="K2387" i="2"/>
  <c r="H2363" i="2"/>
  <c r="I2327" i="2"/>
  <c r="I2303" i="2"/>
  <c r="I2279" i="2"/>
  <c r="I2255" i="2"/>
  <c r="I2231" i="2"/>
  <c r="H2328" i="2"/>
  <c r="K2280" i="2"/>
  <c r="J2244" i="2"/>
  <c r="G2208" i="2"/>
  <c r="K1464" i="2"/>
  <c r="G1583" i="2"/>
  <c r="G1547" i="2"/>
  <c r="G1511" i="2"/>
  <c r="G1475" i="2"/>
  <c r="J1439" i="2"/>
  <c r="J1403" i="2"/>
  <c r="J1367" i="2"/>
  <c r="J1331" i="2"/>
  <c r="I1295" i="2"/>
  <c r="I1259" i="2"/>
  <c r="I1223" i="2"/>
  <c r="I1187" i="2"/>
  <c r="I1151" i="2"/>
  <c r="I1115" i="2"/>
  <c r="I1079" i="2"/>
  <c r="I1043" i="2"/>
  <c r="F1617" i="2"/>
  <c r="I2188" i="2"/>
  <c r="J2152" i="2"/>
  <c r="J2116" i="2"/>
  <c r="J2080" i="2"/>
  <c r="J2044" i="2"/>
  <c r="J2008" i="2"/>
  <c r="J1972" i="2"/>
  <c r="J1936" i="2"/>
  <c r="J1900" i="2"/>
  <c r="F1864" i="2"/>
  <c r="I1840" i="2"/>
  <c r="K1816" i="2"/>
  <c r="G1780" i="2"/>
  <c r="J1756" i="2"/>
  <c r="F1720" i="2"/>
  <c r="H1696" i="2"/>
  <c r="J1672" i="2"/>
  <c r="G1636" i="2"/>
  <c r="H2387" i="2"/>
  <c r="I2351" i="2"/>
  <c r="J2327" i="2"/>
  <c r="J2303" i="2"/>
  <c r="J2279" i="2"/>
  <c r="K2328" i="2"/>
  <c r="F2280" i="2"/>
  <c r="F2244" i="2"/>
  <c r="H2208" i="2"/>
  <c r="E1296" i="2"/>
  <c r="H1583" i="2"/>
  <c r="H1547" i="2"/>
  <c r="H1511" i="2"/>
  <c r="H1475" i="2"/>
  <c r="K1439" i="2"/>
  <c r="K1403" i="2"/>
  <c r="K1367" i="2"/>
  <c r="K1331" i="2"/>
  <c r="J1295" i="2"/>
  <c r="J1259" i="2"/>
  <c r="J1223" i="2"/>
  <c r="J1187" i="2"/>
  <c r="J1151" i="2"/>
  <c r="J1115" i="2"/>
  <c r="J1079" i="2"/>
  <c r="J1043" i="2"/>
  <c r="G1617" i="2"/>
  <c r="J2188" i="2"/>
  <c r="K2152" i="2"/>
  <c r="K2116" i="2"/>
  <c r="K2080" i="2"/>
  <c r="K2044" i="2"/>
  <c r="K2008" i="2"/>
  <c r="K1972" i="2"/>
  <c r="K1936" i="2"/>
  <c r="K1900" i="2"/>
  <c r="G1864" i="2"/>
  <c r="J1840" i="2"/>
  <c r="F1804" i="2"/>
  <c r="I1780" i="2"/>
  <c r="K1756" i="2"/>
  <c r="G1720" i="2"/>
  <c r="I1696" i="2"/>
  <c r="F1660" i="2"/>
  <c r="H1636" i="2"/>
  <c r="F2387" i="2"/>
  <c r="J2351" i="2"/>
  <c r="K2327" i="2"/>
  <c r="K2303" i="2"/>
  <c r="K2279" i="2"/>
  <c r="K2255" i="2"/>
  <c r="K2231" i="2"/>
  <c r="K2207" i="2"/>
  <c r="F1356" i="2"/>
  <c r="J1594" i="2"/>
  <c r="H1570" i="2"/>
  <c r="F1546" i="2"/>
  <c r="K1534" i="2"/>
  <c r="I1510" i="2"/>
  <c r="G1486" i="2"/>
  <c r="D1462" i="2"/>
  <c r="K1450" i="2"/>
  <c r="H1426" i="2"/>
  <c r="F1402" i="2"/>
  <c r="J1390" i="2"/>
  <c r="I1366" i="2"/>
  <c r="G1342" i="2"/>
  <c r="D1318" i="2"/>
  <c r="G1306" i="2"/>
  <c r="F1282" i="2"/>
  <c r="J1258" i="2"/>
  <c r="I1246" i="2"/>
  <c r="H1222" i="2"/>
  <c r="K1198" i="2"/>
  <c r="D1174" i="2"/>
  <c r="H1162" i="2"/>
  <c r="I1138" i="2"/>
  <c r="K1114" i="2"/>
  <c r="J1102" i="2"/>
  <c r="H1078" i="2"/>
  <c r="H1054" i="2"/>
  <c r="E1030" i="2"/>
  <c r="G1018" i="2"/>
  <c r="J1604" i="2"/>
  <c r="G2187" i="2"/>
  <c r="K2163" i="2"/>
  <c r="K2139" i="2"/>
  <c r="K2115" i="2"/>
  <c r="K2091" i="2"/>
  <c r="K2067" i="2"/>
  <c r="K2043" i="2"/>
  <c r="K2019" i="2"/>
  <c r="K1995" i="2"/>
  <c r="K1971" i="2"/>
  <c r="K1947" i="2"/>
  <c r="K1923" i="2"/>
  <c r="K1899" i="2"/>
  <c r="K1875" i="2"/>
  <c r="K1851" i="2"/>
  <c r="K1827" i="2"/>
  <c r="K1803" i="2"/>
  <c r="K1779" i="2"/>
  <c r="K1755" i="2"/>
  <c r="K1731" i="2"/>
  <c r="G1707" i="2"/>
  <c r="G1683" i="2"/>
  <c r="G1659" i="2"/>
  <c r="G1635" i="2"/>
  <c r="I2386" i="2"/>
  <c r="J2362" i="2"/>
  <c r="I2338" i="2"/>
  <c r="I2314" i="2"/>
  <c r="I2290" i="2"/>
  <c r="I2266" i="2"/>
  <c r="I2242" i="2"/>
  <c r="I2218" i="2"/>
  <c r="I1536" i="2"/>
  <c r="K1308" i="2"/>
  <c r="I1593" i="2"/>
  <c r="I1569" i="2"/>
  <c r="I1545" i="2"/>
  <c r="I1521" i="2"/>
  <c r="I1497" i="2"/>
  <c r="I1473" i="2"/>
  <c r="F1449" i="2"/>
  <c r="F1425" i="2"/>
  <c r="F1401" i="2"/>
  <c r="F1377" i="2"/>
  <c r="F1353" i="2"/>
  <c r="F1329" i="2"/>
  <c r="K1305" i="2"/>
  <c r="K1281" i="2"/>
  <c r="F2316" i="2"/>
  <c r="I2280" i="2"/>
  <c r="I2244" i="2"/>
  <c r="K2208" i="2"/>
  <c r="F1296" i="2"/>
  <c r="K1571" i="2"/>
  <c r="K1535" i="2"/>
  <c r="K1499" i="2"/>
  <c r="H1463" i="2"/>
  <c r="H1427" i="2"/>
  <c r="H1391" i="2"/>
  <c r="H1355" i="2"/>
  <c r="G1319" i="2"/>
  <c r="G1283" i="2"/>
  <c r="G1247" i="2"/>
  <c r="G1211" i="2"/>
  <c r="G1175" i="2"/>
  <c r="G1139" i="2"/>
  <c r="G1103" i="2"/>
  <c r="G1067" i="2"/>
  <c r="G1031" i="2"/>
  <c r="K1605" i="2"/>
  <c r="H2176" i="2"/>
  <c r="H2140" i="2"/>
  <c r="H2104" i="2"/>
  <c r="H2068" i="2"/>
  <c r="H2032" i="2"/>
  <c r="H1996" i="2"/>
  <c r="H1960" i="2"/>
  <c r="H1924" i="2"/>
  <c r="G1888" i="2"/>
  <c r="I1864" i="2"/>
  <c r="K1840" i="2"/>
  <c r="G1804" i="2"/>
  <c r="J1780" i="2"/>
  <c r="F1744" i="2"/>
  <c r="H1720" i="2"/>
  <c r="J1696" i="2"/>
  <c r="G1660" i="2"/>
  <c r="I1636" i="2"/>
  <c r="I2375" i="2"/>
  <c r="K2351" i="2"/>
  <c r="F2327" i="2"/>
  <c r="H2303" i="2"/>
  <c r="G2279" i="2"/>
  <c r="F2255" i="2"/>
  <c r="F2231" i="2"/>
  <c r="F2207" i="2"/>
  <c r="G1356" i="2"/>
  <c r="K1594" i="2"/>
  <c r="I1570" i="2"/>
  <c r="G1546" i="2"/>
  <c r="D1522" i="2"/>
  <c r="J1510" i="2"/>
  <c r="H1486" i="2"/>
  <c r="F1462" i="2"/>
  <c r="J1450" i="2"/>
  <c r="I1426" i="2"/>
  <c r="G1402" i="2"/>
  <c r="E1378" i="2"/>
  <c r="K1366" i="2"/>
  <c r="H1342" i="2"/>
  <c r="J1318" i="2"/>
  <c r="I1306" i="2"/>
  <c r="H1282" i="2"/>
  <c r="K1258" i="2"/>
  <c r="D1234" i="2"/>
  <c r="G1222" i="2"/>
  <c r="F1198" i="2"/>
  <c r="K1174" i="2"/>
  <c r="J1162" i="2"/>
  <c r="G1138" i="2"/>
  <c r="F1114" i="2"/>
  <c r="D1090" i="2"/>
  <c r="G1078" i="2"/>
  <c r="K1054" i="2"/>
  <c r="F1030" i="2"/>
  <c r="J1018" i="2"/>
  <c r="K1604" i="2"/>
  <c r="H2187" i="2"/>
  <c r="J2163" i="2"/>
  <c r="J2139" i="2"/>
  <c r="J2115" i="2"/>
  <c r="J2091" i="2"/>
  <c r="J2067" i="2"/>
  <c r="J2043" i="2"/>
  <c r="J2019" i="2"/>
  <c r="J1995" i="2"/>
  <c r="J1971" i="2"/>
  <c r="J1947" i="2"/>
  <c r="J1923" i="2"/>
  <c r="J1899" i="2"/>
  <c r="J1875" i="2"/>
  <c r="F1851" i="2"/>
  <c r="F1827" i="2"/>
  <c r="F1803" i="2"/>
  <c r="F1779" i="2"/>
  <c r="F1755" i="2"/>
  <c r="F1731" i="2"/>
  <c r="H1707" i="2"/>
  <c r="H1683" i="2"/>
  <c r="H1659" i="2"/>
  <c r="H1635" i="2"/>
  <c r="K2386" i="2"/>
  <c r="K2362" i="2"/>
  <c r="K2338" i="2"/>
  <c r="K2314" i="2"/>
  <c r="K2290" i="2"/>
  <c r="K2266" i="2"/>
  <c r="K2242" i="2"/>
  <c r="K2218" i="2"/>
  <c r="J1536" i="2"/>
  <c r="F1308" i="2"/>
  <c r="J1581" i="2"/>
  <c r="J1557" i="2"/>
  <c r="J1533" i="2"/>
  <c r="J1509" i="2"/>
  <c r="J1485" i="2"/>
  <c r="G1461" i="2"/>
  <c r="G1437" i="2"/>
  <c r="G1413" i="2"/>
  <c r="G1389" i="2"/>
  <c r="G1365" i="2"/>
  <c r="G1341" i="2"/>
  <c r="F1317" i="2"/>
  <c r="F1293" i="2"/>
  <c r="F1269" i="2"/>
  <c r="K2291" i="2"/>
  <c r="I2207" i="2"/>
  <c r="H1594" i="2"/>
  <c r="K1558" i="2"/>
  <c r="G1510" i="2"/>
  <c r="J1474" i="2"/>
  <c r="F1426" i="2"/>
  <c r="I1390" i="2"/>
  <c r="E1342" i="2"/>
  <c r="F1306" i="2"/>
  <c r="I1270" i="2"/>
  <c r="K1222" i="2"/>
  <c r="H1186" i="2"/>
  <c r="K1138" i="2"/>
  <c r="H1102" i="2"/>
  <c r="E1054" i="2"/>
  <c r="K1018" i="2"/>
  <c r="K2187" i="2"/>
  <c r="H2139" i="2"/>
  <c r="H2091" i="2"/>
  <c r="H2043" i="2"/>
  <c r="H1995" i="2"/>
  <c r="H1947" i="2"/>
  <c r="I1911" i="2"/>
  <c r="H1875" i="2"/>
  <c r="J1839" i="2"/>
  <c r="I1803" i="2"/>
  <c r="J1767" i="2"/>
  <c r="I1731" i="2"/>
  <c r="F1695" i="2"/>
  <c r="K1659" i="2"/>
  <c r="H2398" i="2"/>
  <c r="H2362" i="2"/>
  <c r="H2326" i="2"/>
  <c r="G2290" i="2"/>
  <c r="H2254" i="2"/>
  <c r="G2218" i="2"/>
  <c r="G1452" i="2"/>
  <c r="G1593" i="2"/>
  <c r="H1557" i="2"/>
  <c r="G1521" i="2"/>
  <c r="H1485" i="2"/>
  <c r="J1449" i="2"/>
  <c r="K1413" i="2"/>
  <c r="J1377" i="2"/>
  <c r="K1341" i="2"/>
  <c r="I1305" i="2"/>
  <c r="I1269" i="2"/>
  <c r="I1245" i="2"/>
  <c r="I1221" i="2"/>
  <c r="I1197" i="2"/>
  <c r="I1173" i="2"/>
  <c r="I1149" i="2"/>
  <c r="I1125" i="2"/>
  <c r="I1101" i="2"/>
  <c r="I1077" i="2"/>
  <c r="F2291" i="2"/>
  <c r="J2207" i="2"/>
  <c r="I1594" i="2"/>
  <c r="E1546" i="2"/>
  <c r="H1510" i="2"/>
  <c r="K1474" i="2"/>
  <c r="G1426" i="2"/>
  <c r="K1390" i="2"/>
  <c r="F1342" i="2"/>
  <c r="H1306" i="2"/>
  <c r="E1258" i="2"/>
  <c r="F1222" i="2"/>
  <c r="J1186" i="2"/>
  <c r="F1138" i="2"/>
  <c r="G1102" i="2"/>
  <c r="F1054" i="2"/>
  <c r="I1018" i="2"/>
  <c r="F2187" i="2"/>
  <c r="I2139" i="2"/>
  <c r="I2091" i="2"/>
  <c r="I2043" i="2"/>
  <c r="I1995" i="2"/>
  <c r="I1947" i="2"/>
  <c r="K1911" i="2"/>
  <c r="I1875" i="2"/>
  <c r="K1839" i="2"/>
  <c r="J1803" i="2"/>
  <c r="K1767" i="2"/>
  <c r="J1731" i="2"/>
  <c r="G1695" i="2"/>
  <c r="F1659" i="2"/>
  <c r="I2398" i="2"/>
  <c r="I2362" i="2"/>
  <c r="I2326" i="2"/>
  <c r="H2290" i="2"/>
  <c r="J2254" i="2"/>
  <c r="H2218" i="2"/>
  <c r="H1452" i="2"/>
  <c r="H1593" i="2"/>
  <c r="I1557" i="2"/>
  <c r="H1521" i="2"/>
  <c r="I1485" i="2"/>
  <c r="K1449" i="2"/>
  <c r="F1413" i="2"/>
  <c r="K1377" i="2"/>
  <c r="F1341" i="2"/>
  <c r="J1305" i="2"/>
  <c r="J1269" i="2"/>
  <c r="J1245" i="2"/>
  <c r="J1221" i="2"/>
  <c r="J1197" i="2"/>
  <c r="J1173" i="2"/>
  <c r="J1149" i="2"/>
  <c r="J1125" i="2"/>
  <c r="J1101" i="2"/>
  <c r="J1077" i="2"/>
  <c r="J1053" i="2"/>
  <c r="K2267" i="2"/>
  <c r="E1524" i="2"/>
  <c r="G1582" i="2"/>
  <c r="J1546" i="2"/>
  <c r="F1498" i="2"/>
  <c r="I1462" i="2"/>
  <c r="D1414" i="2"/>
  <c r="H1378" i="2"/>
  <c r="J1342" i="2"/>
  <c r="K1294" i="2"/>
  <c r="G1258" i="2"/>
  <c r="J1210" i="2"/>
  <c r="H1174" i="2"/>
  <c r="E1126" i="2"/>
  <c r="I1090" i="2"/>
  <c r="J1054" i="2"/>
  <c r="H1616" i="2"/>
  <c r="H2175" i="2"/>
  <c r="H2127" i="2"/>
  <c r="H2079" i="2"/>
  <c r="H2031" i="2"/>
  <c r="H1983" i="2"/>
  <c r="F1935" i="2"/>
  <c r="J1911" i="2"/>
  <c r="G1863" i="2"/>
  <c r="F1839" i="2"/>
  <c r="G1791" i="2"/>
  <c r="F1767" i="2"/>
  <c r="I1719" i="2"/>
  <c r="H1695" i="2"/>
  <c r="I1647" i="2"/>
  <c r="K2398" i="2"/>
  <c r="F2350" i="2"/>
  <c r="K2326" i="2"/>
  <c r="F2278" i="2"/>
  <c r="I2254" i="2"/>
  <c r="F2206" i="2"/>
  <c r="I1452" i="2"/>
  <c r="K1581" i="2"/>
  <c r="J1545" i="2"/>
  <c r="K1509" i="2"/>
  <c r="J1473" i="2"/>
  <c r="H1437" i="2"/>
  <c r="G1401" i="2"/>
  <c r="H1365" i="2"/>
  <c r="G1329" i="2"/>
  <c r="G1293" i="2"/>
  <c r="K1269" i="2"/>
  <c r="K1245" i="2"/>
  <c r="K1221" i="2"/>
  <c r="K1197" i="2"/>
  <c r="K1173" i="2"/>
  <c r="K1149" i="2"/>
  <c r="K1125" i="2"/>
  <c r="K1101" i="2"/>
  <c r="K1077" i="2"/>
  <c r="K1053" i="2"/>
  <c r="F2267" i="2"/>
  <c r="F1524" i="2"/>
  <c r="H1582" i="2"/>
  <c r="K1546" i="2"/>
  <c r="G1498" i="2"/>
  <c r="K1462" i="2"/>
  <c r="F1414" i="2"/>
  <c r="I1378" i="2"/>
  <c r="E1330" i="2"/>
  <c r="F1294" i="2"/>
  <c r="I1258" i="2"/>
  <c r="K1210" i="2"/>
  <c r="G1174" i="2"/>
  <c r="K1126" i="2"/>
  <c r="G1090" i="2"/>
  <c r="E1042" i="2"/>
  <c r="I1616" i="2"/>
  <c r="I2175" i="2"/>
  <c r="I2127" i="2"/>
  <c r="I2079" i="2"/>
  <c r="I2031" i="2"/>
  <c r="I1983" i="2"/>
  <c r="H1935" i="2"/>
  <c r="F1899" i="2"/>
  <c r="I1863" i="2"/>
  <c r="G1827" i="2"/>
  <c r="I1791" i="2"/>
  <c r="G1755" i="2"/>
  <c r="K1719" i="2"/>
  <c r="I1683" i="2"/>
  <c r="K1647" i="2"/>
  <c r="F2386" i="2"/>
  <c r="H2350" i="2"/>
  <c r="J2314" i="2"/>
  <c r="G2278" i="2"/>
  <c r="F2242" i="2"/>
  <c r="H2206" i="2"/>
  <c r="K1452" i="2"/>
  <c r="G1581" i="2"/>
  <c r="K1545" i="2"/>
  <c r="G1509" i="2"/>
  <c r="K1473" i="2"/>
  <c r="J1437" i="2"/>
  <c r="H1401" i="2"/>
  <c r="J1365" i="2"/>
  <c r="H1329" i="2"/>
  <c r="I1293" i="2"/>
  <c r="F1257" i="2"/>
  <c r="F1233" i="2"/>
  <c r="F1209" i="2"/>
  <c r="F1185" i="2"/>
  <c r="F1161" i="2"/>
  <c r="F1137" i="2"/>
  <c r="F1113" i="2"/>
  <c r="F1089" i="2"/>
  <c r="F1065" i="2"/>
  <c r="F1041" i="2"/>
  <c r="J2255" i="2"/>
  <c r="G1524" i="2"/>
  <c r="I1582" i="2"/>
  <c r="D1534" i="2"/>
  <c r="H1498" i="2"/>
  <c r="J1462" i="2"/>
  <c r="G1414" i="2"/>
  <c r="K1378" i="2"/>
  <c r="F1330" i="2"/>
  <c r="H1294" i="2"/>
  <c r="E1246" i="2"/>
  <c r="F1210" i="2"/>
  <c r="J1174" i="2"/>
  <c r="F1126" i="2"/>
  <c r="H1090" i="2"/>
  <c r="F1042" i="2"/>
  <c r="J1616" i="2"/>
  <c r="K2175" i="2"/>
  <c r="K2127" i="2"/>
  <c r="K2079" i="2"/>
  <c r="K2031" i="2"/>
  <c r="K1983" i="2"/>
  <c r="I1935" i="2"/>
  <c r="H1899" i="2"/>
  <c r="J1863" i="2"/>
  <c r="I1827" i="2"/>
  <c r="J1791" i="2"/>
  <c r="I1755" i="2"/>
  <c r="F1719" i="2"/>
  <c r="K1683" i="2"/>
  <c r="F1647" i="2"/>
  <c r="J2386" i="2"/>
  <c r="I2350" i="2"/>
  <c r="G2314" i="2"/>
  <c r="H2278" i="2"/>
  <c r="J2242" i="2"/>
  <c r="I2206" i="2"/>
  <c r="E1308" i="2"/>
  <c r="H1581" i="2"/>
  <c r="G1545" i="2"/>
  <c r="H1509" i="2"/>
  <c r="G1473" i="2"/>
  <c r="K1437" i="2"/>
  <c r="J1401" i="2"/>
  <c r="K1365" i="2"/>
  <c r="J1329" i="2"/>
  <c r="J1293" i="2"/>
  <c r="G1257" i="2"/>
  <c r="G1233" i="2"/>
  <c r="G1209" i="2"/>
  <c r="G1185" i="2"/>
  <c r="G1161" i="2"/>
  <c r="G1137" i="2"/>
  <c r="J2243" i="2"/>
  <c r="H1524" i="2"/>
  <c r="J1582" i="2"/>
  <c r="F1534" i="2"/>
  <c r="I1498" i="2"/>
  <c r="E1450" i="2"/>
  <c r="H1414" i="2"/>
  <c r="J1378" i="2"/>
  <c r="G1330" i="2"/>
  <c r="G1294" i="2"/>
  <c r="J1246" i="2"/>
  <c r="H1210" i="2"/>
  <c r="D1162" i="2"/>
  <c r="I1126" i="2"/>
  <c r="J1090" i="2"/>
  <c r="H1042" i="2"/>
  <c r="K1616" i="2"/>
  <c r="J2175" i="2"/>
  <c r="J2127" i="2"/>
  <c r="J2079" i="2"/>
  <c r="J2031" i="2"/>
  <c r="J1983" i="2"/>
  <c r="K1935" i="2"/>
  <c r="I1899" i="2"/>
  <c r="K1863" i="2"/>
  <c r="J1827" i="2"/>
  <c r="K1791" i="2"/>
  <c r="J1755" i="2"/>
  <c r="G1719" i="2"/>
  <c r="F1683" i="2"/>
  <c r="G1647" i="2"/>
  <c r="H2386" i="2"/>
  <c r="J2350" i="2"/>
  <c r="H2314" i="2"/>
  <c r="K2278" i="2"/>
  <c r="H2242" i="2"/>
  <c r="J2206" i="2"/>
  <c r="J1308" i="2"/>
  <c r="I1581" i="2"/>
  <c r="H1545" i="2"/>
  <c r="I1509" i="2"/>
  <c r="H1473" i="2"/>
  <c r="F1437" i="2"/>
  <c r="K1401" i="2"/>
  <c r="F1365" i="2"/>
  <c r="K1329" i="2"/>
  <c r="K1293" i="2"/>
  <c r="H1257" i="2"/>
  <c r="H1233" i="2"/>
  <c r="H1209" i="2"/>
  <c r="H1185" i="2"/>
  <c r="H1161" i="2"/>
  <c r="H1137" i="2"/>
  <c r="K2243" i="2"/>
  <c r="K1524" i="2"/>
  <c r="F1570" i="2"/>
  <c r="I1534" i="2"/>
  <c r="E1486" i="2"/>
  <c r="H1450" i="2"/>
  <c r="J1414" i="2"/>
  <c r="G1366" i="2"/>
  <c r="K1330" i="2"/>
  <c r="J1282" i="2"/>
  <c r="H1246" i="2"/>
  <c r="E1198" i="2"/>
  <c r="I1162" i="2"/>
  <c r="J1126" i="2"/>
  <c r="F1078" i="2"/>
  <c r="G1042" i="2"/>
  <c r="H1604" i="2"/>
  <c r="H2163" i="2"/>
  <c r="H2115" i="2"/>
  <c r="H2067" i="2"/>
  <c r="H2019" i="2"/>
  <c r="H1971" i="2"/>
  <c r="J1935" i="2"/>
  <c r="F1887" i="2"/>
  <c r="F1863" i="2"/>
  <c r="G1815" i="2"/>
  <c r="F1791" i="2"/>
  <c r="G1743" i="2"/>
  <c r="H1719" i="2"/>
  <c r="I1671" i="2"/>
  <c r="H1647" i="2"/>
  <c r="J2374" i="2"/>
  <c r="K2350" i="2"/>
  <c r="J2302" i="2"/>
  <c r="I2278" i="2"/>
  <c r="J2230" i="2"/>
  <c r="K2206" i="2"/>
  <c r="H1308" i="2"/>
  <c r="J1569" i="2"/>
  <c r="K1533" i="2"/>
  <c r="J1497" i="2"/>
  <c r="H1461" i="2"/>
  <c r="G1425" i="2"/>
  <c r="H1389" i="2"/>
  <c r="G1353" i="2"/>
  <c r="G1317" i="2"/>
  <c r="F1281" i="2"/>
  <c r="I1257" i="2"/>
  <c r="I1233" i="2"/>
  <c r="I1209" i="2"/>
  <c r="I1185" i="2"/>
  <c r="I1161" i="2"/>
  <c r="I1137" i="2"/>
  <c r="I1113" i="2"/>
  <c r="I1089" i="2"/>
  <c r="J1065" i="2"/>
  <c r="F2243" i="2"/>
  <c r="E1356" i="2"/>
  <c r="G1570" i="2"/>
  <c r="J1534" i="2"/>
  <c r="F1486" i="2"/>
  <c r="I1450" i="2"/>
  <c r="D1402" i="2"/>
  <c r="H1366" i="2"/>
  <c r="J1330" i="2"/>
  <c r="K1282" i="2"/>
  <c r="G1246" i="2"/>
  <c r="J1198" i="2"/>
  <c r="G1162" i="2"/>
  <c r="D1114" i="2"/>
  <c r="I1078" i="2"/>
  <c r="J1042" i="2"/>
  <c r="I1604" i="2"/>
  <c r="I2163" i="2"/>
  <c r="I2115" i="2"/>
  <c r="I2067" i="2"/>
  <c r="I2019" i="2"/>
  <c r="I1971" i="2"/>
  <c r="F1923" i="2"/>
  <c r="H1887" i="2"/>
  <c r="G1851" i="2"/>
  <c r="I1815" i="2"/>
  <c r="G1779" i="2"/>
  <c r="I1743" i="2"/>
  <c r="I1707" i="2"/>
  <c r="K1671" i="2"/>
  <c r="I1635" i="2"/>
  <c r="G2374" i="2"/>
  <c r="J2338" i="2"/>
  <c r="G2302" i="2"/>
  <c r="F2266" i="2"/>
  <c r="F2230" i="2"/>
  <c r="E1536" i="2"/>
  <c r="I1308" i="2"/>
  <c r="K1569" i="2"/>
  <c r="G1533" i="2"/>
  <c r="K1497" i="2"/>
  <c r="J1461" i="2"/>
  <c r="H1425" i="2"/>
  <c r="J1389" i="2"/>
  <c r="H1353" i="2"/>
  <c r="I1317" i="2"/>
  <c r="G1281" i="2"/>
  <c r="J1257" i="2"/>
  <c r="J1233" i="2"/>
  <c r="J1209" i="2"/>
  <c r="J1185" i="2"/>
  <c r="J1161" i="2"/>
  <c r="J1137" i="2"/>
  <c r="J1113" i="2"/>
  <c r="J1089" i="2"/>
  <c r="K1065" i="2"/>
  <c r="J1041" i="2"/>
  <c r="J1017" i="2"/>
  <c r="G1615" i="2"/>
  <c r="I2198" i="2"/>
  <c r="K2174" i="2"/>
  <c r="K2150" i="2"/>
  <c r="K2126" i="2"/>
  <c r="K2102" i="2"/>
  <c r="K2078" i="2"/>
  <c r="K2054" i="2"/>
  <c r="K2030" i="2"/>
  <c r="K2006" i="2"/>
  <c r="K1982" i="2"/>
  <c r="K1958" i="2"/>
  <c r="K1934" i="2"/>
  <c r="K1910" i="2"/>
  <c r="K1886" i="2"/>
  <c r="K1862" i="2"/>
  <c r="K1838" i="2"/>
  <c r="K1814" i="2"/>
  <c r="K1790" i="2"/>
  <c r="K1766" i="2"/>
  <c r="K1742" i="2"/>
  <c r="J1718" i="2"/>
  <c r="J1694" i="2"/>
  <c r="J1670" i="2"/>
  <c r="J1646" i="2"/>
  <c r="G2397" i="2"/>
  <c r="G2373" i="2"/>
  <c r="G2349" i="2"/>
  <c r="G2325" i="2"/>
  <c r="G2301" i="2"/>
  <c r="G2277" i="2"/>
  <c r="G2253" i="2"/>
  <c r="G2229" i="2"/>
  <c r="G2205" i="2"/>
  <c r="E1592" i="2"/>
  <c r="J1580" i="2"/>
  <c r="H1556" i="2"/>
  <c r="G1532" i="2"/>
  <c r="D1508" i="2"/>
  <c r="J1496" i="2"/>
  <c r="H1472" i="2"/>
  <c r="F1448" i="2"/>
  <c r="J1436" i="2"/>
  <c r="I1412" i="2"/>
  <c r="G1388" i="2"/>
  <c r="D1364" i="2"/>
  <c r="K1352" i="2"/>
  <c r="H1328" i="2"/>
  <c r="J1304" i="2"/>
  <c r="I1292" i="2"/>
  <c r="H1268" i="2"/>
  <c r="K1244" i="2"/>
  <c r="E1220" i="2"/>
  <c r="G1208" i="2"/>
  <c r="I1184" i="2"/>
  <c r="K1160" i="2"/>
  <c r="J1148" i="2"/>
  <c r="G1124" i="2"/>
  <c r="F1100" i="2"/>
  <c r="E1076" i="2"/>
  <c r="J1064" i="2"/>
  <c r="G1040" i="2"/>
  <c r="F1016" i="2"/>
  <c r="K1626" i="2"/>
  <c r="J1602" i="2"/>
  <c r="K2185" i="2"/>
  <c r="F2161" i="2"/>
  <c r="J2149" i="2"/>
  <c r="I2125" i="2"/>
  <c r="J2231" i="2"/>
  <c r="K1356" i="2"/>
  <c r="D1558" i="2"/>
  <c r="H1522" i="2"/>
  <c r="K1486" i="2"/>
  <c r="G1438" i="2"/>
  <c r="K1402" i="2"/>
  <c r="F1354" i="2"/>
  <c r="H1318" i="2"/>
  <c r="E1270" i="2"/>
  <c r="F1234" i="2"/>
  <c r="I1198" i="2"/>
  <c r="F1150" i="2"/>
  <c r="H1114" i="2"/>
  <c r="F1066" i="2"/>
  <c r="I1030" i="2"/>
  <c r="K2199" i="2"/>
  <c r="H2151" i="2"/>
  <c r="H2103" i="2"/>
  <c r="H2055" i="2"/>
  <c r="H2007" i="2"/>
  <c r="H1959" i="2"/>
  <c r="H1923" i="2"/>
  <c r="I1887" i="2"/>
  <c r="I1851" i="2"/>
  <c r="J1815" i="2"/>
  <c r="I1779" i="2"/>
  <c r="J1743" i="2"/>
  <c r="K1707" i="2"/>
  <c r="F1671" i="2"/>
  <c r="K1635" i="2"/>
  <c r="H2374" i="2"/>
  <c r="G2338" i="2"/>
  <c r="H2302" i="2"/>
  <c r="H2266" i="2"/>
  <c r="G2230" i="2"/>
  <c r="G1536" i="2"/>
  <c r="E1188" i="2"/>
  <c r="G1569" i="2"/>
  <c r="H1533" i="2"/>
  <c r="G1497" i="2"/>
  <c r="K1461" i="2"/>
  <c r="J1425" i="2"/>
  <c r="K1389" i="2"/>
  <c r="J1353" i="2"/>
  <c r="J1317" i="2"/>
  <c r="I1281" i="2"/>
  <c r="K1257" i="2"/>
  <c r="K1233" i="2"/>
  <c r="K1209" i="2"/>
  <c r="K1185" i="2"/>
  <c r="K1161" i="2"/>
  <c r="K1137" i="2"/>
  <c r="K1113" i="2"/>
  <c r="K1089" i="2"/>
  <c r="H1065" i="2"/>
  <c r="J2219" i="2"/>
  <c r="J1356" i="2"/>
  <c r="F1558" i="2"/>
  <c r="I1522" i="2"/>
  <c r="E1474" i="2"/>
  <c r="H1438" i="2"/>
  <c r="J1402" i="2"/>
  <c r="G1354" i="2"/>
  <c r="G1318" i="2"/>
  <c r="J1270" i="2"/>
  <c r="H1234" i="2"/>
  <c r="E1186" i="2"/>
  <c r="I1150" i="2"/>
  <c r="J1114" i="2"/>
  <c r="H1066" i="2"/>
  <c r="G1030" i="2"/>
  <c r="F2199" i="2"/>
  <c r="I2151" i="2"/>
  <c r="I2103" i="2"/>
  <c r="I2055" i="2"/>
  <c r="I2007" i="2"/>
  <c r="I1959" i="2"/>
  <c r="I1923" i="2"/>
  <c r="K1887" i="2"/>
  <c r="J1851" i="2"/>
  <c r="K1815" i="2"/>
  <c r="J1779" i="2"/>
  <c r="K1743" i="2"/>
  <c r="F1707" i="2"/>
  <c r="G1671" i="2"/>
  <c r="F1635" i="2"/>
  <c r="I2374" i="2"/>
  <c r="H2338" i="2"/>
  <c r="I2302" i="2"/>
  <c r="J2266" i="2"/>
  <c r="H2230" i="2"/>
  <c r="H1536" i="2"/>
  <c r="E2141" i="2"/>
  <c r="H1569" i="2"/>
  <c r="I1533" i="2"/>
  <c r="H1497" i="2"/>
  <c r="F1461" i="2"/>
  <c r="K1425" i="2"/>
  <c r="F1389" i="2"/>
  <c r="K1353" i="2"/>
  <c r="K1317" i="2"/>
  <c r="J1281" i="2"/>
  <c r="F1245" i="2"/>
  <c r="F1221" i="2"/>
  <c r="F1197" i="2"/>
  <c r="F1173" i="2"/>
  <c r="F1149" i="2"/>
  <c r="F1125" i="2"/>
  <c r="F1101" i="2"/>
  <c r="F1077" i="2"/>
  <c r="F1053" i="2"/>
  <c r="K2219" i="2"/>
  <c r="E2165" i="2"/>
  <c r="G1558" i="2"/>
  <c r="J1522" i="2"/>
  <c r="F1474" i="2"/>
  <c r="I1438" i="2"/>
  <c r="E1390" i="2"/>
  <c r="H1354" i="2"/>
  <c r="I1318" i="2"/>
  <c r="K1270" i="2"/>
  <c r="G1234" i="2"/>
  <c r="K1186" i="2"/>
  <c r="H1150" i="2"/>
  <c r="E1102" i="2"/>
  <c r="J1066" i="2"/>
  <c r="J1030" i="2"/>
  <c r="G2199" i="2"/>
  <c r="K2151" i="2"/>
  <c r="K2103" i="2"/>
  <c r="K2055" i="2"/>
  <c r="K2007" i="2"/>
  <c r="K1959" i="2"/>
  <c r="F1911" i="2"/>
  <c r="J1887" i="2"/>
  <c r="G1839" i="2"/>
  <c r="F1815" i="2"/>
  <c r="G1767" i="2"/>
  <c r="F1743" i="2"/>
  <c r="I1695" i="2"/>
  <c r="H1671" i="2"/>
  <c r="J2398" i="2"/>
  <c r="K2374" i="2"/>
  <c r="J2326" i="2"/>
  <c r="K2302" i="2"/>
  <c r="K2254" i="2"/>
  <c r="I2230" i="2"/>
  <c r="K1536" i="2"/>
  <c r="J1593" i="2"/>
  <c r="K1557" i="2"/>
  <c r="J1521" i="2"/>
  <c r="K1485" i="2"/>
  <c r="G1449" i="2"/>
  <c r="H1413" i="2"/>
  <c r="G1377" i="2"/>
  <c r="H1341" i="2"/>
  <c r="F1305" i="2"/>
  <c r="G1269" i="2"/>
  <c r="G1245" i="2"/>
  <c r="G1221" i="2"/>
  <c r="G1197" i="2"/>
  <c r="G1173" i="2"/>
  <c r="G1149" i="2"/>
  <c r="G1125" i="2"/>
  <c r="G1101" i="2"/>
  <c r="G1077" i="2"/>
  <c r="G1053" i="2"/>
  <c r="F2219" i="2"/>
  <c r="E1594" i="2"/>
  <c r="H1558" i="2"/>
  <c r="K1522" i="2"/>
  <c r="G1474" i="2"/>
  <c r="K1438" i="2"/>
  <c r="F1390" i="2"/>
  <c r="I1354" i="2"/>
  <c r="D1306" i="2"/>
  <c r="F1270" i="2"/>
  <c r="I1234" i="2"/>
  <c r="F1186" i="2"/>
  <c r="G1150" i="2"/>
  <c r="K1102" i="2"/>
  <c r="K1066" i="2"/>
  <c r="E1018" i="2"/>
  <c r="H2199" i="2"/>
  <c r="J2151" i="2"/>
  <c r="J2103" i="2"/>
  <c r="J2055" i="2"/>
  <c r="J2007" i="2"/>
  <c r="J1959" i="2"/>
  <c r="H1911" i="2"/>
  <c r="F1875" i="2"/>
  <c r="I1839" i="2"/>
  <c r="G1803" i="2"/>
  <c r="I1767" i="2"/>
  <c r="G1731" i="2"/>
  <c r="K1695" i="2"/>
  <c r="I1659" i="2"/>
  <c r="G2398" i="2"/>
  <c r="F2362" i="2"/>
  <c r="G2326" i="2"/>
  <c r="J2290" i="2"/>
  <c r="G2254" i="2"/>
  <c r="J2218" i="2"/>
  <c r="F1452" i="2"/>
  <c r="K1593" i="2"/>
  <c r="G1557" i="2"/>
  <c r="K1521" i="2"/>
  <c r="G1485" i="2"/>
  <c r="H1449" i="2"/>
  <c r="J1413" i="2"/>
  <c r="H1377" i="2"/>
  <c r="J1341" i="2"/>
  <c r="G1305" i="2"/>
  <c r="H1269" i="2"/>
  <c r="H1245" i="2"/>
  <c r="H1221" i="2"/>
  <c r="H1197" i="2"/>
  <c r="H1173" i="2"/>
  <c r="H1149" i="2"/>
  <c r="H1125" i="2"/>
  <c r="H1101" i="2"/>
  <c r="H1077" i="2"/>
  <c r="H1053" i="2"/>
  <c r="H1029" i="2"/>
  <c r="K1627" i="2"/>
  <c r="F1603" i="2"/>
  <c r="G2186" i="2"/>
  <c r="I2162" i="2"/>
  <c r="I2138" i="2"/>
  <c r="I2114" i="2"/>
  <c r="I2090" i="2"/>
  <c r="I2066" i="2"/>
  <c r="I2042" i="2"/>
  <c r="I2018" i="2"/>
  <c r="I1994" i="2"/>
  <c r="I1970" i="2"/>
  <c r="I1946" i="2"/>
  <c r="I1922" i="2"/>
  <c r="I1898" i="2"/>
  <c r="I1874" i="2"/>
  <c r="I1850" i="2"/>
  <c r="I1826" i="2"/>
  <c r="I1802" i="2"/>
  <c r="I1778" i="2"/>
  <c r="I1754" i="2"/>
  <c r="I1730" i="2"/>
  <c r="H1706" i="2"/>
  <c r="H1682" i="2"/>
  <c r="H1658" i="2"/>
  <c r="H1634" i="2"/>
  <c r="K2385" i="2"/>
  <c r="K2361" i="2"/>
  <c r="K2337" i="2"/>
  <c r="K2313" i="2"/>
  <c r="K2289" i="2"/>
  <c r="K2265" i="2"/>
  <c r="K2241" i="2"/>
  <c r="K2217" i="2"/>
  <c r="G1344" i="2"/>
  <c r="I1592" i="2"/>
  <c r="G1568" i="2"/>
  <c r="E1544" i="2"/>
  <c r="K1532" i="2"/>
  <c r="I1508" i="2"/>
  <c r="G1484" i="2"/>
  <c r="E1460" i="2"/>
  <c r="K1448" i="2"/>
  <c r="H1424" i="2"/>
  <c r="F1400" i="2"/>
  <c r="J1388" i="2"/>
  <c r="I1364" i="2"/>
  <c r="G1340" i="2"/>
  <c r="E1316" i="2"/>
  <c r="G1304" i="2"/>
  <c r="F1280" i="2"/>
  <c r="J1256" i="2"/>
  <c r="I1244" i="2"/>
  <c r="H1220" i="2"/>
  <c r="K1196" i="2"/>
  <c r="D1172" i="2"/>
  <c r="H1160" i="2"/>
  <c r="I1136" i="2"/>
  <c r="K1112" i="2"/>
  <c r="J1100" i="2"/>
  <c r="G1076" i="2"/>
  <c r="H1052" i="2"/>
  <c r="D1028" i="2"/>
  <c r="J1016" i="2"/>
  <c r="H1614" i="2"/>
  <c r="J2197" i="2"/>
  <c r="E2173" i="2"/>
  <c r="K2161" i="2"/>
  <c r="H2137" i="2"/>
  <c r="F2113" i="2"/>
  <c r="G1113" i="2"/>
  <c r="G1029" i="2"/>
  <c r="G1627" i="2"/>
  <c r="J2198" i="2"/>
  <c r="I2174" i="2"/>
  <c r="F2150" i="2"/>
  <c r="H2114" i="2"/>
  <c r="K2090" i="2"/>
  <c r="G2054" i="2"/>
  <c r="I2030" i="2"/>
  <c r="F2006" i="2"/>
  <c r="H1970" i="2"/>
  <c r="K1946" i="2"/>
  <c r="G1910" i="2"/>
  <c r="I1886" i="2"/>
  <c r="H1862" i="2"/>
  <c r="G1826" i="2"/>
  <c r="K1802" i="2"/>
  <c r="F1766" i="2"/>
  <c r="I1742" i="2"/>
  <c r="K1718" i="2"/>
  <c r="G1682" i="2"/>
  <c r="J1658" i="2"/>
  <c r="I2397" i="2"/>
  <c r="K2373" i="2"/>
  <c r="H2349" i="2"/>
  <c r="J2313" i="2"/>
  <c r="G2289" i="2"/>
  <c r="I2253" i="2"/>
  <c r="K2229" i="2"/>
  <c r="H2205" i="2"/>
  <c r="H1592" i="2"/>
  <c r="I1568" i="2"/>
  <c r="I1544" i="2"/>
  <c r="J1520" i="2"/>
  <c r="K1496" i="2"/>
  <c r="K1472" i="2"/>
  <c r="E1436" i="2"/>
  <c r="E1412" i="2"/>
  <c r="D1388" i="2"/>
  <c r="F1364" i="2"/>
  <c r="F1340" i="2"/>
  <c r="K1316" i="2"/>
  <c r="K1292" i="2"/>
  <c r="K1268" i="2"/>
  <c r="F1244" i="2"/>
  <c r="F1220" i="2"/>
  <c r="H1196" i="2"/>
  <c r="G1172" i="2"/>
  <c r="G1148" i="2"/>
  <c r="H1124" i="2"/>
  <c r="H1100" i="2"/>
  <c r="J1076" i="2"/>
  <c r="K1052" i="2"/>
  <c r="K1028" i="2"/>
  <c r="E1614" i="2"/>
  <c r="I2197" i="2"/>
  <c r="G2173" i="2"/>
  <c r="G2149" i="2"/>
  <c r="G2125" i="2"/>
  <c r="G2101" i="2"/>
  <c r="E2077" i="2"/>
  <c r="J2065" i="2"/>
  <c r="I2041" i="2"/>
  <c r="G2017" i="2"/>
  <c r="E1993" i="2"/>
  <c r="K1981" i="2"/>
  <c r="H1113" i="2"/>
  <c r="I1029" i="2"/>
  <c r="H1627" i="2"/>
  <c r="F2198" i="2"/>
  <c r="J2174" i="2"/>
  <c r="G2138" i="2"/>
  <c r="J2114" i="2"/>
  <c r="F2090" i="2"/>
  <c r="H2054" i="2"/>
  <c r="J2030" i="2"/>
  <c r="G1994" i="2"/>
  <c r="J1970" i="2"/>
  <c r="F1946" i="2"/>
  <c r="H1910" i="2"/>
  <c r="J1886" i="2"/>
  <c r="F1850" i="2"/>
  <c r="J1826" i="2"/>
  <c r="H1802" i="2"/>
  <c r="G1766" i="2"/>
  <c r="J1742" i="2"/>
  <c r="F1706" i="2"/>
  <c r="I1682" i="2"/>
  <c r="K1658" i="2"/>
  <c r="J2397" i="2"/>
  <c r="F2373" i="2"/>
  <c r="I2337" i="2"/>
  <c r="F2313" i="2"/>
  <c r="H2289" i="2"/>
  <c r="J2253" i="2"/>
  <c r="F2229" i="2"/>
  <c r="E1344" i="2"/>
  <c r="J1592" i="2"/>
  <c r="J1568" i="2"/>
  <c r="J1544" i="2"/>
  <c r="K1520" i="2"/>
  <c r="D1484" i="2"/>
  <c r="F1460" i="2"/>
  <c r="F1436" i="2"/>
  <c r="F1412" i="2"/>
  <c r="F1388" i="2"/>
  <c r="G1364" i="2"/>
  <c r="H1340" i="2"/>
  <c r="F1316" i="2"/>
  <c r="F1292" i="2"/>
  <c r="F1268" i="2"/>
  <c r="H1244" i="2"/>
  <c r="G1220" i="2"/>
  <c r="G1196" i="2"/>
  <c r="H1172" i="2"/>
  <c r="H1148" i="2"/>
  <c r="J1124" i="2"/>
  <c r="E1088" i="2"/>
  <c r="D1064" i="2"/>
  <c r="E1040" i="2"/>
  <c r="E1016" i="2"/>
  <c r="F1614" i="2"/>
  <c r="K2197" i="2"/>
  <c r="H2173" i="2"/>
  <c r="H2149" i="2"/>
  <c r="H2125" i="2"/>
  <c r="H2101" i="2"/>
  <c r="F2077" i="2"/>
  <c r="D2053" i="2"/>
  <c r="K2041" i="2"/>
  <c r="H2017" i="2"/>
  <c r="F1993" i="2"/>
  <c r="J1981" i="2"/>
  <c r="G1089" i="2"/>
  <c r="J1029" i="2"/>
  <c r="I1615" i="2"/>
  <c r="G2198" i="2"/>
  <c r="F2174" i="2"/>
  <c r="H2138" i="2"/>
  <c r="K2114" i="2"/>
  <c r="G2078" i="2"/>
  <c r="I2054" i="2"/>
  <c r="F2030" i="2"/>
  <c r="H1994" i="2"/>
  <c r="K1970" i="2"/>
  <c r="G1934" i="2"/>
  <c r="I1910" i="2"/>
  <c r="F1886" i="2"/>
  <c r="G1850" i="2"/>
  <c r="K1826" i="2"/>
  <c r="F1790" i="2"/>
  <c r="I1766" i="2"/>
  <c r="H1742" i="2"/>
  <c r="G1706" i="2"/>
  <c r="J1682" i="2"/>
  <c r="F1646" i="2"/>
  <c r="K2397" i="2"/>
  <c r="H2373" i="2"/>
  <c r="J2337" i="2"/>
  <c r="G2313" i="2"/>
  <c r="I2277" i="2"/>
  <c r="K2253" i="2"/>
  <c r="H2229" i="2"/>
  <c r="F1344" i="2"/>
  <c r="K1592" i="2"/>
  <c r="K1568" i="2"/>
  <c r="K1544" i="2"/>
  <c r="F1508" i="2"/>
  <c r="F1484" i="2"/>
  <c r="G1460" i="2"/>
  <c r="G1436" i="2"/>
  <c r="G1412" i="2"/>
  <c r="H1388" i="2"/>
  <c r="H1364" i="2"/>
  <c r="I1340" i="2"/>
  <c r="H1316" i="2"/>
  <c r="H1292" i="2"/>
  <c r="G1268" i="2"/>
  <c r="G1244" i="2"/>
  <c r="I1220" i="2"/>
  <c r="I1196" i="2"/>
  <c r="J1172" i="2"/>
  <c r="E1136" i="2"/>
  <c r="E1112" i="2"/>
  <c r="K1088" i="2"/>
  <c r="F1064" i="2"/>
  <c r="F1040" i="2"/>
  <c r="H1016" i="2"/>
  <c r="G1614" i="2"/>
  <c r="F2197" i="2"/>
  <c r="I2173" i="2"/>
  <c r="I2149" i="2"/>
  <c r="K2125" i="2"/>
  <c r="I2101" i="2"/>
  <c r="G2077" i="2"/>
  <c r="F2053" i="2"/>
  <c r="J2041" i="2"/>
  <c r="I2017" i="2"/>
  <c r="G1993" i="2"/>
  <c r="D1969" i="2"/>
  <c r="H1089" i="2"/>
  <c r="K1029" i="2"/>
  <c r="J1615" i="2"/>
  <c r="H2198" i="2"/>
  <c r="G2162" i="2"/>
  <c r="J2138" i="2"/>
  <c r="F2114" i="2"/>
  <c r="H2078" i="2"/>
  <c r="J2054" i="2"/>
  <c r="G2018" i="2"/>
  <c r="J1994" i="2"/>
  <c r="F1970" i="2"/>
  <c r="H1934" i="2"/>
  <c r="J1910" i="2"/>
  <c r="G1874" i="2"/>
  <c r="J1850" i="2"/>
  <c r="H1826" i="2"/>
  <c r="G1790" i="2"/>
  <c r="J1766" i="2"/>
  <c r="F1730" i="2"/>
  <c r="I1706" i="2"/>
  <c r="K1682" i="2"/>
  <c r="G1646" i="2"/>
  <c r="F2397" i="2"/>
  <c r="I2361" i="2"/>
  <c r="F2337" i="2"/>
  <c r="H2313" i="2"/>
  <c r="J2277" i="2"/>
  <c r="F2253" i="2"/>
  <c r="I2217" i="2"/>
  <c r="H1344" i="2"/>
  <c r="E1580" i="2"/>
  <c r="E1556" i="2"/>
  <c r="F1532" i="2"/>
  <c r="G1508" i="2"/>
  <c r="H1484" i="2"/>
  <c r="H1460" i="2"/>
  <c r="H1436" i="2"/>
  <c r="H1412" i="2"/>
  <c r="I1388" i="2"/>
  <c r="K1364" i="2"/>
  <c r="K1340" i="2"/>
  <c r="G1316" i="2"/>
  <c r="G1292" i="2"/>
  <c r="I1268" i="2"/>
  <c r="D1232" i="2"/>
  <c r="D1208" i="2"/>
  <c r="E1184" i="2"/>
  <c r="E1160" i="2"/>
  <c r="K1136" i="2"/>
  <c r="F1112" i="2"/>
  <c r="F1088" i="2"/>
  <c r="H1064" i="2"/>
  <c r="H1040" i="2"/>
  <c r="G1016" i="2"/>
  <c r="I1614" i="2"/>
  <c r="G2197" i="2"/>
  <c r="K2173" i="2"/>
  <c r="K2149" i="2"/>
  <c r="J2125" i="2"/>
  <c r="K2101" i="2"/>
  <c r="H2077" i="2"/>
  <c r="G2053" i="2"/>
  <c r="E2029" i="2"/>
  <c r="K2017" i="2"/>
  <c r="H1993" i="2"/>
  <c r="F1969" i="2"/>
  <c r="G1065" i="2"/>
  <c r="F1017" i="2"/>
  <c r="K1615" i="2"/>
  <c r="K2198" i="2"/>
  <c r="H2162" i="2"/>
  <c r="K2138" i="2"/>
  <c r="G2102" i="2"/>
  <c r="I2078" i="2"/>
  <c r="F2054" i="2"/>
  <c r="H2018" i="2"/>
  <c r="K1994" i="2"/>
  <c r="G1958" i="2"/>
  <c r="I1934" i="2"/>
  <c r="F1910" i="2"/>
  <c r="H1874" i="2"/>
  <c r="K1850" i="2"/>
  <c r="F1814" i="2"/>
  <c r="I1790" i="2"/>
  <c r="H1766" i="2"/>
  <c r="G1730" i="2"/>
  <c r="J1706" i="2"/>
  <c r="F1670" i="2"/>
  <c r="H1646" i="2"/>
  <c r="H2397" i="2"/>
  <c r="J2361" i="2"/>
  <c r="G2337" i="2"/>
  <c r="I2301" i="2"/>
  <c r="K2277" i="2"/>
  <c r="H2253" i="2"/>
  <c r="J2217" i="2"/>
  <c r="I1344" i="2"/>
  <c r="F1580" i="2"/>
  <c r="F1556" i="2"/>
  <c r="H1532" i="2"/>
  <c r="H1508" i="2"/>
  <c r="I1484" i="2"/>
  <c r="I1460" i="2"/>
  <c r="I1436" i="2"/>
  <c r="K1412" i="2"/>
  <c r="K1388" i="2"/>
  <c r="J1364" i="2"/>
  <c r="J1340" i="2"/>
  <c r="I1316" i="2"/>
  <c r="E1280" i="2"/>
  <c r="E1256" i="2"/>
  <c r="J1232" i="2"/>
  <c r="J1208" i="2"/>
  <c r="K1184" i="2"/>
  <c r="F1160" i="2"/>
  <c r="F1136" i="2"/>
  <c r="I1112" i="2"/>
  <c r="I1088" i="2"/>
  <c r="G1064" i="2"/>
  <c r="I1040" i="2"/>
  <c r="I1016" i="2"/>
  <c r="J1614" i="2"/>
  <c r="H2197" i="2"/>
  <c r="J2173" i="2"/>
  <c r="E2137" i="2"/>
  <c r="D2113" i="2"/>
  <c r="J2101" i="2"/>
  <c r="I2077" i="2"/>
  <c r="H2053" i="2"/>
  <c r="I1065" i="2"/>
  <c r="G1017" i="2"/>
  <c r="F1615" i="2"/>
  <c r="K2186" i="2"/>
  <c r="J2162" i="2"/>
  <c r="F2138" i="2"/>
  <c r="H2102" i="2"/>
  <c r="J2078" i="2"/>
  <c r="G2042" i="2"/>
  <c r="J2018" i="2"/>
  <c r="F1994" i="2"/>
  <c r="H1958" i="2"/>
  <c r="J1934" i="2"/>
  <c r="G1898" i="2"/>
  <c r="J1874" i="2"/>
  <c r="H1850" i="2"/>
  <c r="G1814" i="2"/>
  <c r="J1790" i="2"/>
  <c r="F1754" i="2"/>
  <c r="J1730" i="2"/>
  <c r="K1706" i="2"/>
  <c r="G1670" i="2"/>
  <c r="I1646" i="2"/>
  <c r="I2385" i="2"/>
  <c r="F2361" i="2"/>
  <c r="H2337" i="2"/>
  <c r="J2301" i="2"/>
  <c r="F2277" i="2"/>
  <c r="I2241" i="2"/>
  <c r="F2217" i="2"/>
  <c r="K1344" i="2"/>
  <c r="G1580" i="2"/>
  <c r="G1556" i="2"/>
  <c r="I1532" i="2"/>
  <c r="J1508" i="2"/>
  <c r="J1484" i="2"/>
  <c r="K1460" i="2"/>
  <c r="K1436" i="2"/>
  <c r="J1412" i="2"/>
  <c r="D1376" i="2"/>
  <c r="E1352" i="2"/>
  <c r="E1328" i="2"/>
  <c r="E1304" i="2"/>
  <c r="J1280" i="2"/>
  <c r="K1256" i="2"/>
  <c r="K1232" i="2"/>
  <c r="K1208" i="2"/>
  <c r="F1184" i="2"/>
  <c r="I1160" i="2"/>
  <c r="G1136" i="2"/>
  <c r="G1112" i="2"/>
  <c r="G1088" i="2"/>
  <c r="I1064" i="2"/>
  <c r="J1040" i="2"/>
  <c r="K1016" i="2"/>
  <c r="K1614" i="2"/>
  <c r="E2185" i="2"/>
  <c r="E2161" i="2"/>
  <c r="F2137" i="2"/>
  <c r="G2113" i="2"/>
  <c r="D2089" i="2"/>
  <c r="K2077" i="2"/>
  <c r="I2053" i="2"/>
  <c r="I1053" i="2"/>
  <c r="H1017" i="2"/>
  <c r="H1615" i="2"/>
  <c r="F2186" i="2"/>
  <c r="K2162" i="2"/>
  <c r="G2126" i="2"/>
  <c r="I2102" i="2"/>
  <c r="F2078" i="2"/>
  <c r="H2042" i="2"/>
  <c r="K2018" i="2"/>
  <c r="G1982" i="2"/>
  <c r="I1958" i="2"/>
  <c r="F1934" i="2"/>
  <c r="H1898" i="2"/>
  <c r="K1874" i="2"/>
  <c r="F1838" i="2"/>
  <c r="I1814" i="2"/>
  <c r="H1790" i="2"/>
  <c r="G1754" i="2"/>
  <c r="K1730" i="2"/>
  <c r="F1694" i="2"/>
  <c r="H1670" i="2"/>
  <c r="K1646" i="2"/>
  <c r="J2385" i="2"/>
  <c r="G2361" i="2"/>
  <c r="I2325" i="2"/>
  <c r="K2301" i="2"/>
  <c r="H2277" i="2"/>
  <c r="J2241" i="2"/>
  <c r="G2217" i="2"/>
  <c r="J1344" i="2"/>
  <c r="H1580" i="2"/>
  <c r="I1556" i="2"/>
  <c r="J1532" i="2"/>
  <c r="K1508" i="2"/>
  <c r="K1484" i="2"/>
  <c r="J1460" i="2"/>
  <c r="E1424" i="2"/>
  <c r="E1400" i="2"/>
  <c r="F1376" i="2"/>
  <c r="F1352" i="2"/>
  <c r="F1328" i="2"/>
  <c r="K1304" i="2"/>
  <c r="K1280" i="2"/>
  <c r="F1256" i="2"/>
  <c r="F1232" i="2"/>
  <c r="F1208" i="2"/>
  <c r="G1184" i="2"/>
  <c r="G1160" i="2"/>
  <c r="H1136" i="2"/>
  <c r="H1112" i="2"/>
  <c r="H1088" i="2"/>
  <c r="K1064" i="2"/>
  <c r="K1040" i="2"/>
  <c r="D1626" i="2"/>
  <c r="F1602" i="2"/>
  <c r="I2185" i="2"/>
  <c r="G2161" i="2"/>
  <c r="G2137" i="2"/>
  <c r="H2113" i="2"/>
  <c r="F2089" i="2"/>
  <c r="J2077" i="2"/>
  <c r="K2053" i="2"/>
  <c r="H2029" i="2"/>
  <c r="F2005" i="2"/>
  <c r="J1993" i="2"/>
  <c r="I1969" i="2"/>
  <c r="G1041" i="2"/>
  <c r="I1017" i="2"/>
  <c r="J1603" i="2"/>
  <c r="H2186" i="2"/>
  <c r="F2162" i="2"/>
  <c r="H2126" i="2"/>
  <c r="J2102" i="2"/>
  <c r="G2066" i="2"/>
  <c r="J2042" i="2"/>
  <c r="F2018" i="2"/>
  <c r="H1982" i="2"/>
  <c r="J1958" i="2"/>
  <c r="G1922" i="2"/>
  <c r="J1898" i="2"/>
  <c r="F1874" i="2"/>
  <c r="G1838" i="2"/>
  <c r="J1814" i="2"/>
  <c r="F1778" i="2"/>
  <c r="J1754" i="2"/>
  <c r="H1730" i="2"/>
  <c r="G1694" i="2"/>
  <c r="I1670" i="2"/>
  <c r="F1634" i="2"/>
  <c r="F2385" i="2"/>
  <c r="H2361" i="2"/>
  <c r="J2325" i="2"/>
  <c r="F2301" i="2"/>
  <c r="I2265" i="2"/>
  <c r="F2241" i="2"/>
  <c r="H2217" i="2"/>
  <c r="D1152" i="2"/>
  <c r="I1580" i="2"/>
  <c r="J1556" i="2"/>
  <c r="D1520" i="2"/>
  <c r="E1496" i="2"/>
  <c r="E1472" i="2"/>
  <c r="D1448" i="2"/>
  <c r="F1424" i="2"/>
  <c r="G1400" i="2"/>
  <c r="G1376" i="2"/>
  <c r="G1352" i="2"/>
  <c r="G1328" i="2"/>
  <c r="F1304" i="2"/>
  <c r="H1280" i="2"/>
  <c r="H1256" i="2"/>
  <c r="H1232" i="2"/>
  <c r="H1208" i="2"/>
  <c r="H1184" i="2"/>
  <c r="J1160" i="2"/>
  <c r="J1136" i="2"/>
  <c r="J1112" i="2"/>
  <c r="J1088" i="2"/>
  <c r="D1052" i="2"/>
  <c r="F1028" i="2"/>
  <c r="F1626" i="2"/>
  <c r="G1602" i="2"/>
  <c r="J2185" i="2"/>
  <c r="H2161" i="2"/>
  <c r="I2137" i="2"/>
  <c r="I2113" i="2"/>
  <c r="G2089" i="2"/>
  <c r="F2065" i="2"/>
  <c r="J2053" i="2"/>
  <c r="I2029" i="2"/>
  <c r="G2005" i="2"/>
  <c r="E1981" i="2"/>
  <c r="K1969" i="2"/>
  <c r="I1945" i="2"/>
  <c r="G1921" i="2"/>
  <c r="E1897" i="2"/>
  <c r="K1885" i="2"/>
  <c r="I1861" i="2"/>
  <c r="G1837" i="2"/>
  <c r="F1825" i="2"/>
  <c r="K1801" i="2"/>
  <c r="I1777" i="2"/>
  <c r="G1753" i="2"/>
  <c r="F1741" i="2"/>
  <c r="F1717" i="2"/>
  <c r="J1693" i="2"/>
  <c r="I1669" i="2"/>
  <c r="E1645" i="2"/>
  <c r="H1633" i="2"/>
  <c r="K2384" i="2"/>
  <c r="K2360" i="2"/>
  <c r="K2336" i="2"/>
  <c r="K2312" i="2"/>
  <c r="K2288" i="2"/>
  <c r="K2264" i="2"/>
  <c r="K2240" i="2"/>
  <c r="K2216" i="2"/>
  <c r="J1500" i="2"/>
  <c r="F1284" i="2"/>
  <c r="I1591" i="2"/>
  <c r="G1567" i="2"/>
  <c r="K1543" i="2"/>
  <c r="D1519" i="2"/>
  <c r="H1507" i="2"/>
  <c r="F1483" i="2"/>
  <c r="G1459" i="2"/>
  <c r="F1447" i="2"/>
  <c r="J1423" i="2"/>
  <c r="H1399" i="2"/>
  <c r="D1375" i="2"/>
  <c r="K1363" i="2"/>
  <c r="I1339" i="2"/>
  <c r="F1315" i="2"/>
  <c r="K1303" i="2"/>
  <c r="I1279" i="2"/>
  <c r="G1255" i="2"/>
  <c r="D1231" i="2"/>
  <c r="J1219" i="2"/>
  <c r="H1195" i="2"/>
  <c r="F1171" i="2"/>
  <c r="K1159" i="2"/>
  <c r="I1135" i="2"/>
  <c r="G1111" i="2"/>
  <c r="D1087" i="2"/>
  <c r="J1075" i="2"/>
  <c r="H1051" i="2"/>
  <c r="F1027" i="2"/>
  <c r="K1015" i="2"/>
  <c r="F1613" i="2"/>
  <c r="G2196" i="2"/>
  <c r="E2172" i="2"/>
  <c r="K2160" i="2"/>
  <c r="I2136" i="2"/>
  <c r="G2112" i="2"/>
  <c r="H1041" i="2"/>
  <c r="K1017" i="2"/>
  <c r="K1603" i="2"/>
  <c r="I2186" i="2"/>
  <c r="G2150" i="2"/>
  <c r="I2126" i="2"/>
  <c r="F2102" i="2"/>
  <c r="H2066" i="2"/>
  <c r="K2042" i="2"/>
  <c r="G2006" i="2"/>
  <c r="I1982" i="2"/>
  <c r="F1958" i="2"/>
  <c r="H1922" i="2"/>
  <c r="K1898" i="2"/>
  <c r="F1862" i="2"/>
  <c r="I1838" i="2"/>
  <c r="H1814" i="2"/>
  <c r="G1778" i="2"/>
  <c r="K1754" i="2"/>
  <c r="F1718" i="2"/>
  <c r="H1694" i="2"/>
  <c r="K1670" i="2"/>
  <c r="G1634" i="2"/>
  <c r="G2385" i="2"/>
  <c r="I2349" i="2"/>
  <c r="K2325" i="2"/>
  <c r="H2301" i="2"/>
  <c r="J2265" i="2"/>
  <c r="G2241" i="2"/>
  <c r="I2205" i="2"/>
  <c r="E1140" i="2"/>
  <c r="K1580" i="2"/>
  <c r="K1556" i="2"/>
  <c r="F1520" i="2"/>
  <c r="F1496" i="2"/>
  <c r="F1472" i="2"/>
  <c r="G1448" i="2"/>
  <c r="G1424" i="2"/>
  <c r="H1400" i="2"/>
  <c r="H1376" i="2"/>
  <c r="H1352" i="2"/>
  <c r="I1328" i="2"/>
  <c r="H1304" i="2"/>
  <c r="G1280" i="2"/>
  <c r="G1256" i="2"/>
  <c r="G1232" i="2"/>
  <c r="I1208" i="2"/>
  <c r="J1184" i="2"/>
  <c r="E1148" i="2"/>
  <c r="E1124" i="2"/>
  <c r="D1100" i="2"/>
  <c r="K1076" i="2"/>
  <c r="F1052" i="2"/>
  <c r="H1028" i="2"/>
  <c r="G1626" i="2"/>
  <c r="H1602" i="2"/>
  <c r="F2185" i="2"/>
  <c r="I2161" i="2"/>
  <c r="K2137" i="2"/>
  <c r="K2113" i="2"/>
  <c r="H2089" i="2"/>
  <c r="G2065" i="2"/>
  <c r="D2041" i="2"/>
  <c r="K2029" i="2"/>
  <c r="H2005" i="2"/>
  <c r="F1981" i="2"/>
  <c r="J1969" i="2"/>
  <c r="I1041" i="2"/>
  <c r="I1627" i="2"/>
  <c r="G1603" i="2"/>
  <c r="J2186" i="2"/>
  <c r="H2150" i="2"/>
  <c r="J2126" i="2"/>
  <c r="G2090" i="2"/>
  <c r="J2066" i="2"/>
  <c r="F2042" i="2"/>
  <c r="H2006" i="2"/>
  <c r="J1982" i="2"/>
  <c r="G1946" i="2"/>
  <c r="J1922" i="2"/>
  <c r="F1898" i="2"/>
  <c r="G1862" i="2"/>
  <c r="J1838" i="2"/>
  <c r="F1802" i="2"/>
  <c r="J1778" i="2"/>
  <c r="H1754" i="2"/>
  <c r="G1718" i="2"/>
  <c r="I1694" i="2"/>
  <c r="F1658" i="2"/>
  <c r="I1634" i="2"/>
  <c r="H2385" i="2"/>
  <c r="J2349" i="2"/>
  <c r="F2325" i="2"/>
  <c r="I2289" i="2"/>
  <c r="F2265" i="2"/>
  <c r="H2241" i="2"/>
  <c r="J2205" i="2"/>
  <c r="E2045" i="2"/>
  <c r="E1568" i="2"/>
  <c r="F1544" i="2"/>
  <c r="G1520" i="2"/>
  <c r="G1496" i="2"/>
  <c r="G1472" i="2"/>
  <c r="H1448" i="2"/>
  <c r="I1424" i="2"/>
  <c r="I1400" i="2"/>
  <c r="I1376" i="2"/>
  <c r="I1352" i="2"/>
  <c r="K1328" i="2"/>
  <c r="I1304" i="2"/>
  <c r="I1280" i="2"/>
  <c r="I1256" i="2"/>
  <c r="I1232" i="2"/>
  <c r="D1196" i="2"/>
  <c r="K1172" i="2"/>
  <c r="K1148" i="2"/>
  <c r="K1124" i="2"/>
  <c r="K1100" i="2"/>
  <c r="F1076" i="2"/>
  <c r="G1052" i="2"/>
  <c r="G1028" i="2"/>
  <c r="H1626" i="2"/>
  <c r="I1602" i="2"/>
  <c r="G2185" i="2"/>
  <c r="J2161" i="2"/>
  <c r="J2137" i="2"/>
  <c r="J2113" i="2"/>
  <c r="I2089" i="2"/>
  <c r="H2065" i="2"/>
  <c r="F2041" i="2"/>
  <c r="J2029" i="2"/>
  <c r="I2005" i="2"/>
  <c r="G1981" i="2"/>
  <c r="D1957" i="2"/>
  <c r="K1041" i="2"/>
  <c r="J1627" i="2"/>
  <c r="H1603" i="2"/>
  <c r="G2174" i="2"/>
  <c r="I2150" i="2"/>
  <c r="F2126" i="2"/>
  <c r="H2090" i="2"/>
  <c r="K2066" i="2"/>
  <c r="G2030" i="2"/>
  <c r="I2006" i="2"/>
  <c r="F1982" i="2"/>
  <c r="H1946" i="2"/>
  <c r="K1922" i="2"/>
  <c r="G1886" i="2"/>
  <c r="I1862" i="2"/>
  <c r="H1838" i="2"/>
  <c r="G1802" i="2"/>
  <c r="K1778" i="2"/>
  <c r="F1742" i="2"/>
  <c r="H1718" i="2"/>
  <c r="K1694" i="2"/>
  <c r="G1658" i="2"/>
  <c r="J1634" i="2"/>
  <c r="I2373" i="2"/>
  <c r="K2349" i="2"/>
  <c r="H2325" i="2"/>
  <c r="J2289" i="2"/>
  <c r="G2265" i="2"/>
  <c r="I2229" i="2"/>
  <c r="K2205" i="2"/>
  <c r="F1592" i="2"/>
  <c r="F1568" i="2"/>
  <c r="G1544" i="2"/>
  <c r="H1520" i="2"/>
  <c r="H1496" i="2"/>
  <c r="I1472" i="2"/>
  <c r="I1448" i="2"/>
  <c r="K1424" i="2"/>
  <c r="K1400" i="2"/>
  <c r="K1376" i="2"/>
  <c r="J1352" i="2"/>
  <c r="J1328" i="2"/>
  <c r="E1292" i="2"/>
  <c r="D1268" i="2"/>
  <c r="D1244" i="2"/>
  <c r="J1220" i="2"/>
  <c r="J1196" i="2"/>
  <c r="F1172" i="2"/>
  <c r="F1148" i="2"/>
  <c r="F1124" i="2"/>
  <c r="I1100" i="2"/>
  <c r="I1076" i="2"/>
  <c r="I1052" i="2"/>
  <c r="I1028" i="2"/>
  <c r="I1626" i="2"/>
  <c r="K1602" i="2"/>
  <c r="H2185" i="2"/>
  <c r="E2149" i="2"/>
  <c r="E2125" i="2"/>
  <c r="D2101" i="2"/>
  <c r="K2089" i="2"/>
  <c r="I2065" i="2"/>
  <c r="G2041" i="2"/>
  <c r="E2017" i="2"/>
  <c r="K2005" i="2"/>
  <c r="H1981" i="2"/>
  <c r="F1957" i="2"/>
  <c r="F1029" i="2"/>
  <c r="F1627" i="2"/>
  <c r="I1603" i="2"/>
  <c r="H2174" i="2"/>
  <c r="J2150" i="2"/>
  <c r="G2114" i="2"/>
  <c r="J2090" i="2"/>
  <c r="F2066" i="2"/>
  <c r="H2030" i="2"/>
  <c r="J2006" i="2"/>
  <c r="G1970" i="2"/>
  <c r="J1946" i="2"/>
  <c r="F1922" i="2"/>
  <c r="H1886" i="2"/>
  <c r="J1862" i="2"/>
  <c r="F1826" i="2"/>
  <c r="J1802" i="2"/>
  <c r="H1778" i="2"/>
  <c r="G1742" i="2"/>
  <c r="I1718" i="2"/>
  <c r="F1682" i="2"/>
  <c r="I1658" i="2"/>
  <c r="K1634" i="2"/>
  <c r="J2373" i="2"/>
  <c r="F2349" i="2"/>
  <c r="I2313" i="2"/>
  <c r="F2289" i="2"/>
  <c r="H2265" i="2"/>
  <c r="J2229" i="2"/>
  <c r="F2205" i="2"/>
  <c r="G1592" i="2"/>
  <c r="H1568" i="2"/>
  <c r="H1544" i="2"/>
  <c r="I1520" i="2"/>
  <c r="I1496" i="2"/>
  <c r="J1472" i="2"/>
  <c r="J1448" i="2"/>
  <c r="J1424" i="2"/>
  <c r="J1400" i="2"/>
  <c r="J1376" i="2"/>
  <c r="D1340" i="2"/>
  <c r="J1316" i="2"/>
  <c r="J1292" i="2"/>
  <c r="J1268" i="2"/>
  <c r="J1244" i="2"/>
  <c r="K1220" i="2"/>
  <c r="F1196" i="2"/>
  <c r="I1172" i="2"/>
  <c r="I1148" i="2"/>
  <c r="I1124" i="2"/>
  <c r="G1100" i="2"/>
  <c r="H1076" i="2"/>
  <c r="J1052" i="2"/>
  <c r="J1028" i="2"/>
  <c r="J1626" i="2"/>
  <c r="D2197" i="2"/>
  <c r="F2173" i="2"/>
  <c r="F2149" i="2"/>
  <c r="F2125" i="2"/>
  <c r="F2101" i="2"/>
  <c r="J2089" i="2"/>
  <c r="K2065" i="2"/>
  <c r="H2041" i="2"/>
  <c r="F2017" i="2"/>
  <c r="J2005" i="2"/>
  <c r="I1981" i="2"/>
  <c r="G1957" i="2"/>
  <c r="F1933" i="2"/>
  <c r="J1921" i="2"/>
  <c r="I1897" i="2"/>
  <c r="G1873" i="2"/>
  <c r="E1849" i="2"/>
  <c r="K1837" i="2"/>
  <c r="I1813" i="2"/>
  <c r="H1789" i="2"/>
  <c r="D1765" i="2"/>
  <c r="K1753" i="2"/>
  <c r="I1729" i="2"/>
  <c r="I1705" i="2"/>
  <c r="H1693" i="2"/>
  <c r="G1669" i="2"/>
  <c r="F1645" i="2"/>
  <c r="H2396" i="2"/>
  <c r="I2372" i="2"/>
  <c r="H2348" i="2"/>
  <c r="H2324" i="2"/>
  <c r="J2300" i="2"/>
  <c r="H2276" i="2"/>
  <c r="G2252" i="2"/>
  <c r="H2228" i="2"/>
  <c r="H2204" i="2"/>
  <c r="G1416" i="2"/>
  <c r="E1044" i="2"/>
  <c r="F1579" i="2"/>
  <c r="J1555" i="2"/>
  <c r="I1543" i="2"/>
  <c r="G1519" i="2"/>
  <c r="K1495" i="2"/>
  <c r="E1471" i="2"/>
  <c r="K1459" i="2"/>
  <c r="I1435" i="2"/>
  <c r="G1411" i="2"/>
  <c r="F1399" i="2"/>
  <c r="J1375" i="2"/>
  <c r="H1351" i="2"/>
  <c r="E1327" i="2"/>
  <c r="J1315" i="2"/>
  <c r="H1291" i="2"/>
  <c r="F1267" i="2"/>
  <c r="K1255" i="2"/>
  <c r="I1231" i="2"/>
  <c r="G1207" i="2"/>
  <c r="E1183" i="2"/>
  <c r="J1171" i="2"/>
  <c r="H1147" i="2"/>
  <c r="F1123" i="2"/>
  <c r="K1111" i="2"/>
  <c r="I1087" i="2"/>
  <c r="G1063" i="2"/>
  <c r="D1039" i="2"/>
  <c r="J1027" i="2"/>
  <c r="K1625" i="2"/>
  <c r="J1601" i="2"/>
  <c r="K2196" i="2"/>
  <c r="J2172" i="2"/>
  <c r="H2148" i="2"/>
  <c r="D2124" i="2"/>
  <c r="F2029" i="2"/>
  <c r="F1945" i="2"/>
  <c r="F1921" i="2"/>
  <c r="G1897" i="2"/>
  <c r="H1873" i="2"/>
  <c r="I1849" i="2"/>
  <c r="I1825" i="2"/>
  <c r="J1801" i="2"/>
  <c r="K1777" i="2"/>
  <c r="F1753" i="2"/>
  <c r="F1729" i="2"/>
  <c r="H1705" i="2"/>
  <c r="D1669" i="2"/>
  <c r="J1645" i="2"/>
  <c r="I2396" i="2"/>
  <c r="F2360" i="2"/>
  <c r="G2336" i="2"/>
  <c r="I2312" i="2"/>
  <c r="K2276" i="2"/>
  <c r="H2252" i="2"/>
  <c r="F2216" i="2"/>
  <c r="G1500" i="2"/>
  <c r="K1284" i="2"/>
  <c r="J1579" i="2"/>
  <c r="K1555" i="2"/>
  <c r="K1531" i="2"/>
  <c r="K1507" i="2"/>
  <c r="K1483" i="2"/>
  <c r="I1459" i="2"/>
  <c r="J1435" i="2"/>
  <c r="J1411" i="2"/>
  <c r="J1387" i="2"/>
  <c r="J1363" i="2"/>
  <c r="K1339" i="2"/>
  <c r="K1315" i="2"/>
  <c r="K1291" i="2"/>
  <c r="K1267" i="2"/>
  <c r="K1243" i="2"/>
  <c r="D1207" i="2"/>
  <c r="F1183" i="2"/>
  <c r="F1159" i="2"/>
  <c r="F1135" i="2"/>
  <c r="F1111" i="2"/>
  <c r="G1087" i="2"/>
  <c r="H1063" i="2"/>
  <c r="H1039" i="2"/>
  <c r="H1015" i="2"/>
  <c r="K1613" i="2"/>
  <c r="I2196" i="2"/>
  <c r="K2172" i="2"/>
  <c r="K2148" i="2"/>
  <c r="K2124" i="2"/>
  <c r="J2100" i="2"/>
  <c r="H2076" i="2"/>
  <c r="E2052" i="2"/>
  <c r="K2040" i="2"/>
  <c r="I2016" i="2"/>
  <c r="G1992" i="2"/>
  <c r="F1980" i="2"/>
  <c r="J1956" i="2"/>
  <c r="H1932" i="2"/>
  <c r="E1908" i="2"/>
  <c r="K1896" i="2"/>
  <c r="I1872" i="2"/>
  <c r="F1848" i="2"/>
  <c r="H1836" i="2"/>
  <c r="J1812" i="2"/>
  <c r="G1788" i="2"/>
  <c r="E1764" i="2"/>
  <c r="K1752" i="2"/>
  <c r="I1728" i="2"/>
  <c r="F1704" i="2"/>
  <c r="K1692" i="2"/>
  <c r="I1668" i="2"/>
  <c r="G1644" i="2"/>
  <c r="I2395" i="2"/>
  <c r="I2371" i="2"/>
  <c r="I2347" i="2"/>
  <c r="I2323" i="2"/>
  <c r="I2299" i="2"/>
  <c r="I2275" i="2"/>
  <c r="I2251" i="2"/>
  <c r="I2227" i="2"/>
  <c r="E2203" i="2"/>
  <c r="J1572" i="2"/>
  <c r="F1248" i="2"/>
  <c r="F1578" i="2"/>
  <c r="F1554" i="2"/>
  <c r="F1530" i="2"/>
  <c r="F1506" i="2"/>
  <c r="F1482" i="2"/>
  <c r="F1458" i="2"/>
  <c r="F1434" i="2"/>
  <c r="F1410" i="2"/>
  <c r="F1386" i="2"/>
  <c r="F1362" i="2"/>
  <c r="F1338" i="2"/>
  <c r="J1314" i="2"/>
  <c r="J1290" i="2"/>
  <c r="J1266" i="2"/>
  <c r="J1242" i="2"/>
  <c r="J1218" i="2"/>
  <c r="J1194" i="2"/>
  <c r="K1170" i="2"/>
  <c r="K1146" i="2"/>
  <c r="K1122" i="2"/>
  <c r="K1098" i="2"/>
  <c r="K1074" i="2"/>
  <c r="F1050" i="2"/>
  <c r="F1026" i="2"/>
  <c r="F1624" i="2"/>
  <c r="F1600" i="2"/>
  <c r="I2183" i="2"/>
  <c r="F2159" i="2"/>
  <c r="F2135" i="2"/>
  <c r="F2111" i="2"/>
  <c r="F2087" i="2"/>
  <c r="F2063" i="2"/>
  <c r="F2039" i="2"/>
  <c r="F2015" i="2"/>
  <c r="F1991" i="2"/>
  <c r="G2029" i="2"/>
  <c r="G1945" i="2"/>
  <c r="H1921" i="2"/>
  <c r="H1897" i="2"/>
  <c r="I1873" i="2"/>
  <c r="J1849" i="2"/>
  <c r="J1825" i="2"/>
  <c r="F1801" i="2"/>
  <c r="F1777" i="2"/>
  <c r="E1741" i="2"/>
  <c r="E1717" i="2"/>
  <c r="E1693" i="2"/>
  <c r="J1669" i="2"/>
  <c r="K1645" i="2"/>
  <c r="K2396" i="2"/>
  <c r="G2360" i="2"/>
  <c r="H2336" i="2"/>
  <c r="F2300" i="2"/>
  <c r="G2276" i="2"/>
  <c r="I2252" i="2"/>
  <c r="G2216" i="2"/>
  <c r="H1500" i="2"/>
  <c r="H1284" i="2"/>
  <c r="K1579" i="2"/>
  <c r="F1555" i="2"/>
  <c r="F1531" i="2"/>
  <c r="F1507" i="2"/>
  <c r="G1483" i="2"/>
  <c r="J1459" i="2"/>
  <c r="K1435" i="2"/>
  <c r="K1411" i="2"/>
  <c r="K1387" i="2"/>
  <c r="F1363" i="2"/>
  <c r="F1339" i="2"/>
  <c r="E1303" i="2"/>
  <c r="D1279" i="2"/>
  <c r="D1255" i="2"/>
  <c r="F1231" i="2"/>
  <c r="F1207" i="2"/>
  <c r="G1183" i="2"/>
  <c r="G1159" i="2"/>
  <c r="G1135" i="2"/>
  <c r="H1111" i="2"/>
  <c r="H1087" i="2"/>
  <c r="I1063" i="2"/>
  <c r="I1039" i="2"/>
  <c r="I1015" i="2"/>
  <c r="G1613" i="2"/>
  <c r="J2196" i="2"/>
  <c r="F2172" i="2"/>
  <c r="F2148" i="2"/>
  <c r="F2124" i="2"/>
  <c r="K2100" i="2"/>
  <c r="I2076" i="2"/>
  <c r="G2052" i="2"/>
  <c r="F2040" i="2"/>
  <c r="J2016" i="2"/>
  <c r="H1992" i="2"/>
  <c r="D1968" i="2"/>
  <c r="K1956" i="2"/>
  <c r="I1932" i="2"/>
  <c r="G1908" i="2"/>
  <c r="F1896" i="2"/>
  <c r="J1872" i="2"/>
  <c r="G1848" i="2"/>
  <c r="D1824" i="2"/>
  <c r="K1812" i="2"/>
  <c r="I1788" i="2"/>
  <c r="F1764" i="2"/>
  <c r="H1752" i="2"/>
  <c r="J1728" i="2"/>
  <c r="G1704" i="2"/>
  <c r="D1680" i="2"/>
  <c r="J1668" i="2"/>
  <c r="H1644" i="2"/>
  <c r="J2395" i="2"/>
  <c r="J2371" i="2"/>
  <c r="J2347" i="2"/>
  <c r="J2323" i="2"/>
  <c r="J2299" i="2"/>
  <c r="J2275" i="2"/>
  <c r="J2251" i="2"/>
  <c r="J2227" i="2"/>
  <c r="I2203" i="2"/>
  <c r="K1572" i="2"/>
  <c r="H1248" i="2"/>
  <c r="G1578" i="2"/>
  <c r="G1554" i="2"/>
  <c r="G1530" i="2"/>
  <c r="G1506" i="2"/>
  <c r="G1482" i="2"/>
  <c r="G1458" i="2"/>
  <c r="G1434" i="2"/>
  <c r="G1410" i="2"/>
  <c r="G1386" i="2"/>
  <c r="G1362" i="2"/>
  <c r="G1338" i="2"/>
  <c r="K1314" i="2"/>
  <c r="K1290" i="2"/>
  <c r="K1266" i="2"/>
  <c r="K1242" i="2"/>
  <c r="K1218" i="2"/>
  <c r="K1194" i="2"/>
  <c r="F1170" i="2"/>
  <c r="F1146" i="2"/>
  <c r="F1122" i="2"/>
  <c r="F1098" i="2"/>
  <c r="F1074" i="2"/>
  <c r="H1050" i="2"/>
  <c r="H1026" i="2"/>
  <c r="G1624" i="2"/>
  <c r="G1600" i="2"/>
  <c r="J2183" i="2"/>
  <c r="G2159" i="2"/>
  <c r="G2135" i="2"/>
  <c r="G2111" i="2"/>
  <c r="G2087" i="2"/>
  <c r="G2063" i="2"/>
  <c r="G2039" i="2"/>
  <c r="G2015" i="2"/>
  <c r="G1991" i="2"/>
  <c r="G1967" i="2"/>
  <c r="G1943" i="2"/>
  <c r="G1919" i="2"/>
  <c r="G1895" i="2"/>
  <c r="G1871" i="2"/>
  <c r="H1847" i="2"/>
  <c r="H1823" i="2"/>
  <c r="H1799" i="2"/>
  <c r="H1775" i="2"/>
  <c r="H1751" i="2"/>
  <c r="H1727" i="2"/>
  <c r="J1703" i="2"/>
  <c r="J1679" i="2"/>
  <c r="J1655" i="2"/>
  <c r="J1631" i="2"/>
  <c r="G2382" i="2"/>
  <c r="F2358" i="2"/>
  <c r="J2334" i="2"/>
  <c r="F2310" i="2"/>
  <c r="G2286" i="2"/>
  <c r="K2262" i="2"/>
  <c r="F2238" i="2"/>
  <c r="G2214" i="2"/>
  <c r="E1488" i="2"/>
  <c r="K1404" i="2"/>
  <c r="K1589" i="2"/>
  <c r="K1565" i="2"/>
  <c r="D1541" i="2"/>
  <c r="H1529" i="2"/>
  <c r="F1505" i="2"/>
  <c r="K1481" i="2"/>
  <c r="H1457" i="2"/>
  <c r="H1433" i="2"/>
  <c r="G1409" i="2"/>
  <c r="F1397" i="2"/>
  <c r="J1373" i="2"/>
  <c r="H1349" i="2"/>
  <c r="D1325" i="2"/>
  <c r="J1313" i="2"/>
  <c r="J1289" i="2"/>
  <c r="J1265" i="2"/>
  <c r="H1241" i="2"/>
  <c r="F1217" i="2"/>
  <c r="K1205" i="2"/>
  <c r="J1181" i="2"/>
  <c r="I1157" i="2"/>
  <c r="H1133" i="2"/>
  <c r="F1109" i="2"/>
  <c r="J2017" i="2"/>
  <c r="H1945" i="2"/>
  <c r="I1921" i="2"/>
  <c r="K1897" i="2"/>
  <c r="K1873" i="2"/>
  <c r="K1849" i="2"/>
  <c r="K1825" i="2"/>
  <c r="E1789" i="2"/>
  <c r="G1765" i="2"/>
  <c r="G1741" i="2"/>
  <c r="I1717" i="2"/>
  <c r="I1693" i="2"/>
  <c r="K1669" i="2"/>
  <c r="G1645" i="2"/>
  <c r="J2384" i="2"/>
  <c r="H2360" i="2"/>
  <c r="I2336" i="2"/>
  <c r="G2300" i="2"/>
  <c r="J2276" i="2"/>
  <c r="J2240" i="2"/>
  <c r="H2216" i="2"/>
  <c r="I1500" i="2"/>
  <c r="G1284" i="2"/>
  <c r="G1579" i="2"/>
  <c r="G1555" i="2"/>
  <c r="G1531" i="2"/>
  <c r="G1507" i="2"/>
  <c r="H1483" i="2"/>
  <c r="F1459" i="2"/>
  <c r="F1435" i="2"/>
  <c r="F1411" i="2"/>
  <c r="F1387" i="2"/>
  <c r="D1351" i="2"/>
  <c r="G1327" i="2"/>
  <c r="F1303" i="2"/>
  <c r="F1279" i="2"/>
  <c r="F1255" i="2"/>
  <c r="G1231" i="2"/>
  <c r="H1207" i="2"/>
  <c r="H1183" i="2"/>
  <c r="H1159" i="2"/>
  <c r="H1135" i="2"/>
  <c r="I1111" i="2"/>
  <c r="J1087" i="2"/>
  <c r="J1063" i="2"/>
  <c r="J1039" i="2"/>
  <c r="J1015" i="2"/>
  <c r="H1613" i="2"/>
  <c r="E2184" i="2"/>
  <c r="D2160" i="2"/>
  <c r="D2136" i="2"/>
  <c r="D2112" i="2"/>
  <c r="F2100" i="2"/>
  <c r="J2076" i="2"/>
  <c r="H2052" i="2"/>
  <c r="E2028" i="2"/>
  <c r="K2016" i="2"/>
  <c r="I1992" i="2"/>
  <c r="G1968" i="2"/>
  <c r="F1956" i="2"/>
  <c r="J1932" i="2"/>
  <c r="H1908" i="2"/>
  <c r="E1884" i="2"/>
  <c r="K1872" i="2"/>
  <c r="I1848" i="2"/>
  <c r="F1824" i="2"/>
  <c r="H1812" i="2"/>
  <c r="J1788" i="2"/>
  <c r="G1764" i="2"/>
  <c r="E1740" i="2"/>
  <c r="K1728" i="2"/>
  <c r="H1704" i="2"/>
  <c r="F1680" i="2"/>
  <c r="K1668" i="2"/>
  <c r="I1644" i="2"/>
  <c r="K2395" i="2"/>
  <c r="K2371" i="2"/>
  <c r="K2347" i="2"/>
  <c r="K2323" i="2"/>
  <c r="K2299" i="2"/>
  <c r="K2275" i="2"/>
  <c r="K2251" i="2"/>
  <c r="K2227" i="2"/>
  <c r="J2203" i="2"/>
  <c r="D1428" i="2"/>
  <c r="G1248" i="2"/>
  <c r="H1578" i="2"/>
  <c r="H1554" i="2"/>
  <c r="H1530" i="2"/>
  <c r="H1506" i="2"/>
  <c r="H1482" i="2"/>
  <c r="H1458" i="2"/>
  <c r="H1434" i="2"/>
  <c r="H1410" i="2"/>
  <c r="H1386" i="2"/>
  <c r="H1362" i="2"/>
  <c r="H1338" i="2"/>
  <c r="F1314" i="2"/>
  <c r="F1290" i="2"/>
  <c r="F1266" i="2"/>
  <c r="F1242" i="2"/>
  <c r="F1218" i="2"/>
  <c r="F1194" i="2"/>
  <c r="I1170" i="2"/>
  <c r="I1146" i="2"/>
  <c r="I1122" i="2"/>
  <c r="I1098" i="2"/>
  <c r="I1074" i="2"/>
  <c r="G1050" i="2"/>
  <c r="G1026" i="2"/>
  <c r="H1624" i="2"/>
  <c r="H1600" i="2"/>
  <c r="K2183" i="2"/>
  <c r="H2159" i="2"/>
  <c r="H2135" i="2"/>
  <c r="H2111" i="2"/>
  <c r="H2087" i="2"/>
  <c r="H2063" i="2"/>
  <c r="H2039" i="2"/>
  <c r="H2015" i="2"/>
  <c r="H1991" i="2"/>
  <c r="H1967" i="2"/>
  <c r="H1943" i="2"/>
  <c r="H1919" i="2"/>
  <c r="H1895" i="2"/>
  <c r="H1871" i="2"/>
  <c r="I1847" i="2"/>
  <c r="E2005" i="2"/>
  <c r="K1945" i="2"/>
  <c r="K1921" i="2"/>
  <c r="J1897" i="2"/>
  <c r="J1873" i="2"/>
  <c r="F1849" i="2"/>
  <c r="D1813" i="2"/>
  <c r="G1789" i="2"/>
  <c r="H1765" i="2"/>
  <c r="H1741" i="2"/>
  <c r="J1717" i="2"/>
  <c r="K1693" i="2"/>
  <c r="F1669" i="2"/>
  <c r="H1645" i="2"/>
  <c r="F2384" i="2"/>
  <c r="J2360" i="2"/>
  <c r="J2324" i="2"/>
  <c r="H2300" i="2"/>
  <c r="I2276" i="2"/>
  <c r="F2240" i="2"/>
  <c r="I2216" i="2"/>
  <c r="K1500" i="2"/>
  <c r="I1284" i="2"/>
  <c r="H1579" i="2"/>
  <c r="H1555" i="2"/>
  <c r="H1531" i="2"/>
  <c r="I1507" i="2"/>
  <c r="I1483" i="2"/>
  <c r="E1447" i="2"/>
  <c r="D1423" i="2"/>
  <c r="D1399" i="2"/>
  <c r="G1375" i="2"/>
  <c r="G1351" i="2"/>
  <c r="H1327" i="2"/>
  <c r="G1303" i="2"/>
  <c r="G1279" i="2"/>
  <c r="H1255" i="2"/>
  <c r="H1231" i="2"/>
  <c r="I1207" i="2"/>
  <c r="I1183" i="2"/>
  <c r="I1159" i="2"/>
  <c r="J1135" i="2"/>
  <c r="J1111" i="2"/>
  <c r="K1087" i="2"/>
  <c r="K1063" i="2"/>
  <c r="K1039" i="2"/>
  <c r="E1625" i="2"/>
  <c r="D1601" i="2"/>
  <c r="F2184" i="2"/>
  <c r="G2160" i="2"/>
  <c r="G2136" i="2"/>
  <c r="H2112" i="2"/>
  <c r="E2088" i="2"/>
  <c r="K2076" i="2"/>
  <c r="I2052" i="2"/>
  <c r="G2028" i="2"/>
  <c r="F2016" i="2"/>
  <c r="J1992" i="2"/>
  <c r="H1968" i="2"/>
  <c r="E1944" i="2"/>
  <c r="K1932" i="2"/>
  <c r="I1908" i="2"/>
  <c r="G1884" i="2"/>
  <c r="F1872" i="2"/>
  <c r="J1848" i="2"/>
  <c r="G1824" i="2"/>
  <c r="E1800" i="2"/>
  <c r="K1788" i="2"/>
  <c r="I1764" i="2"/>
  <c r="F1740" i="2"/>
  <c r="H1728" i="2"/>
  <c r="I1704" i="2"/>
  <c r="G1680" i="2"/>
  <c r="D1656" i="2"/>
  <c r="J1644" i="2"/>
  <c r="G2395" i="2"/>
  <c r="F2371" i="2"/>
  <c r="F2347" i="2"/>
  <c r="F2323" i="2"/>
  <c r="F2299" i="2"/>
  <c r="F2275" i="2"/>
  <c r="F2251" i="2"/>
  <c r="F2227" i="2"/>
  <c r="K2203" i="2"/>
  <c r="F1428" i="2"/>
  <c r="I1248" i="2"/>
  <c r="I1578" i="2"/>
  <c r="I1554" i="2"/>
  <c r="I1530" i="2"/>
  <c r="I1506" i="2"/>
  <c r="I1482" i="2"/>
  <c r="I1458" i="2"/>
  <c r="I1434" i="2"/>
  <c r="I1410" i="2"/>
  <c r="I1386" i="2"/>
  <c r="I1362" i="2"/>
  <c r="I1338" i="2"/>
  <c r="H1314" i="2"/>
  <c r="H1290" i="2"/>
  <c r="H1266" i="2"/>
  <c r="H1242" i="2"/>
  <c r="H1218" i="2"/>
  <c r="H1194" i="2"/>
  <c r="G1170" i="2"/>
  <c r="G1146" i="2"/>
  <c r="G1122" i="2"/>
  <c r="G1098" i="2"/>
  <c r="G1074" i="2"/>
  <c r="I1050" i="2"/>
  <c r="I1026" i="2"/>
  <c r="I1624" i="2"/>
  <c r="I1600" i="2"/>
  <c r="H2183" i="2"/>
  <c r="I2159" i="2"/>
  <c r="I2135" i="2"/>
  <c r="I2111" i="2"/>
  <c r="I2087" i="2"/>
  <c r="I2063" i="2"/>
  <c r="I2039" i="2"/>
  <c r="I2015" i="2"/>
  <c r="I1991" i="2"/>
  <c r="I1967" i="2"/>
  <c r="I1943" i="2"/>
  <c r="I1919" i="2"/>
  <c r="I1895" i="2"/>
  <c r="I1871" i="2"/>
  <c r="J1847" i="2"/>
  <c r="I1993" i="2"/>
  <c r="J1945" i="2"/>
  <c r="E1909" i="2"/>
  <c r="E1885" i="2"/>
  <c r="D1861" i="2"/>
  <c r="E1837" i="2"/>
  <c r="G1813" i="2"/>
  <c r="I1789" i="2"/>
  <c r="I1765" i="2"/>
  <c r="I1741" i="2"/>
  <c r="K1717" i="2"/>
  <c r="F1693" i="2"/>
  <c r="H1669" i="2"/>
  <c r="I1633" i="2"/>
  <c r="G2384" i="2"/>
  <c r="I2360" i="2"/>
  <c r="F2324" i="2"/>
  <c r="I2300" i="2"/>
  <c r="J2264" i="2"/>
  <c r="G2240" i="2"/>
  <c r="J2216" i="2"/>
  <c r="D1416" i="2"/>
  <c r="E2021" i="2"/>
  <c r="I1579" i="2"/>
  <c r="I1555" i="2"/>
  <c r="I1531" i="2"/>
  <c r="E1495" i="2"/>
  <c r="J1471" i="2"/>
  <c r="G1447" i="2"/>
  <c r="G1423" i="2"/>
  <c r="G1399" i="2"/>
  <c r="H1375" i="2"/>
  <c r="I1351" i="2"/>
  <c r="I1327" i="2"/>
  <c r="H1303" i="2"/>
  <c r="H1279" i="2"/>
  <c r="I1255" i="2"/>
  <c r="J1231" i="2"/>
  <c r="J1207" i="2"/>
  <c r="J1183" i="2"/>
  <c r="J1159" i="2"/>
  <c r="K1135" i="2"/>
  <c r="D1099" i="2"/>
  <c r="E1075" i="2"/>
  <c r="E1051" i="2"/>
  <c r="E1027" i="2"/>
  <c r="I1625" i="2"/>
  <c r="K1601" i="2"/>
  <c r="K2184" i="2"/>
  <c r="H2160" i="2"/>
  <c r="H2136" i="2"/>
  <c r="I2112" i="2"/>
  <c r="G2088" i="2"/>
  <c r="F2076" i="2"/>
  <c r="J2052" i="2"/>
  <c r="H2028" i="2"/>
  <c r="D2004" i="2"/>
  <c r="K1992" i="2"/>
  <c r="I1968" i="2"/>
  <c r="G1944" i="2"/>
  <c r="F1932" i="2"/>
  <c r="J1908" i="2"/>
  <c r="H1884" i="2"/>
  <c r="D1860" i="2"/>
  <c r="K1848" i="2"/>
  <c r="I1824" i="2"/>
  <c r="F1800" i="2"/>
  <c r="H1788" i="2"/>
  <c r="J1764" i="2"/>
  <c r="G1740" i="2"/>
  <c r="D1716" i="2"/>
  <c r="J1704" i="2"/>
  <c r="H1680" i="2"/>
  <c r="F1656" i="2"/>
  <c r="K1644" i="2"/>
  <c r="F2395" i="2"/>
  <c r="G2371" i="2"/>
  <c r="G2347" i="2"/>
  <c r="G2323" i="2"/>
  <c r="G2299" i="2"/>
  <c r="G2275" i="2"/>
  <c r="G2251" i="2"/>
  <c r="G2227" i="2"/>
  <c r="F2203" i="2"/>
  <c r="G1428" i="2"/>
  <c r="D1452" i="2"/>
  <c r="J1578" i="2"/>
  <c r="J1554" i="2"/>
  <c r="J1530" i="2"/>
  <c r="J1506" i="2"/>
  <c r="J1482" i="2"/>
  <c r="K1458" i="2"/>
  <c r="K1434" i="2"/>
  <c r="K1410" i="2"/>
  <c r="K1386" i="2"/>
  <c r="K1362" i="2"/>
  <c r="K1338" i="2"/>
  <c r="G1314" i="2"/>
  <c r="G1290" i="2"/>
  <c r="G1266" i="2"/>
  <c r="G1242" i="2"/>
  <c r="G1218" i="2"/>
  <c r="G1194" i="2"/>
  <c r="H1170" i="2"/>
  <c r="H1146" i="2"/>
  <c r="H1122" i="2"/>
  <c r="H1098" i="2"/>
  <c r="H1074" i="2"/>
  <c r="J1050" i="2"/>
  <c r="J1026" i="2"/>
  <c r="J1624" i="2"/>
  <c r="J1600" i="2"/>
  <c r="F2183" i="2"/>
  <c r="K2159" i="2"/>
  <c r="K2135" i="2"/>
  <c r="K2111" i="2"/>
  <c r="K1993" i="2"/>
  <c r="E1933" i="2"/>
  <c r="F1909" i="2"/>
  <c r="F1885" i="2"/>
  <c r="G1861" i="2"/>
  <c r="H1837" i="2"/>
  <c r="H1813" i="2"/>
  <c r="J1789" i="2"/>
  <c r="J1765" i="2"/>
  <c r="J1741" i="2"/>
  <c r="G1717" i="2"/>
  <c r="G1693" i="2"/>
  <c r="I1657" i="2"/>
  <c r="J1633" i="2"/>
  <c r="H2384" i="2"/>
  <c r="J2348" i="2"/>
  <c r="G2324" i="2"/>
  <c r="K2300" i="2"/>
  <c r="F2264" i="2"/>
  <c r="H2240" i="2"/>
  <c r="J2204" i="2"/>
  <c r="F1416" i="2"/>
  <c r="E1591" i="2"/>
  <c r="E1567" i="2"/>
  <c r="E1543" i="2"/>
  <c r="J1519" i="2"/>
  <c r="J1495" i="2"/>
  <c r="K1471" i="2"/>
  <c r="H1447" i="2"/>
  <c r="H1423" i="2"/>
  <c r="I1399" i="2"/>
  <c r="I1375" i="2"/>
  <c r="J1351" i="2"/>
  <c r="J1327" i="2"/>
  <c r="I1303" i="2"/>
  <c r="J1279" i="2"/>
  <c r="J1255" i="2"/>
  <c r="K1231" i="2"/>
  <c r="K1207" i="2"/>
  <c r="K1183" i="2"/>
  <c r="D1147" i="2"/>
  <c r="D1123" i="2"/>
  <c r="F1099" i="2"/>
  <c r="F1075" i="2"/>
  <c r="F1051" i="2"/>
  <c r="G1027" i="2"/>
  <c r="J1625" i="2"/>
  <c r="F1601" i="2"/>
  <c r="G2184" i="2"/>
  <c r="I2160" i="2"/>
  <c r="J2136" i="2"/>
  <c r="J2112" i="2"/>
  <c r="H2088" i="2"/>
  <c r="D2064" i="2"/>
  <c r="K2052" i="2"/>
  <c r="I2028" i="2"/>
  <c r="G2004" i="2"/>
  <c r="F1992" i="2"/>
  <c r="J1968" i="2"/>
  <c r="H1944" i="2"/>
  <c r="E1920" i="2"/>
  <c r="K1908" i="2"/>
  <c r="I1884" i="2"/>
  <c r="F1860" i="2"/>
  <c r="H1848" i="2"/>
  <c r="J1824" i="2"/>
  <c r="G1800" i="2"/>
  <c r="E1776" i="2"/>
  <c r="K1764" i="2"/>
  <c r="I1740" i="2"/>
  <c r="F1716" i="2"/>
  <c r="K1704" i="2"/>
  <c r="I1680" i="2"/>
  <c r="G1656" i="2"/>
  <c r="E1632" i="2"/>
  <c r="H2395" i="2"/>
  <c r="H2371" i="2"/>
  <c r="H2347" i="2"/>
  <c r="H2323" i="2"/>
  <c r="H2299" i="2"/>
  <c r="H2275" i="2"/>
  <c r="H2251" i="2"/>
  <c r="H2227" i="2"/>
  <c r="G2203" i="2"/>
  <c r="H1428" i="2"/>
  <c r="E1997" i="2"/>
  <c r="K1578" i="2"/>
  <c r="K1554" i="2"/>
  <c r="K1530" i="2"/>
  <c r="K1506" i="2"/>
  <c r="K1482" i="2"/>
  <c r="J1458" i="2"/>
  <c r="J1434" i="2"/>
  <c r="J1410" i="2"/>
  <c r="J1386" i="2"/>
  <c r="J1362" i="2"/>
  <c r="J1338" i="2"/>
  <c r="I1314" i="2"/>
  <c r="I1290" i="2"/>
  <c r="I1266" i="2"/>
  <c r="I1242" i="2"/>
  <c r="I1218" i="2"/>
  <c r="I1194" i="2"/>
  <c r="J1170" i="2"/>
  <c r="J1146" i="2"/>
  <c r="J1122" i="2"/>
  <c r="J1098" i="2"/>
  <c r="J1074" i="2"/>
  <c r="K1050" i="2"/>
  <c r="K1026" i="2"/>
  <c r="K1624" i="2"/>
  <c r="K1600" i="2"/>
  <c r="G2183" i="2"/>
  <c r="J2159" i="2"/>
  <c r="J2135" i="2"/>
  <c r="J2111" i="2"/>
  <c r="G1969" i="2"/>
  <c r="G1933" i="2"/>
  <c r="G1909" i="2"/>
  <c r="G1885" i="2"/>
  <c r="H1861" i="2"/>
  <c r="I1837" i="2"/>
  <c r="J1813" i="2"/>
  <c r="K1789" i="2"/>
  <c r="K1765" i="2"/>
  <c r="K1741" i="2"/>
  <c r="H1717" i="2"/>
  <c r="I1681" i="2"/>
  <c r="J1657" i="2"/>
  <c r="K1633" i="2"/>
  <c r="I2384" i="2"/>
  <c r="F2348" i="2"/>
  <c r="I2324" i="2"/>
  <c r="F2288" i="2"/>
  <c r="G2264" i="2"/>
  <c r="I2240" i="2"/>
  <c r="F2204" i="2"/>
  <c r="H1416" i="2"/>
  <c r="J1591" i="2"/>
  <c r="J1567" i="2"/>
  <c r="J1543" i="2"/>
  <c r="K1519" i="2"/>
  <c r="F1495" i="2"/>
  <c r="F1471" i="2"/>
  <c r="I1447" i="2"/>
  <c r="I1423" i="2"/>
  <c r="J1399" i="2"/>
  <c r="K1375" i="2"/>
  <c r="K1351" i="2"/>
  <c r="K1327" i="2"/>
  <c r="J1303" i="2"/>
  <c r="K1279" i="2"/>
  <c r="D1243" i="2"/>
  <c r="E1219" i="2"/>
  <c r="E1195" i="2"/>
  <c r="E1171" i="2"/>
  <c r="F1147" i="2"/>
  <c r="G1123" i="2"/>
  <c r="G1099" i="2"/>
  <c r="G1075" i="2"/>
  <c r="G1051" i="2"/>
  <c r="H1027" i="2"/>
  <c r="F1625" i="2"/>
  <c r="G1601" i="2"/>
  <c r="H2184" i="2"/>
  <c r="J2160" i="2"/>
  <c r="K2136" i="2"/>
  <c r="K2112" i="2"/>
  <c r="I2088" i="2"/>
  <c r="G2064" i="2"/>
  <c r="F2052" i="2"/>
  <c r="J2028" i="2"/>
  <c r="H2004" i="2"/>
  <c r="D1980" i="2"/>
  <c r="K1968" i="2"/>
  <c r="I1944" i="2"/>
  <c r="G1920" i="2"/>
  <c r="F1908" i="2"/>
  <c r="J1884" i="2"/>
  <c r="G1860" i="2"/>
  <c r="D1836" i="2"/>
  <c r="K1824" i="2"/>
  <c r="I1800" i="2"/>
  <c r="F1776" i="2"/>
  <c r="H1764" i="2"/>
  <c r="J1740" i="2"/>
  <c r="G1716" i="2"/>
  <c r="E1692" i="2"/>
  <c r="J1680" i="2"/>
  <c r="H1656" i="2"/>
  <c r="F1632" i="2"/>
  <c r="I2383" i="2"/>
  <c r="I2359" i="2"/>
  <c r="I2335" i="2"/>
  <c r="I2311" i="2"/>
  <c r="I2287" i="2"/>
  <c r="I2263" i="2"/>
  <c r="I2239" i="2"/>
  <c r="I2215" i="2"/>
  <c r="H2203" i="2"/>
  <c r="I1428" i="2"/>
  <c r="F1590" i="2"/>
  <c r="F1566" i="2"/>
  <c r="F1542" i="2"/>
  <c r="F1518" i="2"/>
  <c r="F1494" i="2"/>
  <c r="F1470" i="2"/>
  <c r="F1446" i="2"/>
  <c r="F1422" i="2"/>
  <c r="F1398" i="2"/>
  <c r="F1374" i="2"/>
  <c r="F1350" i="2"/>
  <c r="F1326" i="2"/>
  <c r="J1302" i="2"/>
  <c r="J1278" i="2"/>
  <c r="J1254" i="2"/>
  <c r="J1230" i="2"/>
  <c r="J1206" i="2"/>
  <c r="K1182" i="2"/>
  <c r="K1158" i="2"/>
  <c r="K1134" i="2"/>
  <c r="K1110" i="2"/>
  <c r="K1086" i="2"/>
  <c r="F1062" i="2"/>
  <c r="F1038" i="2"/>
  <c r="F1014" i="2"/>
  <c r="F1612" i="2"/>
  <c r="I2195" i="2"/>
  <c r="F2171" i="2"/>
  <c r="F2147" i="2"/>
  <c r="F2123" i="2"/>
  <c r="F2099" i="2"/>
  <c r="F2075" i="2"/>
  <c r="F2051" i="2"/>
  <c r="F2027" i="2"/>
  <c r="F2003" i="2"/>
  <c r="F1979" i="2"/>
  <c r="H1969" i="2"/>
  <c r="H1933" i="2"/>
  <c r="H1909" i="2"/>
  <c r="H1885" i="2"/>
  <c r="J1861" i="2"/>
  <c r="J1837" i="2"/>
  <c r="K1813" i="2"/>
  <c r="F1789" i="2"/>
  <c r="F1765" i="2"/>
  <c r="D1729" i="2"/>
  <c r="E1705" i="2"/>
  <c r="J1681" i="2"/>
  <c r="K1657" i="2"/>
  <c r="F1633" i="2"/>
  <c r="F2372" i="2"/>
  <c r="G2348" i="2"/>
  <c r="K2324" i="2"/>
  <c r="G2288" i="2"/>
  <c r="H2264" i="2"/>
  <c r="J2228" i="2"/>
  <c r="G2204" i="2"/>
  <c r="I1416" i="2"/>
  <c r="K1591" i="2"/>
  <c r="K1567" i="2"/>
  <c r="F1543" i="2"/>
  <c r="F1519" i="2"/>
  <c r="G1495" i="2"/>
  <c r="G1471" i="2"/>
  <c r="J1447" i="2"/>
  <c r="K1423" i="2"/>
  <c r="K1399" i="2"/>
  <c r="F1375" i="2"/>
  <c r="F1351" i="2"/>
  <c r="F1327" i="2"/>
  <c r="D1291" i="2"/>
  <c r="D1267" i="2"/>
  <c r="F1243" i="2"/>
  <c r="F1219" i="2"/>
  <c r="F1195" i="2"/>
  <c r="G1171" i="2"/>
  <c r="G1147" i="2"/>
  <c r="H1123" i="2"/>
  <c r="H1099" i="2"/>
  <c r="H1075" i="2"/>
  <c r="I1051" i="2"/>
  <c r="I1027" i="2"/>
  <c r="G1625" i="2"/>
  <c r="H1601" i="2"/>
  <c r="I2184" i="2"/>
  <c r="F2160" i="2"/>
  <c r="F2136" i="2"/>
  <c r="F2112" i="2"/>
  <c r="J2088" i="2"/>
  <c r="H2064" i="2"/>
  <c r="E2040" i="2"/>
  <c r="K2028" i="2"/>
  <c r="I2004" i="2"/>
  <c r="G1980" i="2"/>
  <c r="F1968" i="2"/>
  <c r="J1944" i="2"/>
  <c r="H1920" i="2"/>
  <c r="E1896" i="2"/>
  <c r="K1884" i="2"/>
  <c r="I1860" i="2"/>
  <c r="F1836" i="2"/>
  <c r="H1824" i="2"/>
  <c r="J1800" i="2"/>
  <c r="G1776" i="2"/>
  <c r="E1752" i="2"/>
  <c r="K1740" i="2"/>
  <c r="H1716" i="2"/>
  <c r="F1692" i="2"/>
  <c r="K1680" i="2"/>
  <c r="I1656" i="2"/>
  <c r="G1632" i="2"/>
  <c r="J2383" i="2"/>
  <c r="J2359" i="2"/>
  <c r="J2335" i="2"/>
  <c r="J2311" i="2"/>
  <c r="J2287" i="2"/>
  <c r="J2263" i="2"/>
  <c r="J2239" i="2"/>
  <c r="J2215" i="2"/>
  <c r="D1572" i="2"/>
  <c r="K1428" i="2"/>
  <c r="G1590" i="2"/>
  <c r="G1566" i="2"/>
  <c r="G1542" i="2"/>
  <c r="G1518" i="2"/>
  <c r="G1494" i="2"/>
  <c r="G1470" i="2"/>
  <c r="G1446" i="2"/>
  <c r="G1422" i="2"/>
  <c r="G1398" i="2"/>
  <c r="G1374" i="2"/>
  <c r="G1350" i="2"/>
  <c r="G1326" i="2"/>
  <c r="K1302" i="2"/>
  <c r="K1278" i="2"/>
  <c r="K1254" i="2"/>
  <c r="K1230" i="2"/>
  <c r="K1206" i="2"/>
  <c r="F1182" i="2"/>
  <c r="F1158" i="2"/>
  <c r="F1134" i="2"/>
  <c r="F1110" i="2"/>
  <c r="F1086" i="2"/>
  <c r="H1062" i="2"/>
  <c r="H1038" i="2"/>
  <c r="H1014" i="2"/>
  <c r="G1612" i="2"/>
  <c r="J2195" i="2"/>
  <c r="G2171" i="2"/>
  <c r="G2147" i="2"/>
  <c r="G2123" i="2"/>
  <c r="G2099" i="2"/>
  <c r="G2075" i="2"/>
  <c r="G2051" i="2"/>
  <c r="G2027" i="2"/>
  <c r="G2003" i="2"/>
  <c r="G1979" i="2"/>
  <c r="G1955" i="2"/>
  <c r="G1931" i="2"/>
  <c r="G1907" i="2"/>
  <c r="G1883" i="2"/>
  <c r="H1859" i="2"/>
  <c r="H1835" i="2"/>
  <c r="H1811" i="2"/>
  <c r="H1787" i="2"/>
  <c r="H1763" i="2"/>
  <c r="H1739" i="2"/>
  <c r="J1715" i="2"/>
  <c r="J1691" i="2"/>
  <c r="J1667" i="2"/>
  <c r="J1643" i="2"/>
  <c r="G2394" i="2"/>
  <c r="J2370" i="2"/>
  <c r="G2346" i="2"/>
  <c r="G2322" i="2"/>
  <c r="J2298" i="2"/>
  <c r="G2274" i="2"/>
  <c r="G2250" i="2"/>
  <c r="G2226" i="2"/>
  <c r="F1548" i="2"/>
  <c r="K1488" i="2"/>
  <c r="H1272" i="2"/>
  <c r="K1577" i="2"/>
  <c r="J1553" i="2"/>
  <c r="I1541" i="2"/>
  <c r="G1517" i="2"/>
  <c r="K1493" i="2"/>
  <c r="K1469" i="2"/>
  <c r="H1445" i="2"/>
  <c r="G1421" i="2"/>
  <c r="D1397" i="2"/>
  <c r="K1385" i="2"/>
  <c r="I1361" i="2"/>
  <c r="G1337" i="2"/>
  <c r="F1325" i="2"/>
  <c r="J1301" i="2"/>
  <c r="J1277" i="2"/>
  <c r="I1253" i="2"/>
  <c r="G1229" i="2"/>
  <c r="D1205" i="2"/>
  <c r="J1193" i="2"/>
  <c r="J1169" i="2"/>
  <c r="I1145" i="2"/>
  <c r="G1121" i="2"/>
  <c r="D1097" i="2"/>
  <c r="H1957" i="2"/>
  <c r="I1933" i="2"/>
  <c r="I1909" i="2"/>
  <c r="I1885" i="2"/>
  <c r="K1861" i="2"/>
  <c r="F1837" i="2"/>
  <c r="F1813" i="2"/>
  <c r="D1777" i="2"/>
  <c r="E1753" i="2"/>
  <c r="G1729" i="2"/>
  <c r="J1705" i="2"/>
  <c r="K1681" i="2"/>
  <c r="F1657" i="2"/>
  <c r="G1633" i="2"/>
  <c r="G2372" i="2"/>
  <c r="I2348" i="2"/>
  <c r="J2312" i="2"/>
  <c r="H2288" i="2"/>
  <c r="I2264" i="2"/>
  <c r="F2228" i="2"/>
  <c r="I2204" i="2"/>
  <c r="K1416" i="2"/>
  <c r="F1591" i="2"/>
  <c r="F1567" i="2"/>
  <c r="G1543" i="2"/>
  <c r="H1519" i="2"/>
  <c r="H1495" i="2"/>
  <c r="H1471" i="2"/>
  <c r="K1447" i="2"/>
  <c r="F1423" i="2"/>
  <c r="E1387" i="2"/>
  <c r="E1363" i="2"/>
  <c r="E1339" i="2"/>
  <c r="E1315" i="2"/>
  <c r="F1291" i="2"/>
  <c r="G1267" i="2"/>
  <c r="G1243" i="2"/>
  <c r="G1219" i="2"/>
  <c r="G1195" i="2"/>
  <c r="H1171" i="2"/>
  <c r="I1147" i="2"/>
  <c r="I1123" i="2"/>
  <c r="I1099" i="2"/>
  <c r="I1075" i="2"/>
  <c r="J1051" i="2"/>
  <c r="K1027" i="2"/>
  <c r="H1625" i="2"/>
  <c r="I1601" i="2"/>
  <c r="J2184" i="2"/>
  <c r="D2148" i="2"/>
  <c r="G2124" i="2"/>
  <c r="D2100" i="2"/>
  <c r="K2088" i="2"/>
  <c r="I2064" i="2"/>
  <c r="G2040" i="2"/>
  <c r="F2028" i="2"/>
  <c r="J2004" i="2"/>
  <c r="H1980" i="2"/>
  <c r="D1956" i="2"/>
  <c r="K1944" i="2"/>
  <c r="I1920" i="2"/>
  <c r="G1896" i="2"/>
  <c r="F1884" i="2"/>
  <c r="J1860" i="2"/>
  <c r="G1836" i="2"/>
  <c r="D1812" i="2"/>
  <c r="K1800" i="2"/>
  <c r="I1776" i="2"/>
  <c r="F1752" i="2"/>
  <c r="H1740" i="2"/>
  <c r="I1716" i="2"/>
  <c r="G1692" i="2"/>
  <c r="D1668" i="2"/>
  <c r="J1656" i="2"/>
  <c r="H1632" i="2"/>
  <c r="K2383" i="2"/>
  <c r="K2359" i="2"/>
  <c r="K2335" i="2"/>
  <c r="K2311" i="2"/>
  <c r="K2287" i="2"/>
  <c r="K2263" i="2"/>
  <c r="K2239" i="2"/>
  <c r="K2215" i="2"/>
  <c r="F1572" i="2"/>
  <c r="J1428" i="2"/>
  <c r="H1590" i="2"/>
  <c r="H1566" i="2"/>
  <c r="H1542" i="2"/>
  <c r="H1518" i="2"/>
  <c r="H1494" i="2"/>
  <c r="H1470" i="2"/>
  <c r="H1446" i="2"/>
  <c r="H1422" i="2"/>
  <c r="H1398" i="2"/>
  <c r="H1374" i="2"/>
  <c r="H1350" i="2"/>
  <c r="H1326" i="2"/>
  <c r="F1302" i="2"/>
  <c r="F1278" i="2"/>
  <c r="F1254" i="2"/>
  <c r="F1230" i="2"/>
  <c r="F1206" i="2"/>
  <c r="I1182" i="2"/>
  <c r="I1158" i="2"/>
  <c r="I1134" i="2"/>
  <c r="I1110" i="2"/>
  <c r="I1086" i="2"/>
  <c r="G1062" i="2"/>
  <c r="G1038" i="2"/>
  <c r="G1014" i="2"/>
  <c r="H1612" i="2"/>
  <c r="K2195" i="2"/>
  <c r="H2171" i="2"/>
  <c r="H2147" i="2"/>
  <c r="H2123" i="2"/>
  <c r="H2099" i="2"/>
  <c r="H2075" i="2"/>
  <c r="H2051" i="2"/>
  <c r="H2027" i="2"/>
  <c r="H2003" i="2"/>
  <c r="H1979" i="2"/>
  <c r="H1955" i="2"/>
  <c r="H1931" i="2"/>
  <c r="H1907" i="2"/>
  <c r="H1883" i="2"/>
  <c r="I1859" i="2"/>
  <c r="I1835" i="2"/>
  <c r="I1957" i="2"/>
  <c r="K1933" i="2"/>
  <c r="K1909" i="2"/>
  <c r="J1885" i="2"/>
  <c r="F1861" i="2"/>
  <c r="D1825" i="2"/>
  <c r="G1801" i="2"/>
  <c r="G1777" i="2"/>
  <c r="H1753" i="2"/>
  <c r="H1729" i="2"/>
  <c r="K1705" i="2"/>
  <c r="F1681" i="2"/>
  <c r="G1657" i="2"/>
  <c r="J2396" i="2"/>
  <c r="H2372" i="2"/>
  <c r="K2348" i="2"/>
  <c r="F2312" i="2"/>
  <c r="J2288" i="2"/>
  <c r="J2252" i="2"/>
  <c r="G2228" i="2"/>
  <c r="K2204" i="2"/>
  <c r="J1416" i="2"/>
  <c r="G1591" i="2"/>
  <c r="H1567" i="2"/>
  <c r="H1543" i="2"/>
  <c r="I1519" i="2"/>
  <c r="I1495" i="2"/>
  <c r="I1471" i="2"/>
  <c r="D1435" i="2"/>
  <c r="D1411" i="2"/>
  <c r="G1387" i="2"/>
  <c r="G1363" i="2"/>
  <c r="G1339" i="2"/>
  <c r="G1315" i="2"/>
  <c r="G1291" i="2"/>
  <c r="H1267" i="2"/>
  <c r="H1243" i="2"/>
  <c r="H1219" i="2"/>
  <c r="I1195" i="2"/>
  <c r="I1171" i="2"/>
  <c r="J1147" i="2"/>
  <c r="J1123" i="2"/>
  <c r="J1099" i="2"/>
  <c r="K1075" i="2"/>
  <c r="K1051" i="2"/>
  <c r="E1015" i="2"/>
  <c r="E1613" i="2"/>
  <c r="E2196" i="2"/>
  <c r="G2172" i="2"/>
  <c r="G2148" i="2"/>
  <c r="H2124" i="2"/>
  <c r="G2100" i="2"/>
  <c r="F2088" i="2"/>
  <c r="J2064" i="2"/>
  <c r="H2040" i="2"/>
  <c r="D2016" i="2"/>
  <c r="K2004" i="2"/>
  <c r="I1980" i="2"/>
  <c r="G1956" i="2"/>
  <c r="F1944" i="2"/>
  <c r="J1920" i="2"/>
  <c r="H1896" i="2"/>
  <c r="D1872" i="2"/>
  <c r="K1860" i="2"/>
  <c r="I1836" i="2"/>
  <c r="F1812" i="2"/>
  <c r="H1800" i="2"/>
  <c r="J1776" i="2"/>
  <c r="G1752" i="2"/>
  <c r="D1728" i="2"/>
  <c r="J1716" i="2"/>
  <c r="H1692" i="2"/>
  <c r="F1668" i="2"/>
  <c r="K1656" i="2"/>
  <c r="I1632" i="2"/>
  <c r="F2383" i="2"/>
  <c r="G2359" i="2"/>
  <c r="F2335" i="2"/>
  <c r="G2311" i="2"/>
  <c r="G2287" i="2"/>
  <c r="F2263" i="2"/>
  <c r="F2239" i="2"/>
  <c r="F2215" i="2"/>
  <c r="G1572" i="2"/>
  <c r="D1248" i="2"/>
  <c r="I1590" i="2"/>
  <c r="I1566" i="2"/>
  <c r="I1542" i="2"/>
  <c r="I1518" i="2"/>
  <c r="I1494" i="2"/>
  <c r="I1470" i="2"/>
  <c r="I1446" i="2"/>
  <c r="I1422" i="2"/>
  <c r="I1398" i="2"/>
  <c r="I1374" i="2"/>
  <c r="I1350" i="2"/>
  <c r="I1326" i="2"/>
  <c r="H1302" i="2"/>
  <c r="H1278" i="2"/>
  <c r="H1254" i="2"/>
  <c r="H1230" i="2"/>
  <c r="H1206" i="2"/>
  <c r="H1182" i="2"/>
  <c r="H1158" i="2"/>
  <c r="H1134" i="2"/>
  <c r="H1110" i="2"/>
  <c r="H1086" i="2"/>
  <c r="I1062" i="2"/>
  <c r="I1038" i="2"/>
  <c r="I1014" i="2"/>
  <c r="I1612" i="2"/>
  <c r="F2195" i="2"/>
  <c r="I2171" i="2"/>
  <c r="I2147" i="2"/>
  <c r="I2123" i="2"/>
  <c r="I2099" i="2"/>
  <c r="I2075" i="2"/>
  <c r="I2051" i="2"/>
  <c r="I2027" i="2"/>
  <c r="I2003" i="2"/>
  <c r="I1979" i="2"/>
  <c r="I1955" i="2"/>
  <c r="I1931" i="2"/>
  <c r="I1907" i="2"/>
  <c r="I1883" i="2"/>
  <c r="J1859" i="2"/>
  <c r="J1835" i="2"/>
  <c r="K1957" i="2"/>
  <c r="J1933" i="2"/>
  <c r="J1909" i="2"/>
  <c r="E1873" i="2"/>
  <c r="G1849" i="2"/>
  <c r="G1825" i="2"/>
  <c r="H1801" i="2"/>
  <c r="H1777" i="2"/>
  <c r="I1753" i="2"/>
  <c r="J1729" i="2"/>
  <c r="F1705" i="2"/>
  <c r="G1681" i="2"/>
  <c r="H1657" i="2"/>
  <c r="F2396" i="2"/>
  <c r="J2372" i="2"/>
  <c r="J2336" i="2"/>
  <c r="G2312" i="2"/>
  <c r="I2288" i="2"/>
  <c r="K2252" i="2"/>
  <c r="I2228" i="2"/>
  <c r="E1500" i="2"/>
  <c r="E1284" i="2"/>
  <c r="H1591" i="2"/>
  <c r="I1567" i="2"/>
  <c r="D1531" i="2"/>
  <c r="D1507" i="2"/>
  <c r="E1483" i="2"/>
  <c r="E1459" i="2"/>
  <c r="G1435" i="2"/>
  <c r="H1411" i="2"/>
  <c r="H1387" i="2"/>
  <c r="H1363" i="2"/>
  <c r="H1339" i="2"/>
  <c r="H1315" i="2"/>
  <c r="I1291" i="2"/>
  <c r="I1267" i="2"/>
  <c r="I1243" i="2"/>
  <c r="I1219" i="2"/>
  <c r="J1195" i="2"/>
  <c r="K1171" i="2"/>
  <c r="K1147" i="2"/>
  <c r="K1123" i="2"/>
  <c r="K1099" i="2"/>
  <c r="D1063" i="2"/>
  <c r="F1039" i="2"/>
  <c r="F1015" i="2"/>
  <c r="I1613" i="2"/>
  <c r="F2196" i="2"/>
  <c r="H2172" i="2"/>
  <c r="I2148" i="2"/>
  <c r="I2124" i="2"/>
  <c r="H2100" i="2"/>
  <c r="E2076" i="2"/>
  <c r="K2064" i="2"/>
  <c r="I2040" i="2"/>
  <c r="G2016" i="2"/>
  <c r="F2004" i="2"/>
  <c r="J1980" i="2"/>
  <c r="H1956" i="2"/>
  <c r="E1932" i="2"/>
  <c r="K1920" i="2"/>
  <c r="I1896" i="2"/>
  <c r="G1872" i="2"/>
  <c r="H1860" i="2"/>
  <c r="J1836" i="2"/>
  <c r="G1812" i="2"/>
  <c r="E1788" i="2"/>
  <c r="K1776" i="2"/>
  <c r="I1752" i="2"/>
  <c r="F1728" i="2"/>
  <c r="K1716" i="2"/>
  <c r="I1692" i="2"/>
  <c r="G1668" i="2"/>
  <c r="E1644" i="2"/>
  <c r="J1632" i="2"/>
  <c r="G2383" i="2"/>
  <c r="F2359" i="2"/>
  <c r="G2335" i="2"/>
  <c r="F2311" i="2"/>
  <c r="F2287" i="2"/>
  <c r="H2263" i="2"/>
  <c r="H2239" i="2"/>
  <c r="G2215" i="2"/>
  <c r="H1572" i="2"/>
  <c r="J1248" i="2"/>
  <c r="J1590" i="2"/>
  <c r="J1566" i="2"/>
  <c r="J1542" i="2"/>
  <c r="J1518" i="2"/>
  <c r="J1494" i="2"/>
  <c r="J1470" i="2"/>
  <c r="K1446" i="2"/>
  <c r="K1422" i="2"/>
  <c r="K1398" i="2"/>
  <c r="K1374" i="2"/>
  <c r="K1350" i="2"/>
  <c r="K1326" i="2"/>
  <c r="G1302" i="2"/>
  <c r="G1278" i="2"/>
  <c r="G1254" i="2"/>
  <c r="G1230" i="2"/>
  <c r="G1206" i="2"/>
  <c r="G1182" i="2"/>
  <c r="G1158" i="2"/>
  <c r="G1134" i="2"/>
  <c r="G1110" i="2"/>
  <c r="G1086" i="2"/>
  <c r="J1062" i="2"/>
  <c r="J1038" i="2"/>
  <c r="J1014" i="2"/>
  <c r="J1612" i="2"/>
  <c r="G2195" i="2"/>
  <c r="K2171" i="2"/>
  <c r="K2147" i="2"/>
  <c r="K2123" i="2"/>
  <c r="K2099" i="2"/>
  <c r="K2075" i="2"/>
  <c r="K2051" i="2"/>
  <c r="K2027" i="2"/>
  <c r="K2003" i="2"/>
  <c r="K1979" i="2"/>
  <c r="K1955" i="2"/>
  <c r="K1931" i="2"/>
  <c r="K1907" i="2"/>
  <c r="K1883" i="2"/>
  <c r="K1859" i="2"/>
  <c r="K1835" i="2"/>
  <c r="K1811" i="2"/>
  <c r="K1787" i="2"/>
  <c r="K1763" i="2"/>
  <c r="K1739" i="2"/>
  <c r="G1715" i="2"/>
  <c r="G1691" i="2"/>
  <c r="G1667" i="2"/>
  <c r="G1643" i="2"/>
  <c r="J2394" i="2"/>
  <c r="I2370" i="2"/>
  <c r="I2346" i="2"/>
  <c r="I2322" i="2"/>
  <c r="I2298" i="2"/>
  <c r="J2274" i="2"/>
  <c r="J2250" i="2"/>
  <c r="I2226" i="2"/>
  <c r="I1548" i="2"/>
  <c r="G1404" i="2"/>
  <c r="E1901" i="2"/>
  <c r="H1577" i="2"/>
  <c r="G1553" i="2"/>
  <c r="K1529" i="2"/>
  <c r="E1505" i="2"/>
  <c r="H1493" i="2"/>
  <c r="H1469" i="2"/>
  <c r="K1445" i="2"/>
  <c r="J1421" i="2"/>
  <c r="I1397" i="2"/>
  <c r="G1373" i="2"/>
  <c r="F1361" i="2"/>
  <c r="J1337" i="2"/>
  <c r="G1313" i="2"/>
  <c r="G1289" i="2"/>
  <c r="G1265" i="2"/>
  <c r="D1241" i="2"/>
  <c r="J1229" i="2"/>
  <c r="H1205" i="2"/>
  <c r="G1181" i="2"/>
  <c r="F1157" i="2"/>
  <c r="D1133" i="2"/>
  <c r="J1121" i="2"/>
  <c r="H1097" i="2"/>
  <c r="J1957" i="2"/>
  <c r="D1921" i="2"/>
  <c r="F1897" i="2"/>
  <c r="F1873" i="2"/>
  <c r="H1849" i="2"/>
  <c r="H1825" i="2"/>
  <c r="I1801" i="2"/>
  <c r="J1777" i="2"/>
  <c r="J1753" i="2"/>
  <c r="K1729" i="2"/>
  <c r="G1705" i="2"/>
  <c r="H1681" i="2"/>
  <c r="I1645" i="2"/>
  <c r="G2396" i="2"/>
  <c r="K2372" i="2"/>
  <c r="F2336" i="2"/>
  <c r="H2312" i="2"/>
  <c r="F2276" i="2"/>
  <c r="F2252" i="2"/>
  <c r="K2228" i="2"/>
  <c r="F1500" i="2"/>
  <c r="J1284" i="2"/>
  <c r="D1579" i="2"/>
  <c r="D1555" i="2"/>
  <c r="J1531" i="2"/>
  <c r="J1507" i="2"/>
  <c r="J1483" i="2"/>
  <c r="H1459" i="2"/>
  <c r="H1435" i="2"/>
  <c r="I1411" i="2"/>
  <c r="I1387" i="2"/>
  <c r="I1363" i="2"/>
  <c r="J1339" i="2"/>
  <c r="I1315" i="2"/>
  <c r="J1291" i="2"/>
  <c r="J1267" i="2"/>
  <c r="J1243" i="2"/>
  <c r="K1219" i="2"/>
  <c r="K1195" i="2"/>
  <c r="E1159" i="2"/>
  <c r="D1135" i="2"/>
  <c r="D1111" i="2"/>
  <c r="F1087" i="2"/>
  <c r="F1063" i="2"/>
  <c r="G1039" i="2"/>
  <c r="G1015" i="2"/>
  <c r="J1613" i="2"/>
  <c r="H2196" i="2"/>
  <c r="I2172" i="2"/>
  <c r="J2148" i="2"/>
  <c r="J2124" i="2"/>
  <c r="I2100" i="2"/>
  <c r="G2076" i="2"/>
  <c r="F2064" i="2"/>
  <c r="J2040" i="2"/>
  <c r="H2016" i="2"/>
  <c r="D1992" i="2"/>
  <c r="K1980" i="2"/>
  <c r="I1956" i="2"/>
  <c r="G1932" i="2"/>
  <c r="F1920" i="2"/>
  <c r="J1896" i="2"/>
  <c r="H1872" i="2"/>
  <c r="D1848" i="2"/>
  <c r="K1836" i="2"/>
  <c r="I1812" i="2"/>
  <c r="F1788" i="2"/>
  <c r="H1776" i="2"/>
  <c r="J1752" i="2"/>
  <c r="G1728" i="2"/>
  <c r="D1704" i="2"/>
  <c r="J1692" i="2"/>
  <c r="H1668" i="2"/>
  <c r="F1644" i="2"/>
  <c r="K1632" i="2"/>
  <c r="H2383" i="2"/>
  <c r="H2359" i="2"/>
  <c r="H2335" i="2"/>
  <c r="H2311" i="2"/>
  <c r="H2287" i="2"/>
  <c r="G2263" i="2"/>
  <c r="G2239" i="2"/>
  <c r="H2215" i="2"/>
  <c r="I1572" i="2"/>
  <c r="K1248" i="2"/>
  <c r="K1590" i="2"/>
  <c r="K1566" i="2"/>
  <c r="K1542" i="2"/>
  <c r="K1518" i="2"/>
  <c r="K1494" i="2"/>
  <c r="K1470" i="2"/>
  <c r="J1446" i="2"/>
  <c r="J1422" i="2"/>
  <c r="J1398" i="2"/>
  <c r="J1374" i="2"/>
  <c r="J1350" i="2"/>
  <c r="J1326" i="2"/>
  <c r="I1302" i="2"/>
  <c r="I1278" i="2"/>
  <c r="I1254" i="2"/>
  <c r="I1230" i="2"/>
  <c r="I1206" i="2"/>
  <c r="J1182" i="2"/>
  <c r="J1158" i="2"/>
  <c r="J1134" i="2"/>
  <c r="J1110" i="2"/>
  <c r="J1086" i="2"/>
  <c r="K1062" i="2"/>
  <c r="K1038" i="2"/>
  <c r="K1014" i="2"/>
  <c r="K1612" i="2"/>
  <c r="H2195" i="2"/>
  <c r="J2171" i="2"/>
  <c r="J2147" i="2"/>
  <c r="J2123" i="2"/>
  <c r="J2099" i="2"/>
  <c r="J2075" i="2"/>
  <c r="J2051" i="2"/>
  <c r="J2027" i="2"/>
  <c r="J2003" i="2"/>
  <c r="J1979" i="2"/>
  <c r="J1955" i="2"/>
  <c r="J1931" i="2"/>
  <c r="J1907" i="2"/>
  <c r="J1883" i="2"/>
  <c r="F1859" i="2"/>
  <c r="F1835" i="2"/>
  <c r="F1811" i="2"/>
  <c r="F1787" i="2"/>
  <c r="F1763" i="2"/>
  <c r="F1739" i="2"/>
  <c r="H1715" i="2"/>
  <c r="H1691" i="2"/>
  <c r="H1667" i="2"/>
  <c r="H1643" i="2"/>
  <c r="K2394" i="2"/>
  <c r="K2370" i="2"/>
  <c r="K2346" i="2"/>
  <c r="K2322" i="2"/>
  <c r="K2298" i="2"/>
  <c r="K2274" i="2"/>
  <c r="K2250" i="2"/>
  <c r="J2226" i="2"/>
  <c r="J1548" i="2"/>
  <c r="H1404" i="2"/>
  <c r="D1589" i="2"/>
  <c r="I1577" i="2"/>
  <c r="H1553" i="2"/>
  <c r="F1529" i="2"/>
  <c r="J1505" i="2"/>
  <c r="I1493" i="2"/>
  <c r="I1469" i="2"/>
  <c r="F1445" i="2"/>
  <c r="K1421" i="2"/>
  <c r="J1397" i="2"/>
  <c r="H1373" i="2"/>
  <c r="D1349" i="2"/>
  <c r="K1337" i="2"/>
  <c r="H1313" i="2"/>
  <c r="H1289" i="2"/>
  <c r="H1265" i="2"/>
  <c r="F1241" i="2"/>
  <c r="K1229" i="2"/>
  <c r="I1205" i="2"/>
  <c r="H1181" i="2"/>
  <c r="G1157" i="2"/>
  <c r="F1133" i="2"/>
  <c r="K1121" i="2"/>
  <c r="I1097" i="2"/>
  <c r="K2087" i="2"/>
  <c r="J1967" i="2"/>
  <c r="J1895" i="2"/>
  <c r="J1823" i="2"/>
  <c r="I1787" i="2"/>
  <c r="J1751" i="2"/>
  <c r="K1715" i="2"/>
  <c r="F1679" i="2"/>
  <c r="K1643" i="2"/>
  <c r="I2382" i="2"/>
  <c r="H2346" i="2"/>
  <c r="H2310" i="2"/>
  <c r="H2274" i="2"/>
  <c r="H2238" i="2"/>
  <c r="G1548" i="2"/>
  <c r="D1272" i="2"/>
  <c r="F1577" i="2"/>
  <c r="K1541" i="2"/>
  <c r="H1517" i="2"/>
  <c r="G1481" i="2"/>
  <c r="I1445" i="2"/>
  <c r="I1409" i="2"/>
  <c r="F1385" i="2"/>
  <c r="J1349" i="2"/>
  <c r="D1313" i="2"/>
  <c r="F1277" i="2"/>
  <c r="J1253" i="2"/>
  <c r="H1217" i="2"/>
  <c r="K1193" i="2"/>
  <c r="K1157" i="2"/>
  <c r="H1121" i="2"/>
  <c r="D1085" i="2"/>
  <c r="J1073" i="2"/>
  <c r="H1049" i="2"/>
  <c r="G1025" i="2"/>
  <c r="E1623" i="2"/>
  <c r="G1611" i="2"/>
  <c r="H2194" i="2"/>
  <c r="H2170" i="2"/>
  <c r="D2146" i="2"/>
  <c r="K2134" i="2"/>
  <c r="I2110" i="2"/>
  <c r="H2086" i="2"/>
  <c r="E2062" i="2"/>
  <c r="K2050" i="2"/>
  <c r="J2026" i="2"/>
  <c r="H2002" i="2"/>
  <c r="H1978" i="2"/>
  <c r="G1954" i="2"/>
  <c r="F1942" i="2"/>
  <c r="J1918" i="2"/>
  <c r="H1894" i="2"/>
  <c r="H1870" i="2"/>
  <c r="D1846" i="2"/>
  <c r="K1834" i="2"/>
  <c r="I1810" i="2"/>
  <c r="F1786" i="2"/>
  <c r="H1774" i="2"/>
  <c r="K1750" i="2"/>
  <c r="J1726" i="2"/>
  <c r="H1702" i="2"/>
  <c r="F1678" i="2"/>
  <c r="K1666" i="2"/>
  <c r="I1642" i="2"/>
  <c r="K2393" i="2"/>
  <c r="K2369" i="2"/>
  <c r="K2345" i="2"/>
  <c r="K2321" i="2"/>
  <c r="K2297" i="2"/>
  <c r="K2273" i="2"/>
  <c r="K2249" i="2"/>
  <c r="K2225" i="2"/>
  <c r="G1476" i="2"/>
  <c r="E1877" i="2"/>
  <c r="K1576" i="2"/>
  <c r="K1552" i="2"/>
  <c r="K1528" i="2"/>
  <c r="K1504" i="2"/>
  <c r="K1480" i="2"/>
  <c r="J1456" i="2"/>
  <c r="J1432" i="2"/>
  <c r="K1408" i="2"/>
  <c r="K1384" i="2"/>
  <c r="I1360" i="2"/>
  <c r="I1336" i="2"/>
  <c r="H1312" i="2"/>
  <c r="H1288" i="2"/>
  <c r="H1264" i="2"/>
  <c r="H1240" i="2"/>
  <c r="H1216" i="2"/>
  <c r="G1192" i="2"/>
  <c r="G1168" i="2"/>
  <c r="G1144" i="2"/>
  <c r="G1120" i="2"/>
  <c r="G1096" i="2"/>
  <c r="G1072" i="2"/>
  <c r="I1048" i="2"/>
  <c r="I1024" i="2"/>
  <c r="I1622" i="2"/>
  <c r="I1598" i="2"/>
  <c r="F2181" i="2"/>
  <c r="I2157" i="2"/>
  <c r="I2133" i="2"/>
  <c r="I2109" i="2"/>
  <c r="I2085" i="2"/>
  <c r="I2061" i="2"/>
  <c r="I2037" i="2"/>
  <c r="I2013" i="2"/>
  <c r="I1989" i="2"/>
  <c r="I1965" i="2"/>
  <c r="I1941" i="2"/>
  <c r="I1917" i="2"/>
  <c r="I1893" i="2"/>
  <c r="I1869" i="2"/>
  <c r="J1845" i="2"/>
  <c r="J1821" i="2"/>
  <c r="J1797" i="2"/>
  <c r="J1773" i="2"/>
  <c r="J1749" i="2"/>
  <c r="J1725" i="2"/>
  <c r="F1701" i="2"/>
  <c r="F1677" i="2"/>
  <c r="F1653" i="2"/>
  <c r="F1629" i="2"/>
  <c r="J2380" i="2"/>
  <c r="H2356" i="2"/>
  <c r="H2332" i="2"/>
  <c r="J2087" i="2"/>
  <c r="F1955" i="2"/>
  <c r="F1883" i="2"/>
  <c r="K1823" i="2"/>
  <c r="J1787" i="2"/>
  <c r="K1751" i="2"/>
  <c r="F1715" i="2"/>
  <c r="G1679" i="2"/>
  <c r="F1643" i="2"/>
  <c r="J2382" i="2"/>
  <c r="J2346" i="2"/>
  <c r="I2310" i="2"/>
  <c r="I2274" i="2"/>
  <c r="K2238" i="2"/>
  <c r="H1548" i="2"/>
  <c r="J1272" i="2"/>
  <c r="G1577" i="2"/>
  <c r="F1541" i="2"/>
  <c r="I1517" i="2"/>
  <c r="H1481" i="2"/>
  <c r="J1445" i="2"/>
  <c r="J1409" i="2"/>
  <c r="E1373" i="2"/>
  <c r="K1349" i="2"/>
  <c r="F1313" i="2"/>
  <c r="G1277" i="2"/>
  <c r="K1253" i="2"/>
  <c r="I1217" i="2"/>
  <c r="F1181" i="2"/>
  <c r="F1145" i="2"/>
  <c r="I1121" i="2"/>
  <c r="F1085" i="2"/>
  <c r="K1073" i="2"/>
  <c r="I1049" i="2"/>
  <c r="H1025" i="2"/>
  <c r="I1623" i="2"/>
  <c r="H1611" i="2"/>
  <c r="J2194" i="2"/>
  <c r="I2170" i="2"/>
  <c r="G2146" i="2"/>
  <c r="F2134" i="2"/>
  <c r="J2110" i="2"/>
  <c r="I2086" i="2"/>
  <c r="G2062" i="2"/>
  <c r="F2050" i="2"/>
  <c r="K2026" i="2"/>
  <c r="I2002" i="2"/>
  <c r="I1978" i="2"/>
  <c r="H1954" i="2"/>
  <c r="E1930" i="2"/>
  <c r="K1918" i="2"/>
  <c r="I1894" i="2"/>
  <c r="I1870" i="2"/>
  <c r="F1846" i="2"/>
  <c r="H1834" i="2"/>
  <c r="J1810" i="2"/>
  <c r="G1786" i="2"/>
  <c r="D1762" i="2"/>
  <c r="H1750" i="2"/>
  <c r="K1726" i="2"/>
  <c r="I1702" i="2"/>
  <c r="G1678" i="2"/>
  <c r="D1654" i="2"/>
  <c r="J1642" i="2"/>
  <c r="F2393" i="2"/>
  <c r="H2369" i="2"/>
  <c r="F2345" i="2"/>
  <c r="H2321" i="2"/>
  <c r="H2297" i="2"/>
  <c r="H2273" i="2"/>
  <c r="F2249" i="2"/>
  <c r="F2225" i="2"/>
  <c r="H1476" i="2"/>
  <c r="F1588" i="2"/>
  <c r="F1564" i="2"/>
  <c r="F1540" i="2"/>
  <c r="F1516" i="2"/>
  <c r="F1492" i="2"/>
  <c r="F1468" i="2"/>
  <c r="F1444" i="2"/>
  <c r="F1420" i="2"/>
  <c r="J1408" i="2"/>
  <c r="K2063" i="2"/>
  <c r="F1943" i="2"/>
  <c r="F1871" i="2"/>
  <c r="F1823" i="2"/>
  <c r="G1775" i="2"/>
  <c r="F1751" i="2"/>
  <c r="I1703" i="2"/>
  <c r="H1679" i="2"/>
  <c r="I1631" i="2"/>
  <c r="K2382" i="2"/>
  <c r="F2334" i="2"/>
  <c r="K2310" i="2"/>
  <c r="J2262" i="2"/>
  <c r="I2238" i="2"/>
  <c r="K1548" i="2"/>
  <c r="K1272" i="2"/>
  <c r="J1565" i="2"/>
  <c r="G1541" i="2"/>
  <c r="K1505" i="2"/>
  <c r="I1481" i="2"/>
  <c r="G1433" i="2"/>
  <c r="K1409" i="2"/>
  <c r="I1373" i="2"/>
  <c r="F1349" i="2"/>
  <c r="I1313" i="2"/>
  <c r="H1277" i="2"/>
  <c r="G1241" i="2"/>
  <c r="J1217" i="2"/>
  <c r="I1181" i="2"/>
  <c r="G1145" i="2"/>
  <c r="D1109" i="2"/>
  <c r="G1085" i="2"/>
  <c r="E1061" i="2"/>
  <c r="J1049" i="2"/>
  <c r="I1025" i="2"/>
  <c r="J1623" i="2"/>
  <c r="D1599" i="2"/>
  <c r="I2194" i="2"/>
  <c r="J2170" i="2"/>
  <c r="H2146" i="2"/>
  <c r="D2122" i="2"/>
  <c r="K2110" i="2"/>
  <c r="J2086" i="2"/>
  <c r="H2062" i="2"/>
  <c r="D2038" i="2"/>
  <c r="F2026" i="2"/>
  <c r="J2002" i="2"/>
  <c r="J1978" i="2"/>
  <c r="I1954" i="2"/>
  <c r="G1930" i="2"/>
  <c r="F1918" i="2"/>
  <c r="J1894" i="2"/>
  <c r="J1870" i="2"/>
  <c r="G1846" i="2"/>
  <c r="D1822" i="2"/>
  <c r="K1810" i="2"/>
  <c r="I1786" i="2"/>
  <c r="F1762" i="2"/>
  <c r="D1738" i="2"/>
  <c r="H1726" i="2"/>
  <c r="J1702" i="2"/>
  <c r="H1678" i="2"/>
  <c r="F1654" i="2"/>
  <c r="K1642" i="2"/>
  <c r="H2393" i="2"/>
  <c r="F2369" i="2"/>
  <c r="G2345" i="2"/>
  <c r="F2321" i="2"/>
  <c r="F2297" i="2"/>
  <c r="F2273" i="2"/>
  <c r="G2249" i="2"/>
  <c r="G2225" i="2"/>
  <c r="I1476" i="2"/>
  <c r="G1588" i="2"/>
  <c r="G1564" i="2"/>
  <c r="G1540" i="2"/>
  <c r="G1516" i="2"/>
  <c r="G1492" i="2"/>
  <c r="G1468" i="2"/>
  <c r="G1444" i="2"/>
  <c r="G1420" i="2"/>
  <c r="F1396" i="2"/>
  <c r="J2063" i="2"/>
  <c r="K1943" i="2"/>
  <c r="K1871" i="2"/>
  <c r="G1811" i="2"/>
  <c r="I1775" i="2"/>
  <c r="G1739" i="2"/>
  <c r="K1703" i="2"/>
  <c r="I1667" i="2"/>
  <c r="K1631" i="2"/>
  <c r="F2370" i="2"/>
  <c r="G2334" i="2"/>
  <c r="F2298" i="2"/>
  <c r="F2262" i="2"/>
  <c r="F2226" i="2"/>
  <c r="F1488" i="2"/>
  <c r="F1272" i="2"/>
  <c r="F1565" i="2"/>
  <c r="H1541" i="2"/>
  <c r="G1505" i="2"/>
  <c r="J1469" i="2"/>
  <c r="I1433" i="2"/>
  <c r="F1409" i="2"/>
  <c r="K1373" i="2"/>
  <c r="D1337" i="2"/>
  <c r="K1313" i="2"/>
  <c r="I1277" i="2"/>
  <c r="I1241" i="2"/>
  <c r="K1217" i="2"/>
  <c r="K1181" i="2"/>
  <c r="H1145" i="2"/>
  <c r="G1109" i="2"/>
  <c r="H1085" i="2"/>
  <c r="F1061" i="2"/>
  <c r="K1049" i="2"/>
  <c r="J1025" i="2"/>
  <c r="K1623" i="2"/>
  <c r="J1599" i="2"/>
  <c r="K2194" i="2"/>
  <c r="K2170" i="2"/>
  <c r="I2146" i="2"/>
  <c r="G2122" i="2"/>
  <c r="F2110" i="2"/>
  <c r="K2086" i="2"/>
  <c r="I2062" i="2"/>
  <c r="G2038" i="2"/>
  <c r="D2014" i="2"/>
  <c r="K2002" i="2"/>
  <c r="K1978" i="2"/>
  <c r="J1954" i="2"/>
  <c r="H1930" i="2"/>
  <c r="D1906" i="2"/>
  <c r="K1894" i="2"/>
  <c r="K1870" i="2"/>
  <c r="I1846" i="2"/>
  <c r="F1822" i="2"/>
  <c r="H1810" i="2"/>
  <c r="J1786" i="2"/>
  <c r="G1762" i="2"/>
  <c r="F1738" i="2"/>
  <c r="F1714" i="2"/>
  <c r="K1702" i="2"/>
  <c r="I1678" i="2"/>
  <c r="G1654" i="2"/>
  <c r="E1630" i="2"/>
  <c r="G2393" i="2"/>
  <c r="G2369" i="2"/>
  <c r="H2345" i="2"/>
  <c r="G2321" i="2"/>
  <c r="G2297" i="2"/>
  <c r="G2273" i="2"/>
  <c r="H2249" i="2"/>
  <c r="H2225" i="2"/>
  <c r="J1476" i="2"/>
  <c r="H1588" i="2"/>
  <c r="H1564" i="2"/>
  <c r="H1540" i="2"/>
  <c r="H1516" i="2"/>
  <c r="H1492" i="2"/>
  <c r="H1468" i="2"/>
  <c r="H1444" i="2"/>
  <c r="H1420" i="2"/>
  <c r="G1396" i="2"/>
  <c r="K2039" i="2"/>
  <c r="J1943" i="2"/>
  <c r="J1871" i="2"/>
  <c r="I1811" i="2"/>
  <c r="J1775" i="2"/>
  <c r="I1739" i="2"/>
  <c r="F1703" i="2"/>
  <c r="K1667" i="2"/>
  <c r="F1631" i="2"/>
  <c r="G2370" i="2"/>
  <c r="H2334" i="2"/>
  <c r="G2298" i="2"/>
  <c r="G2262" i="2"/>
  <c r="H2226" i="2"/>
  <c r="G1488" i="2"/>
  <c r="G1272" i="2"/>
  <c r="G1565" i="2"/>
  <c r="D1529" i="2"/>
  <c r="H1505" i="2"/>
  <c r="F1469" i="2"/>
  <c r="J1433" i="2"/>
  <c r="G1397" i="2"/>
  <c r="F1373" i="2"/>
  <c r="H1337" i="2"/>
  <c r="F1301" i="2"/>
  <c r="K1277" i="2"/>
  <c r="J1241" i="2"/>
  <c r="F1205" i="2"/>
  <c r="F1169" i="2"/>
  <c r="J1145" i="2"/>
  <c r="H1109" i="2"/>
  <c r="I1085" i="2"/>
  <c r="G1061" i="2"/>
  <c r="D1037" i="2"/>
  <c r="K1025" i="2"/>
  <c r="F1623" i="2"/>
  <c r="K1599" i="2"/>
  <c r="F2182" i="2"/>
  <c r="F2170" i="2"/>
  <c r="J2146" i="2"/>
  <c r="H2122" i="2"/>
  <c r="G2098" i="2"/>
  <c r="F2086" i="2"/>
  <c r="J2062" i="2"/>
  <c r="H2038" i="2"/>
  <c r="G2014" i="2"/>
  <c r="F2002" i="2"/>
  <c r="F1978" i="2"/>
  <c r="K1954" i="2"/>
  <c r="I1930" i="2"/>
  <c r="G1906" i="2"/>
  <c r="F1894" i="2"/>
  <c r="F1870" i="2"/>
  <c r="J1846" i="2"/>
  <c r="G1822" i="2"/>
  <c r="E1798" i="2"/>
  <c r="K1786" i="2"/>
  <c r="I1762" i="2"/>
  <c r="G1738" i="2"/>
  <c r="G1714" i="2"/>
  <c r="D1690" i="2"/>
  <c r="J1678" i="2"/>
  <c r="H1654" i="2"/>
  <c r="F1630" i="2"/>
  <c r="I2381" i="2"/>
  <c r="I2357" i="2"/>
  <c r="I2333" i="2"/>
  <c r="I2309" i="2"/>
  <c r="I2285" i="2"/>
  <c r="I2261" i="2"/>
  <c r="I2237" i="2"/>
  <c r="I2213" i="2"/>
  <c r="K1476" i="2"/>
  <c r="I1588" i="2"/>
  <c r="I1564" i="2"/>
  <c r="I1540" i="2"/>
  <c r="J2039" i="2"/>
  <c r="F1931" i="2"/>
  <c r="G1859" i="2"/>
  <c r="J1811" i="2"/>
  <c r="K1775" i="2"/>
  <c r="J1739" i="2"/>
  <c r="G1703" i="2"/>
  <c r="F1667" i="2"/>
  <c r="G1631" i="2"/>
  <c r="H2370" i="2"/>
  <c r="I2334" i="2"/>
  <c r="H2298" i="2"/>
  <c r="H2262" i="2"/>
  <c r="K2226" i="2"/>
  <c r="H1488" i="2"/>
  <c r="I1272" i="2"/>
  <c r="H1565" i="2"/>
  <c r="J1529" i="2"/>
  <c r="I1505" i="2"/>
  <c r="G1469" i="2"/>
  <c r="K1433" i="2"/>
  <c r="H1397" i="2"/>
  <c r="D1361" i="2"/>
  <c r="I1337" i="2"/>
  <c r="G1301" i="2"/>
  <c r="F1265" i="2"/>
  <c r="K1241" i="2"/>
  <c r="G1205" i="2"/>
  <c r="G1169" i="2"/>
  <c r="K1145" i="2"/>
  <c r="I1109" i="2"/>
  <c r="J1085" i="2"/>
  <c r="H1061" i="2"/>
  <c r="F1037" i="2"/>
  <c r="D1013" i="2"/>
  <c r="G1623" i="2"/>
  <c r="F1599" i="2"/>
  <c r="G2182" i="2"/>
  <c r="D2158" i="2"/>
  <c r="K2146" i="2"/>
  <c r="I2122" i="2"/>
  <c r="H2098" i="2"/>
  <c r="E2074" i="2"/>
  <c r="K2062" i="2"/>
  <c r="I2038" i="2"/>
  <c r="H2014" i="2"/>
  <c r="G1990" i="2"/>
  <c r="D1966" i="2"/>
  <c r="F1954" i="2"/>
  <c r="J1930" i="2"/>
  <c r="H1906" i="2"/>
  <c r="G1882" i="2"/>
  <c r="D1858" i="2"/>
  <c r="K1846" i="2"/>
  <c r="I1822" i="2"/>
  <c r="F1798" i="2"/>
  <c r="H1786" i="2"/>
  <c r="J1762" i="2"/>
  <c r="I1738" i="2"/>
  <c r="H1714" i="2"/>
  <c r="F1690" i="2"/>
  <c r="K1678" i="2"/>
  <c r="I1654" i="2"/>
  <c r="G1630" i="2"/>
  <c r="J2381" i="2"/>
  <c r="J2357" i="2"/>
  <c r="J2333" i="2"/>
  <c r="J2309" i="2"/>
  <c r="J2285" i="2"/>
  <c r="J2261" i="2"/>
  <c r="J2237" i="2"/>
  <c r="J2213" i="2"/>
  <c r="D1332" i="2"/>
  <c r="J1588" i="2"/>
  <c r="J1564" i="2"/>
  <c r="J1540" i="2"/>
  <c r="K2015" i="2"/>
  <c r="F1919" i="2"/>
  <c r="G1847" i="2"/>
  <c r="G1799" i="2"/>
  <c r="F1775" i="2"/>
  <c r="G1727" i="2"/>
  <c r="H1703" i="2"/>
  <c r="I1655" i="2"/>
  <c r="H1631" i="2"/>
  <c r="J2358" i="2"/>
  <c r="K2334" i="2"/>
  <c r="F2286" i="2"/>
  <c r="I2262" i="2"/>
  <c r="F2214" i="2"/>
  <c r="I1488" i="2"/>
  <c r="J1589" i="2"/>
  <c r="I1565" i="2"/>
  <c r="G1529" i="2"/>
  <c r="E1493" i="2"/>
  <c r="G1457" i="2"/>
  <c r="F1433" i="2"/>
  <c r="K1397" i="2"/>
  <c r="G1361" i="2"/>
  <c r="F1337" i="2"/>
  <c r="H1301" i="2"/>
  <c r="I1265" i="2"/>
  <c r="E1229" i="2"/>
  <c r="J1205" i="2"/>
  <c r="H1169" i="2"/>
  <c r="G1133" i="2"/>
  <c r="J1109" i="2"/>
  <c r="K1085" i="2"/>
  <c r="I1061" i="2"/>
  <c r="G1037" i="2"/>
  <c r="F1013" i="2"/>
  <c r="H1623" i="2"/>
  <c r="G1599" i="2"/>
  <c r="H2182" i="2"/>
  <c r="G2158" i="2"/>
  <c r="F2146" i="2"/>
  <c r="J2122" i="2"/>
  <c r="I2098" i="2"/>
  <c r="G2074" i="2"/>
  <c r="F2062" i="2"/>
  <c r="J2038" i="2"/>
  <c r="I2014" i="2"/>
  <c r="H1990" i="2"/>
  <c r="G1966" i="2"/>
  <c r="E1942" i="2"/>
  <c r="K1930" i="2"/>
  <c r="I1906" i="2"/>
  <c r="H1882" i="2"/>
  <c r="F1858" i="2"/>
  <c r="H1846" i="2"/>
  <c r="J1822" i="2"/>
  <c r="G1798" i="2"/>
  <c r="E1774" i="2"/>
  <c r="K1762" i="2"/>
  <c r="J1738" i="2"/>
  <c r="I1714" i="2"/>
  <c r="G1690" i="2"/>
  <c r="D1666" i="2"/>
  <c r="J1654" i="2"/>
  <c r="H1630" i="2"/>
  <c r="K2381" i="2"/>
  <c r="K2357" i="2"/>
  <c r="K2333" i="2"/>
  <c r="K2309" i="2"/>
  <c r="K2285" i="2"/>
  <c r="K2261" i="2"/>
  <c r="K2237" i="2"/>
  <c r="K2213" i="2"/>
  <c r="F1332" i="2"/>
  <c r="K1588" i="2"/>
  <c r="K1564" i="2"/>
  <c r="K1540" i="2"/>
  <c r="K1516" i="2"/>
  <c r="K1492" i="2"/>
  <c r="K1468" i="2"/>
  <c r="J1444" i="2"/>
  <c r="J1420" i="2"/>
  <c r="K1396" i="2"/>
  <c r="I1372" i="2"/>
  <c r="I1348" i="2"/>
  <c r="I1324" i="2"/>
  <c r="H1300" i="2"/>
  <c r="H1276" i="2"/>
  <c r="H1252" i="2"/>
  <c r="H1228" i="2"/>
  <c r="H1204" i="2"/>
  <c r="G1180" i="2"/>
  <c r="G1156" i="2"/>
  <c r="G1132" i="2"/>
  <c r="G1108" i="2"/>
  <c r="G1084" i="2"/>
  <c r="I1060" i="2"/>
  <c r="I1036" i="2"/>
  <c r="I1012" i="2"/>
  <c r="I1610" i="2"/>
  <c r="F2193" i="2"/>
  <c r="I2169" i="2"/>
  <c r="I2145" i="2"/>
  <c r="I2121" i="2"/>
  <c r="I2097" i="2"/>
  <c r="I2073" i="2"/>
  <c r="I2049" i="2"/>
  <c r="I2025" i="2"/>
  <c r="I2001" i="2"/>
  <c r="I1977" i="2"/>
  <c r="I1953" i="2"/>
  <c r="I1929" i="2"/>
  <c r="I1905" i="2"/>
  <c r="I1881" i="2"/>
  <c r="J1857" i="2"/>
  <c r="J1833" i="2"/>
  <c r="J1809" i="2"/>
  <c r="J1785" i="2"/>
  <c r="J1761" i="2"/>
  <c r="J1737" i="2"/>
  <c r="F1713" i="2"/>
  <c r="F1689" i="2"/>
  <c r="F1665" i="2"/>
  <c r="F1641" i="2"/>
  <c r="H2392" i="2"/>
  <c r="J2368" i="2"/>
  <c r="H2344" i="2"/>
  <c r="J2320" i="2"/>
  <c r="J2015" i="2"/>
  <c r="K1919" i="2"/>
  <c r="K1847" i="2"/>
  <c r="I1799" i="2"/>
  <c r="G1763" i="2"/>
  <c r="I1727" i="2"/>
  <c r="I1691" i="2"/>
  <c r="K1655" i="2"/>
  <c r="F2394" i="2"/>
  <c r="G2358" i="2"/>
  <c r="F2322" i="2"/>
  <c r="H2286" i="2"/>
  <c r="F2250" i="2"/>
  <c r="H2214" i="2"/>
  <c r="J1488" i="2"/>
  <c r="F1589" i="2"/>
  <c r="D1553" i="2"/>
  <c r="I1529" i="2"/>
  <c r="J1493" i="2"/>
  <c r="I1457" i="2"/>
  <c r="D1421" i="2"/>
  <c r="D1385" i="2"/>
  <c r="H1361" i="2"/>
  <c r="G1325" i="2"/>
  <c r="I1301" i="2"/>
  <c r="K1265" i="2"/>
  <c r="F1229" i="2"/>
  <c r="D1193" i="2"/>
  <c r="I1169" i="2"/>
  <c r="I1133" i="2"/>
  <c r="K1109" i="2"/>
  <c r="E1073" i="2"/>
  <c r="J1061" i="2"/>
  <c r="H1037" i="2"/>
  <c r="G1013" i="2"/>
  <c r="E1611" i="2"/>
  <c r="H1599" i="2"/>
  <c r="I2182" i="2"/>
  <c r="H2158" i="2"/>
  <c r="D2134" i="2"/>
  <c r="K2122" i="2"/>
  <c r="J2098" i="2"/>
  <c r="H2074" i="2"/>
  <c r="D2050" i="2"/>
  <c r="K2038" i="2"/>
  <c r="J2014" i="2"/>
  <c r="I1990" i="2"/>
  <c r="H1966" i="2"/>
  <c r="G1942" i="2"/>
  <c r="F1930" i="2"/>
  <c r="J1906" i="2"/>
  <c r="I1882" i="2"/>
  <c r="G1858" i="2"/>
  <c r="D1834" i="2"/>
  <c r="K1822" i="2"/>
  <c r="I1798" i="2"/>
  <c r="F1774" i="2"/>
  <c r="H1762" i="2"/>
  <c r="K1738" i="2"/>
  <c r="J1714" i="2"/>
  <c r="H1690" i="2"/>
  <c r="F1666" i="2"/>
  <c r="K1654" i="2"/>
  <c r="I1630" i="2"/>
  <c r="H2381" i="2"/>
  <c r="H2357" i="2"/>
  <c r="H2333" i="2"/>
  <c r="H2309" i="2"/>
  <c r="G2285" i="2"/>
  <c r="F2261" i="2"/>
  <c r="F2237" i="2"/>
  <c r="F2213" i="2"/>
  <c r="G1332" i="2"/>
  <c r="F1576" i="2"/>
  <c r="F1552" i="2"/>
  <c r="F1528" i="2"/>
  <c r="F1504" i="2"/>
  <c r="F1480" i="2"/>
  <c r="F1456" i="2"/>
  <c r="F1432" i="2"/>
  <c r="E1408" i="2"/>
  <c r="J1396" i="2"/>
  <c r="K1372" i="2"/>
  <c r="K1348" i="2"/>
  <c r="K1324" i="2"/>
  <c r="G1300" i="2"/>
  <c r="G1276" i="2"/>
  <c r="G1252" i="2"/>
  <c r="G1228" i="2"/>
  <c r="G1204" i="2"/>
  <c r="H1180" i="2"/>
  <c r="H1156" i="2"/>
  <c r="H1132" i="2"/>
  <c r="H1108" i="2"/>
  <c r="H1084" i="2"/>
  <c r="G1060" i="2"/>
  <c r="G1036" i="2"/>
  <c r="G1012" i="2"/>
  <c r="J1610" i="2"/>
  <c r="G2193" i="2"/>
  <c r="K2169" i="2"/>
  <c r="K2145" i="2"/>
  <c r="K2121" i="2"/>
  <c r="K2097" i="2"/>
  <c r="K2073" i="2"/>
  <c r="K2049" i="2"/>
  <c r="K2025" i="2"/>
  <c r="K2001" i="2"/>
  <c r="K1977" i="2"/>
  <c r="K1953" i="2"/>
  <c r="K1929" i="2"/>
  <c r="K1905" i="2"/>
  <c r="K1881" i="2"/>
  <c r="K1857" i="2"/>
  <c r="K1833" i="2"/>
  <c r="K1809" i="2"/>
  <c r="K1785" i="2"/>
  <c r="K1761" i="2"/>
  <c r="K1737" i="2"/>
  <c r="G1713" i="2"/>
  <c r="G1689" i="2"/>
  <c r="G1665" i="2"/>
  <c r="G1641" i="2"/>
  <c r="I2392" i="2"/>
  <c r="I2368" i="2"/>
  <c r="I2344" i="2"/>
  <c r="I2320" i="2"/>
  <c r="J2296" i="2"/>
  <c r="H2272" i="2"/>
  <c r="K2248" i="2"/>
  <c r="I2224" i="2"/>
  <c r="H1587" i="2"/>
  <c r="G1563" i="2"/>
  <c r="G1539" i="2"/>
  <c r="G1515" i="2"/>
  <c r="G1491" i="2"/>
  <c r="F1467" i="2"/>
  <c r="I1443" i="2"/>
  <c r="G1419" i="2"/>
  <c r="G1395" i="2"/>
  <c r="G1371" i="2"/>
  <c r="G1347" i="2"/>
  <c r="G1323" i="2"/>
  <c r="E1299" i="2"/>
  <c r="J1287" i="2"/>
  <c r="I1263" i="2"/>
  <c r="I1239" i="2"/>
  <c r="I1215" i="2"/>
  <c r="I1191" i="2"/>
  <c r="H1167" i="2"/>
  <c r="G1143" i="2"/>
  <c r="K1991" i="2"/>
  <c r="J1919" i="2"/>
  <c r="F1847" i="2"/>
  <c r="J1799" i="2"/>
  <c r="I1763" i="2"/>
  <c r="J1727" i="2"/>
  <c r="K1691" i="2"/>
  <c r="F1655" i="2"/>
  <c r="H2394" i="2"/>
  <c r="H2358" i="2"/>
  <c r="J2322" i="2"/>
  <c r="I2286" i="2"/>
  <c r="H2250" i="2"/>
  <c r="J2214" i="2"/>
  <c r="D1404" i="2"/>
  <c r="G1589" i="2"/>
  <c r="K1553" i="2"/>
  <c r="D1517" i="2"/>
  <c r="F1493" i="2"/>
  <c r="J1457" i="2"/>
  <c r="H1421" i="2"/>
  <c r="G1385" i="2"/>
  <c r="J1361" i="2"/>
  <c r="H1325" i="2"/>
  <c r="K1301" i="2"/>
  <c r="D1253" i="2"/>
  <c r="H1229" i="2"/>
  <c r="G1193" i="2"/>
  <c r="K1169" i="2"/>
  <c r="J1133" i="2"/>
  <c r="F1097" i="2"/>
  <c r="F1073" i="2"/>
  <c r="K1061" i="2"/>
  <c r="I1037" i="2"/>
  <c r="H1013" i="2"/>
  <c r="I1611" i="2"/>
  <c r="I1599" i="2"/>
  <c r="J2182" i="2"/>
  <c r="I2158" i="2"/>
  <c r="G2134" i="2"/>
  <c r="F2122" i="2"/>
  <c r="K2098" i="2"/>
  <c r="I2074" i="2"/>
  <c r="G2050" i="2"/>
  <c r="F2038" i="2"/>
  <c r="K2014" i="2"/>
  <c r="J1990" i="2"/>
  <c r="I1966" i="2"/>
  <c r="H1942" i="2"/>
  <c r="E1918" i="2"/>
  <c r="K1906" i="2"/>
  <c r="J1882" i="2"/>
  <c r="I1858" i="2"/>
  <c r="F1834" i="2"/>
  <c r="H1822" i="2"/>
  <c r="J1798" i="2"/>
  <c r="G1774" i="2"/>
  <c r="F1750" i="2"/>
  <c r="H1738" i="2"/>
  <c r="K1714" i="2"/>
  <c r="I1690" i="2"/>
  <c r="G1666" i="2"/>
  <c r="E1642" i="2"/>
  <c r="J1630" i="2"/>
  <c r="F2381" i="2"/>
  <c r="F2357" i="2"/>
  <c r="F2333" i="2"/>
  <c r="F2309" i="2"/>
  <c r="F2285" i="2"/>
  <c r="G2261" i="2"/>
  <c r="G2237" i="2"/>
  <c r="G2213" i="2"/>
  <c r="H1332" i="2"/>
  <c r="G1576" i="2"/>
  <c r="G1552" i="2"/>
  <c r="G1528" i="2"/>
  <c r="G1504" i="2"/>
  <c r="G1480" i="2"/>
  <c r="G1456" i="2"/>
  <c r="G1432" i="2"/>
  <c r="F1408" i="2"/>
  <c r="F1384" i="2"/>
  <c r="J1991" i="2"/>
  <c r="F1907" i="2"/>
  <c r="G1835" i="2"/>
  <c r="K1799" i="2"/>
  <c r="J1763" i="2"/>
  <c r="K1727" i="2"/>
  <c r="F1691" i="2"/>
  <c r="G1655" i="2"/>
  <c r="I2394" i="2"/>
  <c r="I2358" i="2"/>
  <c r="H2322" i="2"/>
  <c r="J2286" i="2"/>
  <c r="I2250" i="2"/>
  <c r="I2214" i="2"/>
  <c r="F1404" i="2"/>
  <c r="H1589" i="2"/>
  <c r="F1553" i="2"/>
  <c r="J1517" i="2"/>
  <c r="G1493" i="2"/>
  <c r="K1457" i="2"/>
  <c r="I1421" i="2"/>
  <c r="H1385" i="2"/>
  <c r="K1361" i="2"/>
  <c r="I1325" i="2"/>
  <c r="F1289" i="2"/>
  <c r="F1253" i="2"/>
  <c r="I1229" i="2"/>
  <c r="F1193" i="2"/>
  <c r="D1157" i="2"/>
  <c r="K1133" i="2"/>
  <c r="G1097" i="2"/>
  <c r="G1073" i="2"/>
  <c r="D1049" i="2"/>
  <c r="J1037" i="2"/>
  <c r="I1013" i="2"/>
  <c r="J1611" i="2"/>
  <c r="D2194" i="2"/>
  <c r="K2182" i="2"/>
  <c r="J2158" i="2"/>
  <c r="H2134" i="2"/>
  <c r="D2110" i="2"/>
  <c r="F2098" i="2"/>
  <c r="J2074" i="2"/>
  <c r="H2050" i="2"/>
  <c r="G2026" i="2"/>
  <c r="F2014" i="2"/>
  <c r="K1990" i="2"/>
  <c r="J1966" i="2"/>
  <c r="I1942" i="2"/>
  <c r="G1918" i="2"/>
  <c r="F1906" i="2"/>
  <c r="K1882" i="2"/>
  <c r="J1858" i="2"/>
  <c r="G1834" i="2"/>
  <c r="D1810" i="2"/>
  <c r="K1798" i="2"/>
  <c r="I1774" i="2"/>
  <c r="G1750" i="2"/>
  <c r="F1726" i="2"/>
  <c r="D1702" i="2"/>
  <c r="J1690" i="2"/>
  <c r="H1666" i="2"/>
  <c r="F1642" i="2"/>
  <c r="K1630" i="2"/>
  <c r="G2381" i="2"/>
  <c r="G2357" i="2"/>
  <c r="G2333" i="2"/>
  <c r="G2309" i="2"/>
  <c r="H2285" i="2"/>
  <c r="H2261" i="2"/>
  <c r="H2237" i="2"/>
  <c r="H2213" i="2"/>
  <c r="I1332" i="2"/>
  <c r="H1576" i="2"/>
  <c r="H1552" i="2"/>
  <c r="H1528" i="2"/>
  <c r="H1504" i="2"/>
  <c r="H1480" i="2"/>
  <c r="H1456" i="2"/>
  <c r="H1432" i="2"/>
  <c r="G1408" i="2"/>
  <c r="F1967" i="2"/>
  <c r="F1895" i="2"/>
  <c r="G1823" i="2"/>
  <c r="F1799" i="2"/>
  <c r="G1751" i="2"/>
  <c r="F1727" i="2"/>
  <c r="I1679" i="2"/>
  <c r="H1655" i="2"/>
  <c r="F2382" i="2"/>
  <c r="K2358" i="2"/>
  <c r="J2310" i="2"/>
  <c r="K2286" i="2"/>
  <c r="J2238" i="2"/>
  <c r="K2214" i="2"/>
  <c r="I1404" i="2"/>
  <c r="I1589" i="2"/>
  <c r="I1553" i="2"/>
  <c r="K1517" i="2"/>
  <c r="J1481" i="2"/>
  <c r="F1457" i="2"/>
  <c r="F1421" i="2"/>
  <c r="I1385" i="2"/>
  <c r="G1349" i="2"/>
  <c r="J1325" i="2"/>
  <c r="I1289" i="2"/>
  <c r="G1253" i="2"/>
  <c r="D1217" i="2"/>
  <c r="H1193" i="2"/>
  <c r="H1157" i="2"/>
  <c r="D1121" i="2"/>
  <c r="J1097" i="2"/>
  <c r="H1073" i="2"/>
  <c r="F1049" i="2"/>
  <c r="K1037" i="2"/>
  <c r="J1013" i="2"/>
  <c r="K1611" i="2"/>
  <c r="F2194" i="2"/>
  <c r="D2170" i="2"/>
  <c r="K2158" i="2"/>
  <c r="I2134" i="2"/>
  <c r="G2110" i="2"/>
  <c r="E2086" i="2"/>
  <c r="K2074" i="2"/>
  <c r="I2050" i="2"/>
  <c r="H2026" i="2"/>
  <c r="D2002" i="2"/>
  <c r="F1990" i="2"/>
  <c r="K1966" i="2"/>
  <c r="J1942" i="2"/>
  <c r="H1918" i="2"/>
  <c r="D1894" i="2"/>
  <c r="F1882" i="2"/>
  <c r="K1858" i="2"/>
  <c r="I1834" i="2"/>
  <c r="F1810" i="2"/>
  <c r="H1798" i="2"/>
  <c r="J1774" i="2"/>
  <c r="I1750" i="2"/>
  <c r="G1726" i="2"/>
  <c r="F1702" i="2"/>
  <c r="K1690" i="2"/>
  <c r="I1666" i="2"/>
  <c r="G1642" i="2"/>
  <c r="I2393" i="2"/>
  <c r="I2369" i="2"/>
  <c r="I2345" i="2"/>
  <c r="I2321" i="2"/>
  <c r="I2297" i="2"/>
  <c r="I2273" i="2"/>
  <c r="I2249" i="2"/>
  <c r="I2225" i="2"/>
  <c r="D1476" i="2"/>
  <c r="K1332" i="2"/>
  <c r="I1576" i="2"/>
  <c r="I1552" i="2"/>
  <c r="I1528" i="2"/>
  <c r="I1504" i="2"/>
  <c r="I1480" i="2"/>
  <c r="I1456" i="2"/>
  <c r="I1432" i="2"/>
  <c r="H1408" i="2"/>
  <c r="K1967" i="2"/>
  <c r="K1895" i="2"/>
  <c r="I1823" i="2"/>
  <c r="G1787" i="2"/>
  <c r="I1751" i="2"/>
  <c r="I1715" i="2"/>
  <c r="K1679" i="2"/>
  <c r="I1643" i="2"/>
  <c r="H2382" i="2"/>
  <c r="F2346" i="2"/>
  <c r="G2310" i="2"/>
  <c r="F2274" i="2"/>
  <c r="G2238" i="2"/>
  <c r="E1548" i="2"/>
  <c r="J1404" i="2"/>
  <c r="J1577" i="2"/>
  <c r="J1541" i="2"/>
  <c r="F1517" i="2"/>
  <c r="F1481" i="2"/>
  <c r="G1445" i="2"/>
  <c r="H1409" i="2"/>
  <c r="J1385" i="2"/>
  <c r="I1349" i="2"/>
  <c r="K1325" i="2"/>
  <c r="K1289" i="2"/>
  <c r="H1253" i="2"/>
  <c r="G1217" i="2"/>
  <c r="I1193" i="2"/>
  <c r="J1157" i="2"/>
  <c r="F1121" i="2"/>
  <c r="K1097" i="2"/>
  <c r="I1073" i="2"/>
  <c r="G1049" i="2"/>
  <c r="F1025" i="2"/>
  <c r="K1013" i="2"/>
  <c r="F1611" i="2"/>
  <c r="G2194" i="2"/>
  <c r="G2170" i="2"/>
  <c r="F2158" i="2"/>
  <c r="J2134" i="2"/>
  <c r="H2110" i="2"/>
  <c r="G2086" i="2"/>
  <c r="F2074" i="2"/>
  <c r="J2050" i="2"/>
  <c r="I2026" i="2"/>
  <c r="G2002" i="2"/>
  <c r="G1978" i="2"/>
  <c r="F1966" i="2"/>
  <c r="K1942" i="2"/>
  <c r="I1918" i="2"/>
  <c r="G1894" i="2"/>
  <c r="G1870" i="2"/>
  <c r="H1858" i="2"/>
  <c r="J1834" i="2"/>
  <c r="G1810" i="2"/>
  <c r="E1786" i="2"/>
  <c r="K1774" i="2"/>
  <c r="J1750" i="2"/>
  <c r="I1726" i="2"/>
  <c r="G1702" i="2"/>
  <c r="D1678" i="2"/>
  <c r="J1666" i="2"/>
  <c r="H1642" i="2"/>
  <c r="J2393" i="2"/>
  <c r="J2369" i="2"/>
  <c r="J2345" i="2"/>
  <c r="J2321" i="2"/>
  <c r="J2297" i="2"/>
  <c r="J2273" i="2"/>
  <c r="J2249" i="2"/>
  <c r="J2225" i="2"/>
  <c r="F1476" i="2"/>
  <c r="J1332" i="2"/>
  <c r="J1576" i="2"/>
  <c r="J1552" i="2"/>
  <c r="J1528" i="2"/>
  <c r="J1504" i="2"/>
  <c r="J1480" i="2"/>
  <c r="K1456" i="2"/>
  <c r="K1432" i="2"/>
  <c r="I1408" i="2"/>
  <c r="I1384" i="2"/>
  <c r="H1360" i="2"/>
  <c r="H1336" i="2"/>
  <c r="F1312" i="2"/>
  <c r="F1288" i="2"/>
  <c r="F1264" i="2"/>
  <c r="F1240" i="2"/>
  <c r="F1216" i="2"/>
  <c r="I1192" i="2"/>
  <c r="I1168" i="2"/>
  <c r="I1144" i="2"/>
  <c r="I1120" i="2"/>
  <c r="I1096" i="2"/>
  <c r="I1072" i="2"/>
  <c r="K1048" i="2"/>
  <c r="K1024" i="2"/>
  <c r="H1622" i="2"/>
  <c r="H1598" i="2"/>
  <c r="K2181" i="2"/>
  <c r="H2157" i="2"/>
  <c r="H2133" i="2"/>
  <c r="H2109" i="2"/>
  <c r="H2085" i="2"/>
  <c r="H2061" i="2"/>
  <c r="H2037" i="2"/>
  <c r="H2013" i="2"/>
  <c r="H1989" i="2"/>
  <c r="H1965" i="2"/>
  <c r="H1941" i="2"/>
  <c r="H1917" i="2"/>
  <c r="H1893" i="2"/>
  <c r="H1869" i="2"/>
  <c r="I1845" i="2"/>
  <c r="I1821" i="2"/>
  <c r="I1797" i="2"/>
  <c r="I1773" i="2"/>
  <c r="I1749" i="2"/>
  <c r="I1725" i="2"/>
  <c r="K1701" i="2"/>
  <c r="K1677" i="2"/>
  <c r="K1653" i="2"/>
  <c r="K1629" i="2"/>
  <c r="H2380" i="2"/>
  <c r="J2356" i="2"/>
  <c r="G2332" i="2"/>
  <c r="H2308" i="2"/>
  <c r="J2284" i="2"/>
  <c r="G2260" i="2"/>
  <c r="G2236" i="2"/>
  <c r="G2212" i="2"/>
  <c r="K1575" i="2"/>
  <c r="K1551" i="2"/>
  <c r="K1527" i="2"/>
  <c r="K1503" i="2"/>
  <c r="K1479" i="2"/>
  <c r="G1455" i="2"/>
  <c r="E1431" i="2"/>
  <c r="K1419" i="2"/>
  <c r="K1395" i="2"/>
  <c r="K1371" i="2"/>
  <c r="K1347" i="2"/>
  <c r="K1323" i="2"/>
  <c r="I1299" i="2"/>
  <c r="G1275" i="2"/>
  <c r="G1251" i="2"/>
  <c r="G1227" i="2"/>
  <c r="G1203" i="2"/>
  <c r="F1179" i="2"/>
  <c r="F1155" i="2"/>
  <c r="K1143" i="2"/>
  <c r="I1516" i="2"/>
  <c r="G1384" i="2"/>
  <c r="F1348" i="2"/>
  <c r="J1312" i="2"/>
  <c r="J1276" i="2"/>
  <c r="J1240" i="2"/>
  <c r="J1204" i="2"/>
  <c r="K1168" i="2"/>
  <c r="K1132" i="2"/>
  <c r="K1096" i="2"/>
  <c r="F1060" i="2"/>
  <c r="F1024" i="2"/>
  <c r="F1610" i="2"/>
  <c r="I2181" i="2"/>
  <c r="F2145" i="2"/>
  <c r="F2109" i="2"/>
  <c r="F2073" i="2"/>
  <c r="F2037" i="2"/>
  <c r="F2001" i="2"/>
  <c r="F1965" i="2"/>
  <c r="F1929" i="2"/>
  <c r="F1893" i="2"/>
  <c r="G1857" i="2"/>
  <c r="G1821" i="2"/>
  <c r="G1785" i="2"/>
  <c r="G1749" i="2"/>
  <c r="I1713" i="2"/>
  <c r="I1677" i="2"/>
  <c r="I1641" i="2"/>
  <c r="F2380" i="2"/>
  <c r="J2344" i="2"/>
  <c r="F2308" i="2"/>
  <c r="H2284" i="2"/>
  <c r="K2260" i="2"/>
  <c r="G2224" i="2"/>
  <c r="G1587" i="2"/>
  <c r="I1563" i="2"/>
  <c r="F1527" i="2"/>
  <c r="H1503" i="2"/>
  <c r="E1467" i="2"/>
  <c r="H1443" i="2"/>
  <c r="I1419" i="2"/>
  <c r="F1395" i="2"/>
  <c r="H1359" i="2"/>
  <c r="J1335" i="2"/>
  <c r="K1311" i="2"/>
  <c r="E1275" i="2"/>
  <c r="H1251" i="2"/>
  <c r="J1227" i="2"/>
  <c r="F1191" i="2"/>
  <c r="G1167" i="2"/>
  <c r="I1143" i="2"/>
  <c r="J1119" i="2"/>
  <c r="I1095" i="2"/>
  <c r="H1071" i="2"/>
  <c r="G1047" i="2"/>
  <c r="E1023" i="2"/>
  <c r="K1011" i="2"/>
  <c r="G1609" i="2"/>
  <c r="K2192" i="2"/>
  <c r="F2168" i="2"/>
  <c r="F2144" i="2"/>
  <c r="F2120" i="2"/>
  <c r="F2096" i="2"/>
  <c r="F2072" i="2"/>
  <c r="F2048" i="2"/>
  <c r="F2024" i="2"/>
  <c r="F2000" i="2"/>
  <c r="F1976" i="2"/>
  <c r="F1952" i="2"/>
  <c r="F1928" i="2"/>
  <c r="F1904" i="2"/>
  <c r="F1880" i="2"/>
  <c r="H1856" i="2"/>
  <c r="H1832" i="2"/>
  <c r="H1808" i="2"/>
  <c r="H1784" i="2"/>
  <c r="H1760" i="2"/>
  <c r="H1736" i="2"/>
  <c r="K1712" i="2"/>
  <c r="K1688" i="2"/>
  <c r="K1664" i="2"/>
  <c r="K1640" i="2"/>
  <c r="H2391" i="2"/>
  <c r="H2367" i="2"/>
  <c r="H2343" i="2"/>
  <c r="H2319" i="2"/>
  <c r="H2295" i="2"/>
  <c r="H2271" i="2"/>
  <c r="G2247" i="2"/>
  <c r="H2223" i="2"/>
  <c r="H1586" i="2"/>
  <c r="H1562" i="2"/>
  <c r="H1538" i="2"/>
  <c r="H1514" i="2"/>
  <c r="H1490" i="2"/>
  <c r="H1466" i="2"/>
  <c r="H1442" i="2"/>
  <c r="H1418" i="2"/>
  <c r="H1394" i="2"/>
  <c r="H1370" i="2"/>
  <c r="H1346" i="2"/>
  <c r="H1322" i="2"/>
  <c r="F1298" i="2"/>
  <c r="F1274" i="2"/>
  <c r="F1250" i="2"/>
  <c r="F1226" i="2"/>
  <c r="F1202" i="2"/>
  <c r="I1178" i="2"/>
  <c r="I1154" i="2"/>
  <c r="I1130" i="2"/>
  <c r="I1106" i="2"/>
  <c r="I1082" i="2"/>
  <c r="G1058" i="2"/>
  <c r="G1034" i="2"/>
  <c r="J1010" i="2"/>
  <c r="H1608" i="2"/>
  <c r="K2191" i="2"/>
  <c r="H2167" i="2"/>
  <c r="H2143" i="2"/>
  <c r="H2119" i="2"/>
  <c r="H2095" i="2"/>
  <c r="H2071" i="2"/>
  <c r="H2047" i="2"/>
  <c r="H2023" i="2"/>
  <c r="H1999" i="2"/>
  <c r="H1975" i="2"/>
  <c r="H1951" i="2"/>
  <c r="J1516" i="2"/>
  <c r="H1384" i="2"/>
  <c r="G1348" i="2"/>
  <c r="K1312" i="2"/>
  <c r="K1276" i="2"/>
  <c r="K1240" i="2"/>
  <c r="K1204" i="2"/>
  <c r="F1168" i="2"/>
  <c r="F1132" i="2"/>
  <c r="F1096" i="2"/>
  <c r="H1060" i="2"/>
  <c r="H1024" i="2"/>
  <c r="G1610" i="2"/>
  <c r="J2181" i="2"/>
  <c r="G2145" i="2"/>
  <c r="G2109" i="2"/>
  <c r="G2073" i="2"/>
  <c r="G2037" i="2"/>
  <c r="G2001" i="2"/>
  <c r="G1965" i="2"/>
  <c r="G1929" i="2"/>
  <c r="G1893" i="2"/>
  <c r="H1857" i="2"/>
  <c r="H1821" i="2"/>
  <c r="H1785" i="2"/>
  <c r="H1749" i="2"/>
  <c r="J1713" i="2"/>
  <c r="J1677" i="2"/>
  <c r="J1641" i="2"/>
  <c r="G2380" i="2"/>
  <c r="F2344" i="2"/>
  <c r="G2308" i="2"/>
  <c r="I2284" i="2"/>
  <c r="J2248" i="2"/>
  <c r="H2224" i="2"/>
  <c r="I1587" i="2"/>
  <c r="J1551" i="2"/>
  <c r="G1527" i="2"/>
  <c r="I1503" i="2"/>
  <c r="J1467" i="2"/>
  <c r="J1443" i="2"/>
  <c r="J1419" i="2"/>
  <c r="G1383" i="2"/>
  <c r="I1359" i="2"/>
  <c r="K1335" i="2"/>
  <c r="F1299" i="2"/>
  <c r="F1275" i="2"/>
  <c r="I1251" i="2"/>
  <c r="K1227" i="2"/>
  <c r="G1191" i="2"/>
  <c r="I1167" i="2"/>
  <c r="J1143" i="2"/>
  <c r="K1119" i="2"/>
  <c r="J1095" i="2"/>
  <c r="I1071" i="2"/>
  <c r="H1047" i="2"/>
  <c r="F1023" i="2"/>
  <c r="I1621" i="2"/>
  <c r="J1597" i="2"/>
  <c r="F2180" i="2"/>
  <c r="G2156" i="2"/>
  <c r="G2132" i="2"/>
  <c r="G2108" i="2"/>
  <c r="G2084" i="2"/>
  <c r="G2060" i="2"/>
  <c r="G2036" i="2"/>
  <c r="G2012" i="2"/>
  <c r="G1988" i="2"/>
  <c r="G1964" i="2"/>
  <c r="G1940" i="2"/>
  <c r="G1916" i="2"/>
  <c r="G1892" i="2"/>
  <c r="G1868" i="2"/>
  <c r="F1844" i="2"/>
  <c r="F1820" i="2"/>
  <c r="F1796" i="2"/>
  <c r="I1492" i="2"/>
  <c r="J1384" i="2"/>
  <c r="H1348" i="2"/>
  <c r="G1312" i="2"/>
  <c r="F1276" i="2"/>
  <c r="G1240" i="2"/>
  <c r="F1204" i="2"/>
  <c r="H1168" i="2"/>
  <c r="I1132" i="2"/>
  <c r="H1096" i="2"/>
  <c r="K1060" i="2"/>
  <c r="G1024" i="2"/>
  <c r="H1610" i="2"/>
  <c r="G2181" i="2"/>
  <c r="H2145" i="2"/>
  <c r="K2109" i="2"/>
  <c r="H2073" i="2"/>
  <c r="K2037" i="2"/>
  <c r="H2001" i="2"/>
  <c r="K1965" i="2"/>
  <c r="H1929" i="2"/>
  <c r="K1893" i="2"/>
  <c r="I1857" i="2"/>
  <c r="K1821" i="2"/>
  <c r="I1785" i="2"/>
  <c r="K1749" i="2"/>
  <c r="K1713" i="2"/>
  <c r="G1677" i="2"/>
  <c r="K1641" i="2"/>
  <c r="I2380" i="2"/>
  <c r="G2344" i="2"/>
  <c r="J2308" i="2"/>
  <c r="K2284" i="2"/>
  <c r="F2248" i="2"/>
  <c r="J2224" i="2"/>
  <c r="E1575" i="2"/>
  <c r="F1551" i="2"/>
  <c r="H1527" i="2"/>
  <c r="J1491" i="2"/>
  <c r="K1467" i="2"/>
  <c r="K1443" i="2"/>
  <c r="F1419" i="2"/>
  <c r="H1383" i="2"/>
  <c r="J1359" i="2"/>
  <c r="F1335" i="2"/>
  <c r="G1299" i="2"/>
  <c r="H1275" i="2"/>
  <c r="J1251" i="2"/>
  <c r="F1215" i="2"/>
  <c r="H1191" i="2"/>
  <c r="J1167" i="2"/>
  <c r="F1131" i="2"/>
  <c r="F1107" i="2"/>
  <c r="K1095" i="2"/>
  <c r="J1071" i="2"/>
  <c r="I1047" i="2"/>
  <c r="G1023" i="2"/>
  <c r="J1621" i="2"/>
  <c r="K1597" i="2"/>
  <c r="G2180" i="2"/>
  <c r="H2156" i="2"/>
  <c r="H2132" i="2"/>
  <c r="H2108" i="2"/>
  <c r="H2084" i="2"/>
  <c r="H2060" i="2"/>
  <c r="H2036" i="2"/>
  <c r="H2012" i="2"/>
  <c r="H1988" i="2"/>
  <c r="H1964" i="2"/>
  <c r="H1940" i="2"/>
  <c r="H1916" i="2"/>
  <c r="H1892" i="2"/>
  <c r="H1868" i="2"/>
  <c r="G1844" i="2"/>
  <c r="G1820" i="2"/>
  <c r="G1796" i="2"/>
  <c r="J1492" i="2"/>
  <c r="E1372" i="2"/>
  <c r="J1348" i="2"/>
  <c r="I1312" i="2"/>
  <c r="I1276" i="2"/>
  <c r="I1240" i="2"/>
  <c r="I1204" i="2"/>
  <c r="J1168" i="2"/>
  <c r="J1132" i="2"/>
  <c r="J1096" i="2"/>
  <c r="J1060" i="2"/>
  <c r="J1024" i="2"/>
  <c r="K1610" i="2"/>
  <c r="H2181" i="2"/>
  <c r="J2145" i="2"/>
  <c r="J2109" i="2"/>
  <c r="J2073" i="2"/>
  <c r="J2037" i="2"/>
  <c r="J2001" i="2"/>
  <c r="J1965" i="2"/>
  <c r="J1929" i="2"/>
  <c r="J1893" i="2"/>
  <c r="F1857" i="2"/>
  <c r="F1821" i="2"/>
  <c r="F1785" i="2"/>
  <c r="F1749" i="2"/>
  <c r="H1713" i="2"/>
  <c r="H1677" i="2"/>
  <c r="H1641" i="2"/>
  <c r="K2380" i="2"/>
  <c r="K2344" i="2"/>
  <c r="I2308" i="2"/>
  <c r="J2272" i="2"/>
  <c r="G2248" i="2"/>
  <c r="K2224" i="2"/>
  <c r="J1575" i="2"/>
  <c r="G1551" i="2"/>
  <c r="I1527" i="2"/>
  <c r="K1491" i="2"/>
  <c r="G1467" i="2"/>
  <c r="F1443" i="2"/>
  <c r="G1407" i="2"/>
  <c r="I1383" i="2"/>
  <c r="K1359" i="2"/>
  <c r="H1323" i="2"/>
  <c r="H1299" i="2"/>
  <c r="I1275" i="2"/>
  <c r="K1251" i="2"/>
  <c r="G1215" i="2"/>
  <c r="J1191" i="2"/>
  <c r="K1167" i="2"/>
  <c r="G1131" i="2"/>
  <c r="G1107" i="2"/>
  <c r="F1083" i="2"/>
  <c r="K1071" i="2"/>
  <c r="J1047" i="2"/>
  <c r="H1023" i="2"/>
  <c r="K1621" i="2"/>
  <c r="F1597" i="2"/>
  <c r="H2180" i="2"/>
  <c r="I2156" i="2"/>
  <c r="I2132" i="2"/>
  <c r="I2108" i="2"/>
  <c r="I2084" i="2"/>
  <c r="I2060" i="2"/>
  <c r="I2036" i="2"/>
  <c r="I2012" i="2"/>
  <c r="I1988" i="2"/>
  <c r="I1964" i="2"/>
  <c r="I1940" i="2"/>
  <c r="I1916" i="2"/>
  <c r="I1892" i="2"/>
  <c r="I1868" i="2"/>
  <c r="I1844" i="2"/>
  <c r="I1820" i="2"/>
  <c r="I1796" i="2"/>
  <c r="I1468" i="2"/>
  <c r="F1372" i="2"/>
  <c r="F1336" i="2"/>
  <c r="J1300" i="2"/>
  <c r="J1264" i="2"/>
  <c r="J1228" i="2"/>
  <c r="K1192" i="2"/>
  <c r="K1156" i="2"/>
  <c r="K1120" i="2"/>
  <c r="K1084" i="2"/>
  <c r="F1048" i="2"/>
  <c r="F1012" i="2"/>
  <c r="F1598" i="2"/>
  <c r="F2169" i="2"/>
  <c r="F2133" i="2"/>
  <c r="F2097" i="2"/>
  <c r="F2061" i="2"/>
  <c r="F2025" i="2"/>
  <c r="F1989" i="2"/>
  <c r="F1953" i="2"/>
  <c r="F1917" i="2"/>
  <c r="F1881" i="2"/>
  <c r="G1845" i="2"/>
  <c r="G1809" i="2"/>
  <c r="G1773" i="2"/>
  <c r="G1737" i="2"/>
  <c r="I1701" i="2"/>
  <c r="I1665" i="2"/>
  <c r="I1629" i="2"/>
  <c r="F2368" i="2"/>
  <c r="J2332" i="2"/>
  <c r="K2308" i="2"/>
  <c r="K2272" i="2"/>
  <c r="H2248" i="2"/>
  <c r="J2212" i="2"/>
  <c r="F1575" i="2"/>
  <c r="H1551" i="2"/>
  <c r="J1515" i="2"/>
  <c r="F1491" i="2"/>
  <c r="H1467" i="2"/>
  <c r="G1431" i="2"/>
  <c r="H1407" i="2"/>
  <c r="J1383" i="2"/>
  <c r="F1359" i="2"/>
  <c r="I1323" i="2"/>
  <c r="J1299" i="2"/>
  <c r="J1275" i="2"/>
  <c r="F1239" i="2"/>
  <c r="H1215" i="2"/>
  <c r="K1191" i="2"/>
  <c r="G1155" i="2"/>
  <c r="H1131" i="2"/>
  <c r="H1107" i="2"/>
  <c r="G1083" i="2"/>
  <c r="E1059" i="2"/>
  <c r="K1047" i="2"/>
  <c r="I1023" i="2"/>
  <c r="F1621" i="2"/>
  <c r="G1597" i="2"/>
  <c r="K2180" i="2"/>
  <c r="J2156" i="2"/>
  <c r="J2132" i="2"/>
  <c r="J2108" i="2"/>
  <c r="J2084" i="2"/>
  <c r="J2060" i="2"/>
  <c r="J2036" i="2"/>
  <c r="J2012" i="2"/>
  <c r="J1988" i="2"/>
  <c r="J1468" i="2"/>
  <c r="G1372" i="2"/>
  <c r="G1336" i="2"/>
  <c r="K1300" i="2"/>
  <c r="K1264" i="2"/>
  <c r="K1228" i="2"/>
  <c r="F1192" i="2"/>
  <c r="F1156" i="2"/>
  <c r="F1120" i="2"/>
  <c r="F1084" i="2"/>
  <c r="H1048" i="2"/>
  <c r="H1012" i="2"/>
  <c r="G1598" i="2"/>
  <c r="G2169" i="2"/>
  <c r="G2133" i="2"/>
  <c r="G2097" i="2"/>
  <c r="G2061" i="2"/>
  <c r="G2025" i="2"/>
  <c r="G1989" i="2"/>
  <c r="G1953" i="2"/>
  <c r="G1917" i="2"/>
  <c r="G1881" i="2"/>
  <c r="H1845" i="2"/>
  <c r="H1809" i="2"/>
  <c r="H1773" i="2"/>
  <c r="H1737" i="2"/>
  <c r="J1701" i="2"/>
  <c r="J1665" i="2"/>
  <c r="J1629" i="2"/>
  <c r="G2368" i="2"/>
  <c r="F2332" i="2"/>
  <c r="F2296" i="2"/>
  <c r="F2272" i="2"/>
  <c r="I2248" i="2"/>
  <c r="F2212" i="2"/>
  <c r="G1575" i="2"/>
  <c r="I1551" i="2"/>
  <c r="K1515" i="2"/>
  <c r="H1491" i="2"/>
  <c r="I1467" i="2"/>
  <c r="H1431" i="2"/>
  <c r="I1407" i="2"/>
  <c r="K1383" i="2"/>
  <c r="H1347" i="2"/>
  <c r="J1323" i="2"/>
  <c r="K1299" i="2"/>
  <c r="K1275" i="2"/>
  <c r="G1239" i="2"/>
  <c r="J1215" i="2"/>
  <c r="E1179" i="2"/>
  <c r="H1155" i="2"/>
  <c r="I1131" i="2"/>
  <c r="I1107" i="2"/>
  <c r="H1083" i="2"/>
  <c r="F1059" i="2"/>
  <c r="E1035" i="2"/>
  <c r="J1023" i="2"/>
  <c r="G1621" i="2"/>
  <c r="H1597" i="2"/>
  <c r="I2180" i="2"/>
  <c r="K2156" i="2"/>
  <c r="K2132" i="2"/>
  <c r="K2108" i="2"/>
  <c r="K2084" i="2"/>
  <c r="K2060" i="2"/>
  <c r="K2036" i="2"/>
  <c r="K2012" i="2"/>
  <c r="K1988" i="2"/>
  <c r="I1444" i="2"/>
  <c r="H1372" i="2"/>
  <c r="K1336" i="2"/>
  <c r="F1300" i="2"/>
  <c r="G1264" i="2"/>
  <c r="F1228" i="2"/>
  <c r="H1192" i="2"/>
  <c r="I1156" i="2"/>
  <c r="H1120" i="2"/>
  <c r="I1084" i="2"/>
  <c r="G1048" i="2"/>
  <c r="K1012" i="2"/>
  <c r="J1598" i="2"/>
  <c r="H2169" i="2"/>
  <c r="K2133" i="2"/>
  <c r="H2097" i="2"/>
  <c r="K2061" i="2"/>
  <c r="H2025" i="2"/>
  <c r="K1989" i="2"/>
  <c r="H1953" i="2"/>
  <c r="K1917" i="2"/>
  <c r="H1881" i="2"/>
  <c r="K1845" i="2"/>
  <c r="I1809" i="2"/>
  <c r="K1773" i="2"/>
  <c r="I1737" i="2"/>
  <c r="G1701" i="2"/>
  <c r="K1665" i="2"/>
  <c r="G1629" i="2"/>
  <c r="H2368" i="2"/>
  <c r="I2332" i="2"/>
  <c r="G2296" i="2"/>
  <c r="G2272" i="2"/>
  <c r="F2236" i="2"/>
  <c r="H2212" i="2"/>
  <c r="H1575" i="2"/>
  <c r="J1539" i="2"/>
  <c r="F1515" i="2"/>
  <c r="I1491" i="2"/>
  <c r="H1455" i="2"/>
  <c r="I1431" i="2"/>
  <c r="J1407" i="2"/>
  <c r="F1383" i="2"/>
  <c r="I1347" i="2"/>
  <c r="F1323" i="2"/>
  <c r="E1287" i="2"/>
  <c r="F1263" i="2"/>
  <c r="H1239" i="2"/>
  <c r="K1215" i="2"/>
  <c r="G1179" i="2"/>
  <c r="I1155" i="2"/>
  <c r="J1131" i="2"/>
  <c r="J1107" i="2"/>
  <c r="I1083" i="2"/>
  <c r="G1059" i="2"/>
  <c r="F1035" i="2"/>
  <c r="K1023" i="2"/>
  <c r="H1621" i="2"/>
  <c r="I1597" i="2"/>
  <c r="J2180" i="2"/>
  <c r="F2156" i="2"/>
  <c r="F2132" i="2"/>
  <c r="F2108" i="2"/>
  <c r="F2084" i="2"/>
  <c r="F2060" i="2"/>
  <c r="F2036" i="2"/>
  <c r="F2012" i="2"/>
  <c r="F1988" i="2"/>
  <c r="F1964" i="2"/>
  <c r="F1940" i="2"/>
  <c r="F1916" i="2"/>
  <c r="F1892" i="2"/>
  <c r="F1868" i="2"/>
  <c r="H1844" i="2"/>
  <c r="H1820" i="2"/>
  <c r="H1796" i="2"/>
  <c r="H1772" i="2"/>
  <c r="H1748" i="2"/>
  <c r="H1724" i="2"/>
  <c r="K1700" i="2"/>
  <c r="K1676" i="2"/>
  <c r="K1652" i="2"/>
  <c r="K1628" i="2"/>
  <c r="H2379" i="2"/>
  <c r="H2355" i="2"/>
  <c r="H2331" i="2"/>
  <c r="H2307" i="2"/>
  <c r="H2283" i="2"/>
  <c r="H2259" i="2"/>
  <c r="H2235" i="2"/>
  <c r="H2211" i="2"/>
  <c r="H1574" i="2"/>
  <c r="H1550" i="2"/>
  <c r="H1526" i="2"/>
  <c r="H1502" i="2"/>
  <c r="H1478" i="2"/>
  <c r="H1454" i="2"/>
  <c r="H1430" i="2"/>
  <c r="H1406" i="2"/>
  <c r="H1382" i="2"/>
  <c r="H1358" i="2"/>
  <c r="H1334" i="2"/>
  <c r="F1310" i="2"/>
  <c r="F1286" i="2"/>
  <c r="F1262" i="2"/>
  <c r="F1238" i="2"/>
  <c r="F1214" i="2"/>
  <c r="I1190" i="2"/>
  <c r="I1166" i="2"/>
  <c r="I1142" i="2"/>
  <c r="I1118" i="2"/>
  <c r="I1094" i="2"/>
  <c r="H1070" i="2"/>
  <c r="G1046" i="2"/>
  <c r="G1022" i="2"/>
  <c r="H1620" i="2"/>
  <c r="H1596" i="2"/>
  <c r="K2179" i="2"/>
  <c r="H2155" i="2"/>
  <c r="H2131" i="2"/>
  <c r="H2107" i="2"/>
  <c r="H2083" i="2"/>
  <c r="H2059" i="2"/>
  <c r="H2035" i="2"/>
  <c r="H2011" i="2"/>
  <c r="H1987" i="2"/>
  <c r="H1963" i="2"/>
  <c r="K1444" i="2"/>
  <c r="J1372" i="2"/>
  <c r="J1336" i="2"/>
  <c r="I1300" i="2"/>
  <c r="I1264" i="2"/>
  <c r="I1228" i="2"/>
  <c r="J1192" i="2"/>
  <c r="J1156" i="2"/>
  <c r="J1120" i="2"/>
  <c r="J1084" i="2"/>
  <c r="J1048" i="2"/>
  <c r="J1012" i="2"/>
  <c r="K1598" i="2"/>
  <c r="J2169" i="2"/>
  <c r="J2133" i="2"/>
  <c r="J2097" i="2"/>
  <c r="J2061" i="2"/>
  <c r="J2025" i="2"/>
  <c r="J1989" i="2"/>
  <c r="J1953" i="2"/>
  <c r="J1917" i="2"/>
  <c r="J1881" i="2"/>
  <c r="F1845" i="2"/>
  <c r="F1809" i="2"/>
  <c r="F1773" i="2"/>
  <c r="F1737" i="2"/>
  <c r="H1701" i="2"/>
  <c r="H1665" i="2"/>
  <c r="H1629" i="2"/>
  <c r="K2368" i="2"/>
  <c r="K2332" i="2"/>
  <c r="H2296" i="2"/>
  <c r="I2272" i="2"/>
  <c r="K2236" i="2"/>
  <c r="I2212" i="2"/>
  <c r="I1575" i="2"/>
  <c r="K1539" i="2"/>
  <c r="H1515" i="2"/>
  <c r="J1479" i="2"/>
  <c r="I1455" i="2"/>
  <c r="J1431" i="2"/>
  <c r="K1407" i="2"/>
  <c r="H1371" i="2"/>
  <c r="J1347" i="2"/>
  <c r="F1311" i="2"/>
  <c r="F1287" i="2"/>
  <c r="G1263" i="2"/>
  <c r="J1239" i="2"/>
  <c r="F1203" i="2"/>
  <c r="H1179" i="2"/>
  <c r="J1155" i="2"/>
  <c r="K1131" i="2"/>
  <c r="K1107" i="2"/>
  <c r="J1083" i="2"/>
  <c r="H1059" i="2"/>
  <c r="G1035" i="2"/>
  <c r="F1011" i="2"/>
  <c r="J1609" i="2"/>
  <c r="F2192" i="2"/>
  <c r="G2168" i="2"/>
  <c r="G2144" i="2"/>
  <c r="G2120" i="2"/>
  <c r="G2096" i="2"/>
  <c r="G2072" i="2"/>
  <c r="G2048" i="2"/>
  <c r="G2024" i="2"/>
  <c r="G2000" i="2"/>
  <c r="G1976" i="2"/>
  <c r="G1952" i="2"/>
  <c r="G1928" i="2"/>
  <c r="G1904" i="2"/>
  <c r="G1880" i="2"/>
  <c r="F1856" i="2"/>
  <c r="F1832" i="2"/>
  <c r="F1808" i="2"/>
  <c r="F1784" i="2"/>
  <c r="F1760" i="2"/>
  <c r="F1736" i="2"/>
  <c r="F1712" i="2"/>
  <c r="F1688" i="2"/>
  <c r="F1664" i="2"/>
  <c r="F1640" i="2"/>
  <c r="I2391" i="2"/>
  <c r="I2367" i="2"/>
  <c r="I2343" i="2"/>
  <c r="I2319" i="2"/>
  <c r="I2295" i="2"/>
  <c r="I2271" i="2"/>
  <c r="I2247" i="2"/>
  <c r="I2223" i="2"/>
  <c r="D1140" i="2"/>
  <c r="I1574" i="2"/>
  <c r="I1550" i="2"/>
  <c r="I1526" i="2"/>
  <c r="I1502" i="2"/>
  <c r="I1478" i="2"/>
  <c r="I1454" i="2"/>
  <c r="I1430" i="2"/>
  <c r="I1406" i="2"/>
  <c r="I1382" i="2"/>
  <c r="I1358" i="2"/>
  <c r="I1334" i="2"/>
  <c r="H1310" i="2"/>
  <c r="H1286" i="2"/>
  <c r="H1262" i="2"/>
  <c r="H1238" i="2"/>
  <c r="H1214" i="2"/>
  <c r="H1190" i="2"/>
  <c r="H1166" i="2"/>
  <c r="H1142" i="2"/>
  <c r="H1118" i="2"/>
  <c r="H1094" i="2"/>
  <c r="G1070" i="2"/>
  <c r="I1046" i="2"/>
  <c r="I1022" i="2"/>
  <c r="I1620" i="2"/>
  <c r="I1596" i="2"/>
  <c r="F2179" i="2"/>
  <c r="I2155" i="2"/>
  <c r="I2131" i="2"/>
  <c r="I2107" i="2"/>
  <c r="I2083" i="2"/>
  <c r="I2059" i="2"/>
  <c r="I2035" i="2"/>
  <c r="I2011" i="2"/>
  <c r="I1987" i="2"/>
  <c r="I1963" i="2"/>
  <c r="I1939" i="2"/>
  <c r="I1915" i="2"/>
  <c r="I1891" i="2"/>
  <c r="I1867" i="2"/>
  <c r="J1843" i="2"/>
  <c r="J1819" i="2"/>
  <c r="J1795" i="2"/>
  <c r="J1771" i="2"/>
  <c r="J1747" i="2"/>
  <c r="F1723" i="2"/>
  <c r="F1699" i="2"/>
  <c r="F1675" i="2"/>
  <c r="F1651" i="2"/>
  <c r="J2402" i="2"/>
  <c r="H2378" i="2"/>
  <c r="H2354" i="2"/>
  <c r="J2330" i="2"/>
  <c r="I2306" i="2"/>
  <c r="G2282" i="2"/>
  <c r="H2258" i="2"/>
  <c r="I2234" i="2"/>
  <c r="H2210" i="2"/>
  <c r="F1573" i="2"/>
  <c r="J1549" i="2"/>
  <c r="I1537" i="2"/>
  <c r="G1513" i="2"/>
  <c r="F1489" i="2"/>
  <c r="J1465" i="2"/>
  <c r="F1453" i="2"/>
  <c r="F1429" i="2"/>
  <c r="J1405" i="2"/>
  <c r="I1381" i="2"/>
  <c r="H1357" i="2"/>
  <c r="E1333" i="2"/>
  <c r="J1321" i="2"/>
  <c r="I1297" i="2"/>
  <c r="H1273" i="2"/>
  <c r="G1249" i="2"/>
  <c r="E1225" i="2"/>
  <c r="K1213" i="2"/>
  <c r="I1189" i="2"/>
  <c r="H1165" i="2"/>
  <c r="I1420" i="2"/>
  <c r="F1360" i="2"/>
  <c r="F1324" i="2"/>
  <c r="J1288" i="2"/>
  <c r="J1252" i="2"/>
  <c r="J1216" i="2"/>
  <c r="K1180" i="2"/>
  <c r="K1144" i="2"/>
  <c r="K1108" i="2"/>
  <c r="K1072" i="2"/>
  <c r="F1036" i="2"/>
  <c r="F1622" i="2"/>
  <c r="I2193" i="2"/>
  <c r="F2157" i="2"/>
  <c r="F2121" i="2"/>
  <c r="F2085" i="2"/>
  <c r="F2049" i="2"/>
  <c r="F2013" i="2"/>
  <c r="F1977" i="2"/>
  <c r="F1941" i="2"/>
  <c r="F1905" i="2"/>
  <c r="F1869" i="2"/>
  <c r="G1833" i="2"/>
  <c r="G1797" i="2"/>
  <c r="G1761" i="2"/>
  <c r="G1725" i="2"/>
  <c r="I1689" i="2"/>
  <c r="I1653" i="2"/>
  <c r="F2392" i="2"/>
  <c r="F2356" i="2"/>
  <c r="F2320" i="2"/>
  <c r="I2296" i="2"/>
  <c r="J2260" i="2"/>
  <c r="H2236" i="2"/>
  <c r="K2212" i="2"/>
  <c r="J1563" i="2"/>
  <c r="F1539" i="2"/>
  <c r="I1515" i="2"/>
  <c r="F1479" i="2"/>
  <c r="J1455" i="2"/>
  <c r="K1431" i="2"/>
  <c r="F1407" i="2"/>
  <c r="I1371" i="2"/>
  <c r="F1347" i="2"/>
  <c r="G1311" i="2"/>
  <c r="G1287" i="2"/>
  <c r="H1263" i="2"/>
  <c r="K1239" i="2"/>
  <c r="H1203" i="2"/>
  <c r="I1179" i="2"/>
  <c r="K1155" i="2"/>
  <c r="F1119" i="2"/>
  <c r="E1095" i="2"/>
  <c r="K1083" i="2"/>
  <c r="I1059" i="2"/>
  <c r="H1035" i="2"/>
  <c r="G1011" i="2"/>
  <c r="H1609" i="2"/>
  <c r="G2192" i="2"/>
  <c r="H2168" i="2"/>
  <c r="H2144" i="2"/>
  <c r="H2120" i="2"/>
  <c r="H2096" i="2"/>
  <c r="H2072" i="2"/>
  <c r="H2048" i="2"/>
  <c r="H2024" i="2"/>
  <c r="H2000" i="2"/>
  <c r="H1976" i="2"/>
  <c r="H1952" i="2"/>
  <c r="H1928" i="2"/>
  <c r="H1904" i="2"/>
  <c r="H1880" i="2"/>
  <c r="G1856" i="2"/>
  <c r="G1832" i="2"/>
  <c r="G1808" i="2"/>
  <c r="K1420" i="2"/>
  <c r="G1360" i="2"/>
  <c r="G1324" i="2"/>
  <c r="K1288" i="2"/>
  <c r="K1252" i="2"/>
  <c r="K1216" i="2"/>
  <c r="F1180" i="2"/>
  <c r="F1144" i="2"/>
  <c r="F1108" i="2"/>
  <c r="F1072" i="2"/>
  <c r="H1036" i="2"/>
  <c r="G1622" i="2"/>
  <c r="J2193" i="2"/>
  <c r="G2157" i="2"/>
  <c r="G2121" i="2"/>
  <c r="G2085" i="2"/>
  <c r="G2049" i="2"/>
  <c r="G2013" i="2"/>
  <c r="G1977" i="2"/>
  <c r="G1941" i="2"/>
  <c r="G1905" i="2"/>
  <c r="G1869" i="2"/>
  <c r="H1833" i="2"/>
  <c r="H1797" i="2"/>
  <c r="H1761" i="2"/>
  <c r="H1725" i="2"/>
  <c r="J1689" i="2"/>
  <c r="J1653" i="2"/>
  <c r="J2392" i="2"/>
  <c r="G2356" i="2"/>
  <c r="G2320" i="2"/>
  <c r="K2296" i="2"/>
  <c r="F2260" i="2"/>
  <c r="J2236" i="2"/>
  <c r="J1587" i="2"/>
  <c r="K1563" i="2"/>
  <c r="H1539" i="2"/>
  <c r="J1503" i="2"/>
  <c r="G1479" i="2"/>
  <c r="K1455" i="2"/>
  <c r="F1431" i="2"/>
  <c r="H1395" i="2"/>
  <c r="J1371" i="2"/>
  <c r="G1335" i="2"/>
  <c r="H1311" i="2"/>
  <c r="H1287" i="2"/>
  <c r="J1263" i="2"/>
  <c r="F1227" i="2"/>
  <c r="I1203" i="2"/>
  <c r="J1179" i="2"/>
  <c r="E1143" i="2"/>
  <c r="G1119" i="2"/>
  <c r="F1095" i="2"/>
  <c r="E1071" i="2"/>
  <c r="J1059" i="2"/>
  <c r="I1035" i="2"/>
  <c r="H1011" i="2"/>
  <c r="I1609" i="2"/>
  <c r="H2192" i="2"/>
  <c r="I2168" i="2"/>
  <c r="I2144" i="2"/>
  <c r="I2120" i="2"/>
  <c r="I2096" i="2"/>
  <c r="I2072" i="2"/>
  <c r="I2048" i="2"/>
  <c r="I2024" i="2"/>
  <c r="I2000" i="2"/>
  <c r="I1976" i="2"/>
  <c r="I1952" i="2"/>
  <c r="I1928" i="2"/>
  <c r="I1904" i="2"/>
  <c r="I1880" i="2"/>
  <c r="I1856" i="2"/>
  <c r="I1832" i="2"/>
  <c r="I1808" i="2"/>
  <c r="H1396" i="2"/>
  <c r="K1360" i="2"/>
  <c r="H1324" i="2"/>
  <c r="G1288" i="2"/>
  <c r="F1252" i="2"/>
  <c r="G1216" i="2"/>
  <c r="I1180" i="2"/>
  <c r="H1144" i="2"/>
  <c r="I1108" i="2"/>
  <c r="H1072" i="2"/>
  <c r="K1036" i="2"/>
  <c r="J1622" i="2"/>
  <c r="K2193" i="2"/>
  <c r="K2157" i="2"/>
  <c r="H2121" i="2"/>
  <c r="K2085" i="2"/>
  <c r="H2049" i="2"/>
  <c r="K2013" i="2"/>
  <c r="H1977" i="2"/>
  <c r="K1941" i="2"/>
  <c r="H1905" i="2"/>
  <c r="K1869" i="2"/>
  <c r="I1833" i="2"/>
  <c r="K1797" i="2"/>
  <c r="I1761" i="2"/>
  <c r="K1725" i="2"/>
  <c r="K1689" i="2"/>
  <c r="G1653" i="2"/>
  <c r="G2392" i="2"/>
  <c r="I2356" i="2"/>
  <c r="H2320" i="2"/>
  <c r="F2284" i="2"/>
  <c r="H2260" i="2"/>
  <c r="I2236" i="2"/>
  <c r="K1587" i="2"/>
  <c r="F1563" i="2"/>
  <c r="I1539" i="2"/>
  <c r="F1503" i="2"/>
  <c r="H1479" i="2"/>
  <c r="F1455" i="2"/>
  <c r="E1419" i="2"/>
  <c r="I1395" i="2"/>
  <c r="F1371" i="2"/>
  <c r="H1335" i="2"/>
  <c r="I1311" i="2"/>
  <c r="I1287" i="2"/>
  <c r="K1263" i="2"/>
  <c r="H1227" i="2"/>
  <c r="J1203" i="2"/>
  <c r="K1179" i="2"/>
  <c r="F1143" i="2"/>
  <c r="H1119" i="2"/>
  <c r="G1095" i="2"/>
  <c r="G1071" i="2"/>
  <c r="K1059" i="2"/>
  <c r="J1035" i="2"/>
  <c r="I1011" i="2"/>
  <c r="K1609" i="2"/>
  <c r="I2192" i="2"/>
  <c r="J2168" i="2"/>
  <c r="J2144" i="2"/>
  <c r="J2120" i="2"/>
  <c r="J2096" i="2"/>
  <c r="J2072" i="2"/>
  <c r="J2048" i="2"/>
  <c r="J2024" i="2"/>
  <c r="J2000" i="2"/>
  <c r="J1976" i="2"/>
  <c r="J1952" i="2"/>
  <c r="J1928" i="2"/>
  <c r="J1904" i="2"/>
  <c r="J1880" i="2"/>
  <c r="J1856" i="2"/>
  <c r="J1832" i="2"/>
  <c r="J1808" i="2"/>
  <c r="I1396" i="2"/>
  <c r="J1360" i="2"/>
  <c r="J1324" i="2"/>
  <c r="I1288" i="2"/>
  <c r="I1252" i="2"/>
  <c r="I1216" i="2"/>
  <c r="J1180" i="2"/>
  <c r="J1144" i="2"/>
  <c r="J1108" i="2"/>
  <c r="J1072" i="2"/>
  <c r="J1036" i="2"/>
  <c r="K1622" i="2"/>
  <c r="H2193" i="2"/>
  <c r="J2157" i="2"/>
  <c r="J2121" i="2"/>
  <c r="J2085" i="2"/>
  <c r="J2049" i="2"/>
  <c r="J2013" i="2"/>
  <c r="J1977" i="2"/>
  <c r="J1941" i="2"/>
  <c r="J1905" i="2"/>
  <c r="J1869" i="2"/>
  <c r="F1833" i="2"/>
  <c r="F1797" i="2"/>
  <c r="F1761" i="2"/>
  <c r="F1725" i="2"/>
  <c r="H1689" i="2"/>
  <c r="H1653" i="2"/>
  <c r="K2392" i="2"/>
  <c r="K2356" i="2"/>
  <c r="K2320" i="2"/>
  <c r="G2284" i="2"/>
  <c r="I2260" i="2"/>
  <c r="F2224" i="2"/>
  <c r="F1587" i="2"/>
  <c r="H1563" i="2"/>
  <c r="J1527" i="2"/>
  <c r="G1503" i="2"/>
  <c r="I1479" i="2"/>
  <c r="G1443" i="2"/>
  <c r="H1419" i="2"/>
  <c r="J1395" i="2"/>
  <c r="G1359" i="2"/>
  <c r="I1335" i="2"/>
  <c r="J1311" i="2"/>
  <c r="K1287" i="2"/>
  <c r="F1251" i="2"/>
  <c r="I1227" i="2"/>
  <c r="K1203" i="2"/>
  <c r="F1167" i="2"/>
  <c r="H1143" i="2"/>
  <c r="I1119" i="2"/>
  <c r="H1095" i="2"/>
  <c r="F1071" i="2"/>
  <c r="F1047" i="2"/>
  <c r="K1035" i="2"/>
  <c r="J1011" i="2"/>
  <c r="F1609" i="2"/>
  <c r="J2192" i="2"/>
  <c r="K2168" i="2"/>
  <c r="K2144" i="2"/>
  <c r="K2120" i="2"/>
  <c r="K2096" i="2"/>
  <c r="K2072" i="2"/>
  <c r="K2048" i="2"/>
  <c r="K2024" i="2"/>
  <c r="K2000" i="2"/>
  <c r="K1976" i="2"/>
  <c r="K1952" i="2"/>
  <c r="K1928" i="2"/>
  <c r="K1904" i="2"/>
  <c r="K1880" i="2"/>
  <c r="K1856" i="2"/>
  <c r="K1832" i="2"/>
  <c r="K1808" i="2"/>
  <c r="K1784" i="2"/>
  <c r="K1760" i="2"/>
  <c r="K1736" i="2"/>
  <c r="J1712" i="2"/>
  <c r="J1688" i="2"/>
  <c r="J1664" i="2"/>
  <c r="J1640" i="2"/>
  <c r="G2391" i="2"/>
  <c r="G2367" i="2"/>
  <c r="G2343" i="2"/>
  <c r="G2319" i="2"/>
  <c r="G2295" i="2"/>
  <c r="F2271" i="2"/>
  <c r="F2247" i="2"/>
  <c r="G2223" i="2"/>
  <c r="G1586" i="2"/>
  <c r="G1562" i="2"/>
  <c r="G1538" i="2"/>
  <c r="G1514" i="2"/>
  <c r="G1490" i="2"/>
  <c r="G1466" i="2"/>
  <c r="G1442" i="2"/>
  <c r="G1418" i="2"/>
  <c r="G1394" i="2"/>
  <c r="G1370" i="2"/>
  <c r="G1346" i="2"/>
  <c r="G1322" i="2"/>
  <c r="K1298" i="2"/>
  <c r="K1274" i="2"/>
  <c r="K1250" i="2"/>
  <c r="K1226" i="2"/>
  <c r="K1202" i="2"/>
  <c r="F1178" i="2"/>
  <c r="F1154" i="2"/>
  <c r="F1130" i="2"/>
  <c r="F1106" i="2"/>
  <c r="F1082" i="2"/>
  <c r="H1058" i="2"/>
  <c r="H1034" i="2"/>
  <c r="H1010" i="2"/>
  <c r="G1608" i="2"/>
  <c r="J2191" i="2"/>
  <c r="G2167" i="2"/>
  <c r="G2143" i="2"/>
  <c r="G2119" i="2"/>
  <c r="G2095" i="2"/>
  <c r="G2071" i="2"/>
  <c r="G2047" i="2"/>
  <c r="G2023" i="2"/>
  <c r="G1999" i="2"/>
  <c r="G1975" i="2"/>
  <c r="G1951" i="2"/>
  <c r="G1927" i="2"/>
  <c r="G1903" i="2"/>
  <c r="G1879" i="2"/>
  <c r="H1855" i="2"/>
  <c r="H1831" i="2"/>
  <c r="H1807" i="2"/>
  <c r="H1783" i="2"/>
  <c r="H1759" i="2"/>
  <c r="H1735" i="2"/>
  <c r="J1711" i="2"/>
  <c r="J1687" i="2"/>
  <c r="J1663" i="2"/>
  <c r="J1639" i="2"/>
  <c r="G2390" i="2"/>
  <c r="F2366" i="2"/>
  <c r="G2342" i="2"/>
  <c r="G2318" i="2"/>
  <c r="F2294" i="2"/>
  <c r="F2270" i="2"/>
  <c r="F2246" i="2"/>
  <c r="F2222" i="2"/>
  <c r="J1585" i="2"/>
  <c r="E1561" i="2"/>
  <c r="H1549" i="2"/>
  <c r="F1525" i="2"/>
  <c r="K1501" i="2"/>
  <c r="E1477" i="2"/>
  <c r="H1465" i="2"/>
  <c r="J1441" i="2"/>
  <c r="I1417" i="2"/>
  <c r="H1393" i="2"/>
  <c r="E1369" i="2"/>
  <c r="F1357" i="2"/>
  <c r="J1333" i="2"/>
  <c r="G1309" i="2"/>
  <c r="G1285" i="2"/>
  <c r="E1261" i="2"/>
  <c r="K1249" i="2"/>
  <c r="I1225" i="2"/>
  <c r="H1201" i="2"/>
  <c r="G1177" i="2"/>
  <c r="J1964" i="2"/>
  <c r="J1820" i="2"/>
  <c r="G1760" i="2"/>
  <c r="G1724" i="2"/>
  <c r="G1688" i="2"/>
  <c r="G1652" i="2"/>
  <c r="J2391" i="2"/>
  <c r="J2355" i="2"/>
  <c r="J2319" i="2"/>
  <c r="J2283" i="2"/>
  <c r="J2247" i="2"/>
  <c r="J2211" i="2"/>
  <c r="J1574" i="2"/>
  <c r="J1538" i="2"/>
  <c r="J1502" i="2"/>
  <c r="J1466" i="2"/>
  <c r="K1430" i="2"/>
  <c r="K1394" i="2"/>
  <c r="K1358" i="2"/>
  <c r="K1322" i="2"/>
  <c r="G1286" i="2"/>
  <c r="G1250" i="2"/>
  <c r="G1214" i="2"/>
  <c r="H1178" i="2"/>
  <c r="G1142" i="2"/>
  <c r="H1106" i="2"/>
  <c r="F1070" i="2"/>
  <c r="J1034" i="2"/>
  <c r="J1620" i="2"/>
  <c r="G2191" i="2"/>
  <c r="K2155" i="2"/>
  <c r="K2119" i="2"/>
  <c r="K2083" i="2"/>
  <c r="K2047" i="2"/>
  <c r="K2011" i="2"/>
  <c r="K1975" i="2"/>
  <c r="H1939" i="2"/>
  <c r="J1915" i="2"/>
  <c r="H1879" i="2"/>
  <c r="K1855" i="2"/>
  <c r="G1819" i="2"/>
  <c r="I1795" i="2"/>
  <c r="F1771" i="2"/>
  <c r="I1735" i="2"/>
  <c r="G1711" i="2"/>
  <c r="I1675" i="2"/>
  <c r="K1651" i="2"/>
  <c r="K2402" i="2"/>
  <c r="G2366" i="2"/>
  <c r="J2342" i="2"/>
  <c r="F2306" i="2"/>
  <c r="F2282" i="2"/>
  <c r="J2258" i="2"/>
  <c r="G2222" i="2"/>
  <c r="G1585" i="2"/>
  <c r="H1561" i="2"/>
  <c r="H1537" i="2"/>
  <c r="I1513" i="2"/>
  <c r="J1477" i="2"/>
  <c r="G1453" i="2"/>
  <c r="I1429" i="2"/>
  <c r="I1405" i="2"/>
  <c r="K1381" i="2"/>
  <c r="E1345" i="2"/>
  <c r="D1321" i="2"/>
  <c r="F1297" i="2"/>
  <c r="G1273" i="2"/>
  <c r="I1249" i="2"/>
  <c r="J1225" i="2"/>
  <c r="K1201" i="2"/>
  <c r="E1165" i="2"/>
  <c r="F1141" i="2"/>
  <c r="K1129" i="2"/>
  <c r="J1105" i="2"/>
  <c r="H1081" i="2"/>
  <c r="G1057" i="2"/>
  <c r="F1033" i="2"/>
  <c r="K1021" i="2"/>
  <c r="H1619" i="2"/>
  <c r="K2202" i="2"/>
  <c r="J2178" i="2"/>
  <c r="F2154" i="2"/>
  <c r="F2130" i="2"/>
  <c r="F2106" i="2"/>
  <c r="F2082" i="2"/>
  <c r="F2058" i="2"/>
  <c r="F2034" i="2"/>
  <c r="F2010" i="2"/>
  <c r="F1986" i="2"/>
  <c r="F1962" i="2"/>
  <c r="F1938" i="2"/>
  <c r="F1914" i="2"/>
  <c r="F1890" i="2"/>
  <c r="K1866" i="2"/>
  <c r="H1842" i="2"/>
  <c r="H1818" i="2"/>
  <c r="H1794" i="2"/>
  <c r="H1770" i="2"/>
  <c r="H1746" i="2"/>
  <c r="K1722" i="2"/>
  <c r="K1698" i="2"/>
  <c r="K1674" i="2"/>
  <c r="K1650" i="2"/>
  <c r="G2401" i="2"/>
  <c r="H2377" i="2"/>
  <c r="H2353" i="2"/>
  <c r="H2329" i="2"/>
  <c r="H2305" i="2"/>
  <c r="G2281" i="2"/>
  <c r="H2257" i="2"/>
  <c r="H2233" i="2"/>
  <c r="H2209" i="2"/>
  <c r="D1160" i="2"/>
  <c r="E1957" i="2"/>
  <c r="E2089" i="2"/>
  <c r="D1184" i="2"/>
  <c r="D2017" i="2"/>
  <c r="D1316" i="2"/>
  <c r="D2185" i="2"/>
  <c r="D1092" i="2"/>
  <c r="E1380" i="2"/>
  <c r="D1344" i="2"/>
  <c r="D1270" i="2"/>
  <c r="E1318" i="2"/>
  <c r="E1138" i="2"/>
  <c r="E1354" i="2"/>
  <c r="E2136" i="2"/>
  <c r="E1836" i="2"/>
  <c r="E1968" i="2"/>
  <c r="E1231" i="2"/>
  <c r="D1740" i="2"/>
  <c r="D1884" i="2"/>
  <c r="D1930" i="2"/>
  <c r="N1554" i="2"/>
  <c r="M1506" i="2"/>
  <c r="M1458" i="2"/>
  <c r="M1410" i="2"/>
  <c r="M1362" i="2"/>
  <c r="N1314" i="2"/>
  <c r="L1266" i="2"/>
  <c r="L1218" i="2"/>
  <c r="L1170" i="2"/>
  <c r="L1122" i="2"/>
  <c r="L1074" i="2"/>
  <c r="N1026" i="2"/>
  <c r="N1600" i="2"/>
  <c r="M2159" i="2"/>
  <c r="M2111" i="2"/>
  <c r="M2063" i="2"/>
  <c r="M2015" i="2"/>
  <c r="M1967" i="2"/>
  <c r="N1919" i="2"/>
  <c r="N1871" i="2"/>
  <c r="M1823" i="2"/>
  <c r="M1775" i="2"/>
  <c r="M1727" i="2"/>
  <c r="N1679" i="2"/>
  <c r="K1964" i="2"/>
  <c r="K1820" i="2"/>
  <c r="I1760" i="2"/>
  <c r="I1724" i="2"/>
  <c r="H1688" i="2"/>
  <c r="H1652" i="2"/>
  <c r="K2391" i="2"/>
  <c r="K2355" i="2"/>
  <c r="K2319" i="2"/>
  <c r="K2283" i="2"/>
  <c r="K2247" i="2"/>
  <c r="K2211" i="2"/>
  <c r="K1574" i="2"/>
  <c r="K1538" i="2"/>
  <c r="K1502" i="2"/>
  <c r="K1466" i="2"/>
  <c r="J1430" i="2"/>
  <c r="J1394" i="2"/>
  <c r="J1358" i="2"/>
  <c r="J1322" i="2"/>
  <c r="I1286" i="2"/>
  <c r="I1250" i="2"/>
  <c r="I1214" i="2"/>
  <c r="J1178" i="2"/>
  <c r="J1142" i="2"/>
  <c r="J1106" i="2"/>
  <c r="I1070" i="2"/>
  <c r="K1034" i="2"/>
  <c r="K1620" i="2"/>
  <c r="H2191" i="2"/>
  <c r="J2155" i="2"/>
  <c r="J2119" i="2"/>
  <c r="J2083" i="2"/>
  <c r="J2047" i="2"/>
  <c r="J2011" i="2"/>
  <c r="J1975" i="2"/>
  <c r="K1939" i="2"/>
  <c r="F1903" i="2"/>
  <c r="I1879" i="2"/>
  <c r="F1855" i="2"/>
  <c r="H1819" i="2"/>
  <c r="K1795" i="2"/>
  <c r="G1759" i="2"/>
  <c r="J1735" i="2"/>
  <c r="H1711" i="2"/>
  <c r="J1675" i="2"/>
  <c r="G1651" i="2"/>
  <c r="F2390" i="2"/>
  <c r="H2366" i="2"/>
  <c r="K2342" i="2"/>
  <c r="G2306" i="2"/>
  <c r="H2282" i="2"/>
  <c r="K2246" i="2"/>
  <c r="H2222" i="2"/>
  <c r="H1585" i="2"/>
  <c r="I1561" i="2"/>
  <c r="E1525" i="2"/>
  <c r="J1501" i="2"/>
  <c r="K1477" i="2"/>
  <c r="H1453" i="2"/>
  <c r="J1429" i="2"/>
  <c r="K1405" i="2"/>
  <c r="F1381" i="2"/>
  <c r="G1345" i="2"/>
  <c r="F1321" i="2"/>
  <c r="G1297" i="2"/>
  <c r="I1273" i="2"/>
  <c r="J1249" i="2"/>
  <c r="K1225" i="2"/>
  <c r="E1189" i="2"/>
  <c r="F1165" i="2"/>
  <c r="G1141" i="2"/>
  <c r="E1117" i="2"/>
  <c r="K1105" i="2"/>
  <c r="I1081" i="2"/>
  <c r="H1057" i="2"/>
  <c r="G1033" i="2"/>
  <c r="F1009" i="2"/>
  <c r="J1607" i="2"/>
  <c r="J2190" i="2"/>
  <c r="G2166" i="2"/>
  <c r="G2142" i="2"/>
  <c r="G2118" i="2"/>
  <c r="G2094" i="2"/>
  <c r="G2070" i="2"/>
  <c r="G2046" i="2"/>
  <c r="G2022" i="2"/>
  <c r="G1998" i="2"/>
  <c r="G1974" i="2"/>
  <c r="G1950" i="2"/>
  <c r="G1926" i="2"/>
  <c r="G1902" i="2"/>
  <c r="G1878" i="2"/>
  <c r="F1854" i="2"/>
  <c r="F1830" i="2"/>
  <c r="F1806" i="2"/>
  <c r="F1782" i="2"/>
  <c r="F1758" i="2"/>
  <c r="F1734" i="2"/>
  <c r="F1710" i="2"/>
  <c r="F1686" i="2"/>
  <c r="F1662" i="2"/>
  <c r="F1638" i="2"/>
  <c r="I2389" i="2"/>
  <c r="I2365" i="2"/>
  <c r="I2341" i="2"/>
  <c r="I2317" i="2"/>
  <c r="I2293" i="2"/>
  <c r="I2269" i="2"/>
  <c r="I2245" i="2"/>
  <c r="I2221" i="2"/>
  <c r="D1200" i="2"/>
  <c r="E1464" i="2"/>
  <c r="E1813" i="2"/>
  <c r="D1909" i="2"/>
  <c r="D1212" i="2"/>
  <c r="D1925" i="2"/>
  <c r="D1136" i="2"/>
  <c r="D1805" i="2"/>
  <c r="D1356" i="2"/>
  <c r="E1558" i="2"/>
  <c r="D1556" i="2"/>
  <c r="D1570" i="2"/>
  <c r="D1150" i="2"/>
  <c r="D1222" i="2"/>
  <c r="E1210" i="2"/>
  <c r="E1992" i="2"/>
  <c r="E1135" i="2"/>
  <c r="E1824" i="2"/>
  <c r="E1087" i="2"/>
  <c r="D1613" i="2"/>
  <c r="D2184" i="2"/>
  <c r="L1590" i="2"/>
  <c r="N1542" i="2"/>
  <c r="N1494" i="2"/>
  <c r="N1446" i="2"/>
  <c r="N1398" i="2"/>
  <c r="N1350" i="2"/>
  <c r="L1302" i="2"/>
  <c r="M1254" i="2"/>
  <c r="M1206" i="2"/>
  <c r="M1158" i="2"/>
  <c r="M1110" i="2"/>
  <c r="L1062" i="2"/>
  <c r="L1014" i="2"/>
  <c r="M2195" i="2"/>
  <c r="L2147" i="2"/>
  <c r="L2099" i="2"/>
  <c r="L2051" i="2"/>
  <c r="L2003" i="2"/>
  <c r="L1955" i="2"/>
  <c r="L1907" i="2"/>
  <c r="N1859" i="2"/>
  <c r="N1811" i="2"/>
  <c r="N1763" i="2"/>
  <c r="N1715" i="2"/>
  <c r="J1940" i="2"/>
  <c r="J1796" i="2"/>
  <c r="J1760" i="2"/>
  <c r="J1724" i="2"/>
  <c r="I1688" i="2"/>
  <c r="I1652" i="2"/>
  <c r="F2391" i="2"/>
  <c r="F2355" i="2"/>
  <c r="F2319" i="2"/>
  <c r="F2283" i="2"/>
  <c r="H2247" i="2"/>
  <c r="F2211" i="2"/>
  <c r="F1562" i="2"/>
  <c r="F1526" i="2"/>
  <c r="F1490" i="2"/>
  <c r="F1454" i="2"/>
  <c r="F1418" i="2"/>
  <c r="F1382" i="2"/>
  <c r="F1346" i="2"/>
  <c r="J1310" i="2"/>
  <c r="J1274" i="2"/>
  <c r="J1238" i="2"/>
  <c r="J1202" i="2"/>
  <c r="K1166" i="2"/>
  <c r="K1130" i="2"/>
  <c r="K1094" i="2"/>
  <c r="F1058" i="2"/>
  <c r="F1022" i="2"/>
  <c r="F1608" i="2"/>
  <c r="I2179" i="2"/>
  <c r="F2143" i="2"/>
  <c r="F2107" i="2"/>
  <c r="F2071" i="2"/>
  <c r="F2035" i="2"/>
  <c r="F1999" i="2"/>
  <c r="F1963" i="2"/>
  <c r="J1939" i="2"/>
  <c r="H1903" i="2"/>
  <c r="K1879" i="2"/>
  <c r="G1843" i="2"/>
  <c r="I1819" i="2"/>
  <c r="F1795" i="2"/>
  <c r="I1759" i="2"/>
  <c r="K1735" i="2"/>
  <c r="I1699" i="2"/>
  <c r="K1675" i="2"/>
  <c r="H1651" i="2"/>
  <c r="H2390" i="2"/>
  <c r="I2366" i="2"/>
  <c r="F2330" i="2"/>
  <c r="H2306" i="2"/>
  <c r="I2282" i="2"/>
  <c r="G2246" i="2"/>
  <c r="I2222" i="2"/>
  <c r="I1585" i="2"/>
  <c r="E1549" i="2"/>
  <c r="J1525" i="2"/>
  <c r="F1501" i="2"/>
  <c r="F1477" i="2"/>
  <c r="I1453" i="2"/>
  <c r="K1429" i="2"/>
  <c r="F1405" i="2"/>
  <c r="G1369" i="2"/>
  <c r="H1345" i="2"/>
  <c r="H1321" i="2"/>
  <c r="H1297" i="2"/>
  <c r="J1273" i="2"/>
  <c r="E1237" i="2"/>
  <c r="F1213" i="2"/>
  <c r="F1189" i="2"/>
  <c r="G1165" i="2"/>
  <c r="H1141" i="2"/>
  <c r="F1117" i="2"/>
  <c r="E1093" i="2"/>
  <c r="J1081" i="2"/>
  <c r="I1057" i="2"/>
  <c r="H1033" i="2"/>
  <c r="G1009" i="2"/>
  <c r="K1607" i="2"/>
  <c r="F2190" i="2"/>
  <c r="H2166" i="2"/>
  <c r="H2142" i="2"/>
  <c r="H2118" i="2"/>
  <c r="H2094" i="2"/>
  <c r="H2070" i="2"/>
  <c r="H2046" i="2"/>
  <c r="H2022" i="2"/>
  <c r="H1998" i="2"/>
  <c r="H1974" i="2"/>
  <c r="H1950" i="2"/>
  <c r="H1926" i="2"/>
  <c r="H1902" i="2"/>
  <c r="H1878" i="2"/>
  <c r="G1854" i="2"/>
  <c r="G1830" i="2"/>
  <c r="G1806" i="2"/>
  <c r="G1782" i="2"/>
  <c r="G1758" i="2"/>
  <c r="G1734" i="2"/>
  <c r="G1710" i="2"/>
  <c r="G1686" i="2"/>
  <c r="G1662" i="2"/>
  <c r="G1638" i="2"/>
  <c r="J2389" i="2"/>
  <c r="J2365" i="2"/>
  <c r="J2341" i="2"/>
  <c r="J2317" i="2"/>
  <c r="J2293" i="2"/>
  <c r="J2269" i="2"/>
  <c r="J2245" i="2"/>
  <c r="J2221" i="2"/>
  <c r="D2149" i="2"/>
  <c r="E1320" i="2"/>
  <c r="E1669" i="2"/>
  <c r="D1292" i="2"/>
  <c r="D1424" i="2"/>
  <c r="D1236" i="2"/>
  <c r="D1056" i="2"/>
  <c r="E1404" i="2"/>
  <c r="E1392" i="2"/>
  <c r="E1729" i="2"/>
  <c r="D1993" i="2"/>
  <c r="D1486" i="2"/>
  <c r="D1366" i="2"/>
  <c r="D1186" i="2"/>
  <c r="E1085" i="2"/>
  <c r="E1848" i="2"/>
  <c r="K1940" i="2"/>
  <c r="K1796" i="2"/>
  <c r="F1748" i="2"/>
  <c r="K1724" i="2"/>
  <c r="F1676" i="2"/>
  <c r="J1652" i="2"/>
  <c r="I2379" i="2"/>
  <c r="G2355" i="2"/>
  <c r="I2307" i="2"/>
  <c r="G2283" i="2"/>
  <c r="I2235" i="2"/>
  <c r="G2211" i="2"/>
  <c r="I1562" i="2"/>
  <c r="G1526" i="2"/>
  <c r="I1490" i="2"/>
  <c r="G1454" i="2"/>
  <c r="I1418" i="2"/>
  <c r="G1382" i="2"/>
  <c r="I1346" i="2"/>
  <c r="K1310" i="2"/>
  <c r="H1274" i="2"/>
  <c r="K1238" i="2"/>
  <c r="H1202" i="2"/>
  <c r="F1166" i="2"/>
  <c r="G1130" i="2"/>
  <c r="F1094" i="2"/>
  <c r="I1058" i="2"/>
  <c r="H1022" i="2"/>
  <c r="I1608" i="2"/>
  <c r="J2179" i="2"/>
  <c r="I2143" i="2"/>
  <c r="G2107" i="2"/>
  <c r="I2071" i="2"/>
  <c r="G2035" i="2"/>
  <c r="I1999" i="2"/>
  <c r="G1963" i="2"/>
  <c r="F1927" i="2"/>
  <c r="I1903" i="2"/>
  <c r="J1879" i="2"/>
  <c r="H1843" i="2"/>
  <c r="K1819" i="2"/>
  <c r="G1783" i="2"/>
  <c r="J1759" i="2"/>
  <c r="F1735" i="2"/>
  <c r="J1699" i="2"/>
  <c r="G1675" i="2"/>
  <c r="I1639" i="2"/>
  <c r="J2390" i="2"/>
  <c r="K2366" i="2"/>
  <c r="G2330" i="2"/>
  <c r="J2306" i="2"/>
  <c r="J2270" i="2"/>
  <c r="H2246" i="2"/>
  <c r="K2222" i="2"/>
  <c r="J1573" i="2"/>
  <c r="K1549" i="2"/>
  <c r="K1525" i="2"/>
  <c r="G1501" i="2"/>
  <c r="G1477" i="2"/>
  <c r="J1453" i="2"/>
  <c r="E1417" i="2"/>
  <c r="G1393" i="2"/>
  <c r="H1369" i="2"/>
  <c r="I1345" i="2"/>
  <c r="I1321" i="2"/>
  <c r="J1297" i="2"/>
  <c r="K1273" i="2"/>
  <c r="F1237" i="2"/>
  <c r="G1213" i="2"/>
  <c r="G1189" i="2"/>
  <c r="I1165" i="2"/>
  <c r="I1141" i="2"/>
  <c r="G1117" i="2"/>
  <c r="F1093" i="2"/>
  <c r="K1081" i="2"/>
  <c r="J1057" i="2"/>
  <c r="I1033" i="2"/>
  <c r="H1009" i="2"/>
  <c r="F1607" i="2"/>
  <c r="G2190" i="2"/>
  <c r="I2166" i="2"/>
  <c r="I2142" i="2"/>
  <c r="I2118" i="2"/>
  <c r="I2094" i="2"/>
  <c r="I2070" i="2"/>
  <c r="I2046" i="2"/>
  <c r="I2022" i="2"/>
  <c r="I1998" i="2"/>
  <c r="I1974" i="2"/>
  <c r="I1950" i="2"/>
  <c r="I1926" i="2"/>
  <c r="I1902" i="2"/>
  <c r="I1878" i="2"/>
  <c r="I1854" i="2"/>
  <c r="I1830" i="2"/>
  <c r="I1806" i="2"/>
  <c r="I1782" i="2"/>
  <c r="I1758" i="2"/>
  <c r="I1734" i="2"/>
  <c r="H1710" i="2"/>
  <c r="H1686" i="2"/>
  <c r="H1662" i="2"/>
  <c r="H1638" i="2"/>
  <c r="K2389" i="2"/>
  <c r="K2365" i="2"/>
  <c r="K2341" i="2"/>
  <c r="K2317" i="2"/>
  <c r="K2293" i="2"/>
  <c r="K2269" i="2"/>
  <c r="K2245" i="2"/>
  <c r="K2221" i="2"/>
  <c r="D1789" i="2"/>
  <c r="E1176" i="2"/>
  <c r="D1584" i="2"/>
  <c r="D1981" i="2"/>
  <c r="E1440" i="2"/>
  <c r="D1284" i="2"/>
  <c r="E1560" i="2"/>
  <c r="E2117" i="2"/>
  <c r="E1248" i="2"/>
  <c r="D1618" i="2"/>
  <c r="D1412" i="2"/>
  <c r="D1258" i="2"/>
  <c r="E1234" i="2"/>
  <c r="D1390" i="2"/>
  <c r="D1061" i="2"/>
  <c r="J1916" i="2"/>
  <c r="G1784" i="2"/>
  <c r="G1748" i="2"/>
  <c r="G1712" i="2"/>
  <c r="G1676" i="2"/>
  <c r="G1640" i="2"/>
  <c r="J2379" i="2"/>
  <c r="J2343" i="2"/>
  <c r="J2307" i="2"/>
  <c r="J2271" i="2"/>
  <c r="J2235" i="2"/>
  <c r="D1068" i="2"/>
  <c r="J1562" i="2"/>
  <c r="J1526" i="2"/>
  <c r="J1490" i="2"/>
  <c r="K1454" i="2"/>
  <c r="K1418" i="2"/>
  <c r="K1382" i="2"/>
  <c r="K1346" i="2"/>
  <c r="G1310" i="2"/>
  <c r="G1274" i="2"/>
  <c r="G1238" i="2"/>
  <c r="G1202" i="2"/>
  <c r="G1166" i="2"/>
  <c r="H1130" i="2"/>
  <c r="G1094" i="2"/>
  <c r="J1058" i="2"/>
  <c r="J1022" i="2"/>
  <c r="J1608" i="2"/>
  <c r="G2179" i="2"/>
  <c r="K2143" i="2"/>
  <c r="K2107" i="2"/>
  <c r="K2071" i="2"/>
  <c r="K2035" i="2"/>
  <c r="K1999" i="2"/>
  <c r="K1963" i="2"/>
  <c r="H1927" i="2"/>
  <c r="K1903" i="2"/>
  <c r="F1867" i="2"/>
  <c r="I1843" i="2"/>
  <c r="F1819" i="2"/>
  <c r="I1783" i="2"/>
  <c r="K1759" i="2"/>
  <c r="I1723" i="2"/>
  <c r="K1699" i="2"/>
  <c r="H1675" i="2"/>
  <c r="K1639" i="2"/>
  <c r="I2390" i="2"/>
  <c r="J2354" i="2"/>
  <c r="H2330" i="2"/>
  <c r="K2306" i="2"/>
  <c r="G2270" i="2"/>
  <c r="J2246" i="2"/>
  <c r="J2210" i="2"/>
  <c r="K1573" i="2"/>
  <c r="F1549" i="2"/>
  <c r="G1525" i="2"/>
  <c r="H1501" i="2"/>
  <c r="H1477" i="2"/>
  <c r="K1453" i="2"/>
  <c r="G1417" i="2"/>
  <c r="I1393" i="2"/>
  <c r="I1369" i="2"/>
  <c r="J1345" i="2"/>
  <c r="G1321" i="2"/>
  <c r="K1297" i="2"/>
  <c r="F1261" i="2"/>
  <c r="G1237" i="2"/>
  <c r="H1213" i="2"/>
  <c r="H1189" i="2"/>
  <c r="J1165" i="2"/>
  <c r="J1141" i="2"/>
  <c r="H1117" i="2"/>
  <c r="G1093" i="2"/>
  <c r="F1069" i="2"/>
  <c r="K1057" i="2"/>
  <c r="J1033" i="2"/>
  <c r="I1009" i="2"/>
  <c r="G1607" i="2"/>
  <c r="K2190" i="2"/>
  <c r="J2166" i="2"/>
  <c r="J2142" i="2"/>
  <c r="J2118" i="2"/>
  <c r="J2094" i="2"/>
  <c r="J2070" i="2"/>
  <c r="J2046" i="2"/>
  <c r="J2022" i="2"/>
  <c r="J1998" i="2"/>
  <c r="J1974" i="2"/>
  <c r="J1950" i="2"/>
  <c r="J1926" i="2"/>
  <c r="J1902" i="2"/>
  <c r="J1878" i="2"/>
  <c r="J1854" i="2"/>
  <c r="J1830" i="2"/>
  <c r="J1806" i="2"/>
  <c r="J1782" i="2"/>
  <c r="J1758" i="2"/>
  <c r="J1734" i="2"/>
  <c r="I1710" i="2"/>
  <c r="I1686" i="2"/>
  <c r="I1662" i="2"/>
  <c r="I1638" i="2"/>
  <c r="G2389" i="2"/>
  <c r="G2365" i="2"/>
  <c r="G2341" i="2"/>
  <c r="F2317" i="2"/>
  <c r="F2293" i="2"/>
  <c r="H2269" i="2"/>
  <c r="F2245" i="2"/>
  <c r="F2221" i="2"/>
  <c r="D1568" i="2"/>
  <c r="E1032" i="2"/>
  <c r="D1164" i="2"/>
  <c r="D1512" i="2"/>
  <c r="K1916" i="2"/>
  <c r="I1784" i="2"/>
  <c r="I1748" i="2"/>
  <c r="H1712" i="2"/>
  <c r="H1676" i="2"/>
  <c r="H1640" i="2"/>
  <c r="K2379" i="2"/>
  <c r="K2343" i="2"/>
  <c r="K2307" i="2"/>
  <c r="K2271" i="2"/>
  <c r="K2235" i="2"/>
  <c r="E1757" i="2"/>
  <c r="K1562" i="2"/>
  <c r="K1526" i="2"/>
  <c r="K1490" i="2"/>
  <c r="J1454" i="2"/>
  <c r="J1418" i="2"/>
  <c r="J1382" i="2"/>
  <c r="J1346" i="2"/>
  <c r="I1310" i="2"/>
  <c r="I1274" i="2"/>
  <c r="I1238" i="2"/>
  <c r="I1202" i="2"/>
  <c r="J1166" i="2"/>
  <c r="J1130" i="2"/>
  <c r="J1094" i="2"/>
  <c r="K1058" i="2"/>
  <c r="K1022" i="2"/>
  <c r="K1608" i="2"/>
  <c r="H2179" i="2"/>
  <c r="J2143" i="2"/>
  <c r="J2107" i="2"/>
  <c r="J2071" i="2"/>
  <c r="J2035" i="2"/>
  <c r="J1999" i="2"/>
  <c r="J1963" i="2"/>
  <c r="I1927" i="2"/>
  <c r="J1903" i="2"/>
  <c r="G1867" i="2"/>
  <c r="K1843" i="2"/>
  <c r="G1807" i="2"/>
  <c r="J1783" i="2"/>
  <c r="F1759" i="2"/>
  <c r="J1723" i="2"/>
  <c r="G1699" i="2"/>
  <c r="I1663" i="2"/>
  <c r="F1639" i="2"/>
  <c r="K2390" i="2"/>
  <c r="F2354" i="2"/>
  <c r="I2330" i="2"/>
  <c r="J2294" i="2"/>
  <c r="H2270" i="2"/>
  <c r="I2246" i="2"/>
  <c r="F2210" i="2"/>
  <c r="G1573" i="2"/>
  <c r="G1549" i="2"/>
  <c r="H1525" i="2"/>
  <c r="I1501" i="2"/>
  <c r="I1477" i="2"/>
  <c r="G1441" i="2"/>
  <c r="H1417" i="2"/>
  <c r="J1393" i="2"/>
  <c r="J1369" i="2"/>
  <c r="K1345" i="2"/>
  <c r="K1321" i="2"/>
  <c r="F1285" i="2"/>
  <c r="G1261" i="2"/>
  <c r="H1237" i="2"/>
  <c r="I1213" i="2"/>
  <c r="J1189" i="2"/>
  <c r="K1165" i="2"/>
  <c r="K1141" i="2"/>
  <c r="I1117" i="2"/>
  <c r="H1093" i="2"/>
  <c r="G1069" i="2"/>
  <c r="E1045" i="2"/>
  <c r="K1033" i="2"/>
  <c r="J1009" i="2"/>
  <c r="H1607" i="2"/>
  <c r="H2190" i="2"/>
  <c r="K2166" i="2"/>
  <c r="K2142" i="2"/>
  <c r="K2118" i="2"/>
  <c r="K2094" i="2"/>
  <c r="K2070" i="2"/>
  <c r="K2046" i="2"/>
  <c r="K2022" i="2"/>
  <c r="K1998" i="2"/>
  <c r="K1974" i="2"/>
  <c r="K1950" i="2"/>
  <c r="K1926" i="2"/>
  <c r="K1902" i="2"/>
  <c r="K1878" i="2"/>
  <c r="K1854" i="2"/>
  <c r="K1830" i="2"/>
  <c r="K1806" i="2"/>
  <c r="K1782" i="2"/>
  <c r="K1758" i="2"/>
  <c r="K1734" i="2"/>
  <c r="J1710" i="2"/>
  <c r="J1686" i="2"/>
  <c r="J1662" i="2"/>
  <c r="J1638" i="2"/>
  <c r="F2389" i="2"/>
  <c r="F2365" i="2"/>
  <c r="F2341" i="2"/>
  <c r="G2317" i="2"/>
  <c r="G2293" i="2"/>
  <c r="F2269" i="2"/>
  <c r="G2245" i="2"/>
  <c r="G2221" i="2"/>
  <c r="D2077" i="2"/>
  <c r="E2033" i="2"/>
  <c r="D1328" i="2"/>
  <c r="D1580" i="2"/>
  <c r="J1892" i="2"/>
  <c r="J1784" i="2"/>
  <c r="J1748" i="2"/>
  <c r="I1712" i="2"/>
  <c r="I1676" i="2"/>
  <c r="I1640" i="2"/>
  <c r="F2379" i="2"/>
  <c r="F2343" i="2"/>
  <c r="F2307" i="2"/>
  <c r="G2271" i="2"/>
  <c r="F2235" i="2"/>
  <c r="F1586" i="2"/>
  <c r="F1550" i="2"/>
  <c r="F1514" i="2"/>
  <c r="F1478" i="2"/>
  <c r="F1442" i="2"/>
  <c r="F1406" i="2"/>
  <c r="F1370" i="2"/>
  <c r="F1334" i="2"/>
  <c r="J1298" i="2"/>
  <c r="J1262" i="2"/>
  <c r="J1226" i="2"/>
  <c r="K1190" i="2"/>
  <c r="K1154" i="2"/>
  <c r="K1118" i="2"/>
  <c r="K1082" i="2"/>
  <c r="F1046" i="2"/>
  <c r="F1010" i="2"/>
  <c r="F1596" i="2"/>
  <c r="F2167" i="2"/>
  <c r="F2131" i="2"/>
  <c r="F2095" i="2"/>
  <c r="F2059" i="2"/>
  <c r="F2023" i="2"/>
  <c r="F1987" i="2"/>
  <c r="F1951" i="2"/>
  <c r="K1927" i="2"/>
  <c r="F1891" i="2"/>
  <c r="H1867" i="2"/>
  <c r="F1843" i="2"/>
  <c r="I1807" i="2"/>
  <c r="K1783" i="2"/>
  <c r="G1747" i="2"/>
  <c r="K1723" i="2"/>
  <c r="H1699" i="2"/>
  <c r="K1663" i="2"/>
  <c r="G1639" i="2"/>
  <c r="J2378" i="2"/>
  <c r="G2354" i="2"/>
  <c r="K2330" i="2"/>
  <c r="G2294" i="2"/>
  <c r="K2270" i="2"/>
  <c r="F2234" i="2"/>
  <c r="G2210" i="2"/>
  <c r="H1573" i="2"/>
  <c r="I1549" i="2"/>
  <c r="I1525" i="2"/>
  <c r="E1489" i="2"/>
  <c r="E1465" i="2"/>
  <c r="H1441" i="2"/>
  <c r="J1417" i="2"/>
  <c r="K1393" i="2"/>
  <c r="K1369" i="2"/>
  <c r="F1345" i="2"/>
  <c r="E1309" i="2"/>
  <c r="H1285" i="2"/>
  <c r="H1261" i="2"/>
  <c r="I1237" i="2"/>
  <c r="J1213" i="2"/>
  <c r="K1189" i="2"/>
  <c r="F1153" i="2"/>
  <c r="E1129" i="2"/>
  <c r="J1117" i="2"/>
  <c r="I1093" i="2"/>
  <c r="I1069" i="2"/>
  <c r="F1045" i="2"/>
  <c r="E1021" i="2"/>
  <c r="K1009" i="2"/>
  <c r="I1607" i="2"/>
  <c r="I2190" i="2"/>
  <c r="F2166" i="2"/>
  <c r="F2142" i="2"/>
  <c r="F2118" i="2"/>
  <c r="F2094" i="2"/>
  <c r="F2070" i="2"/>
  <c r="F2046" i="2"/>
  <c r="F2022" i="2"/>
  <c r="F1998" i="2"/>
  <c r="F1974" i="2"/>
  <c r="F1950" i="2"/>
  <c r="F1926" i="2"/>
  <c r="F1902" i="2"/>
  <c r="F1878" i="2"/>
  <c r="H1854" i="2"/>
  <c r="H1830" i="2"/>
  <c r="H1806" i="2"/>
  <c r="H1782" i="2"/>
  <c r="H1758" i="2"/>
  <c r="H1734" i="2"/>
  <c r="K1710" i="2"/>
  <c r="K1686" i="2"/>
  <c r="K1662" i="2"/>
  <c r="K1638" i="2"/>
  <c r="H2389" i="2"/>
  <c r="H2365" i="2"/>
  <c r="H2341" i="2"/>
  <c r="H2317" i="2"/>
  <c r="H2293" i="2"/>
  <c r="G2269" i="2"/>
  <c r="H2245" i="2"/>
  <c r="H2221" i="2"/>
  <c r="D1829" i="2"/>
  <c r="E1889" i="2"/>
  <c r="D1016" i="2"/>
  <c r="D1985" i="2"/>
  <c r="E1865" i="2"/>
  <c r="D1705" i="2"/>
  <c r="E1128" i="2"/>
  <c r="E2041" i="2"/>
  <c r="E1961" i="2"/>
  <c r="D1224" i="2"/>
  <c r="D1256" i="2"/>
  <c r="E1462" i="2"/>
  <c r="E1438" i="2"/>
  <c r="D1054" i="2"/>
  <c r="D2040" i="2"/>
  <c r="D2088" i="2"/>
  <c r="D1944" i="2"/>
  <c r="D1015" i="2"/>
  <c r="E1507" i="2"/>
  <c r="E1063" i="2"/>
  <c r="D1918" i="2"/>
  <c r="N1578" i="2"/>
  <c r="M1530" i="2"/>
  <c r="M1482" i="2"/>
  <c r="M1434" i="2"/>
  <c r="M1386" i="2"/>
  <c r="N1338" i="2"/>
  <c r="N1290" i="2"/>
  <c r="L1242" i="2"/>
  <c r="L1194" i="2"/>
  <c r="L1146" i="2"/>
  <c r="L1098" i="2"/>
  <c r="N1050" i="2"/>
  <c r="N1624" i="2"/>
  <c r="N2183" i="2"/>
  <c r="N2135" i="2"/>
  <c r="N2087" i="2"/>
  <c r="M2039" i="2"/>
  <c r="M1991" i="2"/>
  <c r="M1943" i="2"/>
  <c r="N1895" i="2"/>
  <c r="M1847" i="2"/>
  <c r="M1799" i="2"/>
  <c r="M1751" i="2"/>
  <c r="N1703" i="2"/>
  <c r="K1892" i="2"/>
  <c r="F1772" i="2"/>
  <c r="K1748" i="2"/>
  <c r="F1700" i="2"/>
  <c r="J1676" i="2"/>
  <c r="F1628" i="2"/>
  <c r="G2379" i="2"/>
  <c r="I2331" i="2"/>
  <c r="G2307" i="2"/>
  <c r="I2259" i="2"/>
  <c r="G2235" i="2"/>
  <c r="I1586" i="2"/>
  <c r="G1550" i="2"/>
  <c r="I1514" i="2"/>
  <c r="G1478" i="2"/>
  <c r="I1442" i="2"/>
  <c r="G1406" i="2"/>
  <c r="I1370" i="2"/>
  <c r="G1334" i="2"/>
  <c r="H1298" i="2"/>
  <c r="K1262" i="2"/>
  <c r="H1226" i="2"/>
  <c r="F1190" i="2"/>
  <c r="G1154" i="2"/>
  <c r="F1118" i="2"/>
  <c r="G1082" i="2"/>
  <c r="H1046" i="2"/>
  <c r="G1010" i="2"/>
  <c r="G1596" i="2"/>
  <c r="I2167" i="2"/>
  <c r="G2131" i="2"/>
  <c r="I2095" i="2"/>
  <c r="G2059" i="2"/>
  <c r="I2023" i="2"/>
  <c r="G1987" i="2"/>
  <c r="I1951" i="2"/>
  <c r="J1927" i="2"/>
  <c r="G1891" i="2"/>
  <c r="K1867" i="2"/>
  <c r="G1831" i="2"/>
  <c r="J1807" i="2"/>
  <c r="F1783" i="2"/>
  <c r="H1747" i="2"/>
  <c r="G1723" i="2"/>
  <c r="I1687" i="2"/>
  <c r="F1663" i="2"/>
  <c r="H1639" i="2"/>
  <c r="F2378" i="2"/>
  <c r="I2354" i="2"/>
  <c r="F2318" i="2"/>
  <c r="H2294" i="2"/>
  <c r="I2270" i="2"/>
  <c r="G2234" i="2"/>
  <c r="I2210" i="2"/>
  <c r="I1573" i="2"/>
  <c r="E1537" i="2"/>
  <c r="E1513" i="2"/>
  <c r="J1489" i="2"/>
  <c r="K1465" i="2"/>
  <c r="I1441" i="2"/>
  <c r="K1417" i="2"/>
  <c r="F1393" i="2"/>
  <c r="F1369" i="2"/>
  <c r="G1333" i="2"/>
  <c r="F1309" i="2"/>
  <c r="I1285" i="2"/>
  <c r="I1261" i="2"/>
  <c r="J1237" i="2"/>
  <c r="E1201" i="2"/>
  <c r="F1177" i="2"/>
  <c r="G1153" i="2"/>
  <c r="F1129" i="2"/>
  <c r="K1117" i="2"/>
  <c r="J1093" i="2"/>
  <c r="J1069" i="2"/>
  <c r="G1045" i="2"/>
  <c r="F1021" i="2"/>
  <c r="I1619" i="2"/>
  <c r="J2202" i="2"/>
  <c r="K2178" i="2"/>
  <c r="G2154" i="2"/>
  <c r="G2130" i="2"/>
  <c r="G2106" i="2"/>
  <c r="G2082" i="2"/>
  <c r="G2058" i="2"/>
  <c r="G2034" i="2"/>
  <c r="G2010" i="2"/>
  <c r="G1986" i="2"/>
  <c r="G1962" i="2"/>
  <c r="G1938" i="2"/>
  <c r="G1914" i="2"/>
  <c r="G1890" i="2"/>
  <c r="F1866" i="2"/>
  <c r="F1842" i="2"/>
  <c r="F1818" i="2"/>
  <c r="F1794" i="2"/>
  <c r="F1770" i="2"/>
  <c r="F1746" i="2"/>
  <c r="F1722" i="2"/>
  <c r="F1698" i="2"/>
  <c r="F1674" i="2"/>
  <c r="F1650" i="2"/>
  <c r="I2401" i="2"/>
  <c r="I2377" i="2"/>
  <c r="I2353" i="2"/>
  <c r="I2329" i="2"/>
  <c r="I2305" i="2"/>
  <c r="I2281" i="2"/>
  <c r="I2257" i="2"/>
  <c r="I2233" i="2"/>
  <c r="I2209" i="2"/>
  <c r="D2177" i="2"/>
  <c r="E1745" i="2"/>
  <c r="D1080" i="2"/>
  <c r="D1368" i="2"/>
  <c r="E1208" i="2"/>
  <c r="D1536" i="2"/>
  <c r="E2197" i="2"/>
  <c r="D1769" i="2"/>
  <c r="E1817" i="2"/>
  <c r="D1426" i="2"/>
  <c r="D1126" i="2"/>
  <c r="D1594" i="2"/>
  <c r="E1294" i="2"/>
  <c r="D1078" i="2"/>
  <c r="D1171" i="2"/>
  <c r="E1399" i="2"/>
  <c r="D1387" i="2"/>
  <c r="D1303" i="2"/>
  <c r="E1656" i="2"/>
  <c r="D1051" i="2"/>
  <c r="D2074" i="2"/>
  <c r="L1566" i="2"/>
  <c r="N1518" i="2"/>
  <c r="N1470" i="2"/>
  <c r="N1422" i="2"/>
  <c r="N1374" i="2"/>
  <c r="L1326" i="2"/>
  <c r="L1278" i="2"/>
  <c r="M1230" i="2"/>
  <c r="M1182" i="2"/>
  <c r="M1134" i="2"/>
  <c r="M1086" i="2"/>
  <c r="L1038" i="2"/>
  <c r="L1612" i="2"/>
  <c r="L2171" i="2"/>
  <c r="L2123" i="2"/>
  <c r="L2075" i="2"/>
  <c r="L2027" i="2"/>
  <c r="L1979" i="2"/>
  <c r="L1931" i="2"/>
  <c r="L1883" i="2"/>
  <c r="N1835" i="2"/>
  <c r="N1787" i="2"/>
  <c r="N1739" i="2"/>
  <c r="L1691" i="2"/>
  <c r="L1643" i="2"/>
  <c r="M2370" i="2"/>
  <c r="L2322" i="2"/>
  <c r="N2274" i="2"/>
  <c r="M2226" i="2"/>
  <c r="M1565" i="2"/>
  <c r="L1517" i="2"/>
  <c r="L1469" i="2"/>
  <c r="L1421" i="2"/>
  <c r="L1373" i="2"/>
  <c r="L1325" i="2"/>
  <c r="L1277" i="2"/>
  <c r="L1229" i="2"/>
  <c r="L1181" i="2"/>
  <c r="L1133" i="2"/>
  <c r="L1085" i="2"/>
  <c r="L1037" i="2"/>
  <c r="L1611" i="2"/>
  <c r="N2170" i="2"/>
  <c r="N2122" i="2"/>
  <c r="N2074" i="2"/>
  <c r="M2026" i="2"/>
  <c r="M1978" i="2"/>
  <c r="L1930" i="2"/>
  <c r="L1882" i="2"/>
  <c r="L1834" i="2"/>
  <c r="L1786" i="2"/>
  <c r="L1738" i="2"/>
  <c r="L1690" i="2"/>
  <c r="L1642" i="2"/>
  <c r="N2369" i="2"/>
  <c r="N2321" i="2"/>
  <c r="N2273" i="2"/>
  <c r="L2225" i="2"/>
  <c r="L1564" i="2"/>
  <c r="L1516" i="2"/>
  <c r="L1468" i="2"/>
  <c r="L1420" i="2"/>
  <c r="L1372" i="2"/>
  <c r="M1324" i="2"/>
  <c r="M1276" i="2"/>
  <c r="L1228" i="2"/>
  <c r="L1180" i="2"/>
  <c r="L1132" i="2"/>
  <c r="L1084" i="2"/>
  <c r="L1036" i="2"/>
  <c r="L1610" i="2"/>
  <c r="L2169" i="2"/>
  <c r="L2121" i="2"/>
  <c r="L2073" i="2"/>
  <c r="L2025" i="2"/>
  <c r="L1977" i="2"/>
  <c r="L1929" i="2"/>
  <c r="L1881" i="2"/>
  <c r="L1833" i="2"/>
  <c r="L1785" i="2"/>
  <c r="L1737" i="2"/>
  <c r="M1689" i="2"/>
  <c r="M1641" i="2"/>
  <c r="L2368" i="2"/>
  <c r="L2320" i="2"/>
  <c r="L2272" i="2"/>
  <c r="L2224" i="2"/>
  <c r="L1563" i="2"/>
  <c r="L1515" i="2"/>
  <c r="L1467" i="2"/>
  <c r="L1419" i="2"/>
  <c r="L1371" i="2"/>
  <c r="L1323" i="2"/>
  <c r="L1275" i="2"/>
  <c r="L1227" i="2"/>
  <c r="L1179" i="2"/>
  <c r="L1131" i="2"/>
  <c r="L1083" i="2"/>
  <c r="L1035" i="2"/>
  <c r="J1868" i="2"/>
  <c r="G1772" i="2"/>
  <c r="G1736" i="2"/>
  <c r="G1700" i="2"/>
  <c r="G1664" i="2"/>
  <c r="G1628" i="2"/>
  <c r="J2367" i="2"/>
  <c r="J2331" i="2"/>
  <c r="J2295" i="2"/>
  <c r="J2259" i="2"/>
  <c r="J2223" i="2"/>
  <c r="J1586" i="2"/>
  <c r="J1550" i="2"/>
  <c r="J1514" i="2"/>
  <c r="J1478" i="2"/>
  <c r="K1442" i="2"/>
  <c r="K1406" i="2"/>
  <c r="K1370" i="2"/>
  <c r="K1334" i="2"/>
  <c r="G1298" i="2"/>
  <c r="G1262" i="2"/>
  <c r="G1226" i="2"/>
  <c r="G1190" i="2"/>
  <c r="H1154" i="2"/>
  <c r="G1118" i="2"/>
  <c r="H1082" i="2"/>
  <c r="J1046" i="2"/>
  <c r="I1010" i="2"/>
  <c r="J1596" i="2"/>
  <c r="K2167" i="2"/>
  <c r="K2131" i="2"/>
  <c r="K2095" i="2"/>
  <c r="K2059" i="2"/>
  <c r="K2023" i="2"/>
  <c r="K1987" i="2"/>
  <c r="K1951" i="2"/>
  <c r="F1915" i="2"/>
  <c r="H1891" i="2"/>
  <c r="J1867" i="2"/>
  <c r="I1831" i="2"/>
  <c r="K1807" i="2"/>
  <c r="G1771" i="2"/>
  <c r="I1747" i="2"/>
  <c r="H1723" i="2"/>
  <c r="K1687" i="2"/>
  <c r="G1663" i="2"/>
  <c r="F2402" i="2"/>
  <c r="G2378" i="2"/>
  <c r="K2354" i="2"/>
  <c r="H2318" i="2"/>
  <c r="I2294" i="2"/>
  <c r="F2258" i="2"/>
  <c r="H2234" i="2"/>
  <c r="K2210" i="2"/>
  <c r="J1561" i="2"/>
  <c r="J1537" i="2"/>
  <c r="J1513" i="2"/>
  <c r="K1489" i="2"/>
  <c r="F1465" i="2"/>
  <c r="K1441" i="2"/>
  <c r="F1417" i="2"/>
  <c r="E1381" i="2"/>
  <c r="G1357" i="2"/>
  <c r="H1333" i="2"/>
  <c r="H1309" i="2"/>
  <c r="J1285" i="2"/>
  <c r="J1261" i="2"/>
  <c r="K1237" i="2"/>
  <c r="F1201" i="2"/>
  <c r="H1177" i="2"/>
  <c r="H1153" i="2"/>
  <c r="G1129" i="2"/>
  <c r="F1105" i="2"/>
  <c r="K1093" i="2"/>
  <c r="K1069" i="2"/>
  <c r="H1045" i="2"/>
  <c r="G1021" i="2"/>
  <c r="J1619" i="2"/>
  <c r="F2202" i="2"/>
  <c r="F2178" i="2"/>
  <c r="H2154" i="2"/>
  <c r="H2130" i="2"/>
  <c r="H2106" i="2"/>
  <c r="H2082" i="2"/>
  <c r="H2058" i="2"/>
  <c r="H2034" i="2"/>
  <c r="H2010" i="2"/>
  <c r="H1986" i="2"/>
  <c r="H1962" i="2"/>
  <c r="H1938" i="2"/>
  <c r="H1914" i="2"/>
  <c r="H1890" i="2"/>
  <c r="G1866" i="2"/>
  <c r="G1842" i="2"/>
  <c r="G1818" i="2"/>
  <c r="G1794" i="2"/>
  <c r="G1770" i="2"/>
  <c r="G1746" i="2"/>
  <c r="G1722" i="2"/>
  <c r="G1698" i="2"/>
  <c r="G1674" i="2"/>
  <c r="G1650" i="2"/>
  <c r="J2401" i="2"/>
  <c r="J2377" i="2"/>
  <c r="J2353" i="2"/>
  <c r="J2329" i="2"/>
  <c r="J2305" i="2"/>
  <c r="J2281" i="2"/>
  <c r="J2257" i="2"/>
  <c r="J2233" i="2"/>
  <c r="J2209" i="2"/>
  <c r="D2069" i="2"/>
  <c r="E1520" i="2"/>
  <c r="E1020" i="2"/>
  <c r="D1342" i="2"/>
  <c r="E1064" i="2"/>
  <c r="D1949" i="2"/>
  <c r="E2053" i="2"/>
  <c r="D1606" i="2"/>
  <c r="E1448" i="2"/>
  <c r="E1414" i="2"/>
  <c r="E1090" i="2"/>
  <c r="D1378" i="2"/>
  <c r="D1198" i="2"/>
  <c r="D1042" i="2"/>
  <c r="E1555" i="2"/>
  <c r="E1255" i="2"/>
  <c r="K1868" i="2"/>
  <c r="I1772" i="2"/>
  <c r="I1736" i="2"/>
  <c r="H1700" i="2"/>
  <c r="H1664" i="2"/>
  <c r="H1628" i="2"/>
  <c r="K2367" i="2"/>
  <c r="K2331" i="2"/>
  <c r="K2295" i="2"/>
  <c r="K2259" i="2"/>
  <c r="K2223" i="2"/>
  <c r="K1586" i="2"/>
  <c r="K1550" i="2"/>
  <c r="K1514" i="2"/>
  <c r="K1478" i="2"/>
  <c r="J1442" i="2"/>
  <c r="J1406" i="2"/>
  <c r="J1370" i="2"/>
  <c r="J1334" i="2"/>
  <c r="I1298" i="2"/>
  <c r="I1262" i="2"/>
  <c r="I1226" i="2"/>
  <c r="J1190" i="2"/>
  <c r="J1154" i="2"/>
  <c r="J1118" i="2"/>
  <c r="J1082" i="2"/>
  <c r="K1046" i="2"/>
  <c r="K1010" i="2"/>
  <c r="K1596" i="2"/>
  <c r="J2167" i="2"/>
  <c r="J2131" i="2"/>
  <c r="J2095" i="2"/>
  <c r="J2059" i="2"/>
  <c r="J2023" i="2"/>
  <c r="J1987" i="2"/>
  <c r="J1951" i="2"/>
  <c r="G1915" i="2"/>
  <c r="K1891" i="2"/>
  <c r="G1855" i="2"/>
  <c r="J1831" i="2"/>
  <c r="F1807" i="2"/>
  <c r="H1771" i="2"/>
  <c r="K1747" i="2"/>
  <c r="I1711" i="2"/>
  <c r="F1687" i="2"/>
  <c r="H1663" i="2"/>
  <c r="G2402" i="2"/>
  <c r="I2378" i="2"/>
  <c r="F2342" i="2"/>
  <c r="I2318" i="2"/>
  <c r="K2294" i="2"/>
  <c r="K2258" i="2"/>
  <c r="J2234" i="2"/>
  <c r="E1585" i="2"/>
  <c r="K1561" i="2"/>
  <c r="K1537" i="2"/>
  <c r="K1513" i="2"/>
  <c r="G1489" i="2"/>
  <c r="G1465" i="2"/>
  <c r="F1441" i="2"/>
  <c r="E1405" i="2"/>
  <c r="G1381" i="2"/>
  <c r="I1357" i="2"/>
  <c r="I1333" i="2"/>
  <c r="I1309" i="2"/>
  <c r="K1285" i="2"/>
  <c r="K1261" i="2"/>
  <c r="F1225" i="2"/>
  <c r="G1201" i="2"/>
  <c r="I1177" i="2"/>
  <c r="I1153" i="2"/>
  <c r="H1129" i="2"/>
  <c r="G1105" i="2"/>
  <c r="E1081" i="2"/>
  <c r="H1069" i="2"/>
  <c r="I1045" i="2"/>
  <c r="H1021" i="2"/>
  <c r="K1619" i="2"/>
  <c r="G2202" i="2"/>
  <c r="G2178" i="2"/>
  <c r="I2154" i="2"/>
  <c r="I2130" i="2"/>
  <c r="I2106" i="2"/>
  <c r="I2082" i="2"/>
  <c r="I2058" i="2"/>
  <c r="I2034" i="2"/>
  <c r="I2010" i="2"/>
  <c r="I1986" i="2"/>
  <c r="I1962" i="2"/>
  <c r="I1938" i="2"/>
  <c r="I1914" i="2"/>
  <c r="I1890" i="2"/>
  <c r="I1866" i="2"/>
  <c r="I1842" i="2"/>
  <c r="I1818" i="2"/>
  <c r="I1794" i="2"/>
  <c r="I1770" i="2"/>
  <c r="I1746" i="2"/>
  <c r="H1722" i="2"/>
  <c r="H1698" i="2"/>
  <c r="H1674" i="2"/>
  <c r="H1650" i="2"/>
  <c r="K2401" i="2"/>
  <c r="K2377" i="2"/>
  <c r="K2353" i="2"/>
  <c r="K2329" i="2"/>
  <c r="K2305" i="2"/>
  <c r="K2281" i="2"/>
  <c r="K2257" i="2"/>
  <c r="K2233" i="2"/>
  <c r="K2209" i="2"/>
  <c r="D2029" i="2"/>
  <c r="E1376" i="2"/>
  <c r="E1508" i="2"/>
  <c r="D1937" i="2"/>
  <c r="E1572" i="2"/>
  <c r="D1649" i="2"/>
  <c r="E1765" i="2"/>
  <c r="D2161" i="2"/>
  <c r="E1260" i="2"/>
  <c r="E1861" i="2"/>
  <c r="D1066" i="2"/>
  <c r="D1450" i="2"/>
  <c r="D1510" i="2"/>
  <c r="D1246" i="2"/>
  <c r="E1411" i="2"/>
  <c r="J1844" i="2"/>
  <c r="J1772" i="2"/>
  <c r="J1736" i="2"/>
  <c r="I1700" i="2"/>
  <c r="I1664" i="2"/>
  <c r="I1628" i="2"/>
  <c r="F2367" i="2"/>
  <c r="F2331" i="2"/>
  <c r="F2295" i="2"/>
  <c r="F2259" i="2"/>
  <c r="F2223" i="2"/>
  <c r="F1574" i="2"/>
  <c r="F1538" i="2"/>
  <c r="F1502" i="2"/>
  <c r="F1466" i="2"/>
  <c r="F1430" i="2"/>
  <c r="F1394" i="2"/>
  <c r="F1358" i="2"/>
  <c r="F1322" i="2"/>
  <c r="J1286" i="2"/>
  <c r="J1250" i="2"/>
  <c r="J1214" i="2"/>
  <c r="K1178" i="2"/>
  <c r="K1142" i="2"/>
  <c r="K1106" i="2"/>
  <c r="J1070" i="2"/>
  <c r="F1034" i="2"/>
  <c r="F1620" i="2"/>
  <c r="I2191" i="2"/>
  <c r="F2155" i="2"/>
  <c r="F2119" i="2"/>
  <c r="F2083" i="2"/>
  <c r="F2047" i="2"/>
  <c r="F2011" i="2"/>
  <c r="F1975" i="2"/>
  <c r="F1939" i="2"/>
  <c r="H1915" i="2"/>
  <c r="J1891" i="2"/>
  <c r="I1855" i="2"/>
  <c r="K1831" i="2"/>
  <c r="G1795" i="2"/>
  <c r="I1771" i="2"/>
  <c r="F1747" i="2"/>
  <c r="K1711" i="2"/>
  <c r="G1687" i="2"/>
  <c r="I1651" i="2"/>
  <c r="H2402" i="2"/>
  <c r="K2378" i="2"/>
  <c r="H2342" i="2"/>
  <c r="J2318" i="2"/>
  <c r="J2282" i="2"/>
  <c r="G2258" i="2"/>
  <c r="K2234" i="2"/>
  <c r="K1585" i="2"/>
  <c r="F1561" i="2"/>
  <c r="F1537" i="2"/>
  <c r="F1513" i="2"/>
  <c r="H1489" i="2"/>
  <c r="I1465" i="2"/>
  <c r="G1429" i="2"/>
  <c r="G1405" i="2"/>
  <c r="H1381" i="2"/>
  <c r="J1357" i="2"/>
  <c r="K1333" i="2"/>
  <c r="J1309" i="2"/>
  <c r="E1273" i="2"/>
  <c r="F1249" i="2"/>
  <c r="G1225" i="2"/>
  <c r="I1201" i="2"/>
  <c r="J1177" i="2"/>
  <c r="J1153" i="2"/>
  <c r="I1129" i="2"/>
  <c r="H1105" i="2"/>
  <c r="F1081" i="2"/>
  <c r="E1057" i="2"/>
  <c r="J1045" i="2"/>
  <c r="I1021" i="2"/>
  <c r="F1619" i="2"/>
  <c r="H2202" i="2"/>
  <c r="H2178" i="2"/>
  <c r="J2154" i="2"/>
  <c r="J2130" i="2"/>
  <c r="J2106" i="2"/>
  <c r="J2082" i="2"/>
  <c r="J2058" i="2"/>
  <c r="J2034" i="2"/>
  <c r="J2010" i="2"/>
  <c r="J1986" i="2"/>
  <c r="J1962" i="2"/>
  <c r="J1938" i="2"/>
  <c r="J1914" i="2"/>
  <c r="J1890" i="2"/>
  <c r="J1866" i="2"/>
  <c r="J1842" i="2"/>
  <c r="J1818" i="2"/>
  <c r="J1794" i="2"/>
  <c r="J1770" i="2"/>
  <c r="J1746" i="2"/>
  <c r="I1722" i="2"/>
  <c r="I1698" i="2"/>
  <c r="I1674" i="2"/>
  <c r="I1650" i="2"/>
  <c r="F2401" i="2"/>
  <c r="F2377" i="2"/>
  <c r="F2353" i="2"/>
  <c r="F2329" i="2"/>
  <c r="G2305" i="2"/>
  <c r="H2281" i="2"/>
  <c r="F2257" i="2"/>
  <c r="F2233" i="2"/>
  <c r="F2209" i="2"/>
  <c r="D1076" i="2"/>
  <c r="E1232" i="2"/>
  <c r="E1364" i="2"/>
  <c r="D1296" i="2"/>
  <c r="D2057" i="2"/>
  <c r="D1500" i="2"/>
  <c r="E1428" i="2"/>
  <c r="D1661" i="2"/>
  <c r="D1148" i="2"/>
  <c r="D1116" i="2"/>
  <c r="D1546" i="2"/>
  <c r="D1582" i="2"/>
  <c r="D1474" i="2"/>
  <c r="E1534" i="2"/>
  <c r="E1267" i="2"/>
  <c r="E2124" i="2"/>
  <c r="E1099" i="2"/>
  <c r="E1519" i="2"/>
  <c r="D1339" i="2"/>
  <c r="E2064" i="2"/>
  <c r="D1798" i="2"/>
  <c r="L1554" i="2"/>
  <c r="N1506" i="2"/>
  <c r="N1458" i="2"/>
  <c r="N1410" i="2"/>
  <c r="N1362" i="2"/>
  <c r="L1314" i="2"/>
  <c r="M1266" i="2"/>
  <c r="M1218" i="2"/>
  <c r="M1170" i="2"/>
  <c r="M1122" i="2"/>
  <c r="M1074" i="2"/>
  <c r="L1026" i="2"/>
  <c r="L1600" i="2"/>
  <c r="L2159" i="2"/>
  <c r="L2111" i="2"/>
  <c r="L2063" i="2"/>
  <c r="L2015" i="2"/>
  <c r="L1967" i="2"/>
  <c r="L1919" i="2"/>
  <c r="L1871" i="2"/>
  <c r="N1823" i="2"/>
  <c r="N1775" i="2"/>
  <c r="N1727" i="2"/>
  <c r="L1679" i="2"/>
  <c r="K1844" i="2"/>
  <c r="K1772" i="2"/>
  <c r="F1724" i="2"/>
  <c r="J1700" i="2"/>
  <c r="F1652" i="2"/>
  <c r="J1628" i="2"/>
  <c r="I2355" i="2"/>
  <c r="G2331" i="2"/>
  <c r="I2283" i="2"/>
  <c r="G2259" i="2"/>
  <c r="I2211" i="2"/>
  <c r="G1574" i="2"/>
  <c r="I1538" i="2"/>
  <c r="G1502" i="2"/>
  <c r="I1466" i="2"/>
  <c r="G1430" i="2"/>
  <c r="I1394" i="2"/>
  <c r="G1358" i="2"/>
  <c r="I1322" i="2"/>
  <c r="K1286" i="2"/>
  <c r="H1250" i="2"/>
  <c r="K1214" i="2"/>
  <c r="G1178" i="2"/>
  <c r="F1142" i="2"/>
  <c r="G1106" i="2"/>
  <c r="K1070" i="2"/>
  <c r="I1034" i="2"/>
  <c r="G1620" i="2"/>
  <c r="F2191" i="2"/>
  <c r="G2155" i="2"/>
  <c r="I2119" i="2"/>
  <c r="G2083" i="2"/>
  <c r="I2047" i="2"/>
  <c r="G2011" i="2"/>
  <c r="I1975" i="2"/>
  <c r="G1939" i="2"/>
  <c r="K1915" i="2"/>
  <c r="F1879" i="2"/>
  <c r="J1855" i="2"/>
  <c r="F1831" i="2"/>
  <c r="H1795" i="2"/>
  <c r="K1771" i="2"/>
  <c r="G1735" i="2"/>
  <c r="F1711" i="2"/>
  <c r="H1687" i="2"/>
  <c r="J1651" i="2"/>
  <c r="I2402" i="2"/>
  <c r="J2366" i="2"/>
  <c r="I2342" i="2"/>
  <c r="K2318" i="2"/>
  <c r="K2282" i="2"/>
  <c r="I2258" i="2"/>
  <c r="J2222" i="2"/>
  <c r="F1585" i="2"/>
  <c r="G1561" i="2"/>
  <c r="G1537" i="2"/>
  <c r="H1513" i="2"/>
  <c r="I1489" i="2"/>
  <c r="E1453" i="2"/>
  <c r="H1429" i="2"/>
  <c r="H1405" i="2"/>
  <c r="J1381" i="2"/>
  <c r="K1357" i="2"/>
  <c r="F1333" i="2"/>
  <c r="K1309" i="2"/>
  <c r="F1273" i="2"/>
  <c r="H1249" i="2"/>
  <c r="H1225" i="2"/>
  <c r="J1201" i="2"/>
  <c r="K1177" i="2"/>
  <c r="K1153" i="2"/>
  <c r="J1129" i="2"/>
  <c r="I1105" i="2"/>
  <c r="G1081" i="2"/>
  <c r="F1057" i="2"/>
  <c r="K1045" i="2"/>
  <c r="J1021" i="2"/>
  <c r="G1619" i="2"/>
  <c r="I2202" i="2"/>
  <c r="I2178" i="2"/>
  <c r="K2154" i="2"/>
  <c r="K2130" i="2"/>
  <c r="K2106" i="2"/>
  <c r="K2082" i="2"/>
  <c r="K2058" i="2"/>
  <c r="K2034" i="2"/>
  <c r="K2010" i="2"/>
  <c r="K1986" i="2"/>
  <c r="K1962" i="2"/>
  <c r="K1938" i="2"/>
  <c r="K1914" i="2"/>
  <c r="K1890" i="2"/>
  <c r="H1866" i="2"/>
  <c r="K1842" i="2"/>
  <c r="K1818" i="2"/>
  <c r="K1794" i="2"/>
  <c r="K1770" i="2"/>
  <c r="K1746" i="2"/>
  <c r="J1722" i="2"/>
  <c r="J1698" i="2"/>
  <c r="J1674" i="2"/>
  <c r="J1650" i="2"/>
  <c r="H2401" i="2"/>
  <c r="G2377" i="2"/>
  <c r="G2353" i="2"/>
  <c r="G2329" i="2"/>
  <c r="F2305" i="2"/>
  <c r="F2281" i="2"/>
  <c r="G2257" i="2"/>
  <c r="G2233" i="2"/>
  <c r="G2209" i="2"/>
  <c r="D1472" i="2"/>
  <c r="E2101" i="2"/>
  <c r="E1626" i="2"/>
  <c r="D1496" i="2"/>
  <c r="D1873" i="2"/>
  <c r="D1400" i="2"/>
  <c r="D1592" i="2"/>
  <c r="D1112" i="2"/>
  <c r="D1524" i="2"/>
  <c r="D1837" i="2"/>
  <c r="D1330" i="2"/>
  <c r="D1018" i="2"/>
  <c r="E1282" i="2"/>
  <c r="D1498" i="2"/>
  <c r="E1123" i="2"/>
  <c r="E1980" i="2"/>
  <c r="E2112" i="2"/>
  <c r="E1375" i="2"/>
  <c r="D1567" i="2"/>
  <c r="E1279" i="2"/>
  <c r="D1373" i="2"/>
  <c r="M1554" i="2"/>
  <c r="L1506" i="2"/>
  <c r="L1458" i="2"/>
  <c r="L1410" i="2"/>
  <c r="L1362" i="2"/>
  <c r="M1314" i="2"/>
  <c r="N1266" i="2"/>
  <c r="N1218" i="2"/>
  <c r="N1170" i="2"/>
  <c r="N1122" i="2"/>
  <c r="N1074" i="2"/>
  <c r="M1026" i="2"/>
  <c r="M1600" i="2"/>
  <c r="N2159" i="2"/>
  <c r="N2111" i="2"/>
  <c r="N2063" i="2"/>
  <c r="N2015" i="2"/>
  <c r="N1967" i="2"/>
  <c r="M1919" i="2"/>
  <c r="M1871" i="2"/>
  <c r="L1823" i="2"/>
  <c r="L1775" i="2"/>
  <c r="L1727" i="2"/>
  <c r="M1679" i="2"/>
  <c r="M1631" i="2"/>
  <c r="L2358" i="2"/>
  <c r="N2310" i="2"/>
  <c r="M2262" i="2"/>
  <c r="N2214" i="2"/>
  <c r="N1553" i="2"/>
  <c r="M1505" i="2"/>
  <c r="M1457" i="2"/>
  <c r="M1409" i="2"/>
  <c r="M1361" i="2"/>
  <c r="M1313" i="2"/>
  <c r="M1265" i="2"/>
  <c r="M1217" i="2"/>
  <c r="M1169" i="2"/>
  <c r="M1121" i="2"/>
  <c r="M1073" i="2"/>
  <c r="M1025" i="2"/>
  <c r="M1599" i="2"/>
  <c r="L2158" i="2"/>
  <c r="L2110" i="2"/>
  <c r="L2062" i="2"/>
  <c r="N2014" i="2"/>
  <c r="N1966" i="2"/>
  <c r="M1918" i="2"/>
  <c r="N1870" i="2"/>
  <c r="N1822" i="2"/>
  <c r="M1774" i="2"/>
  <c r="M1726" i="2"/>
  <c r="M1678" i="2"/>
  <c r="M1630" i="2"/>
  <c r="L2357" i="2"/>
  <c r="L2309" i="2"/>
  <c r="L2261" i="2"/>
  <c r="M2213" i="2"/>
  <c r="M1552" i="2"/>
  <c r="M1504" i="2"/>
  <c r="M1456" i="2"/>
  <c r="M1408" i="2"/>
  <c r="M1360" i="2"/>
  <c r="L1312" i="2"/>
  <c r="M1264" i="2"/>
  <c r="M1216" i="2"/>
  <c r="M1168" i="2"/>
  <c r="M1120" i="2"/>
  <c r="M1072" i="2"/>
  <c r="M1024" i="2"/>
  <c r="M1598" i="2"/>
  <c r="M2157" i="2"/>
  <c r="M2109" i="2"/>
  <c r="M2061" i="2"/>
  <c r="N2013" i="2"/>
  <c r="M1965" i="2"/>
  <c r="M1917" i="2"/>
  <c r="M1869" i="2"/>
  <c r="M1821" i="2"/>
  <c r="M1773" i="2"/>
  <c r="M1725" i="2"/>
  <c r="L1677" i="2"/>
  <c r="N1629" i="2"/>
  <c r="M2356" i="2"/>
  <c r="M2308" i="2"/>
  <c r="M2260" i="2"/>
  <c r="N2212" i="2"/>
  <c r="M1551" i="2"/>
  <c r="M1503" i="2"/>
  <c r="M1455" i="2"/>
  <c r="M1407" i="2"/>
  <c r="M1359" i="2"/>
  <c r="M1311" i="2"/>
  <c r="M1263" i="2"/>
  <c r="M1215" i="2"/>
  <c r="M1167" i="2"/>
  <c r="M1119" i="2"/>
  <c r="M1071" i="2"/>
  <c r="M1023" i="2"/>
  <c r="E2153" i="2"/>
  <c r="E1174" i="2"/>
  <c r="D1908" i="2"/>
  <c r="D1159" i="2"/>
  <c r="D1327" i="2"/>
  <c r="M1566" i="2"/>
  <c r="L1470" i="2"/>
  <c r="L1374" i="2"/>
  <c r="M1278" i="2"/>
  <c r="N1182" i="2"/>
  <c r="N1086" i="2"/>
  <c r="M1612" i="2"/>
  <c r="M2123" i="2"/>
  <c r="N2027" i="2"/>
  <c r="N1931" i="2"/>
  <c r="L1835" i="2"/>
  <c r="L1739" i="2"/>
  <c r="M1655" i="2"/>
  <c r="L2370" i="2"/>
  <c r="L2310" i="2"/>
  <c r="M2250" i="2"/>
  <c r="L1589" i="2"/>
  <c r="M1529" i="2"/>
  <c r="M1469" i="2"/>
  <c r="L1409" i="2"/>
  <c r="L1349" i="2"/>
  <c r="N1301" i="2"/>
  <c r="M1241" i="2"/>
  <c r="M1181" i="2"/>
  <c r="L1121" i="2"/>
  <c r="L1061" i="2"/>
  <c r="M1013" i="2"/>
  <c r="M2182" i="2"/>
  <c r="L2122" i="2"/>
  <c r="N2062" i="2"/>
  <c r="M2002" i="2"/>
  <c r="L1954" i="2"/>
  <c r="M1894" i="2"/>
  <c r="N1834" i="2"/>
  <c r="L1774" i="2"/>
  <c r="L1714" i="2"/>
  <c r="M1666" i="2"/>
  <c r="L2381" i="2"/>
  <c r="L2321" i="2"/>
  <c r="N2261" i="2"/>
  <c r="L1588" i="2"/>
  <c r="N1540" i="2"/>
  <c r="M1480" i="2"/>
  <c r="M1420" i="2"/>
  <c r="L1360" i="2"/>
  <c r="M1300" i="2"/>
  <c r="N1252" i="2"/>
  <c r="M1192" i="2"/>
  <c r="M1132" i="2"/>
  <c r="L1072" i="2"/>
  <c r="L1012" i="2"/>
  <c r="N2193" i="2"/>
  <c r="M2133" i="2"/>
  <c r="M2073" i="2"/>
  <c r="L2013" i="2"/>
  <c r="L1953" i="2"/>
  <c r="N1905" i="2"/>
  <c r="M1845" i="2"/>
  <c r="M1785" i="2"/>
  <c r="L1725" i="2"/>
  <c r="E2009" i="2"/>
  <c r="E1268" i="2"/>
  <c r="E1111" i="2"/>
  <c r="D1800" i="2"/>
  <c r="E1601" i="2"/>
  <c r="N1566" i="2"/>
  <c r="M1470" i="2"/>
  <c r="M1374" i="2"/>
  <c r="N1278" i="2"/>
  <c r="L1182" i="2"/>
  <c r="L1086" i="2"/>
  <c r="N1612" i="2"/>
  <c r="N2123" i="2"/>
  <c r="D1697" i="2"/>
  <c r="E1522" i="2"/>
  <c r="D1632" i="2"/>
  <c r="E2100" i="2"/>
  <c r="D2196" i="2"/>
  <c r="L1542" i="2"/>
  <c r="L1446" i="2"/>
  <c r="L1350" i="2"/>
  <c r="N1254" i="2"/>
  <c r="N1158" i="2"/>
  <c r="M1062" i="2"/>
  <c r="N2195" i="2"/>
  <c r="M2099" i="2"/>
  <c r="N2003" i="2"/>
  <c r="M1907" i="2"/>
  <c r="L1811" i="2"/>
  <c r="M1715" i="2"/>
  <c r="M1643" i="2"/>
  <c r="M2358" i="2"/>
  <c r="N2298" i="2"/>
  <c r="L2250" i="2"/>
  <c r="N1577" i="2"/>
  <c r="M1517" i="2"/>
  <c r="L1457" i="2"/>
  <c r="L1397" i="2"/>
  <c r="N1349" i="2"/>
  <c r="M1289" i="2"/>
  <c r="M1229" i="2"/>
  <c r="L1169" i="2"/>
  <c r="L1109" i="2"/>
  <c r="N1061" i="2"/>
  <c r="M1623" i="2"/>
  <c r="L2170" i="2"/>
  <c r="N2110" i="2"/>
  <c r="N2050" i="2"/>
  <c r="L2002" i="2"/>
  <c r="N1942" i="2"/>
  <c r="M1882" i="2"/>
  <c r="L1822" i="2"/>
  <c r="L1762" i="2"/>
  <c r="N1714" i="2"/>
  <c r="N1654" i="2"/>
  <c r="L2369" i="2"/>
  <c r="N2309" i="2"/>
  <c r="L2249" i="2"/>
  <c r="N1588" i="2"/>
  <c r="M1528" i="2"/>
  <c r="M1468" i="2"/>
  <c r="L1408" i="2"/>
  <c r="L1348" i="2"/>
  <c r="N1300" i="2"/>
  <c r="M1240" i="2"/>
  <c r="M1180" i="2"/>
  <c r="L1120" i="2"/>
  <c r="L1060" i="2"/>
  <c r="N1012" i="2"/>
  <c r="M2181" i="2"/>
  <c r="M2121" i="2"/>
  <c r="L2061" i="2"/>
  <c r="L2001" i="2"/>
  <c r="N1953" i="2"/>
  <c r="M1893" i="2"/>
  <c r="M1833" i="2"/>
  <c r="L1773" i="2"/>
  <c r="L1713" i="2"/>
  <c r="L1665" i="2"/>
  <c r="M2380" i="2"/>
  <c r="M2320" i="2"/>
  <c r="L2260" i="2"/>
  <c r="L1587" i="2"/>
  <c r="N1539" i="2"/>
  <c r="M1479" i="2"/>
  <c r="M1419" i="2"/>
  <c r="L1359" i="2"/>
  <c r="L1299" i="2"/>
  <c r="N1251" i="2"/>
  <c r="M1191" i="2"/>
  <c r="M1131" i="2"/>
  <c r="L1071" i="2"/>
  <c r="L1011" i="2"/>
  <c r="L2192" i="2"/>
  <c r="L2144" i="2"/>
  <c r="L2096" i="2"/>
  <c r="L2048" i="2"/>
  <c r="M2000" i="2"/>
  <c r="M1952" i="2"/>
  <c r="M1904" i="2"/>
  <c r="L1856" i="2"/>
  <c r="L1808" i="2"/>
  <c r="L1760" i="2"/>
  <c r="L1712" i="2"/>
  <c r="L1664" i="2"/>
  <c r="L2391" i="2"/>
  <c r="L2343" i="2"/>
  <c r="L2295" i="2"/>
  <c r="M2247" i="2"/>
  <c r="L1586" i="2"/>
  <c r="N1538" i="2"/>
  <c r="N1490" i="2"/>
  <c r="N1442" i="2"/>
  <c r="N1394" i="2"/>
  <c r="N1346" i="2"/>
  <c r="L1298" i="2"/>
  <c r="M1250" i="2"/>
  <c r="M1202" i="2"/>
  <c r="M1154" i="2"/>
  <c r="M1106" i="2"/>
  <c r="L1058" i="2"/>
  <c r="L1010" i="2"/>
  <c r="M2191" i="2"/>
  <c r="L2143" i="2"/>
  <c r="L2095" i="2"/>
  <c r="L2047" i="2"/>
  <c r="L1999" i="2"/>
  <c r="L1951" i="2"/>
  <c r="L1903" i="2"/>
  <c r="N1855" i="2"/>
  <c r="N1807" i="2"/>
  <c r="N1759" i="2"/>
  <c r="N1711" i="2"/>
  <c r="L1663" i="2"/>
  <c r="L2390" i="2"/>
  <c r="M2342" i="2"/>
  <c r="M2294" i="2"/>
  <c r="M2246" i="2"/>
  <c r="M1585" i="2"/>
  <c r="L1537" i="2"/>
  <c r="L1489" i="2"/>
  <c r="D1548" i="2"/>
  <c r="D1102" i="2"/>
  <c r="D2172" i="2"/>
  <c r="E1956" i="2"/>
  <c r="D1315" i="2"/>
  <c r="M1542" i="2"/>
  <c r="M1446" i="2"/>
  <c r="M1350" i="2"/>
  <c r="L1254" i="2"/>
  <c r="L1158" i="2"/>
  <c r="N1062" i="2"/>
  <c r="L2195" i="2"/>
  <c r="N2099" i="2"/>
  <c r="E1416" i="2"/>
  <c r="E1306" i="2"/>
  <c r="D1591" i="2"/>
  <c r="E1812" i="2"/>
  <c r="D1183" i="2"/>
  <c r="N1530" i="2"/>
  <c r="N1434" i="2"/>
  <c r="L1338" i="2"/>
  <c r="M1242" i="2"/>
  <c r="M1146" i="2"/>
  <c r="E1272" i="2"/>
  <c r="E1162" i="2"/>
  <c r="D1219" i="2"/>
  <c r="E1668" i="2"/>
  <c r="E1039" i="2"/>
  <c r="L1530" i="2"/>
  <c r="L1434" i="2"/>
  <c r="M1338" i="2"/>
  <c r="N1242" i="2"/>
  <c r="N1146" i="2"/>
  <c r="E1172" i="2"/>
  <c r="E1402" i="2"/>
  <c r="E1531" i="2"/>
  <c r="D2052" i="2"/>
  <c r="D1942" i="2"/>
  <c r="L1518" i="2"/>
  <c r="L1422" i="2"/>
  <c r="M1326" i="2"/>
  <c r="N1230" i="2"/>
  <c r="N1134" i="2"/>
  <c r="M1038" i="2"/>
  <c r="M2171" i="2"/>
  <c r="M2075" i="2"/>
  <c r="N1979" i="2"/>
  <c r="M1883" i="2"/>
  <c r="L1787" i="2"/>
  <c r="M1691" i="2"/>
  <c r="M2394" i="2"/>
  <c r="N2346" i="2"/>
  <c r="L2286" i="2"/>
  <c r="N2226" i="2"/>
  <c r="M1553" i="2"/>
  <c r="L1493" i="2"/>
  <c r="N1445" i="2"/>
  <c r="M1385" i="2"/>
  <c r="M1325" i="2"/>
  <c r="L1265" i="2"/>
  <c r="L1205" i="2"/>
  <c r="N1157" i="2"/>
  <c r="M1097" i="2"/>
  <c r="M1037" i="2"/>
  <c r="L1599" i="2"/>
  <c r="N2146" i="2"/>
  <c r="M2098" i="2"/>
  <c r="N2038" i="2"/>
  <c r="N1978" i="2"/>
  <c r="L1918" i="2"/>
  <c r="L1858" i="2"/>
  <c r="M1810" i="2"/>
  <c r="M1750" i="2"/>
  <c r="M1690" i="2"/>
  <c r="L1630" i="2"/>
  <c r="N2345" i="2"/>
  <c r="M2297" i="2"/>
  <c r="M2237" i="2"/>
  <c r="M1564" i="2"/>
  <c r="L1504" i="2"/>
  <c r="L1444" i="2"/>
  <c r="N1396" i="2"/>
  <c r="L1336" i="2"/>
  <c r="L1276" i="2"/>
  <c r="L1216" i="2"/>
  <c r="L1156" i="2"/>
  <c r="N1108" i="2"/>
  <c r="M1048" i="2"/>
  <c r="M1610" i="2"/>
  <c r="L2157" i="2"/>
  <c r="L2097" i="2"/>
  <c r="N2049" i="2"/>
  <c r="M1989" i="2"/>
  <c r="M1929" i="2"/>
  <c r="L1869" i="2"/>
  <c r="L1809" i="2"/>
  <c r="N1761" i="2"/>
  <c r="L1701" i="2"/>
  <c r="E1028" i="2"/>
  <c r="E1114" i="2"/>
  <c r="E1243" i="2"/>
  <c r="D1447" i="2"/>
  <c r="E1599" i="2"/>
  <c r="M1518" i="2"/>
  <c r="M1422" i="2"/>
  <c r="N1326" i="2"/>
  <c r="L1230" i="2"/>
  <c r="L1134" i="2"/>
  <c r="N1038" i="2"/>
  <c r="N2171" i="2"/>
  <c r="N2075" i="2"/>
  <c r="M1979" i="2"/>
  <c r="N1883" i="2"/>
  <c r="M1787" i="2"/>
  <c r="N1691" i="2"/>
  <c r="L2394" i="2"/>
  <c r="L2334" i="2"/>
  <c r="M2286" i="2"/>
  <c r="L2226" i="2"/>
  <c r="L1553" i="2"/>
  <c r="M1493" i="2"/>
  <c r="L1433" i="2"/>
  <c r="N1385" i="2"/>
  <c r="N1325" i="2"/>
  <c r="N1265" i="2"/>
  <c r="M1205" i="2"/>
  <c r="L1145" i="2"/>
  <c r="N1097" i="2"/>
  <c r="N1037" i="2"/>
  <c r="N1599" i="2"/>
  <c r="L2146" i="2"/>
  <c r="N2086" i="2"/>
  <c r="L2038" i="2"/>
  <c r="L1978" i="2"/>
  <c r="N1918" i="2"/>
  <c r="N1858" i="2"/>
  <c r="L1798" i="2"/>
  <c r="N1750" i="2"/>
  <c r="N1690" i="2"/>
  <c r="N1630" i="2"/>
  <c r="L2345" i="2"/>
  <c r="N2285" i="2"/>
  <c r="N2237" i="2"/>
  <c r="N1564" i="2"/>
  <c r="N1504" i="2"/>
  <c r="M1444" i="2"/>
  <c r="L1384" i="2"/>
  <c r="N1336" i="2"/>
  <c r="N1276" i="2"/>
  <c r="N1216" i="2"/>
  <c r="M1156" i="2"/>
  <c r="L1096" i="2"/>
  <c r="N1048" i="2"/>
  <c r="N1610" i="2"/>
  <c r="N2157" i="2"/>
  <c r="M2097" i="2"/>
  <c r="L2037" i="2"/>
  <c r="N1989" i="2"/>
  <c r="N1929" i="2"/>
  <c r="N1869" i="2"/>
  <c r="M1809" i="2"/>
  <c r="L1749" i="2"/>
  <c r="N1701" i="2"/>
  <c r="L1641" i="2"/>
  <c r="N2356" i="2"/>
  <c r="M2296" i="2"/>
  <c r="L2236" i="2"/>
  <c r="N1575" i="2"/>
  <c r="N1515" i="2"/>
  <c r="N1455" i="2"/>
  <c r="M1395" i="2"/>
  <c r="L1335" i="2"/>
  <c r="N1287" i="2"/>
  <c r="N1227" i="2"/>
  <c r="N1167" i="2"/>
  <c r="M1107" i="2"/>
  <c r="L1047" i="2"/>
  <c r="L1621" i="2"/>
  <c r="N2180" i="2"/>
  <c r="N2132" i="2"/>
  <c r="N2084" i="2"/>
  <c r="N2036" i="2"/>
  <c r="L1988" i="2"/>
  <c r="N1940" i="2"/>
  <c r="N1892" i="2"/>
  <c r="M1844" i="2"/>
  <c r="M1796" i="2"/>
  <c r="M1748" i="2"/>
  <c r="N1700" i="2"/>
  <c r="N1652" i="2"/>
  <c r="N2379" i="2"/>
  <c r="N2331" i="2"/>
  <c r="N2283" i="2"/>
  <c r="L2235" i="2"/>
  <c r="M1574" i="2"/>
  <c r="M1526" i="2"/>
  <c r="M1478" i="2"/>
  <c r="M1430" i="2"/>
  <c r="M1382" i="2"/>
  <c r="N1334" i="2"/>
  <c r="N1286" i="2"/>
  <c r="L1238" i="2"/>
  <c r="L1190" i="2"/>
  <c r="L1142" i="2"/>
  <c r="L1094" i="2"/>
  <c r="N1046" i="2"/>
  <c r="N1620" i="2"/>
  <c r="M2179" i="2"/>
  <c r="N2131" i="2"/>
  <c r="N2083" i="2"/>
  <c r="M2035" i="2"/>
  <c r="M1987" i="2"/>
  <c r="M1939" i="2"/>
  <c r="N1891" i="2"/>
  <c r="M1843" i="2"/>
  <c r="L1795" i="2"/>
  <c r="L1747" i="2"/>
  <c r="N1699" i="2"/>
  <c r="N1651" i="2"/>
  <c r="N2378" i="2"/>
  <c r="N2330" i="2"/>
  <c r="E1104" i="2"/>
  <c r="D1764" i="2"/>
  <c r="E1680" i="2"/>
  <c r="D1788" i="2"/>
  <c r="N1590" i="2"/>
  <c r="L1494" i="2"/>
  <c r="L1398" i="2"/>
  <c r="M1302" i="2"/>
  <c r="N1206" i="2"/>
  <c r="N1110" i="2"/>
  <c r="M1014" i="2"/>
  <c r="M2147" i="2"/>
  <c r="M2051" i="2"/>
  <c r="N1955" i="2"/>
  <c r="L1859" i="2"/>
  <c r="M1763" i="2"/>
  <c r="L1667" i="2"/>
  <c r="N2394" i="2"/>
  <c r="M2334" i="2"/>
  <c r="M2274" i="2"/>
  <c r="M2214" i="2"/>
  <c r="L1541" i="2"/>
  <c r="N1493" i="2"/>
  <c r="M1433" i="2"/>
  <c r="M1373" i="2"/>
  <c r="L1313" i="2"/>
  <c r="L1253" i="2"/>
  <c r="N1205" i="2"/>
  <c r="M1145" i="2"/>
  <c r="M1085" i="2"/>
  <c r="L1025" i="2"/>
  <c r="M2194" i="2"/>
  <c r="M2146" i="2"/>
  <c r="L2086" i="2"/>
  <c r="N2026" i="2"/>
  <c r="M1966" i="2"/>
  <c r="L1906" i="2"/>
  <c r="M1858" i="2"/>
  <c r="M1798" i="2"/>
  <c r="M1738" i="2"/>
  <c r="L1678" i="2"/>
  <c r="N2393" i="2"/>
  <c r="M2345" i="2"/>
  <c r="L2285" i="2"/>
  <c r="M2225" i="2"/>
  <c r="L1552" i="2"/>
  <c r="L1492" i="2"/>
  <c r="N1444" i="2"/>
  <c r="M1384" i="2"/>
  <c r="L1324" i="2"/>
  <c r="L1264" i="2"/>
  <c r="L1204" i="2"/>
  <c r="N1156" i="2"/>
  <c r="M1096" i="2"/>
  <c r="M1036" i="2"/>
  <c r="L1598" i="2"/>
  <c r="L2145" i="2"/>
  <c r="N2097" i="2"/>
  <c r="N2037" i="2"/>
  <c r="M1977" i="2"/>
  <c r="L1917" i="2"/>
  <c r="L1857" i="2"/>
  <c r="N1809" i="2"/>
  <c r="M1749" i="2"/>
  <c r="L1689" i="2"/>
  <c r="M1629" i="2"/>
  <c r="L2344" i="2"/>
  <c r="N2296" i="2"/>
  <c r="N2236" i="2"/>
  <c r="M1563" i="2"/>
  <c r="L1503" i="2"/>
  <c r="L1443" i="2"/>
  <c r="N1395" i="2"/>
  <c r="M1335" i="2"/>
  <c r="M1275" i="2"/>
  <c r="L1215" i="2"/>
  <c r="L1155" i="2"/>
  <c r="N1107" i="2"/>
  <c r="M1047" i="2"/>
  <c r="M1609" i="2"/>
  <c r="L2168" i="2"/>
  <c r="L2120" i="2"/>
  <c r="L2072" i="2"/>
  <c r="M2024" i="2"/>
  <c r="M1976" i="2"/>
  <c r="M1928" i="2"/>
  <c r="M1880" i="2"/>
  <c r="L1832" i="2"/>
  <c r="L1784" i="2"/>
  <c r="L1736" i="2"/>
  <c r="L1688" i="2"/>
  <c r="L1640" i="2"/>
  <c r="L2367" i="2"/>
  <c r="L2319" i="2"/>
  <c r="L2271" i="2"/>
  <c r="M2223" i="2"/>
  <c r="L1562" i="2"/>
  <c r="N1514" i="2"/>
  <c r="N1466" i="2"/>
  <c r="N1418" i="2"/>
  <c r="N1370" i="2"/>
  <c r="L1322" i="2"/>
  <c r="L1274" i="2"/>
  <c r="M1226" i="2"/>
  <c r="M1178" i="2"/>
  <c r="M1130" i="2"/>
  <c r="M1082" i="2"/>
  <c r="L1034" i="2"/>
  <c r="L1608" i="2"/>
  <c r="L2167" i="2"/>
  <c r="L2119" i="2"/>
  <c r="L2071" i="2"/>
  <c r="L2023" i="2"/>
  <c r="L1975" i="2"/>
  <c r="L1927" i="2"/>
  <c r="L1879" i="2"/>
  <c r="N1831" i="2"/>
  <c r="N1783" i="2"/>
  <c r="N1735" i="2"/>
  <c r="L1687" i="2"/>
  <c r="L1639" i="2"/>
  <c r="L2366" i="2"/>
  <c r="M2318" i="2"/>
  <c r="M2270" i="2"/>
  <c r="M2222" i="2"/>
  <c r="M1561" i="2"/>
  <c r="L1513" i="2"/>
  <c r="E2105" i="2"/>
  <c r="D1027" i="2"/>
  <c r="E1423" i="2"/>
  <c r="D1195" i="2"/>
  <c r="M1590" i="2"/>
  <c r="M1494" i="2"/>
  <c r="M1398" i="2"/>
  <c r="N1302" i="2"/>
  <c r="L1206" i="2"/>
  <c r="L1110" i="2"/>
  <c r="N1014" i="2"/>
  <c r="N2147" i="2"/>
  <c r="N2051" i="2"/>
  <c r="D2005" i="2"/>
  <c r="E1704" i="2"/>
  <c r="D1625" i="2"/>
  <c r="E1351" i="2"/>
  <c r="L1578" i="2"/>
  <c r="N1482" i="2"/>
  <c r="N1386" i="2"/>
  <c r="L1290" i="2"/>
  <c r="M1194" i="2"/>
  <c r="M1098" i="2"/>
  <c r="L1624" i="2"/>
  <c r="L2135" i="2"/>
  <c r="L2039" i="2"/>
  <c r="D1544" i="2"/>
  <c r="D1075" i="2"/>
  <c r="D2028" i="2"/>
  <c r="E1207" i="2"/>
  <c r="M1578" i="2"/>
  <c r="L1482" i="2"/>
  <c r="L1386" i="2"/>
  <c r="M1290" i="2"/>
  <c r="N1194" i="2"/>
  <c r="N1098" i="2"/>
  <c r="M1624" i="2"/>
  <c r="M2135" i="2"/>
  <c r="N2039" i="2"/>
  <c r="N1943" i="2"/>
  <c r="L1847" i="2"/>
  <c r="L1751" i="2"/>
  <c r="L1655" i="2"/>
  <c r="N2382" i="2"/>
  <c r="N2322" i="2"/>
  <c r="N2262" i="2"/>
  <c r="N1589" i="2"/>
  <c r="L1529" i="2"/>
  <c r="N1481" i="2"/>
  <c r="N1421" i="2"/>
  <c r="N1361" i="2"/>
  <c r="M1301" i="2"/>
  <c r="L1241" i="2"/>
  <c r="N1193" i="2"/>
  <c r="N1133" i="2"/>
  <c r="N1073" i="2"/>
  <c r="L1013" i="2"/>
  <c r="N2182" i="2"/>
  <c r="M2134" i="2"/>
  <c r="M2074" i="2"/>
  <c r="L2014" i="2"/>
  <c r="N1954" i="2"/>
  <c r="L1894" i="2"/>
  <c r="M1846" i="2"/>
  <c r="N1786" i="2"/>
  <c r="N1726" i="2"/>
  <c r="N1666" i="2"/>
  <c r="N2381" i="2"/>
  <c r="M2333" i="2"/>
  <c r="M2273" i="2"/>
  <c r="N2213" i="2"/>
  <c r="M1540" i="2"/>
  <c r="L1480" i="2"/>
  <c r="N1432" i="2"/>
  <c r="N1372" i="2"/>
  <c r="N1312" i="2"/>
  <c r="M1252" i="2"/>
  <c r="L1192" i="2"/>
  <c r="N1144" i="2"/>
  <c r="N1084" i="2"/>
  <c r="N1024" i="2"/>
  <c r="M2193" i="2"/>
  <c r="L2133" i="2"/>
  <c r="N2085" i="2"/>
  <c r="N2025" i="2"/>
  <c r="N1965" i="2"/>
  <c r="M1905" i="2"/>
  <c r="L1845" i="2"/>
  <c r="N1797" i="2"/>
  <c r="N1737" i="2"/>
  <c r="N1677" i="2"/>
  <c r="M2392" i="2"/>
  <c r="L2332" i="2"/>
  <c r="N2284" i="2"/>
  <c r="M2224" i="2"/>
  <c r="N1551" i="2"/>
  <c r="M1491" i="2"/>
  <c r="L1431" i="2"/>
  <c r="N1383" i="2"/>
  <c r="N1323" i="2"/>
  <c r="N1263" i="2"/>
  <c r="M1203" i="2"/>
  <c r="L1143" i="2"/>
  <c r="N1095" i="2"/>
  <c r="N1035" i="2"/>
  <c r="M1597" i="2"/>
  <c r="L2156" i="2"/>
  <c r="L2108" i="2"/>
  <c r="L2060" i="2"/>
  <c r="M2012" i="2"/>
  <c r="M1964" i="2"/>
  <c r="M1916" i="2"/>
  <c r="L1868" i="2"/>
  <c r="L1820" i="2"/>
  <c r="L1772" i="2"/>
  <c r="L1724" i="2"/>
  <c r="L1676" i="2"/>
  <c r="L1628" i="2"/>
  <c r="L2355" i="2"/>
  <c r="L2307" i="2"/>
  <c r="L2259" i="2"/>
  <c r="M2211" i="2"/>
  <c r="L1550" i="2"/>
  <c r="N1502" i="2"/>
  <c r="N1454" i="2"/>
  <c r="N1406" i="2"/>
  <c r="N1358" i="2"/>
  <c r="L1310" i="2"/>
  <c r="M1262" i="2"/>
  <c r="M1214" i="2"/>
  <c r="M1166" i="2"/>
  <c r="M1118" i="2"/>
  <c r="M1070" i="2"/>
  <c r="L1022" i="2"/>
  <c r="L1596" i="2"/>
  <c r="L2155" i="2"/>
  <c r="L2107" i="2"/>
  <c r="L2059" i="2"/>
  <c r="L2011" i="2"/>
  <c r="L1963" i="2"/>
  <c r="L1915" i="2"/>
  <c r="N1867" i="2"/>
  <c r="N1819" i="2"/>
  <c r="N1771" i="2"/>
  <c r="N1723" i="2"/>
  <c r="L1675" i="2"/>
  <c r="L2402" i="2"/>
  <c r="L2354" i="2"/>
  <c r="L2306" i="2"/>
  <c r="L1050" i="2"/>
  <c r="M1931" i="2"/>
  <c r="M1739" i="2"/>
  <c r="N2370" i="2"/>
  <c r="N2250" i="2"/>
  <c r="N1529" i="2"/>
  <c r="N1409" i="2"/>
  <c r="L1289" i="2"/>
  <c r="N1181" i="2"/>
  <c r="M1061" i="2"/>
  <c r="L2182" i="2"/>
  <c r="M2062" i="2"/>
  <c r="M1942" i="2"/>
  <c r="M1834" i="2"/>
  <c r="M1714" i="2"/>
  <c r="M2381" i="2"/>
  <c r="M2261" i="2"/>
  <c r="L1528" i="2"/>
  <c r="N1420" i="2"/>
  <c r="L1300" i="2"/>
  <c r="N1192" i="2"/>
  <c r="N1072" i="2"/>
  <c r="L2181" i="2"/>
  <c r="N2073" i="2"/>
  <c r="M1953" i="2"/>
  <c r="N1845" i="2"/>
  <c r="N1725" i="2"/>
  <c r="L1629" i="2"/>
  <c r="N2320" i="2"/>
  <c r="M2236" i="2"/>
  <c r="L1527" i="2"/>
  <c r="M1443" i="2"/>
  <c r="N1359" i="2"/>
  <c r="N1275" i="2"/>
  <c r="N1191" i="2"/>
  <c r="L1095" i="2"/>
  <c r="M1011" i="2"/>
  <c r="M2168" i="2"/>
  <c r="M2096" i="2"/>
  <c r="L2024" i="2"/>
  <c r="L1952" i="2"/>
  <c r="L1880" i="2"/>
  <c r="N1808" i="2"/>
  <c r="N1736" i="2"/>
  <c r="M1664" i="2"/>
  <c r="M2367" i="2"/>
  <c r="M2295" i="2"/>
  <c r="N2223" i="2"/>
  <c r="L1538" i="2"/>
  <c r="L1466" i="2"/>
  <c r="L1394" i="2"/>
  <c r="M1322" i="2"/>
  <c r="N1250" i="2"/>
  <c r="N1178" i="2"/>
  <c r="N1106" i="2"/>
  <c r="M1034" i="2"/>
  <c r="N2191" i="2"/>
  <c r="M2119" i="2"/>
  <c r="N2047" i="2"/>
  <c r="N1975" i="2"/>
  <c r="M1903" i="2"/>
  <c r="L1831" i="2"/>
  <c r="L1759" i="2"/>
  <c r="M1687" i="2"/>
  <c r="M2390" i="2"/>
  <c r="L2318" i="2"/>
  <c r="M2258" i="2"/>
  <c r="N1585" i="2"/>
  <c r="L1525" i="2"/>
  <c r="N1477" i="2"/>
  <c r="N1429" i="2"/>
  <c r="N1381" i="2"/>
  <c r="N1333" i="2"/>
  <c r="N1285" i="2"/>
  <c r="N1237" i="2"/>
  <c r="N1189" i="2"/>
  <c r="N1141" i="2"/>
  <c r="N1093" i="2"/>
  <c r="N1045" i="2"/>
  <c r="N1619" i="2"/>
  <c r="M2178" i="2"/>
  <c r="M2130" i="2"/>
  <c r="M2082" i="2"/>
  <c r="L2034" i="2"/>
  <c r="L1986" i="2"/>
  <c r="N1938" i="2"/>
  <c r="N1890" i="2"/>
  <c r="M1842" i="2"/>
  <c r="N1794" i="2"/>
  <c r="N1746" i="2"/>
  <c r="N1698" i="2"/>
  <c r="M1650" i="2"/>
  <c r="M2377" i="2"/>
  <c r="M2329" i="2"/>
  <c r="M2281" i="2"/>
  <c r="N2233" i="2"/>
  <c r="N1572" i="2"/>
  <c r="N1524" i="2"/>
  <c r="N1476" i="2"/>
  <c r="N1428" i="2"/>
  <c r="N1380" i="2"/>
  <c r="N1332" i="2"/>
  <c r="N1284" i="2"/>
  <c r="N1236" i="2"/>
  <c r="N1188" i="2"/>
  <c r="N1140" i="2"/>
  <c r="N1092" i="2"/>
  <c r="N1044" i="2"/>
  <c r="M1606" i="2"/>
  <c r="N2165" i="2"/>
  <c r="N2117" i="2"/>
  <c r="N2069" i="2"/>
  <c r="M2021" i="2"/>
  <c r="N1973" i="2"/>
  <c r="M1050" i="2"/>
  <c r="N1907" i="2"/>
  <c r="L1715" i="2"/>
  <c r="N2358" i="2"/>
  <c r="M2238" i="2"/>
  <c r="N1517" i="2"/>
  <c r="M1397" i="2"/>
  <c r="N1289" i="2"/>
  <c r="N1169" i="2"/>
  <c r="L1049" i="2"/>
  <c r="M2170" i="2"/>
  <c r="L2050" i="2"/>
  <c r="L1942" i="2"/>
  <c r="M1822" i="2"/>
  <c r="L1702" i="2"/>
  <c r="M2369" i="2"/>
  <c r="M2249" i="2"/>
  <c r="N1528" i="2"/>
  <c r="N1408" i="2"/>
  <c r="M1288" i="2"/>
  <c r="N1180" i="2"/>
  <c r="M1060" i="2"/>
  <c r="N2181" i="2"/>
  <c r="N2061" i="2"/>
  <c r="L1941" i="2"/>
  <c r="N1833" i="2"/>
  <c r="M1713" i="2"/>
  <c r="L2392" i="2"/>
  <c r="L2308" i="2"/>
  <c r="N2224" i="2"/>
  <c r="M1527" i="2"/>
  <c r="N1443" i="2"/>
  <c r="L1347" i="2"/>
  <c r="L1263" i="2"/>
  <c r="M1179" i="2"/>
  <c r="M1095" i="2"/>
  <c r="N1011" i="2"/>
  <c r="N2168" i="2"/>
  <c r="N2096" i="2"/>
  <c r="N2024" i="2"/>
  <c r="N1952" i="2"/>
  <c r="N1880" i="2"/>
  <c r="M1808" i="2"/>
  <c r="M1736" i="2"/>
  <c r="N1664" i="2"/>
  <c r="N2367" i="2"/>
  <c r="N2295" i="2"/>
  <c r="L2223" i="2"/>
  <c r="M1538" i="2"/>
  <c r="M1466" i="2"/>
  <c r="M1394" i="2"/>
  <c r="N1322" i="2"/>
  <c r="L1250" i="2"/>
  <c r="L1178" i="2"/>
  <c r="L1106" i="2"/>
  <c r="N1034" i="2"/>
  <c r="L2191" i="2"/>
  <c r="N2119" i="2"/>
  <c r="M2047" i="2"/>
  <c r="M1975" i="2"/>
  <c r="N1903" i="2"/>
  <c r="M1831" i="2"/>
  <c r="M1759" i="2"/>
  <c r="N1687" i="2"/>
  <c r="N2390" i="2"/>
  <c r="N2318" i="2"/>
  <c r="N2258" i="2"/>
  <c r="L1585" i="2"/>
  <c r="M1525" i="2"/>
  <c r="L1465" i="2"/>
  <c r="L1417" i="2"/>
  <c r="L1369" i="2"/>
  <c r="L1321" i="2"/>
  <c r="L1273" i="2"/>
  <c r="L1225" i="2"/>
  <c r="L1177" i="2"/>
  <c r="L1129" i="2"/>
  <c r="L1081" i="2"/>
  <c r="L1033" i="2"/>
  <c r="L1607" i="2"/>
  <c r="N2166" i="2"/>
  <c r="N2118" i="2"/>
  <c r="N2070" i="2"/>
  <c r="M2022" i="2"/>
  <c r="M1974" i="2"/>
  <c r="L1926" i="2"/>
  <c r="L1878" i="2"/>
  <c r="L1830" i="2"/>
  <c r="L1782" i="2"/>
  <c r="L1734" i="2"/>
  <c r="L1686" i="2"/>
  <c r="L1638" i="2"/>
  <c r="N2365" i="2"/>
  <c r="N2317" i="2"/>
  <c r="N2269" i="2"/>
  <c r="L2221" i="2"/>
  <c r="L1560" i="2"/>
  <c r="L1512" i="2"/>
  <c r="L1464" i="2"/>
  <c r="L1416" i="2"/>
  <c r="L1368" i="2"/>
  <c r="M1320" i="2"/>
  <c r="M1272" i="2"/>
  <c r="L1224" i="2"/>
  <c r="L1176" i="2"/>
  <c r="L1128" i="2"/>
  <c r="L1080" i="2"/>
  <c r="L1032" i="2"/>
  <c r="L2201" i="2"/>
  <c r="L2153" i="2"/>
  <c r="L2105" i="2"/>
  <c r="L2057" i="2"/>
  <c r="L2009" i="2"/>
  <c r="L1961" i="2"/>
  <c r="L1913" i="2"/>
  <c r="L1865" i="2"/>
  <c r="L1817" i="2"/>
  <c r="L1769" i="2"/>
  <c r="L1721" i="2"/>
  <c r="M1673" i="2"/>
  <c r="L2400" i="2"/>
  <c r="L2352" i="2"/>
  <c r="L2304" i="2"/>
  <c r="L2256" i="2"/>
  <c r="L2208" i="2"/>
  <c r="L1559" i="2"/>
  <c r="L1511" i="2"/>
  <c r="L1463" i="2"/>
  <c r="L1415" i="2"/>
  <c r="L1367" i="2"/>
  <c r="L1319" i="2"/>
  <c r="L1271" i="2"/>
  <c r="L1223" i="2"/>
  <c r="L1175" i="2"/>
  <c r="L1127" i="2"/>
  <c r="L1079" i="2"/>
  <c r="L1031" i="2"/>
  <c r="L2200" i="2"/>
  <c r="L2152" i="2"/>
  <c r="L2104" i="2"/>
  <c r="L2056" i="2"/>
  <c r="M2008" i="2"/>
  <c r="M1960" i="2"/>
  <c r="M1912" i="2"/>
  <c r="L1864" i="2"/>
  <c r="L1816" i="2"/>
  <c r="L1768" i="2"/>
  <c r="L1720" i="2"/>
  <c r="L1672" i="2"/>
  <c r="L2399" i="2"/>
  <c r="L2351" i="2"/>
  <c r="L2303" i="2"/>
  <c r="L2255" i="2"/>
  <c r="M2207" i="2"/>
  <c r="L1558" i="2"/>
  <c r="N1510" i="2"/>
  <c r="N1462" i="2"/>
  <c r="N1414" i="2"/>
  <c r="N1366" i="2"/>
  <c r="L1318" i="2"/>
  <c r="L1270" i="2"/>
  <c r="M1222" i="2"/>
  <c r="M1174" i="2"/>
  <c r="M1126" i="2"/>
  <c r="M1078" i="2"/>
  <c r="L1030" i="2"/>
  <c r="M2199" i="2"/>
  <c r="L2151" i="2"/>
  <c r="L2103" i="2"/>
  <c r="L2055" i="2"/>
  <c r="L2007" i="2"/>
  <c r="L1959" i="2"/>
  <c r="L1911" i="2"/>
  <c r="N1863" i="2"/>
  <c r="N1815" i="2"/>
  <c r="N1767" i="2"/>
  <c r="N1719" i="2"/>
  <c r="L1671" i="2"/>
  <c r="M2398" i="2"/>
  <c r="L2350" i="2"/>
  <c r="L2302" i="2"/>
  <c r="N2254" i="2"/>
  <c r="M2206" i="2"/>
  <c r="M1557" i="2"/>
  <c r="L1509" i="2"/>
  <c r="L1461" i="2"/>
  <c r="L2183" i="2"/>
  <c r="L1895" i="2"/>
  <c r="L1703" i="2"/>
  <c r="M2346" i="2"/>
  <c r="N2238" i="2"/>
  <c r="L1505" i="2"/>
  <c r="N1397" i="2"/>
  <c r="M1277" i="2"/>
  <c r="L1157" i="2"/>
  <c r="M1049" i="2"/>
  <c r="N2158" i="2"/>
  <c r="M2050" i="2"/>
  <c r="M1930" i="2"/>
  <c r="L1810" i="2"/>
  <c r="M1702" i="2"/>
  <c r="N2357" i="2"/>
  <c r="N2249" i="2"/>
  <c r="M1516" i="2"/>
  <c r="L1396" i="2"/>
  <c r="L1288" i="2"/>
  <c r="L1168" i="2"/>
  <c r="N1060" i="2"/>
  <c r="M2169" i="2"/>
  <c r="L2049" i="2"/>
  <c r="M1941" i="2"/>
  <c r="L1821" i="2"/>
  <c r="N1713" i="2"/>
  <c r="N2392" i="2"/>
  <c r="N2308" i="2"/>
  <c r="L2212" i="2"/>
  <c r="N1527" i="2"/>
  <c r="M1431" i="2"/>
  <c r="M1347" i="2"/>
  <c r="L1251" i="2"/>
  <c r="N1179" i="2"/>
  <c r="M1083" i="2"/>
  <c r="M1621" i="2"/>
  <c r="M2156" i="2"/>
  <c r="L2084" i="2"/>
  <c r="L2012" i="2"/>
  <c r="M1940" i="2"/>
  <c r="N1868" i="2"/>
  <c r="L1796" i="2"/>
  <c r="N1724" i="2"/>
  <c r="L1652" i="2"/>
  <c r="M2355" i="2"/>
  <c r="L2283" i="2"/>
  <c r="N2211" i="2"/>
  <c r="N1526" i="2"/>
  <c r="L1454" i="2"/>
  <c r="N1382" i="2"/>
  <c r="M1310" i="2"/>
  <c r="M1238" i="2"/>
  <c r="N1166" i="2"/>
  <c r="M1094" i="2"/>
  <c r="M1022" i="2"/>
  <c r="L2179" i="2"/>
  <c r="M2107" i="2"/>
  <c r="L2035" i="2"/>
  <c r="N1963" i="2"/>
  <c r="M2183" i="2"/>
  <c r="M1895" i="2"/>
  <c r="M1703" i="2"/>
  <c r="L2346" i="2"/>
  <c r="L2238" i="2"/>
  <c r="N1505" i="2"/>
  <c r="L1385" i="2"/>
  <c r="N1277" i="2"/>
  <c r="M1157" i="2"/>
  <c r="N1049" i="2"/>
  <c r="M2158" i="2"/>
  <c r="M2038" i="2"/>
  <c r="N1930" i="2"/>
  <c r="N1810" i="2"/>
  <c r="N1702" i="2"/>
  <c r="M2357" i="2"/>
  <c r="L2237" i="2"/>
  <c r="N1516" i="2"/>
  <c r="M1396" i="2"/>
  <c r="N1288" i="2"/>
  <c r="N1168" i="2"/>
  <c r="L1048" i="2"/>
  <c r="N2169" i="2"/>
  <c r="M2049" i="2"/>
  <c r="N1941" i="2"/>
  <c r="N1821" i="2"/>
  <c r="M1701" i="2"/>
  <c r="L2380" i="2"/>
  <c r="L2296" i="2"/>
  <c r="M2212" i="2"/>
  <c r="M1515" i="2"/>
  <c r="N1431" i="2"/>
  <c r="N1347" i="2"/>
  <c r="M1251" i="2"/>
  <c r="L1167" i="2"/>
  <c r="N1083" i="2"/>
  <c r="N1621" i="2"/>
  <c r="N2156" i="2"/>
  <c r="M2084" i="2"/>
  <c r="N2012" i="2"/>
  <c r="L1940" i="2"/>
  <c r="M1868" i="2"/>
  <c r="N1796" i="2"/>
  <c r="M1724" i="2"/>
  <c r="M1652" i="2"/>
  <c r="N2355" i="2"/>
  <c r="M2283" i="2"/>
  <c r="L2211" i="2"/>
  <c r="L1526" i="2"/>
  <c r="M1454" i="2"/>
  <c r="L1382" i="2"/>
  <c r="N1310" i="2"/>
  <c r="N1238" i="2"/>
  <c r="L1166" i="2"/>
  <c r="N1094" i="2"/>
  <c r="N1022" i="2"/>
  <c r="N2179" i="2"/>
  <c r="N2107" i="2"/>
  <c r="N2035" i="2"/>
  <c r="M1963" i="2"/>
  <c r="M1891" i="2"/>
  <c r="M1819" i="2"/>
  <c r="M1747" i="2"/>
  <c r="N1675" i="2"/>
  <c r="M2378" i="2"/>
  <c r="M2306" i="2"/>
  <c r="L2246" i="2"/>
  <c r="N1573" i="2"/>
  <c r="M1513" i="2"/>
  <c r="N1465" i="2"/>
  <c r="N1417" i="2"/>
  <c r="N1369" i="2"/>
  <c r="N1321" i="2"/>
  <c r="N1273" i="2"/>
  <c r="N1225" i="2"/>
  <c r="N1177" i="2"/>
  <c r="N1129" i="2"/>
  <c r="N1081" i="2"/>
  <c r="N1033" i="2"/>
  <c r="N1607" i="2"/>
  <c r="M2166" i="2"/>
  <c r="M2118" i="2"/>
  <c r="M2070" i="2"/>
  <c r="L2022" i="2"/>
  <c r="L1974" i="2"/>
  <c r="N1926" i="2"/>
  <c r="N1878" i="2"/>
  <c r="M1830" i="2"/>
  <c r="N1782" i="2"/>
  <c r="N1734" i="2"/>
  <c r="N1686" i="2"/>
  <c r="M1638" i="2"/>
  <c r="M2365" i="2"/>
  <c r="M2317" i="2"/>
  <c r="M2269" i="2"/>
  <c r="N2221" i="2"/>
  <c r="N1560" i="2"/>
  <c r="N1512" i="2"/>
  <c r="N1464" i="2"/>
  <c r="N1416" i="2"/>
  <c r="N1368" i="2"/>
  <c r="N1320" i="2"/>
  <c r="N1272" i="2"/>
  <c r="N1224" i="2"/>
  <c r="N1176" i="2"/>
  <c r="N1128" i="2"/>
  <c r="N1080" i="2"/>
  <c r="N1032" i="2"/>
  <c r="N2201" i="2"/>
  <c r="N2153" i="2"/>
  <c r="N2105" i="2"/>
  <c r="N2057" i="2"/>
  <c r="N2009" i="2"/>
  <c r="N1961" i="2"/>
  <c r="N1913" i="2"/>
  <c r="N1865" i="2"/>
  <c r="N1817" i="2"/>
  <c r="N1769" i="2"/>
  <c r="N1721" i="2"/>
  <c r="L1673" i="2"/>
  <c r="N2400" i="2"/>
  <c r="N2352" i="2"/>
  <c r="N2304" i="2"/>
  <c r="N2256" i="2"/>
  <c r="M2208" i="2"/>
  <c r="N1559" i="2"/>
  <c r="N1511" i="2"/>
  <c r="N1463" i="2"/>
  <c r="L2087" i="2"/>
  <c r="M1859" i="2"/>
  <c r="M1667" i="2"/>
  <c r="N2334" i="2"/>
  <c r="L2214" i="2"/>
  <c r="L1481" i="2"/>
  <c r="N1373" i="2"/>
  <c r="M1253" i="2"/>
  <c r="N1145" i="2"/>
  <c r="N1025" i="2"/>
  <c r="N2134" i="2"/>
  <c r="L2026" i="2"/>
  <c r="M1906" i="2"/>
  <c r="N1798" i="2"/>
  <c r="N1678" i="2"/>
  <c r="N2333" i="2"/>
  <c r="N2225" i="2"/>
  <c r="M1492" i="2"/>
  <c r="N1384" i="2"/>
  <c r="N1264" i="2"/>
  <c r="L1144" i="2"/>
  <c r="N1036" i="2"/>
  <c r="M2145" i="2"/>
  <c r="M2037" i="2"/>
  <c r="N1917" i="2"/>
  <c r="L1797" i="2"/>
  <c r="N1689" i="2"/>
  <c r="N2380" i="2"/>
  <c r="L2284" i="2"/>
  <c r="M1587" i="2"/>
  <c r="N1503" i="2"/>
  <c r="N1419" i="2"/>
  <c r="N1335" i="2"/>
  <c r="L1239" i="2"/>
  <c r="M1155" i="2"/>
  <c r="N1071" i="2"/>
  <c r="N1609" i="2"/>
  <c r="M2144" i="2"/>
  <c r="M2072" i="2"/>
  <c r="L2000" i="2"/>
  <c r="L1928" i="2"/>
  <c r="N1856" i="2"/>
  <c r="N1784" i="2"/>
  <c r="N1712" i="2"/>
  <c r="M1640" i="2"/>
  <c r="M2343" i="2"/>
  <c r="M2271" i="2"/>
  <c r="M1586" i="2"/>
  <c r="L1514" i="2"/>
  <c r="L1442" i="2"/>
  <c r="L1370" i="2"/>
  <c r="M1298" i="2"/>
  <c r="N1226" i="2"/>
  <c r="N1154" i="2"/>
  <c r="N1082" i="2"/>
  <c r="M1010" i="2"/>
  <c r="M2167" i="2"/>
  <c r="N2095" i="2"/>
  <c r="N2023" i="2"/>
  <c r="N1951" i="2"/>
  <c r="M1879" i="2"/>
  <c r="L1807" i="2"/>
  <c r="L1735" i="2"/>
  <c r="M1663" i="2"/>
  <c r="M2366" i="2"/>
  <c r="N2294" i="2"/>
  <c r="M2234" i="2"/>
  <c r="L1573" i="2"/>
  <c r="N1513" i="2"/>
  <c r="L1453" i="2"/>
  <c r="L1405" i="2"/>
  <c r="L1357" i="2"/>
  <c r="L1309" i="2"/>
  <c r="L1261" i="2"/>
  <c r="L1213" i="2"/>
  <c r="L1165" i="2"/>
  <c r="L1117" i="2"/>
  <c r="L1069" i="2"/>
  <c r="L1021" i="2"/>
  <c r="M2202" i="2"/>
  <c r="N2154" i="2"/>
  <c r="N2106" i="2"/>
  <c r="N2058" i="2"/>
  <c r="M2010" i="2"/>
  <c r="M1962" i="2"/>
  <c r="L1914" i="2"/>
  <c r="L1866" i="2"/>
  <c r="L1818" i="2"/>
  <c r="L1770" i="2"/>
  <c r="L1722" i="2"/>
  <c r="L1674" i="2"/>
  <c r="N2401" i="2"/>
  <c r="N2353" i="2"/>
  <c r="N2305" i="2"/>
  <c r="N2257" i="2"/>
  <c r="L2209" i="2"/>
  <c r="L1548" i="2"/>
  <c r="L1500" i="2"/>
  <c r="L1452" i="2"/>
  <c r="L1404" i="2"/>
  <c r="L1356" i="2"/>
  <c r="M1308" i="2"/>
  <c r="L1260" i="2"/>
  <c r="L1212" i="2"/>
  <c r="L1164" i="2"/>
  <c r="L1116" i="2"/>
  <c r="L1068" i="2"/>
  <c r="L1020" i="2"/>
  <c r="L2189" i="2"/>
  <c r="M2087" i="2"/>
  <c r="N1847" i="2"/>
  <c r="N1667" i="2"/>
  <c r="M2322" i="2"/>
  <c r="M1589" i="2"/>
  <c r="M1481" i="2"/>
  <c r="L1361" i="2"/>
  <c r="N1253" i="2"/>
  <c r="M1133" i="2"/>
  <c r="N1013" i="2"/>
  <c r="L2134" i="2"/>
  <c r="M2014" i="2"/>
  <c r="N1906" i="2"/>
  <c r="M1786" i="2"/>
  <c r="L1666" i="2"/>
  <c r="L2333" i="2"/>
  <c r="L2213" i="2"/>
  <c r="N1492" i="2"/>
  <c r="M1372" i="2"/>
  <c r="L1252" i="2"/>
  <c r="M1144" i="2"/>
  <c r="L1024" i="2"/>
  <c r="N2145" i="2"/>
  <c r="M2025" i="2"/>
  <c r="L1905" i="2"/>
  <c r="M1797" i="2"/>
  <c r="M1677" i="2"/>
  <c r="M2368" i="2"/>
  <c r="M2284" i="2"/>
  <c r="N1587" i="2"/>
  <c r="L1491" i="2"/>
  <c r="L1407" i="2"/>
  <c r="M1323" i="2"/>
  <c r="M1239" i="2"/>
  <c r="N1155" i="2"/>
  <c r="L1059" i="2"/>
  <c r="L1609" i="2"/>
  <c r="N2144" i="2"/>
  <c r="N2072" i="2"/>
  <c r="N2000" i="2"/>
  <c r="N1928" i="2"/>
  <c r="M1856" i="2"/>
  <c r="M1784" i="2"/>
  <c r="M1712" i="2"/>
  <c r="N1640" i="2"/>
  <c r="N2343" i="2"/>
  <c r="N2271" i="2"/>
  <c r="N1586" i="2"/>
  <c r="M1514" i="2"/>
  <c r="M1442" i="2"/>
  <c r="M1370" i="2"/>
  <c r="N1298" i="2"/>
  <c r="L1226" i="2"/>
  <c r="L1154" i="2"/>
  <c r="L1082" i="2"/>
  <c r="N1010" i="2"/>
  <c r="N2167" i="2"/>
  <c r="M2095" i="2"/>
  <c r="M2023" i="2"/>
  <c r="M1951" i="2"/>
  <c r="N1879" i="2"/>
  <c r="M1807" i="2"/>
  <c r="M1735" i="2"/>
  <c r="N1663" i="2"/>
  <c r="N2366" i="2"/>
  <c r="L2294" i="2"/>
  <c r="N2234" i="2"/>
  <c r="N1561" i="2"/>
  <c r="L1501" i="2"/>
  <c r="M1453" i="2"/>
  <c r="M1405" i="2"/>
  <c r="M1357" i="2"/>
  <c r="M1309" i="2"/>
  <c r="M1261" i="2"/>
  <c r="M1213" i="2"/>
  <c r="M1165" i="2"/>
  <c r="M1117" i="2"/>
  <c r="M1069" i="2"/>
  <c r="M1021" i="2"/>
  <c r="N2202" i="2"/>
  <c r="L2154" i="2"/>
  <c r="L2106" i="2"/>
  <c r="L2058" i="2"/>
  <c r="N2010" i="2"/>
  <c r="N1962" i="2"/>
  <c r="M1914" i="2"/>
  <c r="N1866" i="2"/>
  <c r="N1818" i="2"/>
  <c r="M1770" i="2"/>
  <c r="M1722" i="2"/>
  <c r="M1674" i="2"/>
  <c r="L2401" i="2"/>
  <c r="L2353" i="2"/>
  <c r="L2305" i="2"/>
  <c r="L2257" i="2"/>
  <c r="M2209" i="2"/>
  <c r="M1548" i="2"/>
  <c r="M1500" i="2"/>
  <c r="M1452" i="2"/>
  <c r="M1404" i="2"/>
  <c r="M1356" i="2"/>
  <c r="L1308" i="2"/>
  <c r="M1260" i="2"/>
  <c r="M1212" i="2"/>
  <c r="M1164" i="2"/>
  <c r="M1116" i="2"/>
  <c r="M1068" i="2"/>
  <c r="M1020" i="2"/>
  <c r="M2189" i="2"/>
  <c r="M2027" i="2"/>
  <c r="M1835" i="2"/>
  <c r="N1655" i="2"/>
  <c r="M2310" i="2"/>
  <c r="M1577" i="2"/>
  <c r="N1469" i="2"/>
  <c r="M1349" i="2"/>
  <c r="N1241" i="2"/>
  <c r="N1121" i="2"/>
  <c r="L1623" i="2"/>
  <c r="M2122" i="2"/>
  <c r="N2002" i="2"/>
  <c r="N1894" i="2"/>
  <c r="N1774" i="2"/>
  <c r="L1654" i="2"/>
  <c r="M2321" i="2"/>
  <c r="M1588" i="2"/>
  <c r="N1480" i="2"/>
  <c r="N1360" i="2"/>
  <c r="L1240" i="2"/>
  <c r="N1132" i="2"/>
  <c r="M1012" i="2"/>
  <c r="N2133" i="2"/>
  <c r="M2013" i="2"/>
  <c r="L1893" i="2"/>
  <c r="N1785" i="2"/>
  <c r="M1665" i="2"/>
  <c r="N2368" i="2"/>
  <c r="M2272" i="2"/>
  <c r="L1575" i="2"/>
  <c r="N1491" i="2"/>
  <c r="N1407" i="2"/>
  <c r="L1311" i="2"/>
  <c r="N1239" i="2"/>
  <c r="M1143" i="2"/>
  <c r="M1059" i="2"/>
  <c r="N1597" i="2"/>
  <c r="L2132" i="2"/>
  <c r="M2060" i="2"/>
  <c r="M1988" i="2"/>
  <c r="L1916" i="2"/>
  <c r="L1844" i="2"/>
  <c r="N1772" i="2"/>
  <c r="L1700" i="2"/>
  <c r="M1628" i="2"/>
  <c r="L2331" i="2"/>
  <c r="M2259" i="2"/>
  <c r="L1574" i="2"/>
  <c r="L1502" i="2"/>
  <c r="N1430" i="2"/>
  <c r="L1358" i="2"/>
  <c r="L1286" i="2"/>
  <c r="N1214" i="2"/>
  <c r="M1142" i="2"/>
  <c r="N1070" i="2"/>
  <c r="L1620" i="2"/>
  <c r="M2155" i="2"/>
  <c r="L2083" i="2"/>
  <c r="N2011" i="2"/>
  <c r="L1939" i="2"/>
  <c r="L1867" i="2"/>
  <c r="N1795" i="2"/>
  <c r="L1723" i="2"/>
  <c r="L1651" i="2"/>
  <c r="M2354" i="2"/>
  <c r="L2282" i="2"/>
  <c r="L2234" i="2"/>
  <c r="L1561" i="2"/>
  <c r="M1501" i="2"/>
  <c r="N1453" i="2"/>
  <c r="N1405" i="2"/>
  <c r="N1357" i="2"/>
  <c r="N1309" i="2"/>
  <c r="N1261" i="2"/>
  <c r="N1213" i="2"/>
  <c r="N1165" i="2"/>
  <c r="N1117" i="2"/>
  <c r="N1069" i="2"/>
  <c r="N1021" i="2"/>
  <c r="L2202" i="2"/>
  <c r="M2154" i="2"/>
  <c r="M2106" i="2"/>
  <c r="M2058" i="2"/>
  <c r="L2010" i="2"/>
  <c r="L1962" i="2"/>
  <c r="N1914" i="2"/>
  <c r="M1866" i="2"/>
  <c r="M1818" i="2"/>
  <c r="N1770" i="2"/>
  <c r="N1722" i="2"/>
  <c r="N1674" i="2"/>
  <c r="M2401" i="2"/>
  <c r="M2353" i="2"/>
  <c r="M2305" i="2"/>
  <c r="M2257" i="2"/>
  <c r="N2209" i="2"/>
  <c r="N1548" i="2"/>
  <c r="N1500" i="2"/>
  <c r="N1452" i="2"/>
  <c r="N1404" i="2"/>
  <c r="N1356" i="2"/>
  <c r="N1308" i="2"/>
  <c r="N1260" i="2"/>
  <c r="N1212" i="2"/>
  <c r="N1164" i="2"/>
  <c r="N1116" i="2"/>
  <c r="N1068" i="2"/>
  <c r="N1020" i="2"/>
  <c r="N2189" i="2"/>
  <c r="N2141" i="2"/>
  <c r="N2093" i="2"/>
  <c r="N2045" i="2"/>
  <c r="N1997" i="2"/>
  <c r="N1949" i="2"/>
  <c r="M2003" i="2"/>
  <c r="M1811" i="2"/>
  <c r="N1643" i="2"/>
  <c r="M2298" i="2"/>
  <c r="L1577" i="2"/>
  <c r="N1457" i="2"/>
  <c r="L1337" i="2"/>
  <c r="N1229" i="2"/>
  <c r="M1109" i="2"/>
  <c r="N1623" i="2"/>
  <c r="M2110" i="2"/>
  <c r="M1990" i="2"/>
  <c r="N1882" i="2"/>
  <c r="M1762" i="2"/>
  <c r="M1654" i="2"/>
  <c r="M2309" i="2"/>
  <c r="L1576" i="2"/>
  <c r="N1468" i="2"/>
  <c r="M1348" i="2"/>
  <c r="N1240" i="2"/>
  <c r="N1120" i="2"/>
  <c r="L1622" i="2"/>
  <c r="N2121" i="2"/>
  <c r="M2001" i="2"/>
  <c r="N1893" i="2"/>
  <c r="N1773" i="2"/>
  <c r="N1665" i="2"/>
  <c r="L2356" i="2"/>
  <c r="N2272" i="2"/>
  <c r="M1575" i="2"/>
  <c r="L1479" i="2"/>
  <c r="L1395" i="2"/>
  <c r="N1311" i="2"/>
  <c r="M1227" i="2"/>
  <c r="N1143" i="2"/>
  <c r="N1059" i="2"/>
  <c r="L1597" i="2"/>
  <c r="M2132" i="2"/>
  <c r="N2060" i="2"/>
  <c r="N1988" i="2"/>
  <c r="N1916" i="2"/>
  <c r="N1844" i="2"/>
  <c r="M1772" i="2"/>
  <c r="M1700" i="2"/>
  <c r="N1628" i="2"/>
  <c r="M2331" i="2"/>
  <c r="N2259" i="2"/>
  <c r="N1574" i="2"/>
  <c r="M1502" i="2"/>
  <c r="L1430" i="2"/>
  <c r="M1358" i="2"/>
  <c r="M1286" i="2"/>
  <c r="L1214" i="2"/>
  <c r="N1142" i="2"/>
  <c r="L1070" i="2"/>
  <c r="M1620" i="2"/>
  <c r="N2155" i="2"/>
  <c r="M2083" i="2"/>
  <c r="M2011" i="2"/>
  <c r="N1939" i="2"/>
  <c r="M1867" i="2"/>
  <c r="M1795" i="2"/>
  <c r="M1723" i="2"/>
  <c r="M1651" i="2"/>
  <c r="N2354" i="2"/>
  <c r="N2282" i="2"/>
  <c r="N2222" i="2"/>
  <c r="M1549" i="2"/>
  <c r="N1501" i="2"/>
  <c r="L1441" i="2"/>
  <c r="L1393" i="2"/>
  <c r="L1345" i="2"/>
  <c r="L1297" i="2"/>
  <c r="L1249" i="2"/>
  <c r="L1201" i="2"/>
  <c r="L1153" i="2"/>
  <c r="L1105" i="2"/>
  <c r="L1057" i="2"/>
  <c r="N1009" i="2"/>
  <c r="M2190" i="2"/>
  <c r="N2142" i="2"/>
  <c r="N2094" i="2"/>
  <c r="N2046" i="2"/>
  <c r="M1998" i="2"/>
  <c r="M1950" i="2"/>
  <c r="L1902" i="2"/>
  <c r="L1854" i="2"/>
  <c r="L1806" i="2"/>
  <c r="L1758" i="2"/>
  <c r="L1710" i="2"/>
  <c r="L1662" i="2"/>
  <c r="N2389" i="2"/>
  <c r="N2341" i="2"/>
  <c r="N2293" i="2"/>
  <c r="L2245" i="2"/>
  <c r="L1584" i="2"/>
  <c r="L1536" i="2"/>
  <c r="L1488" i="2"/>
  <c r="L1440" i="2"/>
  <c r="L1392" i="2"/>
  <c r="M1344" i="2"/>
  <c r="M1296" i="2"/>
  <c r="L1248" i="2"/>
  <c r="L1200" i="2"/>
  <c r="L1152" i="2"/>
  <c r="L1104" i="2"/>
  <c r="L1056" i="2"/>
  <c r="L1618" i="2"/>
  <c r="L2177" i="2"/>
  <c r="L2129" i="2"/>
  <c r="L2081" i="2"/>
  <c r="L2033" i="2"/>
  <c r="L1985" i="2"/>
  <c r="L1937" i="2"/>
  <c r="L1889" i="2"/>
  <c r="L1841" i="2"/>
  <c r="L1793" i="2"/>
  <c r="L1745" i="2"/>
  <c r="M1697" i="2"/>
  <c r="M1649" i="2"/>
  <c r="L2376" i="2"/>
  <c r="L2328" i="2"/>
  <c r="L2280" i="2"/>
  <c r="L2232" i="2"/>
  <c r="L1583" i="2"/>
  <c r="L1535" i="2"/>
  <c r="L1487" i="2"/>
  <c r="L1439" i="2"/>
  <c r="L1391" i="2"/>
  <c r="L1343" i="2"/>
  <c r="L1295" i="2"/>
  <c r="L1247" i="2"/>
  <c r="L1199" i="2"/>
  <c r="L1151" i="2"/>
  <c r="L1103" i="2"/>
  <c r="L1055" i="2"/>
  <c r="M1617" i="2"/>
  <c r="L2176" i="2"/>
  <c r="L2128" i="2"/>
  <c r="L2080" i="2"/>
  <c r="M2032" i="2"/>
  <c r="M1984" i="2"/>
  <c r="M1936" i="2"/>
  <c r="M1888" i="2"/>
  <c r="L1840" i="2"/>
  <c r="L1792" i="2"/>
  <c r="L1744" i="2"/>
  <c r="L1696" i="2"/>
  <c r="L1648" i="2"/>
  <c r="L2375" i="2"/>
  <c r="L2327" i="2"/>
  <c r="L2279" i="2"/>
  <c r="M2231" i="2"/>
  <c r="L1582" i="2"/>
  <c r="N1534" i="2"/>
  <c r="N1486" i="2"/>
  <c r="N1438" i="2"/>
  <c r="N1390" i="2"/>
  <c r="L1342" i="2"/>
  <c r="L1294" i="2"/>
  <c r="M1246" i="2"/>
  <c r="M1198" i="2"/>
  <c r="M1150" i="2"/>
  <c r="M1102" i="2"/>
  <c r="L1054" i="2"/>
  <c r="L1616" i="2"/>
  <c r="L2175" i="2"/>
  <c r="L2127" i="2"/>
  <c r="L2079" i="2"/>
  <c r="L2031" i="2"/>
  <c r="L1983" i="2"/>
  <c r="L1935" i="2"/>
  <c r="L1887" i="2"/>
  <c r="N1839" i="2"/>
  <c r="N1791" i="2"/>
  <c r="N1743" i="2"/>
  <c r="L1695" i="2"/>
  <c r="L1647" i="2"/>
  <c r="L2374" i="2"/>
  <c r="L2326" i="2"/>
  <c r="L2278" i="2"/>
  <c r="M2230" i="2"/>
  <c r="M1581" i="2"/>
  <c r="L1533" i="2"/>
  <c r="L1485" i="2"/>
  <c r="L1437" i="2"/>
  <c r="L1991" i="2"/>
  <c r="N1799" i="2"/>
  <c r="L1631" i="2"/>
  <c r="L2298" i="2"/>
  <c r="N1565" i="2"/>
  <c r="L1445" i="2"/>
  <c r="M1337" i="2"/>
  <c r="L1217" i="2"/>
  <c r="N1109" i="2"/>
  <c r="M1611" i="2"/>
  <c r="N2098" i="2"/>
  <c r="N1990" i="2"/>
  <c r="L1870" i="2"/>
  <c r="N1762" i="2"/>
  <c r="M1642" i="2"/>
  <c r="N2297" i="2"/>
  <c r="M1576" i="2"/>
  <c r="L1456" i="2"/>
  <c r="N1348" i="2"/>
  <c r="M1228" i="2"/>
  <c r="L1108" i="2"/>
  <c r="N1622" i="2"/>
  <c r="L2109" i="2"/>
  <c r="N2001" i="2"/>
  <c r="M1881" i="2"/>
  <c r="L1761" i="2"/>
  <c r="M1653" i="2"/>
  <c r="M2344" i="2"/>
  <c r="N2260" i="2"/>
  <c r="N1563" i="2"/>
  <c r="N1479" i="2"/>
  <c r="L1383" i="2"/>
  <c r="M1299" i="2"/>
  <c r="N1215" i="2"/>
  <c r="N1131" i="2"/>
  <c r="N1047" i="2"/>
  <c r="N2192" i="2"/>
  <c r="M2120" i="2"/>
  <c r="M2048" i="2"/>
  <c r="L1976" i="2"/>
  <c r="L1904" i="2"/>
  <c r="N1832" i="2"/>
  <c r="N1760" i="2"/>
  <c r="M1688" i="2"/>
  <c r="M2391" i="2"/>
  <c r="M2319" i="2"/>
  <c r="N2247" i="2"/>
  <c r="M1562" i="2"/>
  <c r="L1490" i="2"/>
  <c r="L1418" i="2"/>
  <c r="L1346" i="2"/>
  <c r="M1274" i="2"/>
  <c r="N1202" i="2"/>
  <c r="N1130" i="2"/>
  <c r="M1058" i="2"/>
  <c r="M1608" i="2"/>
  <c r="N2143" i="2"/>
  <c r="M2071" i="2"/>
  <c r="N1999" i="2"/>
  <c r="N1927" i="2"/>
  <c r="L1855" i="2"/>
  <c r="L1783" i="2"/>
  <c r="L1711" i="2"/>
  <c r="M1639" i="2"/>
  <c r="L2342" i="2"/>
  <c r="M2282" i="2"/>
  <c r="L2222" i="2"/>
  <c r="N1549" i="2"/>
  <c r="M1489" i="2"/>
  <c r="M1441" i="2"/>
  <c r="M1393" i="2"/>
  <c r="M1345" i="2"/>
  <c r="M1297" i="2"/>
  <c r="M1249" i="2"/>
  <c r="M1201" i="2"/>
  <c r="M1153" i="2"/>
  <c r="M1105" i="2"/>
  <c r="M1057" i="2"/>
  <c r="L1009" i="2"/>
  <c r="N2190" i="2"/>
  <c r="L2142" i="2"/>
  <c r="L2094" i="2"/>
  <c r="L2046" i="2"/>
  <c r="N1998" i="2"/>
  <c r="N1950" i="2"/>
  <c r="M1902" i="2"/>
  <c r="N1854" i="2"/>
  <c r="M1806" i="2"/>
  <c r="M1758" i="2"/>
  <c r="M1710" i="2"/>
  <c r="M1662" i="2"/>
  <c r="L2389" i="2"/>
  <c r="L2341" i="2"/>
  <c r="L2293" i="2"/>
  <c r="M2245" i="2"/>
  <c r="M1584" i="2"/>
  <c r="M1536" i="2"/>
  <c r="M1488" i="2"/>
  <c r="M1440" i="2"/>
  <c r="M1392" i="2"/>
  <c r="L1344" i="2"/>
  <c r="L1296" i="2"/>
  <c r="M1248" i="2"/>
  <c r="M1200" i="2"/>
  <c r="M1152" i="2"/>
  <c r="M1104" i="2"/>
  <c r="M1056" i="2"/>
  <c r="M1618" i="2"/>
  <c r="M2177" i="2"/>
  <c r="M2129" i="2"/>
  <c r="M2081" i="2"/>
  <c r="N1991" i="2"/>
  <c r="L1799" i="2"/>
  <c r="N1631" i="2"/>
  <c r="N2286" i="2"/>
  <c r="L1565" i="2"/>
  <c r="M1445" i="2"/>
  <c r="N1337" i="2"/>
  <c r="N1217" i="2"/>
  <c r="L1097" i="2"/>
  <c r="N1611" i="2"/>
  <c r="L2098" i="2"/>
  <c r="L1990" i="2"/>
  <c r="M1870" i="2"/>
  <c r="L1750" i="2"/>
  <c r="N1642" i="2"/>
  <c r="L2297" i="2"/>
  <c r="N1576" i="2"/>
  <c r="N1456" i="2"/>
  <c r="M1336" i="2"/>
  <c r="N1228" i="2"/>
  <c r="M1108" i="2"/>
  <c r="M1622" i="2"/>
  <c r="N2109" i="2"/>
  <c r="L1989" i="2"/>
  <c r="N1881" i="2"/>
  <c r="M1761" i="2"/>
  <c r="N1653" i="2"/>
  <c r="N2344" i="2"/>
  <c r="L2248" i="2"/>
  <c r="L1551" i="2"/>
  <c r="M1467" i="2"/>
  <c r="M1383" i="2"/>
  <c r="N1299" i="2"/>
  <c r="L1203" i="2"/>
  <c r="L1119" i="2"/>
  <c r="M1035" i="2"/>
  <c r="M2192" i="2"/>
  <c r="N2120" i="2"/>
  <c r="N2048" i="2"/>
  <c r="N1976" i="2"/>
  <c r="N1904" i="2"/>
  <c r="M1832" i="2"/>
  <c r="M1760" i="2"/>
  <c r="N1688" i="2"/>
  <c r="N2391" i="2"/>
  <c r="N2319" i="2"/>
  <c r="L2247" i="2"/>
  <c r="N1562" i="2"/>
  <c r="M1490" i="2"/>
  <c r="M1418" i="2"/>
  <c r="M1346" i="2"/>
  <c r="N1274" i="2"/>
  <c r="L1202" i="2"/>
  <c r="L1130" i="2"/>
  <c r="N1058" i="2"/>
  <c r="N1608" i="2"/>
  <c r="M2143" i="2"/>
  <c r="N2071" i="2"/>
  <c r="M1999" i="2"/>
  <c r="M1927" i="2"/>
  <c r="M1855" i="2"/>
  <c r="M1783" i="2"/>
  <c r="M1711" i="2"/>
  <c r="N1639" i="2"/>
  <c r="N2342" i="2"/>
  <c r="N2270" i="2"/>
  <c r="M2210" i="2"/>
  <c r="L1549" i="2"/>
  <c r="N1489" i="2"/>
  <c r="N1441" i="2"/>
  <c r="N1393" i="2"/>
  <c r="N1345" i="2"/>
  <c r="N1297" i="2"/>
  <c r="N1249" i="2"/>
  <c r="N1201" i="2"/>
  <c r="N1153" i="2"/>
  <c r="N1105" i="2"/>
  <c r="N1057" i="2"/>
  <c r="M1009" i="2"/>
  <c r="L2190" i="2"/>
  <c r="M2142" i="2"/>
  <c r="M2094" i="2"/>
  <c r="M2046" i="2"/>
  <c r="L1998" i="2"/>
  <c r="L1950" i="2"/>
  <c r="N1902" i="2"/>
  <c r="M1854" i="2"/>
  <c r="N1806" i="2"/>
  <c r="N1758" i="2"/>
  <c r="N1710" i="2"/>
  <c r="N1662" i="2"/>
  <c r="M2389" i="2"/>
  <c r="M2341" i="2"/>
  <c r="M2293" i="2"/>
  <c r="N2245" i="2"/>
  <c r="N1584" i="2"/>
  <c r="N1536" i="2"/>
  <c r="N1488" i="2"/>
  <c r="N1440" i="2"/>
  <c r="N1392" i="2"/>
  <c r="N1344" i="2"/>
  <c r="N1296" i="2"/>
  <c r="N1248" i="2"/>
  <c r="N1200" i="2"/>
  <c r="N1152" i="2"/>
  <c r="N1104" i="2"/>
  <c r="N1056" i="2"/>
  <c r="N1618" i="2"/>
  <c r="N2177" i="2"/>
  <c r="N2129" i="2"/>
  <c r="N2081" i="2"/>
  <c r="N2033" i="2"/>
  <c r="N1985" i="2"/>
  <c r="N1937" i="2"/>
  <c r="N1889" i="2"/>
  <c r="N1841" i="2"/>
  <c r="N1793" i="2"/>
  <c r="N1745" i="2"/>
  <c r="N1697" i="2"/>
  <c r="L1649" i="2"/>
  <c r="N2376" i="2"/>
  <c r="N2328" i="2"/>
  <c r="N2280" i="2"/>
  <c r="M2232" i="2"/>
  <c r="N1583" i="2"/>
  <c r="N1535" i="2"/>
  <c r="N1487" i="2"/>
  <c r="M1955" i="2"/>
  <c r="L1763" i="2"/>
  <c r="M2382" i="2"/>
  <c r="L2274" i="2"/>
  <c r="M1541" i="2"/>
  <c r="N1433" i="2"/>
  <c r="N1313" i="2"/>
  <c r="L1193" i="2"/>
  <c r="N1085" i="2"/>
  <c r="N2194" i="2"/>
  <c r="M2086" i="2"/>
  <c r="L1966" i="2"/>
  <c r="L1846" i="2"/>
  <c r="N1738" i="2"/>
  <c r="L2393" i="2"/>
  <c r="M2285" i="2"/>
  <c r="N1552" i="2"/>
  <c r="L1432" i="2"/>
  <c r="N1324" i="2"/>
  <c r="M1204" i="2"/>
  <c r="N1096" i="2"/>
  <c r="N1598" i="2"/>
  <c r="L2085" i="2"/>
  <c r="N1977" i="2"/>
  <c r="M1857" i="2"/>
  <c r="N1749" i="2"/>
  <c r="L1653" i="2"/>
  <c r="M2332" i="2"/>
  <c r="N2248" i="2"/>
  <c r="L1539" i="2"/>
  <c r="N1467" i="2"/>
  <c r="M1371" i="2"/>
  <c r="L1287" i="2"/>
  <c r="N1203" i="2"/>
  <c r="N1119" i="2"/>
  <c r="L1023" i="2"/>
  <c r="L2180" i="2"/>
  <c r="M2108" i="2"/>
  <c r="M2036" i="2"/>
  <c r="L1964" i="2"/>
  <c r="M1892" i="2"/>
  <c r="N1820" i="2"/>
  <c r="L1748" i="2"/>
  <c r="M1676" i="2"/>
  <c r="L2379" i="2"/>
  <c r="M2307" i="2"/>
  <c r="M2235" i="2"/>
  <c r="M1550" i="2"/>
  <c r="N1478" i="2"/>
  <c r="L1406" i="2"/>
  <c r="L1334" i="2"/>
  <c r="N1262" i="2"/>
  <c r="M1190" i="2"/>
  <c r="N1118" i="2"/>
  <c r="L1046" i="2"/>
  <c r="M1596" i="2"/>
  <c r="L2131" i="2"/>
  <c r="M2059" i="2"/>
  <c r="L1987" i="2"/>
  <c r="M1915" i="2"/>
  <c r="N1843" i="2"/>
  <c r="L1771" i="2"/>
  <c r="L1699" i="2"/>
  <c r="M2402" i="2"/>
  <c r="L2330" i="2"/>
  <c r="L2270" i="2"/>
  <c r="N2210" i="2"/>
  <c r="M1537" i="2"/>
  <c r="L1477" i="2"/>
  <c r="L1429" i="2"/>
  <c r="L1381" i="2"/>
  <c r="L1333" i="2"/>
  <c r="L1285" i="2"/>
  <c r="L1237" i="2"/>
  <c r="L1189" i="2"/>
  <c r="L1141" i="2"/>
  <c r="L1093" i="2"/>
  <c r="L1045" i="2"/>
  <c r="L1619" i="2"/>
  <c r="N2178" i="2"/>
  <c r="N2130" i="2"/>
  <c r="N2082" i="2"/>
  <c r="M2034" i="2"/>
  <c r="M1986" i="2"/>
  <c r="L1938" i="2"/>
  <c r="L1890" i="2"/>
  <c r="L1842" i="2"/>
  <c r="L1794" i="2"/>
  <c r="L1746" i="2"/>
  <c r="L1698" i="2"/>
  <c r="L1650" i="2"/>
  <c r="N2377" i="2"/>
  <c r="N2329" i="2"/>
  <c r="N2281" i="2"/>
  <c r="L2233" i="2"/>
  <c r="L1572" i="2"/>
  <c r="L1524" i="2"/>
  <c r="L1476" i="2"/>
  <c r="L1428" i="2"/>
  <c r="L1380" i="2"/>
  <c r="M1332" i="2"/>
  <c r="M1284" i="2"/>
  <c r="L1236" i="2"/>
  <c r="L1188" i="2"/>
  <c r="L1140" i="2"/>
  <c r="L1092" i="2"/>
  <c r="L1044" i="2"/>
  <c r="L1606" i="2"/>
  <c r="L2165" i="2"/>
  <c r="L2117" i="2"/>
  <c r="L2069" i="2"/>
  <c r="L2021" i="2"/>
  <c r="L1973" i="2"/>
  <c r="L1925" i="2"/>
  <c r="L1877" i="2"/>
  <c r="L1829" i="2"/>
  <c r="L1781" i="2"/>
  <c r="L1733" i="2"/>
  <c r="M1685" i="2"/>
  <c r="M1637" i="2"/>
  <c r="L2364" i="2"/>
  <c r="L2316" i="2"/>
  <c r="L2268" i="2"/>
  <c r="L2220" i="2"/>
  <c r="L1571" i="2"/>
  <c r="L1523" i="2"/>
  <c r="L1475" i="2"/>
  <c r="L1427" i="2"/>
  <c r="L1379" i="2"/>
  <c r="L1331" i="2"/>
  <c r="L1283" i="2"/>
  <c r="L1235" i="2"/>
  <c r="L1187" i="2"/>
  <c r="L1139" i="2"/>
  <c r="L1091" i="2"/>
  <c r="L1043" i="2"/>
  <c r="M1605" i="2"/>
  <c r="L2164" i="2"/>
  <c r="L2116" i="2"/>
  <c r="L2068" i="2"/>
  <c r="M2020" i="2"/>
  <c r="M1972" i="2"/>
  <c r="M1924" i="2"/>
  <c r="M1876" i="2"/>
  <c r="L1828" i="2"/>
  <c r="L1780" i="2"/>
  <c r="L1732" i="2"/>
  <c r="L1684" i="2"/>
  <c r="L1636" i="2"/>
  <c r="L2363" i="2"/>
  <c r="L2315" i="2"/>
  <c r="L2267" i="2"/>
  <c r="M2219" i="2"/>
  <c r="L1570" i="2"/>
  <c r="N1522" i="2"/>
  <c r="N1474" i="2"/>
  <c r="N1426" i="2"/>
  <c r="N1378" i="2"/>
  <c r="L1330" i="2"/>
  <c r="L1282" i="2"/>
  <c r="M1234" i="2"/>
  <c r="M1186" i="2"/>
  <c r="M1138" i="2"/>
  <c r="M1090" i="2"/>
  <c r="L1042" i="2"/>
  <c r="L1604" i="2"/>
  <c r="L2163" i="2"/>
  <c r="L2115" i="2"/>
  <c r="L2067" i="2"/>
  <c r="L2019" i="2"/>
  <c r="L1971" i="2"/>
  <c r="L1923" i="2"/>
  <c r="L1875" i="2"/>
  <c r="L1943" i="2"/>
  <c r="N1751" i="2"/>
  <c r="L2382" i="2"/>
  <c r="L2262" i="2"/>
  <c r="N1541" i="2"/>
  <c r="M1421" i="2"/>
  <c r="L1301" i="2"/>
  <c r="M1193" i="2"/>
  <c r="L1073" i="2"/>
  <c r="L2194" i="2"/>
  <c r="L2074" i="2"/>
  <c r="M1954" i="2"/>
  <c r="N1846" i="2"/>
  <c r="L1726" i="2"/>
  <c r="M2393" i="2"/>
  <c r="L2273" i="2"/>
  <c r="L1540" i="2"/>
  <c r="M1432" i="2"/>
  <c r="M1312" i="2"/>
  <c r="N1204" i="2"/>
  <c r="M1084" i="2"/>
  <c r="L2193" i="2"/>
  <c r="M2085" i="2"/>
  <c r="L1965" i="2"/>
  <c r="N1857" i="2"/>
  <c r="M1737" i="2"/>
  <c r="N1641" i="2"/>
  <c r="N2332" i="2"/>
  <c r="M2248" i="2"/>
  <c r="M1539" i="2"/>
  <c r="L1455" i="2"/>
  <c r="N1371" i="2"/>
  <c r="M1287" i="2"/>
  <c r="L1191" i="2"/>
  <c r="L1107" i="2"/>
  <c r="N1023" i="2"/>
  <c r="M2180" i="2"/>
  <c r="N2108" i="2"/>
  <c r="L2036" i="2"/>
  <c r="N1964" i="2"/>
  <c r="L1892" i="2"/>
  <c r="M1820" i="2"/>
  <c r="N1748" i="2"/>
  <c r="N1676" i="2"/>
  <c r="M2379" i="2"/>
  <c r="N2307" i="2"/>
  <c r="N2235" i="2"/>
  <c r="N1550" i="2"/>
  <c r="L1478" i="2"/>
  <c r="M1406" i="2"/>
  <c r="M1334" i="2"/>
  <c r="L1262" i="2"/>
  <c r="N1190" i="2"/>
  <c r="L1118" i="2"/>
  <c r="M1046" i="2"/>
  <c r="N1596" i="2"/>
  <c r="M2131" i="2"/>
  <c r="N2059" i="2"/>
  <c r="N1987" i="2"/>
  <c r="N1915" i="2"/>
  <c r="L1843" i="2"/>
  <c r="M1771" i="2"/>
  <c r="M1699" i="2"/>
  <c r="N2402" i="2"/>
  <c r="M2330" i="2"/>
  <c r="L2258" i="2"/>
  <c r="L2210" i="2"/>
  <c r="N1537" i="2"/>
  <c r="M1477" i="2"/>
  <c r="M1429" i="2"/>
  <c r="M1381" i="2"/>
  <c r="M1333" i="2"/>
  <c r="M1285" i="2"/>
  <c r="M1237" i="2"/>
  <c r="M1189" i="2"/>
  <c r="M1141" i="2"/>
  <c r="M1093" i="2"/>
  <c r="M1045" i="2"/>
  <c r="M1619" i="2"/>
  <c r="L2178" i="2"/>
  <c r="L2130" i="2"/>
  <c r="L2082" i="2"/>
  <c r="N2034" i="2"/>
  <c r="N1986" i="2"/>
  <c r="M1938" i="2"/>
  <c r="M1890" i="2"/>
  <c r="N1842" i="2"/>
  <c r="M1794" i="2"/>
  <c r="M1746" i="2"/>
  <c r="M1698" i="2"/>
  <c r="N1650" i="2"/>
  <c r="L2377" i="2"/>
  <c r="L2329" i="2"/>
  <c r="L2281" i="2"/>
  <c r="M2233" i="2"/>
  <c r="M1572" i="2"/>
  <c r="M1524" i="2"/>
  <c r="M1476" i="2"/>
  <c r="M1428" i="2"/>
  <c r="M1380" i="2"/>
  <c r="L1332" i="2"/>
  <c r="L1284" i="2"/>
  <c r="M1236" i="2"/>
  <c r="M1188" i="2"/>
  <c r="M1140" i="2"/>
  <c r="M1092" i="2"/>
  <c r="M1044" i="2"/>
  <c r="N1606" i="2"/>
  <c r="M2165" i="2"/>
  <c r="M2117" i="2"/>
  <c r="M2069" i="2"/>
  <c r="N2021" i="2"/>
  <c r="M1973" i="2"/>
  <c r="M1925" i="2"/>
  <c r="M1877" i="2"/>
  <c r="M1829" i="2"/>
  <c r="M1781" i="2"/>
  <c r="M1733" i="2"/>
  <c r="L1685" i="2"/>
  <c r="N1637" i="2"/>
  <c r="M2364" i="2"/>
  <c r="M2316" i="2"/>
  <c r="M2268" i="2"/>
  <c r="N2220" i="2"/>
  <c r="M1571" i="2"/>
  <c r="M1523" i="2"/>
  <c r="M1475" i="2"/>
  <c r="M1427" i="2"/>
  <c r="M1379" i="2"/>
  <c r="M1331" i="2"/>
  <c r="M1283" i="2"/>
  <c r="M1235" i="2"/>
  <c r="M1187" i="2"/>
  <c r="M1139" i="2"/>
  <c r="M1091" i="2"/>
  <c r="M1043" i="2"/>
  <c r="N1605" i="2"/>
  <c r="M2164" i="2"/>
  <c r="M2116" i="2"/>
  <c r="M2068" i="2"/>
  <c r="L2020" i="2"/>
  <c r="N1972" i="2"/>
  <c r="L1924" i="2"/>
  <c r="L1876" i="2"/>
  <c r="N1828" i="2"/>
  <c r="N1780" i="2"/>
  <c r="N1732" i="2"/>
  <c r="M1684" i="2"/>
  <c r="M1636" i="2"/>
  <c r="M2363" i="2"/>
  <c r="M2315" i="2"/>
  <c r="M2267" i="2"/>
  <c r="N2219" i="2"/>
  <c r="M1570" i="2"/>
  <c r="L1522" i="2"/>
  <c r="L1474" i="2"/>
  <c r="L1426" i="2"/>
  <c r="L1378" i="2"/>
  <c r="M1330" i="2"/>
  <c r="M1282" i="2"/>
  <c r="N1234" i="2"/>
  <c r="N1186" i="2"/>
  <c r="N1138" i="2"/>
  <c r="N1090" i="2"/>
  <c r="M1042" i="2"/>
  <c r="M1604" i="2"/>
  <c r="M2163" i="2"/>
  <c r="M2115" i="2"/>
  <c r="M2067" i="2"/>
  <c r="N2019" i="2"/>
  <c r="N1971" i="2"/>
  <c r="M1923" i="2"/>
  <c r="M1875" i="2"/>
  <c r="L1891" i="2"/>
  <c r="M1321" i="2"/>
  <c r="N1974" i="2"/>
  <c r="M1560" i="2"/>
  <c r="M2201" i="2"/>
  <c r="L1997" i="2"/>
  <c r="M1889" i="2"/>
  <c r="M1793" i="2"/>
  <c r="L1697" i="2"/>
  <c r="M2376" i="2"/>
  <c r="M2280" i="2"/>
  <c r="M1583" i="2"/>
  <c r="M1487" i="2"/>
  <c r="M1403" i="2"/>
  <c r="N1331" i="2"/>
  <c r="M1259" i="2"/>
  <c r="N1187" i="2"/>
  <c r="M1115" i="2"/>
  <c r="N1043" i="2"/>
  <c r="L2188" i="2"/>
  <c r="N2116" i="2"/>
  <c r="M2044" i="2"/>
  <c r="L1972" i="2"/>
  <c r="L1900" i="2"/>
  <c r="M1828" i="2"/>
  <c r="N1756" i="2"/>
  <c r="N1684" i="2"/>
  <c r="M2387" i="2"/>
  <c r="N2315" i="2"/>
  <c r="N2243" i="2"/>
  <c r="N1570" i="2"/>
  <c r="L1498" i="2"/>
  <c r="M1426" i="2"/>
  <c r="L1354" i="2"/>
  <c r="N1282" i="2"/>
  <c r="N1210" i="2"/>
  <c r="L1138" i="2"/>
  <c r="N1066" i="2"/>
  <c r="N1604" i="2"/>
  <c r="M2139" i="2"/>
  <c r="N2067" i="2"/>
  <c r="N1995" i="2"/>
  <c r="N1923" i="2"/>
  <c r="L1851" i="2"/>
  <c r="L1791" i="2"/>
  <c r="N1731" i="2"/>
  <c r="L1819" i="2"/>
  <c r="M1273" i="2"/>
  <c r="M1926" i="2"/>
  <c r="M1512" i="2"/>
  <c r="M2153" i="2"/>
  <c r="M1997" i="2"/>
  <c r="N1877" i="2"/>
  <c r="N1781" i="2"/>
  <c r="N1685" i="2"/>
  <c r="N2364" i="2"/>
  <c r="N2268" i="2"/>
  <c r="N1571" i="2"/>
  <c r="N1475" i="2"/>
  <c r="N1403" i="2"/>
  <c r="M1319" i="2"/>
  <c r="N1259" i="2"/>
  <c r="M1175" i="2"/>
  <c r="N1115" i="2"/>
  <c r="M1031" i="2"/>
  <c r="N2188" i="2"/>
  <c r="M2104" i="2"/>
  <c r="N2044" i="2"/>
  <c r="L1960" i="2"/>
  <c r="N1900" i="2"/>
  <c r="N1816" i="2"/>
  <c r="M1756" i="2"/>
  <c r="M1672" i="2"/>
  <c r="N2387" i="2"/>
  <c r="M2303" i="2"/>
  <c r="L2243" i="2"/>
  <c r="N1558" i="2"/>
  <c r="M1498" i="2"/>
  <c r="L1414" i="2"/>
  <c r="M1354" i="2"/>
  <c r="M1270" i="2"/>
  <c r="L1210" i="2"/>
  <c r="N1126" i="2"/>
  <c r="L1066" i="2"/>
  <c r="N2199" i="2"/>
  <c r="N2139" i="2"/>
  <c r="M2055" i="2"/>
  <c r="M1995" i="2"/>
  <c r="M1911" i="2"/>
  <c r="M1851" i="2"/>
  <c r="M1791" i="2"/>
  <c r="N1747" i="2"/>
  <c r="M1225" i="2"/>
  <c r="M1878" i="2"/>
  <c r="M1464" i="2"/>
  <c r="L2141" i="2"/>
  <c r="M1985" i="2"/>
  <c r="M1865" i="2"/>
  <c r="M1769" i="2"/>
  <c r="N1673" i="2"/>
  <c r="M2352" i="2"/>
  <c r="M2256" i="2"/>
  <c r="M1559" i="2"/>
  <c r="M1463" i="2"/>
  <c r="M1675" i="2"/>
  <c r="M1177" i="2"/>
  <c r="N1830" i="2"/>
  <c r="M1416" i="2"/>
  <c r="M2141" i="2"/>
  <c r="M1961" i="2"/>
  <c r="L1853" i="2"/>
  <c r="L1757" i="2"/>
  <c r="M1661" i="2"/>
  <c r="L2340" i="2"/>
  <c r="L2244" i="2"/>
  <c r="L1547" i="2"/>
  <c r="L1451" i="2"/>
  <c r="N1391" i="2"/>
  <c r="L1307" i="2"/>
  <c r="N1247" i="2"/>
  <c r="L1163" i="2"/>
  <c r="N1103" i="2"/>
  <c r="L1019" i="2"/>
  <c r="N2176" i="2"/>
  <c r="L2092" i="2"/>
  <c r="N2032" i="2"/>
  <c r="M1948" i="2"/>
  <c r="N1888" i="2"/>
  <c r="L1804" i="2"/>
  <c r="M1744" i="2"/>
  <c r="L1660" i="2"/>
  <c r="N2375" i="2"/>
  <c r="L2291" i="2"/>
  <c r="L2231" i="2"/>
  <c r="L1546" i="2"/>
  <c r="M1486" i="2"/>
  <c r="N1402" i="2"/>
  <c r="N1342" i="2"/>
  <c r="M1258" i="2"/>
  <c r="L1198" i="2"/>
  <c r="M1114" i="2"/>
  <c r="N1054" i="2"/>
  <c r="L2187" i="2"/>
  <c r="M2127" i="2"/>
  <c r="L2043" i="2"/>
  <c r="M1983" i="2"/>
  <c r="L1899" i="2"/>
  <c r="M1839" i="2"/>
  <c r="M1779" i="2"/>
  <c r="L1719" i="2"/>
  <c r="L1659" i="2"/>
  <c r="N2386" i="2"/>
  <c r="N2326" i="2"/>
  <c r="M2266" i="2"/>
  <c r="N2206" i="2"/>
  <c r="M1545" i="2"/>
  <c r="N1497" i="2"/>
  <c r="N1437" i="2"/>
  <c r="N1389" i="2"/>
  <c r="N1341" i="2"/>
  <c r="N1293" i="2"/>
  <c r="N1245" i="2"/>
  <c r="N1197" i="2"/>
  <c r="N1149" i="2"/>
  <c r="N1101" i="2"/>
  <c r="N1053" i="2"/>
  <c r="N1627" i="2"/>
  <c r="M2186" i="2"/>
  <c r="M2138" i="2"/>
  <c r="M2090" i="2"/>
  <c r="M2042" i="2"/>
  <c r="L1994" i="2"/>
  <c r="L1946" i="2"/>
  <c r="N1898" i="2"/>
  <c r="M1850" i="2"/>
  <c r="N1802" i="2"/>
  <c r="N1754" i="2"/>
  <c r="N1706" i="2"/>
  <c r="N1658" i="2"/>
  <c r="M2385" i="2"/>
  <c r="M2337" i="2"/>
  <c r="M2289" i="2"/>
  <c r="N2241" i="2"/>
  <c r="N1592" i="2"/>
  <c r="N1544" i="2"/>
  <c r="N1496" i="2"/>
  <c r="N1448" i="2"/>
  <c r="N1400" i="2"/>
  <c r="N1352" i="2"/>
  <c r="N1304" i="2"/>
  <c r="N1256" i="2"/>
  <c r="N1208" i="2"/>
  <c r="N1160" i="2"/>
  <c r="N1112" i="2"/>
  <c r="N1064" i="2"/>
  <c r="N1016" i="2"/>
  <c r="N2197" i="2"/>
  <c r="N2149" i="2"/>
  <c r="N2101" i="2"/>
  <c r="N2053" i="2"/>
  <c r="N2005" i="2"/>
  <c r="N1957" i="2"/>
  <c r="N1909" i="2"/>
  <c r="N1861" i="2"/>
  <c r="N1813" i="2"/>
  <c r="N1765" i="2"/>
  <c r="L2378" i="2"/>
  <c r="M1129" i="2"/>
  <c r="M1782" i="2"/>
  <c r="M1368" i="2"/>
  <c r="M2105" i="2"/>
  <c r="L1949" i="2"/>
  <c r="M1853" i="2"/>
  <c r="M1757" i="2"/>
  <c r="N1661" i="2"/>
  <c r="M2340" i="2"/>
  <c r="N2244" i="2"/>
  <c r="M1547" i="2"/>
  <c r="M1451" i="2"/>
  <c r="N1379" i="2"/>
  <c r="M1307" i="2"/>
  <c r="N1235" i="2"/>
  <c r="M1163" i="2"/>
  <c r="N1091" i="2"/>
  <c r="M1019" i="2"/>
  <c r="N2164" i="2"/>
  <c r="M2092" i="2"/>
  <c r="N2020" i="2"/>
  <c r="L1948" i="2"/>
  <c r="N1876" i="2"/>
  <c r="N1804" i="2"/>
  <c r="M1732" i="2"/>
  <c r="M1660" i="2"/>
  <c r="N2363" i="2"/>
  <c r="M2291" i="2"/>
  <c r="L2219" i="2"/>
  <c r="M1546" i="2"/>
  <c r="M1474" i="2"/>
  <c r="L1402" i="2"/>
  <c r="N1330" i="2"/>
  <c r="N1258" i="2"/>
  <c r="L1186" i="2"/>
  <c r="N1114" i="2"/>
  <c r="N1042" i="2"/>
  <c r="N2187" i="2"/>
  <c r="N2115" i="2"/>
  <c r="M2043" i="2"/>
  <c r="M1971" i="2"/>
  <c r="M1899" i="2"/>
  <c r="N1827" i="2"/>
  <c r="L1779" i="2"/>
  <c r="M1719" i="2"/>
  <c r="M1659" i="2"/>
  <c r="M2374" i="2"/>
  <c r="L2314" i="2"/>
  <c r="L2266" i="2"/>
  <c r="L2206" i="2"/>
  <c r="N1545" i="2"/>
  <c r="M1485" i="2"/>
  <c r="L1425" i="2"/>
  <c r="L1377" i="2"/>
  <c r="L1329" i="2"/>
  <c r="L1281" i="2"/>
  <c r="L1233" i="2"/>
  <c r="L1185" i="2"/>
  <c r="L1137" i="2"/>
  <c r="L1089" i="2"/>
  <c r="L1041" i="2"/>
  <c r="L1615" i="2"/>
  <c r="N2174" i="2"/>
  <c r="N2126" i="2"/>
  <c r="N2078" i="2"/>
  <c r="M2030" i="2"/>
  <c r="M1982" i="2"/>
  <c r="L1934" i="2"/>
  <c r="L1886" i="2"/>
  <c r="L1838" i="2"/>
  <c r="L1790" i="2"/>
  <c r="L1742" i="2"/>
  <c r="L1694" i="2"/>
  <c r="L1646" i="2"/>
  <c r="N2373" i="2"/>
  <c r="N2325" i="2"/>
  <c r="N2277" i="2"/>
  <c r="L2229" i="2"/>
  <c r="L1580" i="2"/>
  <c r="L1532" i="2"/>
  <c r="L1484" i="2"/>
  <c r="L1436" i="2"/>
  <c r="L1388" i="2"/>
  <c r="M1340" i="2"/>
  <c r="M1292" i="2"/>
  <c r="L1244" i="2"/>
  <c r="L1196" i="2"/>
  <c r="L1148" i="2"/>
  <c r="L1100" i="2"/>
  <c r="L1052" i="2"/>
  <c r="L1626" i="2"/>
  <c r="L2185" i="2"/>
  <c r="L2137" i="2"/>
  <c r="L2089" i="2"/>
  <c r="L2041" i="2"/>
  <c r="L1993" i="2"/>
  <c r="L1945" i="2"/>
  <c r="L1897" i="2"/>
  <c r="L1849" i="2"/>
  <c r="L1801" i="2"/>
  <c r="L1753" i="2"/>
  <c r="L1705" i="2"/>
  <c r="M1657" i="2"/>
  <c r="L2384" i="2"/>
  <c r="L2336" i="2"/>
  <c r="L2288" i="2"/>
  <c r="L2240" i="2"/>
  <c r="L1591" i="2"/>
  <c r="L1543" i="2"/>
  <c r="L1495" i="2"/>
  <c r="L1447" i="2"/>
  <c r="L1399" i="2"/>
  <c r="L1351" i="2"/>
  <c r="L1303" i="2"/>
  <c r="L1255" i="2"/>
  <c r="L1207" i="2"/>
  <c r="L1159" i="2"/>
  <c r="L1111" i="2"/>
  <c r="L1063" i="2"/>
  <c r="L1015" i="2"/>
  <c r="L2196" i="2"/>
  <c r="L2148" i="2"/>
  <c r="L2100" i="2"/>
  <c r="L2052" i="2"/>
  <c r="M2004" i="2"/>
  <c r="M1956" i="2"/>
  <c r="N2306" i="2"/>
  <c r="M1081" i="2"/>
  <c r="M1734" i="2"/>
  <c r="L1320" i="2"/>
  <c r="L2093" i="2"/>
  <c r="M1949" i="2"/>
  <c r="N1853" i="2"/>
  <c r="N1757" i="2"/>
  <c r="L1661" i="2"/>
  <c r="N2340" i="2"/>
  <c r="M2244" i="2"/>
  <c r="N1547" i="2"/>
  <c r="N1451" i="2"/>
  <c r="N2246" i="2"/>
  <c r="M1033" i="2"/>
  <c r="M1686" i="2"/>
  <c r="L1272" i="2"/>
  <c r="M2093" i="2"/>
  <c r="M1937" i="2"/>
  <c r="M1841" i="2"/>
  <c r="M1745" i="2"/>
  <c r="N1649" i="2"/>
  <c r="M2328" i="2"/>
  <c r="N2232" i="2"/>
  <c r="M1535" i="2"/>
  <c r="M1439" i="2"/>
  <c r="N1367" i="2"/>
  <c r="M1295" i="2"/>
  <c r="N1223" i="2"/>
  <c r="M1151" i="2"/>
  <c r="N1079" i="2"/>
  <c r="N1617" i="2"/>
  <c r="N2152" i="2"/>
  <c r="M2080" i="2"/>
  <c r="N2008" i="2"/>
  <c r="L1936" i="2"/>
  <c r="M1864" i="2"/>
  <c r="N1792" i="2"/>
  <c r="M1720" i="2"/>
  <c r="M1648" i="2"/>
  <c r="N2351" i="2"/>
  <c r="M2279" i="2"/>
  <c r="L2207" i="2"/>
  <c r="L1534" i="2"/>
  <c r="M1462" i="2"/>
  <c r="L1390" i="2"/>
  <c r="N1318" i="2"/>
  <c r="N1246" i="2"/>
  <c r="L1174" i="2"/>
  <c r="N1102" i="2"/>
  <c r="N1030" i="2"/>
  <c r="M2175" i="2"/>
  <c r="N2103" i="2"/>
  <c r="N2031" i="2"/>
  <c r="M1959" i="2"/>
  <c r="M1887" i="2"/>
  <c r="M1827" i="2"/>
  <c r="M1767" i="2"/>
  <c r="L1707" i="2"/>
  <c r="M1573" i="2"/>
  <c r="M1607" i="2"/>
  <c r="N1638" i="2"/>
  <c r="M1224" i="2"/>
  <c r="M2057" i="2"/>
  <c r="N1925" i="2"/>
  <c r="N1829" i="2"/>
  <c r="N1733" i="2"/>
  <c r="L1637" i="2"/>
  <c r="N2316" i="2"/>
  <c r="M2220" i="2"/>
  <c r="N1523" i="2"/>
  <c r="N1439" i="2"/>
  <c r="L1355" i="2"/>
  <c r="N1295" i="2"/>
  <c r="L1211" i="2"/>
  <c r="N1151" i="2"/>
  <c r="L1067" i="2"/>
  <c r="L1617" i="2"/>
  <c r="L2140" i="2"/>
  <c r="N2080" i="2"/>
  <c r="M1996" i="2"/>
  <c r="N1936" i="2"/>
  <c r="L1852" i="2"/>
  <c r="M1792" i="2"/>
  <c r="L1708" i="2"/>
  <c r="N1648" i="2"/>
  <c r="L2339" i="2"/>
  <c r="N2279" i="2"/>
  <c r="L1594" i="2"/>
  <c r="M1534" i="2"/>
  <c r="N1450" i="2"/>
  <c r="M1390" i="2"/>
  <c r="L1306" i="2"/>
  <c r="L1246" i="2"/>
  <c r="M1162" i="2"/>
  <c r="L1102" i="2"/>
  <c r="L1018" i="2"/>
  <c r="N2175" i="2"/>
  <c r="L2091" i="2"/>
  <c r="M2031" i="2"/>
  <c r="L1947" i="2"/>
  <c r="N1887" i="2"/>
  <c r="L1815" i="2"/>
  <c r="N1755" i="2"/>
  <c r="N1525" i="2"/>
  <c r="L2166" i="2"/>
  <c r="L2365" i="2"/>
  <c r="M1176" i="2"/>
  <c r="L2045" i="2"/>
  <c r="M1913" i="2"/>
  <c r="M1817" i="2"/>
  <c r="M1721" i="2"/>
  <c r="M2400" i="2"/>
  <c r="M2304" i="2"/>
  <c r="N2208" i="2"/>
  <c r="M1511" i="2"/>
  <c r="N1427" i="2"/>
  <c r="M1355" i="2"/>
  <c r="N1283" i="2"/>
  <c r="M1211" i="2"/>
  <c r="N1139" i="2"/>
  <c r="M1067" i="2"/>
  <c r="L1605" i="2"/>
  <c r="M2140" i="2"/>
  <c r="N2068" i="2"/>
  <c r="L1996" i="2"/>
  <c r="N1924" i="2"/>
  <c r="N1852" i="2"/>
  <c r="M1780" i="2"/>
  <c r="N1708" i="2"/>
  <c r="N1636" i="2"/>
  <c r="M2339" i="2"/>
  <c r="N2267" i="2"/>
  <c r="M1594" i="2"/>
  <c r="M1522" i="2"/>
  <c r="L1450" i="2"/>
  <c r="M1378" i="2"/>
  <c r="M1306" i="2"/>
  <c r="L1234" i="2"/>
  <c r="N1162" i="2"/>
  <c r="L1090" i="2"/>
  <c r="M1018" i="2"/>
  <c r="N2163" i="2"/>
  <c r="M2091" i="2"/>
  <c r="M2019" i="2"/>
  <c r="N1947" i="2"/>
  <c r="N1875" i="2"/>
  <c r="M1815" i="2"/>
  <c r="L1755" i="2"/>
  <c r="M1695" i="2"/>
  <c r="L1635" i="2"/>
  <c r="N2362" i="2"/>
  <c r="M2302" i="2"/>
  <c r="N2242" i="2"/>
  <c r="N1581" i="2"/>
  <c r="L1521" i="2"/>
  <c r="N1473" i="2"/>
  <c r="M1413" i="2"/>
  <c r="M1365" i="2"/>
  <c r="M1317" i="2"/>
  <c r="M1269" i="2"/>
  <c r="M1221" i="2"/>
  <c r="M1173" i="2"/>
  <c r="M1125" i="2"/>
  <c r="M1077" i="2"/>
  <c r="M1029" i="2"/>
  <c r="M1603" i="2"/>
  <c r="L2162" i="2"/>
  <c r="L2114" i="2"/>
  <c r="L2066" i="2"/>
  <c r="N2018" i="2"/>
  <c r="N1970" i="2"/>
  <c r="M1922" i="2"/>
  <c r="M1874" i="2"/>
  <c r="N1826" i="2"/>
  <c r="M1778" i="2"/>
  <c r="M1730" i="2"/>
  <c r="M1682" i="2"/>
  <c r="N1634" i="2"/>
  <c r="L2361" i="2"/>
  <c r="L2313" i="2"/>
  <c r="L2265" i="2"/>
  <c r="M2217" i="2"/>
  <c r="M1568" i="2"/>
  <c r="M1520" i="2"/>
  <c r="M1472" i="2"/>
  <c r="M1424" i="2"/>
  <c r="M1376" i="2"/>
  <c r="L1328" i="2"/>
  <c r="L1280" i="2"/>
  <c r="M1232" i="2"/>
  <c r="M1184" i="2"/>
  <c r="M1136" i="2"/>
  <c r="M1088" i="2"/>
  <c r="M1040" i="2"/>
  <c r="M1614" i="2"/>
  <c r="M2173" i="2"/>
  <c r="M2125" i="2"/>
  <c r="M2077" i="2"/>
  <c r="N2029" i="2"/>
  <c r="M1981" i="2"/>
  <c r="M1933" i="2"/>
  <c r="M1885" i="2"/>
  <c r="M1837" i="2"/>
  <c r="M1789" i="2"/>
  <c r="M1741" i="2"/>
  <c r="M1465" i="2"/>
  <c r="L2118" i="2"/>
  <c r="L2317" i="2"/>
  <c r="M1128" i="2"/>
  <c r="M2045" i="2"/>
  <c r="L1901" i="2"/>
  <c r="L1805" i="2"/>
  <c r="L1709" i="2"/>
  <c r="L2388" i="2"/>
  <c r="L2292" i="2"/>
  <c r="L1595" i="2"/>
  <c r="L1499" i="2"/>
  <c r="M1415" i="2"/>
  <c r="M1417" i="2"/>
  <c r="L2070" i="2"/>
  <c r="L2269" i="2"/>
  <c r="M1080" i="2"/>
  <c r="M2033" i="2"/>
  <c r="M1901" i="2"/>
  <c r="M1805" i="2"/>
  <c r="M1709" i="2"/>
  <c r="M2388" i="2"/>
  <c r="M2292" i="2"/>
  <c r="M1595" i="2"/>
  <c r="M1499" i="2"/>
  <c r="N1415" i="2"/>
  <c r="M1343" i="2"/>
  <c r="N1271" i="2"/>
  <c r="M1199" i="2"/>
  <c r="N1127" i="2"/>
  <c r="M1055" i="2"/>
  <c r="M2200" i="2"/>
  <c r="M2128" i="2"/>
  <c r="N2056" i="2"/>
  <c r="L1984" i="2"/>
  <c r="N1912" i="2"/>
  <c r="N1840" i="2"/>
  <c r="M1768" i="2"/>
  <c r="N1696" i="2"/>
  <c r="N2399" i="2"/>
  <c r="M2327" i="2"/>
  <c r="N2255" i="2"/>
  <c r="M1582" i="2"/>
  <c r="M1510" i="2"/>
  <c r="L1438" i="2"/>
  <c r="M1366" i="2"/>
  <c r="M1294" i="2"/>
  <c r="L1222" i="2"/>
  <c r="N1150" i="2"/>
  <c r="L1078" i="2"/>
  <c r="M1616" i="2"/>
  <c r="N2151" i="2"/>
  <c r="N2079" i="2"/>
  <c r="M2007" i="2"/>
  <c r="N1935" i="2"/>
  <c r="M1863" i="2"/>
  <c r="L1803" i="2"/>
  <c r="L1743" i="2"/>
  <c r="L1683" i="2"/>
  <c r="N1635" i="2"/>
  <c r="N2350" i="2"/>
  <c r="M2290" i="2"/>
  <c r="N2230" i="2"/>
  <c r="M1569" i="2"/>
  <c r="N1521" i="2"/>
  <c r="N1461" i="2"/>
  <c r="L1401" i="2"/>
  <c r="L1353" i="2"/>
  <c r="L1305" i="2"/>
  <c r="L1257" i="2"/>
  <c r="L1209" i="2"/>
  <c r="L1161" i="2"/>
  <c r="L1113" i="2"/>
  <c r="L1065" i="2"/>
  <c r="N1017" i="2"/>
  <c r="M2198" i="2"/>
  <c r="N2150" i="2"/>
  <c r="N2102" i="2"/>
  <c r="N2054" i="2"/>
  <c r="M2006" i="2"/>
  <c r="M1958" i="2"/>
  <c r="L1910" i="2"/>
  <c r="L1862" i="2"/>
  <c r="L1814" i="2"/>
  <c r="L1766" i="2"/>
  <c r="L1718" i="2"/>
  <c r="L1670" i="2"/>
  <c r="N2397" i="2"/>
  <c r="N2349" i="2"/>
  <c r="N2301" i="2"/>
  <c r="L2253" i="2"/>
  <c r="L2205" i="2"/>
  <c r="L1556" i="2"/>
  <c r="L1508" i="2"/>
  <c r="L1460" i="2"/>
  <c r="L1412" i="2"/>
  <c r="L1364" i="2"/>
  <c r="M1316" i="2"/>
  <c r="L1268" i="2"/>
  <c r="L1220" i="2"/>
  <c r="L1172" i="2"/>
  <c r="L1124" i="2"/>
  <c r="L1076" i="2"/>
  <c r="L1028" i="2"/>
  <c r="L1602" i="2"/>
  <c r="L2161" i="2"/>
  <c r="L2113" i="2"/>
  <c r="L2065" i="2"/>
  <c r="L2017" i="2"/>
  <c r="L1969" i="2"/>
  <c r="L1921" i="2"/>
  <c r="L1873" i="2"/>
  <c r="L1825" i="2"/>
  <c r="L1777" i="2"/>
  <c r="L1729" i="2"/>
  <c r="M1681" i="2"/>
  <c r="M1633" i="2"/>
  <c r="L2360" i="2"/>
  <c r="L2312" i="2"/>
  <c r="L2264" i="2"/>
  <c r="L2216" i="2"/>
  <c r="L1567" i="2"/>
  <c r="L1519" i="2"/>
  <c r="L1471" i="2"/>
  <c r="L1423" i="2"/>
  <c r="L1375" i="2"/>
  <c r="L1327" i="2"/>
  <c r="L1279" i="2"/>
  <c r="L1231" i="2"/>
  <c r="L1183" i="2"/>
  <c r="L1135" i="2"/>
  <c r="L1087" i="2"/>
  <c r="L1039" i="2"/>
  <c r="M1613" i="2"/>
  <c r="L2172" i="2"/>
  <c r="L2124" i="2"/>
  <c r="L2076" i="2"/>
  <c r="M2028" i="2"/>
  <c r="M1980" i="2"/>
  <c r="M1932" i="2"/>
  <c r="M1369" i="2"/>
  <c r="N2022" i="2"/>
  <c r="M2221" i="2"/>
  <c r="M1367" i="2"/>
  <c r="N1163" i="2"/>
  <c r="M2152" i="2"/>
  <c r="N1948" i="2"/>
  <c r="N1720" i="2"/>
  <c r="N2291" i="2"/>
  <c r="L1462" i="2"/>
  <c r="L1258" i="2"/>
  <c r="M1030" i="2"/>
  <c r="N2043" i="2"/>
  <c r="L1827" i="2"/>
  <c r="M1683" i="2"/>
  <c r="N2374" i="2"/>
  <c r="N2290" i="2"/>
  <c r="M1593" i="2"/>
  <c r="M1509" i="2"/>
  <c r="M1425" i="2"/>
  <c r="M1353" i="2"/>
  <c r="M1281" i="2"/>
  <c r="M1209" i="2"/>
  <c r="M1137" i="2"/>
  <c r="M1065" i="2"/>
  <c r="M1615" i="2"/>
  <c r="L2150" i="2"/>
  <c r="L2078" i="2"/>
  <c r="N2006" i="2"/>
  <c r="M1934" i="2"/>
  <c r="N1862" i="2"/>
  <c r="M1790" i="2"/>
  <c r="M1718" i="2"/>
  <c r="M1646" i="2"/>
  <c r="L2349" i="2"/>
  <c r="L2277" i="2"/>
  <c r="M2205" i="2"/>
  <c r="M1532" i="2"/>
  <c r="M1460" i="2"/>
  <c r="M1388" i="2"/>
  <c r="L1316" i="2"/>
  <c r="M1244" i="2"/>
  <c r="M1172" i="2"/>
  <c r="M1100" i="2"/>
  <c r="M1028" i="2"/>
  <c r="M2185" i="2"/>
  <c r="M2113" i="2"/>
  <c r="M2041" i="2"/>
  <c r="M1969" i="2"/>
  <c r="M1897" i="2"/>
  <c r="M1825" i="2"/>
  <c r="M1753" i="2"/>
  <c r="L1693" i="2"/>
  <c r="N1633" i="2"/>
  <c r="L2348" i="2"/>
  <c r="N2300" i="2"/>
  <c r="M2240" i="2"/>
  <c r="M1579" i="2"/>
  <c r="M1519" i="2"/>
  <c r="L1459" i="2"/>
  <c r="N1411" i="2"/>
  <c r="N1351" i="2"/>
  <c r="M1291" i="2"/>
  <c r="M1231" i="2"/>
  <c r="L1171" i="2"/>
  <c r="N1123" i="2"/>
  <c r="N1063" i="2"/>
  <c r="N1625" i="2"/>
  <c r="M2172" i="2"/>
  <c r="L2112" i="2"/>
  <c r="N2064" i="2"/>
  <c r="L2004" i="2"/>
  <c r="L1944" i="2"/>
  <c r="N1896" i="2"/>
  <c r="M1848" i="2"/>
  <c r="M1800" i="2"/>
  <c r="M1752" i="2"/>
  <c r="N1704" i="2"/>
  <c r="N1656" i="2"/>
  <c r="N2383" i="2"/>
  <c r="N2335" i="2"/>
  <c r="N2287" i="2"/>
  <c r="L2239" i="2"/>
  <c r="D1338" i="2"/>
  <c r="D2135" i="2"/>
  <c r="D1811" i="2"/>
  <c r="D1481" i="2"/>
  <c r="E1577" i="2"/>
  <c r="E1409" i="2"/>
  <c r="D1277" i="2"/>
  <c r="E1145" i="2"/>
  <c r="D1623" i="2"/>
  <c r="E2038" i="2"/>
  <c r="E1858" i="2"/>
  <c r="E1690" i="2"/>
  <c r="D1239" i="2"/>
  <c r="E1251" i="2"/>
  <c r="E1215" i="2"/>
  <c r="D2051" i="2"/>
  <c r="E1991" i="2"/>
  <c r="D1590" i="2"/>
  <c r="E2051" i="2"/>
  <c r="D2183" i="2"/>
  <c r="D1434" i="2"/>
  <c r="D2015" i="2"/>
  <c r="D1050" i="2"/>
  <c r="E1170" i="2"/>
  <c r="E1564" i="2"/>
  <c r="E1168" i="2"/>
  <c r="E2013" i="2"/>
  <c r="E1264" i="2"/>
  <c r="E2341" i="2"/>
  <c r="E2315" i="2"/>
  <c r="E2230" i="2"/>
  <c r="E2204" i="2"/>
  <c r="E2357" i="2"/>
  <c r="E2307" i="2"/>
  <c r="D2285" i="2"/>
  <c r="D2235" i="2"/>
  <c r="D2221" i="2"/>
  <c r="D2255" i="2"/>
  <c r="D2253" i="2"/>
  <c r="D2358" i="2"/>
  <c r="D1526" i="2"/>
  <c r="E2392" i="2"/>
  <c r="D2223" i="2"/>
  <c r="D2387" i="2"/>
  <c r="D2334" i="2"/>
  <c r="D2302" i="2"/>
  <c r="D2310" i="2"/>
  <c r="D1495" i="2"/>
  <c r="M1032" i="2"/>
  <c r="N1355" i="2"/>
  <c r="M1127" i="2"/>
  <c r="N2140" i="2"/>
  <c r="L1912" i="2"/>
  <c r="M1708" i="2"/>
  <c r="M2255" i="2"/>
  <c r="M1450" i="2"/>
  <c r="N1222" i="2"/>
  <c r="N1018" i="2"/>
  <c r="N2007" i="2"/>
  <c r="N1803" i="2"/>
  <c r="N1683" i="2"/>
  <c r="L2362" i="2"/>
  <c r="M2278" i="2"/>
  <c r="N1593" i="2"/>
  <c r="N1509" i="2"/>
  <c r="N1425" i="2"/>
  <c r="N1353" i="2"/>
  <c r="N1281" i="2"/>
  <c r="N1209" i="2"/>
  <c r="N1137" i="2"/>
  <c r="N1065" i="2"/>
  <c r="N1615" i="2"/>
  <c r="M2150" i="2"/>
  <c r="M2078" i="2"/>
  <c r="L2006" i="2"/>
  <c r="N1934" i="2"/>
  <c r="M1862" i="2"/>
  <c r="N1790" i="2"/>
  <c r="N1718" i="2"/>
  <c r="N1646" i="2"/>
  <c r="M2349" i="2"/>
  <c r="M2277" i="2"/>
  <c r="N2205" i="2"/>
  <c r="N1532" i="2"/>
  <c r="N1460" i="2"/>
  <c r="N1388" i="2"/>
  <c r="N1316" i="2"/>
  <c r="N1244" i="2"/>
  <c r="N1172" i="2"/>
  <c r="N1100" i="2"/>
  <c r="N1028" i="2"/>
  <c r="N2185" i="2"/>
  <c r="N2113" i="2"/>
  <c r="N2041" i="2"/>
  <c r="N1969" i="2"/>
  <c r="N1897" i="2"/>
  <c r="N1825" i="2"/>
  <c r="N1753" i="2"/>
  <c r="N1693" i="2"/>
  <c r="L1633" i="2"/>
  <c r="M2348" i="2"/>
  <c r="M2288" i="2"/>
  <c r="L2228" i="2"/>
  <c r="N1579" i="2"/>
  <c r="N1519" i="2"/>
  <c r="M1459" i="2"/>
  <c r="M1399" i="2"/>
  <c r="L1339" i="2"/>
  <c r="N1291" i="2"/>
  <c r="N1231" i="2"/>
  <c r="M1171" i="2"/>
  <c r="M1111" i="2"/>
  <c r="L1051" i="2"/>
  <c r="L1625" i="2"/>
  <c r="N2172" i="2"/>
  <c r="M2112" i="2"/>
  <c r="M2052" i="2"/>
  <c r="M1992" i="2"/>
  <c r="N1944" i="2"/>
  <c r="M1884" i="2"/>
  <c r="L1836" i="2"/>
  <c r="L1788" i="2"/>
  <c r="L1740" i="2"/>
  <c r="L1692" i="2"/>
  <c r="L1644" i="2"/>
  <c r="L2371" i="2"/>
  <c r="L2323" i="2"/>
  <c r="L2275" i="2"/>
  <c r="M2227" i="2"/>
  <c r="E1290" i="2"/>
  <c r="E2099" i="2"/>
  <c r="E1751" i="2"/>
  <c r="D1445" i="2"/>
  <c r="E1565" i="2"/>
  <c r="D1409" i="2"/>
  <c r="E1265" i="2"/>
  <c r="D1145" i="2"/>
  <c r="D1611" i="2"/>
  <c r="E2026" i="2"/>
  <c r="E1846" i="2"/>
  <c r="E1678" i="2"/>
  <c r="D1467" i="2"/>
  <c r="E1107" i="2"/>
  <c r="D1251" i="2"/>
  <c r="D1191" i="2"/>
  <c r="D2075" i="2"/>
  <c r="E1919" i="2"/>
  <c r="D1578" i="2"/>
  <c r="E1883" i="2"/>
  <c r="D1134" i="2"/>
  <c r="D1158" i="2"/>
  <c r="E1218" i="2"/>
  <c r="D1122" i="2"/>
  <c r="D1624" i="2"/>
  <c r="E1482" i="2"/>
  <c r="D1739" i="2"/>
  <c r="E1799" i="2"/>
  <c r="E1026" i="2"/>
  <c r="E1446" i="2"/>
  <c r="D1564" i="2"/>
  <c r="E1432" i="2"/>
  <c r="E1288" i="2"/>
  <c r="E1156" i="2"/>
  <c r="E1012" i="2"/>
  <c r="E2133" i="2"/>
  <c r="D2013" i="2"/>
  <c r="E1893" i="2"/>
  <c r="E1737" i="2"/>
  <c r="D1492" i="2"/>
  <c r="E1552" i="2"/>
  <c r="D1598" i="2"/>
  <c r="E2329" i="2"/>
  <c r="E2388" i="2"/>
  <c r="E2244" i="2"/>
  <c r="E2303" i="2"/>
  <c r="E2362" i="2"/>
  <c r="E2218" i="2"/>
  <c r="E2395" i="2"/>
  <c r="E2345" i="2"/>
  <c r="D2273" i="2"/>
  <c r="D2385" i="2"/>
  <c r="D2242" i="2"/>
  <c r="M2009" i="2"/>
  <c r="N1343" i="2"/>
  <c r="L1115" i="2"/>
  <c r="N2128" i="2"/>
  <c r="M1900" i="2"/>
  <c r="M1696" i="2"/>
  <c r="M2243" i="2"/>
  <c r="M1438" i="2"/>
  <c r="M1210" i="2"/>
  <c r="N1616" i="2"/>
  <c r="L1995" i="2"/>
  <c r="M1803" i="2"/>
  <c r="M1671" i="2"/>
  <c r="M2362" i="2"/>
  <c r="N2278" i="2"/>
  <c r="L1593" i="2"/>
  <c r="L1497" i="2"/>
  <c r="L1413" i="2"/>
  <c r="L1341" i="2"/>
  <c r="L1269" i="2"/>
  <c r="L1197" i="2"/>
  <c r="L1125" i="2"/>
  <c r="L1053" i="2"/>
  <c r="L1603" i="2"/>
  <c r="N2138" i="2"/>
  <c r="N2066" i="2"/>
  <c r="M1994" i="2"/>
  <c r="L1922" i="2"/>
  <c r="L1850" i="2"/>
  <c r="L1778" i="2"/>
  <c r="L1706" i="2"/>
  <c r="L1634" i="2"/>
  <c r="N2337" i="2"/>
  <c r="N2265" i="2"/>
  <c r="L1592" i="2"/>
  <c r="L1520" i="2"/>
  <c r="L1448" i="2"/>
  <c r="L1376" i="2"/>
  <c r="M1304" i="2"/>
  <c r="L1232" i="2"/>
  <c r="L1160" i="2"/>
  <c r="L1088" i="2"/>
  <c r="L1016" i="2"/>
  <c r="L2173" i="2"/>
  <c r="L2101" i="2"/>
  <c r="L2029" i="2"/>
  <c r="L1957" i="2"/>
  <c r="L1885" i="2"/>
  <c r="L1813" i="2"/>
  <c r="L1741" i="2"/>
  <c r="L1681" i="2"/>
  <c r="L2396" i="2"/>
  <c r="N2348" i="2"/>
  <c r="N2288" i="2"/>
  <c r="N2228" i="2"/>
  <c r="M1567" i="2"/>
  <c r="L1507" i="2"/>
  <c r="N1459" i="2"/>
  <c r="N1399" i="2"/>
  <c r="M1339" i="2"/>
  <c r="M1279" i="2"/>
  <c r="L1219" i="2"/>
  <c r="N1171" i="2"/>
  <c r="N1111" i="2"/>
  <c r="M1051" i="2"/>
  <c r="N1613" i="2"/>
  <c r="L2160" i="2"/>
  <c r="N2112" i="2"/>
  <c r="N2052" i="2"/>
  <c r="L1992" i="2"/>
  <c r="L1932" i="2"/>
  <c r="L1884" i="2"/>
  <c r="N1836" i="2"/>
  <c r="N1788" i="2"/>
  <c r="N1740" i="2"/>
  <c r="M1692" i="2"/>
  <c r="M1644" i="2"/>
  <c r="M2371" i="2"/>
  <c r="M2323" i="2"/>
  <c r="M2275" i="2"/>
  <c r="N2227" i="2"/>
  <c r="E1278" i="2"/>
  <c r="E2087" i="2"/>
  <c r="D1691" i="2"/>
  <c r="D1433" i="2"/>
  <c r="E1553" i="2"/>
  <c r="E1397" i="2"/>
  <c r="D1265" i="2"/>
  <c r="E1133" i="2"/>
  <c r="E2194" i="2"/>
  <c r="E2014" i="2"/>
  <c r="E1834" i="2"/>
  <c r="E1666" i="2"/>
  <c r="D1155" i="2"/>
  <c r="D1179" i="2"/>
  <c r="E1515" i="2"/>
  <c r="D1551" i="2"/>
  <c r="D1859" i="2"/>
  <c r="E1847" i="2"/>
  <c r="D1715" i="2"/>
  <c r="E1715" i="2"/>
  <c r="D2063" i="2"/>
  <c r="D1506" i="2"/>
  <c r="E1074" i="2"/>
  <c r="D1470" i="2"/>
  <c r="D1458" i="2"/>
  <c r="E1338" i="2"/>
  <c r="D1727" i="2"/>
  <c r="D1302" i="2"/>
  <c r="E2123" i="2"/>
  <c r="E1302" i="2"/>
  <c r="D1540" i="2"/>
  <c r="E1420" i="2"/>
  <c r="D1288" i="2"/>
  <c r="D1156" i="2"/>
  <c r="D1012" i="2"/>
  <c r="D2121" i="2"/>
  <c r="E2001" i="2"/>
  <c r="E1881" i="2"/>
  <c r="E1725" i="2"/>
  <c r="E1252" i="2"/>
  <c r="E1120" i="2"/>
  <c r="D1552" i="2"/>
  <c r="E2317" i="2"/>
  <c r="E2376" i="2"/>
  <c r="E2232" i="2"/>
  <c r="E2291" i="2"/>
  <c r="E2350" i="2"/>
  <c r="E2206" i="2"/>
  <c r="E2265" i="2"/>
  <c r="E2324" i="2"/>
  <c r="E2383" i="2"/>
  <c r="E2239" i="2"/>
  <c r="E2286" i="2"/>
  <c r="E2333" i="2"/>
  <c r="E2380" i="2"/>
  <c r="E2236" i="2"/>
  <c r="E2283" i="2"/>
  <c r="E2342" i="2"/>
  <c r="D2238" i="2"/>
  <c r="D2261" i="2"/>
  <c r="D2308" i="2"/>
  <c r="D2355" i="2"/>
  <c r="D2211" i="2"/>
  <c r="D2282" i="2"/>
  <c r="D2341" i="2"/>
  <c r="D2274" i="2"/>
  <c r="D2229" i="2"/>
  <c r="D2313" i="2"/>
  <c r="N1901" i="2"/>
  <c r="N1319" i="2"/>
  <c r="M1103" i="2"/>
  <c r="N2104" i="2"/>
  <c r="L1888" i="2"/>
  <c r="N1672" i="2"/>
  <c r="N2231" i="2"/>
  <c r="M1414" i="2"/>
  <c r="N1198" i="2"/>
  <c r="L2199" i="2"/>
  <c r="N1983" i="2"/>
  <c r="N1779" i="2"/>
  <c r="N1671" i="2"/>
  <c r="M2350" i="2"/>
  <c r="N2266" i="2"/>
  <c r="L1581" i="2"/>
  <c r="M1497" i="2"/>
  <c r="N1413" i="2"/>
  <c r="M1341" i="2"/>
  <c r="N1269" i="2"/>
  <c r="M1197" i="2"/>
  <c r="N1125" i="2"/>
  <c r="M1053" i="2"/>
  <c r="N1603" i="2"/>
  <c r="L2138" i="2"/>
  <c r="M2066" i="2"/>
  <c r="N1994" i="2"/>
  <c r="N1922" i="2"/>
  <c r="N1850" i="2"/>
  <c r="N1778" i="2"/>
  <c r="M1706" i="2"/>
  <c r="M1634" i="2"/>
  <c r="L2337" i="2"/>
  <c r="M2265" i="2"/>
  <c r="M1592" i="2"/>
  <c r="N1520" i="2"/>
  <c r="M1448" i="2"/>
  <c r="N1376" i="2"/>
  <c r="L1304" i="2"/>
  <c r="N1232" i="2"/>
  <c r="M1160" i="2"/>
  <c r="N1088" i="2"/>
  <c r="M1016" i="2"/>
  <c r="N2173" i="2"/>
  <c r="M2101" i="2"/>
  <c r="M2029" i="2"/>
  <c r="M1957" i="2"/>
  <c r="N1885" i="2"/>
  <c r="M1813" i="2"/>
  <c r="N1741" i="2"/>
  <c r="N1681" i="2"/>
  <c r="M2396" i="2"/>
  <c r="M2336" i="2"/>
  <c r="L2276" i="2"/>
  <c r="M2228" i="2"/>
  <c r="N1567" i="2"/>
  <c r="M1507" i="2"/>
  <c r="M1447" i="2"/>
  <c r="L1387" i="2"/>
  <c r="N1339" i="2"/>
  <c r="N1279" i="2"/>
  <c r="M1219" i="2"/>
  <c r="M1159" i="2"/>
  <c r="L1099" i="2"/>
  <c r="N1051" i="2"/>
  <c r="L1613" i="2"/>
  <c r="M2160" i="2"/>
  <c r="M2100" i="2"/>
  <c r="L2040" i="2"/>
  <c r="N1992" i="2"/>
  <c r="N1932" i="2"/>
  <c r="N1884" i="2"/>
  <c r="M1836" i="2"/>
  <c r="M1788" i="2"/>
  <c r="M1740" i="2"/>
  <c r="N1692" i="2"/>
  <c r="N1644" i="2"/>
  <c r="N2371" i="2"/>
  <c r="N2323" i="2"/>
  <c r="N2275" i="2"/>
  <c r="L2227" i="2"/>
  <c r="D1230" i="2"/>
  <c r="E2075" i="2"/>
  <c r="D1679" i="2"/>
  <c r="E1396" i="2"/>
  <c r="E1541" i="2"/>
  <c r="E1385" i="2"/>
  <c r="E1253" i="2"/>
  <c r="E1121" i="2"/>
  <c r="E2182" i="2"/>
  <c r="E2002" i="2"/>
  <c r="E1822" i="2"/>
  <c r="E1361" i="2"/>
  <c r="E1551" i="2"/>
  <c r="D1311" i="2"/>
  <c r="E1371" i="2"/>
  <c r="D1431" i="2"/>
  <c r="E1739" i="2"/>
  <c r="E1775" i="2"/>
  <c r="D1703" i="2"/>
  <c r="E1530" i="2"/>
  <c r="D2039" i="2"/>
  <c r="D1919" i="2"/>
  <c r="E2183" i="2"/>
  <c r="D1074" i="2"/>
  <c r="D1482" i="2"/>
  <c r="E1194" i="2"/>
  <c r="D1194" i="2"/>
  <c r="D1655" i="2"/>
  <c r="E1955" i="2"/>
  <c r="E1158" i="2"/>
  <c r="E1528" i="2"/>
  <c r="D1384" i="2"/>
  <c r="E1276" i="2"/>
  <c r="E1144" i="2"/>
  <c r="D1610" i="2"/>
  <c r="D2109" i="2"/>
  <c r="E1989" i="2"/>
  <c r="D1881" i="2"/>
  <c r="E1713" i="2"/>
  <c r="D1300" i="2"/>
  <c r="D1444" i="2"/>
  <c r="D1504" i="2"/>
  <c r="E2305" i="2"/>
  <c r="E2364" i="2"/>
  <c r="E2220" i="2"/>
  <c r="E2279" i="2"/>
  <c r="E2338" i="2"/>
  <c r="E2397" i="2"/>
  <c r="E2253" i="2"/>
  <c r="E2312" i="2"/>
  <c r="E2371" i="2"/>
  <c r="E2227" i="2"/>
  <c r="E2274" i="2"/>
  <c r="E2321" i="2"/>
  <c r="E2368" i="2"/>
  <c r="E2224" i="2"/>
  <c r="E2271" i="2"/>
  <c r="E2330" i="2"/>
  <c r="D2393" i="2"/>
  <c r="D2249" i="2"/>
  <c r="D2296" i="2"/>
  <c r="D2343" i="2"/>
  <c r="D2322" i="2"/>
  <c r="D2270" i="2"/>
  <c r="D2329" i="2"/>
  <c r="D2400" i="2"/>
  <c r="D2256" i="2"/>
  <c r="D2363" i="2"/>
  <c r="D2219" i="2"/>
  <c r="D2290" i="2"/>
  <c r="D2361" i="2"/>
  <c r="D2217" i="2"/>
  <c r="D2288" i="2"/>
  <c r="D2395" i="2"/>
  <c r="D2251" i="2"/>
  <c r="D1382" i="2"/>
  <c r="E1349" i="2"/>
  <c r="E1386" i="2"/>
  <c r="E2015" i="2"/>
  <c r="D1542" i="2"/>
  <c r="E1050" i="2"/>
  <c r="D1530" i="2"/>
  <c r="E1014" i="2"/>
  <c r="D1516" i="2"/>
  <c r="E1240" i="2"/>
  <c r="E1132" i="2"/>
  <c r="E2097" i="2"/>
  <c r="E1869" i="2"/>
  <c r="D1713" i="2"/>
  <c r="D1408" i="2"/>
  <c r="D1324" i="2"/>
  <c r="E2352" i="2"/>
  <c r="E2267" i="2"/>
  <c r="E2326" i="2"/>
  <c r="E2241" i="2"/>
  <c r="E2300" i="2"/>
  <c r="E2215" i="2"/>
  <c r="E2309" i="2"/>
  <c r="E2356" i="2"/>
  <c r="E2259" i="2"/>
  <c r="E2318" i="2"/>
  <c r="D2237" i="2"/>
  <c r="D2284" i="2"/>
  <c r="D2402" i="2"/>
  <c r="D2258" i="2"/>
  <c r="D2317" i="2"/>
  <c r="D2244" i="2"/>
  <c r="D2351" i="2"/>
  <c r="D2278" i="2"/>
  <c r="D2205" i="2"/>
  <c r="D2276" i="2"/>
  <c r="D2239" i="2"/>
  <c r="D2319" i="2"/>
  <c r="D2376" i="2"/>
  <c r="D2250" i="2"/>
  <c r="D2262" i="2"/>
  <c r="D2227" i="2"/>
  <c r="D2254" i="2"/>
  <c r="D2252" i="2"/>
  <c r="D2226" i="2"/>
  <c r="D2352" i="2"/>
  <c r="N1805" i="2"/>
  <c r="N1307" i="2"/>
  <c r="M1079" i="2"/>
  <c r="N2092" i="2"/>
  <c r="N1864" i="2"/>
  <c r="N1660" i="2"/>
  <c r="N2207" i="2"/>
  <c r="M1402" i="2"/>
  <c r="N1174" i="2"/>
  <c r="M2187" i="2"/>
  <c r="N1959" i="2"/>
  <c r="L1767" i="2"/>
  <c r="N1659" i="2"/>
  <c r="L2338" i="2"/>
  <c r="M2254" i="2"/>
  <c r="N1569" i="2"/>
  <c r="N1485" i="2"/>
  <c r="M1401" i="2"/>
  <c r="M1329" i="2"/>
  <c r="M1257" i="2"/>
  <c r="M1185" i="2"/>
  <c r="M1113" i="2"/>
  <c r="M1041" i="2"/>
  <c r="N2198" i="2"/>
  <c r="L2126" i="2"/>
  <c r="L2054" i="2"/>
  <c r="N1982" i="2"/>
  <c r="M1910" i="2"/>
  <c r="N1838" i="2"/>
  <c r="M1766" i="2"/>
  <c r="M1694" i="2"/>
  <c r="L2397" i="2"/>
  <c r="L2325" i="2"/>
  <c r="M2253" i="2"/>
  <c r="M1580" i="2"/>
  <c r="M1508" i="2"/>
  <c r="M1436" i="2"/>
  <c r="M1364" i="2"/>
  <c r="L1292" i="2"/>
  <c r="M1220" i="2"/>
  <c r="M1148" i="2"/>
  <c r="M1076" i="2"/>
  <c r="M1626" i="2"/>
  <c r="M2161" i="2"/>
  <c r="M2089" i="2"/>
  <c r="M2017" i="2"/>
  <c r="M1945" i="2"/>
  <c r="M1873" i="2"/>
  <c r="M1801" i="2"/>
  <c r="M1729" i="2"/>
  <c r="M1669" i="2"/>
  <c r="N2396" i="2"/>
  <c r="N2336" i="2"/>
  <c r="M2276" i="2"/>
  <c r="N2216" i="2"/>
  <c r="L1555" i="2"/>
  <c r="N1507" i="2"/>
  <c r="N1447" i="2"/>
  <c r="M1387" i="2"/>
  <c r="M1327" i="2"/>
  <c r="L1267" i="2"/>
  <c r="N1219" i="2"/>
  <c r="N1159" i="2"/>
  <c r="M1099" i="2"/>
  <c r="M1039" i="2"/>
  <c r="M1601" i="2"/>
  <c r="N2160" i="2"/>
  <c r="N2100" i="2"/>
  <c r="M2040" i="2"/>
  <c r="L1980" i="2"/>
  <c r="M1920" i="2"/>
  <c r="M1872" i="2"/>
  <c r="L1824" i="2"/>
  <c r="L1776" i="2"/>
  <c r="L1728" i="2"/>
  <c r="L1680" i="2"/>
  <c r="L1632" i="2"/>
  <c r="L2359" i="2"/>
  <c r="L2311" i="2"/>
  <c r="L2263" i="2"/>
  <c r="M2215" i="2"/>
  <c r="D1206" i="2"/>
  <c r="D2003" i="2"/>
  <c r="D1446" i="2"/>
  <c r="D1312" i="2"/>
  <c r="E1529" i="2"/>
  <c r="E1337" i="2"/>
  <c r="E1241" i="2"/>
  <c r="E1109" i="2"/>
  <c r="E2170" i="2"/>
  <c r="E1990" i="2"/>
  <c r="E1810" i="2"/>
  <c r="E1407" i="2"/>
  <c r="D1539" i="2"/>
  <c r="E1227" i="2"/>
  <c r="D1131" i="2"/>
  <c r="D1931" i="2"/>
  <c r="E1703" i="2"/>
  <c r="D1362" i="2"/>
  <c r="E1518" i="2"/>
  <c r="D1895" i="2"/>
  <c r="E1494" i="2"/>
  <c r="D1554" i="2"/>
  <c r="E1787" i="2"/>
  <c r="E1384" i="2"/>
  <c r="E1610" i="2"/>
  <c r="D1989" i="2"/>
  <c r="D1588" i="2"/>
  <c r="E2293" i="2"/>
  <c r="E2208" i="2"/>
  <c r="E2385" i="2"/>
  <c r="E2359" i="2"/>
  <c r="E2262" i="2"/>
  <c r="E2212" i="2"/>
  <c r="D2381" i="2"/>
  <c r="D2331" i="2"/>
  <c r="D2388" i="2"/>
  <c r="D2207" i="2"/>
  <c r="D2349" i="2"/>
  <c r="D2383" i="2"/>
  <c r="D1394" i="2"/>
  <c r="D2246" i="2"/>
  <c r="D2339" i="2"/>
  <c r="D2337" i="2"/>
  <c r="D2371" i="2"/>
  <c r="D2398" i="2"/>
  <c r="D2359" i="2"/>
  <c r="D2236" i="2"/>
  <c r="D2208" i="2"/>
  <c r="N1709" i="2"/>
  <c r="M1271" i="2"/>
  <c r="N1067" i="2"/>
  <c r="M2056" i="2"/>
  <c r="M1852" i="2"/>
  <c r="M2399" i="2"/>
  <c r="N1594" i="2"/>
  <c r="L1366" i="2"/>
  <c r="L1162" i="2"/>
  <c r="M2151" i="2"/>
  <c r="M1947" i="2"/>
  <c r="M1755" i="2"/>
  <c r="M1647" i="2"/>
  <c r="M2338" i="2"/>
  <c r="L2254" i="2"/>
  <c r="L1569" i="2"/>
  <c r="L1473" i="2"/>
  <c r="N1401" i="2"/>
  <c r="N1329" i="2"/>
  <c r="N1257" i="2"/>
  <c r="N1185" i="2"/>
  <c r="N1113" i="2"/>
  <c r="N1041" i="2"/>
  <c r="L2198" i="2"/>
  <c r="M2126" i="2"/>
  <c r="M2054" i="2"/>
  <c r="L1982" i="2"/>
  <c r="N1910" i="2"/>
  <c r="M1838" i="2"/>
  <c r="N1766" i="2"/>
  <c r="N1694" i="2"/>
  <c r="M2397" i="2"/>
  <c r="M2325" i="2"/>
  <c r="N2253" i="2"/>
  <c r="N1580" i="2"/>
  <c r="N1508" i="2"/>
  <c r="N1436" i="2"/>
  <c r="N1364" i="2"/>
  <c r="N1292" i="2"/>
  <c r="N1220" i="2"/>
  <c r="N1148" i="2"/>
  <c r="N1076" i="2"/>
  <c r="N1626" i="2"/>
  <c r="N2161" i="2"/>
  <c r="N2089" i="2"/>
  <c r="N2017" i="2"/>
  <c r="N1945" i="2"/>
  <c r="N1873" i="2"/>
  <c r="N1801" i="2"/>
  <c r="N1729" i="2"/>
  <c r="N1669" i="2"/>
  <c r="M2384" i="2"/>
  <c r="L2324" i="2"/>
  <c r="N2276" i="2"/>
  <c r="M2216" i="2"/>
  <c r="M1555" i="2"/>
  <c r="M1495" i="2"/>
  <c r="L1435" i="2"/>
  <c r="N1387" i="2"/>
  <c r="N1327" i="2"/>
  <c r="M1267" i="2"/>
  <c r="M1207" i="2"/>
  <c r="L1147" i="2"/>
  <c r="N1099" i="2"/>
  <c r="N1039" i="2"/>
  <c r="N1601" i="2"/>
  <c r="M2148" i="2"/>
  <c r="L2088" i="2"/>
  <c r="N2040" i="2"/>
  <c r="N1980" i="2"/>
  <c r="L1920" i="2"/>
  <c r="L1872" i="2"/>
  <c r="N1824" i="2"/>
  <c r="N1776" i="2"/>
  <c r="N1728" i="2"/>
  <c r="M1680" i="2"/>
  <c r="M1632" i="2"/>
  <c r="M2359" i="2"/>
  <c r="M2311" i="2"/>
  <c r="M2263" i="2"/>
  <c r="N2215" i="2"/>
  <c r="E1146" i="2"/>
  <c r="D1991" i="2"/>
  <c r="E1134" i="2"/>
  <c r="D1072" i="2"/>
  <c r="E1481" i="2"/>
  <c r="E1325" i="2"/>
  <c r="D1229" i="2"/>
  <c r="E1097" i="2"/>
  <c r="E2158" i="2"/>
  <c r="E1978" i="2"/>
  <c r="D1786" i="2"/>
  <c r="E1217" i="2"/>
  <c r="E1263" i="2"/>
  <c r="D1395" i="2"/>
  <c r="D1407" i="2"/>
  <c r="E1491" i="2"/>
  <c r="E1727" i="2"/>
  <c r="E1631" i="2"/>
  <c r="D1182" i="2"/>
  <c r="E1242" i="2"/>
  <c r="E1374" i="2"/>
  <c r="D2099" i="2"/>
  <c r="E1835" i="2"/>
  <c r="E1350" i="2"/>
  <c r="D1631" i="2"/>
  <c r="E2159" i="2"/>
  <c r="D1410" i="2"/>
  <c r="D1386" i="2"/>
  <c r="D1967" i="2"/>
  <c r="E2111" i="2"/>
  <c r="E1504" i="2"/>
  <c r="D1372" i="2"/>
  <c r="D1228" i="2"/>
  <c r="D1132" i="2"/>
  <c r="D2193" i="2"/>
  <c r="D2085" i="2"/>
  <c r="D1965" i="2"/>
  <c r="E1857" i="2"/>
  <c r="E1701" i="2"/>
  <c r="D1348" i="2"/>
  <c r="E1540" i="2"/>
  <c r="E1492" i="2"/>
  <c r="E2281" i="2"/>
  <c r="E2340" i="2"/>
  <c r="E2399" i="2"/>
  <c r="E2255" i="2"/>
  <c r="E2314" i="2"/>
  <c r="E2373" i="2"/>
  <c r="E2229" i="2"/>
  <c r="E2288" i="2"/>
  <c r="E2347" i="2"/>
  <c r="E2394" i="2"/>
  <c r="E2250" i="2"/>
  <c r="E2297" i="2"/>
  <c r="E2344" i="2"/>
  <c r="E2391" i="2"/>
  <c r="E2247" i="2"/>
  <c r="E2306" i="2"/>
  <c r="D2369" i="2"/>
  <c r="D2225" i="2"/>
  <c r="D2260" i="2"/>
  <c r="D2390" i="2"/>
  <c r="D2305" i="2"/>
  <c r="D2232" i="2"/>
  <c r="D2266" i="2"/>
  <c r="D2264" i="2"/>
  <c r="D1574" i="2"/>
  <c r="D2396" i="2"/>
  <c r="D1298" i="2"/>
  <c r="D2222" i="2"/>
  <c r="D2347" i="2"/>
  <c r="N2388" i="2"/>
  <c r="L1259" i="2"/>
  <c r="N1055" i="2"/>
  <c r="L2044" i="2"/>
  <c r="M1840" i="2"/>
  <c r="L2387" i="2"/>
  <c r="N1582" i="2"/>
  <c r="N1354" i="2"/>
  <c r="L1150" i="2"/>
  <c r="L2139" i="2"/>
  <c r="M1935" i="2"/>
  <c r="M1743" i="2"/>
  <c r="N1647" i="2"/>
  <c r="N2338" i="2"/>
  <c r="M2242" i="2"/>
  <c r="N1557" i="2"/>
  <c r="M1473" i="2"/>
  <c r="L1389" i="2"/>
  <c r="L1317" i="2"/>
  <c r="L1245" i="2"/>
  <c r="L1173" i="2"/>
  <c r="L1101" i="2"/>
  <c r="L1029" i="2"/>
  <c r="N2186" i="2"/>
  <c r="N2114" i="2"/>
  <c r="N2042" i="2"/>
  <c r="M1970" i="2"/>
  <c r="L1898" i="2"/>
  <c r="L1826" i="2"/>
  <c r="L1754" i="2"/>
  <c r="L1682" i="2"/>
  <c r="N2385" i="2"/>
  <c r="N2313" i="2"/>
  <c r="L2241" i="2"/>
  <c r="L1568" i="2"/>
  <c r="L1496" i="2"/>
  <c r="L1424" i="2"/>
  <c r="L1352" i="2"/>
  <c r="M1280" i="2"/>
  <c r="L1208" i="2"/>
  <c r="L1136" i="2"/>
  <c r="L1064" i="2"/>
  <c r="L1614" i="2"/>
  <c r="L2149" i="2"/>
  <c r="L2077" i="2"/>
  <c r="L2005" i="2"/>
  <c r="L1933" i="2"/>
  <c r="L1861" i="2"/>
  <c r="L1789" i="2"/>
  <c r="L1717" i="2"/>
  <c r="L1669" i="2"/>
  <c r="N2384" i="2"/>
  <c r="M2324" i="2"/>
  <c r="M2264" i="2"/>
  <c r="L2204" i="2"/>
  <c r="N1555" i="2"/>
  <c r="N1495" i="2"/>
  <c r="M1435" i="2"/>
  <c r="M1375" i="2"/>
  <c r="L1315" i="2"/>
  <c r="N1267" i="2"/>
  <c r="N1207" i="2"/>
  <c r="M1147" i="2"/>
  <c r="M1087" i="2"/>
  <c r="L1027" i="2"/>
  <c r="L1601" i="2"/>
  <c r="N2148" i="2"/>
  <c r="M2088" i="2"/>
  <c r="L2028" i="2"/>
  <c r="M1968" i="2"/>
  <c r="N1920" i="2"/>
  <c r="N1872" i="2"/>
  <c r="M1824" i="2"/>
  <c r="M1776" i="2"/>
  <c r="M1728" i="2"/>
  <c r="N1680" i="2"/>
  <c r="N1632" i="2"/>
  <c r="N2359" i="2"/>
  <c r="N2311" i="2"/>
  <c r="N2263" i="2"/>
  <c r="L2215" i="2"/>
  <c r="D1110" i="2"/>
  <c r="D1943" i="2"/>
  <c r="E1566" i="2"/>
  <c r="D1287" i="2"/>
  <c r="D1469" i="2"/>
  <c r="E1313" i="2"/>
  <c r="E1193" i="2"/>
  <c r="D1073" i="2"/>
  <c r="E2146" i="2"/>
  <c r="E1966" i="2"/>
  <c r="E1762" i="2"/>
  <c r="E1205" i="2"/>
  <c r="E1119" i="2"/>
  <c r="E1527" i="2"/>
  <c r="D1215" i="2"/>
  <c r="E1347" i="2"/>
  <c r="D1398" i="2"/>
  <c r="E1554" i="2"/>
  <c r="D1086" i="2"/>
  <c r="E1098" i="2"/>
  <c r="E1230" i="2"/>
  <c r="D2171" i="2"/>
  <c r="E1667" i="2"/>
  <c r="E1206" i="2"/>
  <c r="D1422" i="2"/>
  <c r="E1979" i="2"/>
  <c r="D1098" i="2"/>
  <c r="D1799" i="2"/>
  <c r="D1955" i="2"/>
  <c r="E1943" i="2"/>
  <c r="E1480" i="2"/>
  <c r="E1360" i="2"/>
  <c r="E1216" i="2"/>
  <c r="D1120" i="2"/>
  <c r="E2193" i="2"/>
  <c r="E2073" i="2"/>
  <c r="E1953" i="2"/>
  <c r="E1845" i="2"/>
  <c r="D1701" i="2"/>
  <c r="E1228" i="2"/>
  <c r="E1108" i="2"/>
  <c r="E1060" i="2"/>
  <c r="E2269" i="2"/>
  <c r="E2328" i="2"/>
  <c r="E2387" i="2"/>
  <c r="E2243" i="2"/>
  <c r="E2302" i="2"/>
  <c r="E2361" i="2"/>
  <c r="E2217" i="2"/>
  <c r="E2276" i="2"/>
  <c r="E2335" i="2"/>
  <c r="E2382" i="2"/>
  <c r="E2238" i="2"/>
  <c r="E2285" i="2"/>
  <c r="E2332" i="2"/>
  <c r="E2379" i="2"/>
  <c r="E2235" i="2"/>
  <c r="E2294" i="2"/>
  <c r="D2357" i="2"/>
  <c r="D2213" i="2"/>
  <c r="D2248" i="2"/>
  <c r="D2307" i="2"/>
  <c r="D2378" i="2"/>
  <c r="D2234" i="2"/>
  <c r="D2293" i="2"/>
  <c r="D2364" i="2"/>
  <c r="D2220" i="2"/>
  <c r="D2327" i="2"/>
  <c r="D2325" i="2"/>
  <c r="D2215" i="2"/>
  <c r="D2295" i="2"/>
  <c r="D2386" i="2"/>
  <c r="N2292" i="2"/>
  <c r="M1247" i="2"/>
  <c r="N1031" i="2"/>
  <c r="L2032" i="2"/>
  <c r="M1816" i="2"/>
  <c r="M2375" i="2"/>
  <c r="M1558" i="2"/>
  <c r="M1342" i="2"/>
  <c r="L1126" i="2"/>
  <c r="N2127" i="2"/>
  <c r="N1911" i="2"/>
  <c r="M1731" i="2"/>
  <c r="M1635" i="2"/>
  <c r="M2326" i="2"/>
  <c r="L2242" i="2"/>
  <c r="L1557" i="2"/>
  <c r="M1461" i="2"/>
  <c r="M1389" i="2"/>
  <c r="N1317" i="2"/>
  <c r="M1245" i="2"/>
  <c r="N1173" i="2"/>
  <c r="M1101" i="2"/>
  <c r="N1029" i="2"/>
  <c r="L2186" i="2"/>
  <c r="M2114" i="2"/>
  <c r="L2042" i="2"/>
  <c r="L1970" i="2"/>
  <c r="M1898" i="2"/>
  <c r="M1826" i="2"/>
  <c r="M1754" i="2"/>
  <c r="N1682" i="2"/>
  <c r="L2385" i="2"/>
  <c r="M2313" i="2"/>
  <c r="M2241" i="2"/>
  <c r="N1568" i="2"/>
  <c r="M1496" i="2"/>
  <c r="N1424" i="2"/>
  <c r="M1352" i="2"/>
  <c r="N1280" i="2"/>
  <c r="M1208" i="2"/>
  <c r="N1136" i="2"/>
  <c r="M1064" i="2"/>
  <c r="N1614" i="2"/>
  <c r="M2149" i="2"/>
  <c r="N2077" i="2"/>
  <c r="M2005" i="2"/>
  <c r="N1933" i="2"/>
  <c r="M1861" i="2"/>
  <c r="N1789" i="2"/>
  <c r="M1717" i="2"/>
  <c r="N1657" i="2"/>
  <c r="L2372" i="2"/>
  <c r="N2324" i="2"/>
  <c r="N2264" i="2"/>
  <c r="N2204" i="2"/>
  <c r="M1543" i="2"/>
  <c r="L1483" i="2"/>
  <c r="N1435" i="2"/>
  <c r="N1375" i="2"/>
  <c r="M1315" i="2"/>
  <c r="M1255" i="2"/>
  <c r="L1195" i="2"/>
  <c r="N1147" i="2"/>
  <c r="N1087" i="2"/>
  <c r="M1027" i="2"/>
  <c r="N2196" i="2"/>
  <c r="L2136" i="2"/>
  <c r="N2088" i="2"/>
  <c r="N2028" i="2"/>
  <c r="L1968" i="2"/>
  <c r="M1908" i="2"/>
  <c r="L1860" i="2"/>
  <c r="L1812" i="2"/>
  <c r="L1764" i="2"/>
  <c r="L1716" i="2"/>
  <c r="L1668" i="2"/>
  <c r="L2395" i="2"/>
  <c r="L2347" i="2"/>
  <c r="L2299" i="2"/>
  <c r="M2251" i="2"/>
  <c r="M2203" i="2"/>
  <c r="D1038" i="2"/>
  <c r="E1931" i="2"/>
  <c r="E1578" i="2"/>
  <c r="D1457" i="2"/>
  <c r="E1469" i="2"/>
  <c r="E1301" i="2"/>
  <c r="E1181" i="2"/>
  <c r="E1049" i="2"/>
  <c r="E2134" i="2"/>
  <c r="E1954" i="2"/>
  <c r="E1750" i="2"/>
  <c r="D1203" i="2"/>
  <c r="D1263" i="2"/>
  <c r="E1383" i="2"/>
  <c r="D1335" i="2"/>
  <c r="E1203" i="2"/>
  <c r="D1026" i="2"/>
  <c r="E1410" i="2"/>
  <c r="E1542" i="2"/>
  <c r="E1612" i="2"/>
  <c r="E1086" i="2"/>
  <c r="D2159" i="2"/>
  <c r="D1254" i="2"/>
  <c r="E1062" i="2"/>
  <c r="D1883" i="2"/>
  <c r="E1811" i="2"/>
  <c r="E1470" i="2"/>
  <c r="D1242" i="2"/>
  <c r="D1314" i="2"/>
  <c r="E1763" i="2"/>
  <c r="D1480" i="2"/>
  <c r="D1360" i="2"/>
  <c r="D1204" i="2"/>
  <c r="D1108" i="2"/>
  <c r="E2181" i="2"/>
  <c r="D2049" i="2"/>
  <c r="D1953" i="2"/>
  <c r="E1809" i="2"/>
  <c r="D1689" i="2"/>
  <c r="D2157" i="2"/>
  <c r="D1048" i="2"/>
  <c r="E2401" i="2"/>
  <c r="E2257" i="2"/>
  <c r="E2316" i="2"/>
  <c r="E2375" i="2"/>
  <c r="E2231" i="2"/>
  <c r="E2290" i="2"/>
  <c r="E2349" i="2"/>
  <c r="E2205" i="2"/>
  <c r="E2264" i="2"/>
  <c r="E2323" i="2"/>
  <c r="E2370" i="2"/>
  <c r="E2226" i="2"/>
  <c r="E2273" i="2"/>
  <c r="E2320" i="2"/>
  <c r="E2367" i="2"/>
  <c r="E2223" i="2"/>
  <c r="E2282" i="2"/>
  <c r="D2345" i="2"/>
  <c r="D2366" i="2"/>
  <c r="D2315" i="2"/>
  <c r="N1595" i="2"/>
  <c r="M1223" i="2"/>
  <c r="N1019" i="2"/>
  <c r="L2008" i="2"/>
  <c r="M1804" i="2"/>
  <c r="M2351" i="2"/>
  <c r="N1546" i="2"/>
  <c r="M1318" i="2"/>
  <c r="L1114" i="2"/>
  <c r="M2103" i="2"/>
  <c r="N1899" i="2"/>
  <c r="L1731" i="2"/>
  <c r="L2398" i="2"/>
  <c r="M2314" i="2"/>
  <c r="L2230" i="2"/>
  <c r="L1545" i="2"/>
  <c r="L1449" i="2"/>
  <c r="M1377" i="2"/>
  <c r="M1305" i="2"/>
  <c r="M1233" i="2"/>
  <c r="M1161" i="2"/>
  <c r="M1089" i="2"/>
  <c r="L1017" i="2"/>
  <c r="L2174" i="2"/>
  <c r="L2102" i="2"/>
  <c r="N2030" i="2"/>
  <c r="N1958" i="2"/>
  <c r="M1886" i="2"/>
  <c r="N1814" i="2"/>
  <c r="M1742" i="2"/>
  <c r="N1670" i="2"/>
  <c r="L2373" i="2"/>
  <c r="L2301" i="2"/>
  <c r="M2229" i="2"/>
  <c r="M1556" i="2"/>
  <c r="M1484" i="2"/>
  <c r="M1412" i="2"/>
  <c r="L1340" i="2"/>
  <c r="M1268" i="2"/>
  <c r="M1196" i="2"/>
  <c r="M1124" i="2"/>
  <c r="M1052" i="2"/>
  <c r="M1602" i="2"/>
  <c r="M2137" i="2"/>
  <c r="M2065" i="2"/>
  <c r="M1993" i="2"/>
  <c r="M1921" i="2"/>
  <c r="M1849" i="2"/>
  <c r="M1777" i="2"/>
  <c r="N1717" i="2"/>
  <c r="L1657" i="2"/>
  <c r="M2372" i="2"/>
  <c r="M2312" i="2"/>
  <c r="L2252" i="2"/>
  <c r="M2204" i="2"/>
  <c r="N1543" i="2"/>
  <c r="M1483" i="2"/>
  <c r="M1423" i="2"/>
  <c r="L1363" i="2"/>
  <c r="N1315" i="2"/>
  <c r="N1255" i="2"/>
  <c r="M1195" i="2"/>
  <c r="M1135" i="2"/>
  <c r="L1075" i="2"/>
  <c r="N1027" i="2"/>
  <c r="M2196" i="2"/>
  <c r="M2136" i="2"/>
  <c r="M2076" i="2"/>
  <c r="M2016" i="2"/>
  <c r="N1968" i="2"/>
  <c r="L1908" i="2"/>
  <c r="N1860" i="2"/>
  <c r="N1812" i="2"/>
  <c r="N1764" i="2"/>
  <c r="N1716" i="2"/>
  <c r="M1668" i="2"/>
  <c r="M2395" i="2"/>
  <c r="M2347" i="2"/>
  <c r="M2299" i="2"/>
  <c r="N2251" i="2"/>
  <c r="N2203" i="2"/>
  <c r="D1014" i="2"/>
  <c r="E1907" i="2"/>
  <c r="E1422" i="2"/>
  <c r="D1667" i="2"/>
  <c r="E1457" i="2"/>
  <c r="D1301" i="2"/>
  <c r="D1181" i="2"/>
  <c r="E1037" i="2"/>
  <c r="E2122" i="2"/>
  <c r="E1906" i="2"/>
  <c r="E1738" i="2"/>
  <c r="D1371" i="2"/>
  <c r="D1323" i="2"/>
  <c r="E1239" i="2"/>
  <c r="D1275" i="2"/>
  <c r="D1527" i="2"/>
  <c r="D2087" i="2"/>
  <c r="E1122" i="2"/>
  <c r="E1398" i="2"/>
  <c r="E2039" i="2"/>
  <c r="E2195" i="2"/>
  <c r="D2123" i="2"/>
  <c r="D1218" i="2"/>
  <c r="E2171" i="2"/>
  <c r="D1146" i="2"/>
  <c r="E1643" i="2"/>
  <c r="E1326" i="2"/>
  <c r="D2111" i="2"/>
  <c r="D1835" i="2"/>
  <c r="D1432" i="2"/>
  <c r="D1468" i="2"/>
  <c r="E1336" i="2"/>
  <c r="E1192" i="2"/>
  <c r="E1096" i="2"/>
  <c r="E2169" i="2"/>
  <c r="E2049" i="2"/>
  <c r="D1929" i="2"/>
  <c r="D1797" i="2"/>
  <c r="E1665" i="2"/>
  <c r="D1396" i="2"/>
  <c r="D2181" i="2"/>
  <c r="E2389" i="2"/>
  <c r="E2245" i="2"/>
  <c r="E2304" i="2"/>
  <c r="E2363" i="2"/>
  <c r="E2219" i="2"/>
  <c r="E2278" i="2"/>
  <c r="E2337" i="2"/>
  <c r="E2396" i="2"/>
  <c r="E2252" i="2"/>
  <c r="E2311" i="2"/>
  <c r="E2358" i="2"/>
  <c r="E2214" i="2"/>
  <c r="E2261" i="2"/>
  <c r="E2308" i="2"/>
  <c r="E2355" i="2"/>
  <c r="E2211" i="2"/>
  <c r="E2270" i="2"/>
  <c r="D2333" i="2"/>
  <c r="D2392" i="2"/>
  <c r="D2224" i="2"/>
  <c r="D2283" i="2"/>
  <c r="D2354" i="2"/>
  <c r="D2210" i="2"/>
  <c r="D2269" i="2"/>
  <c r="D2340" i="2"/>
  <c r="D2394" i="2"/>
  <c r="D2303" i="2"/>
  <c r="D2374" i="2"/>
  <c r="D2230" i="2"/>
  <c r="D2301" i="2"/>
  <c r="D2372" i="2"/>
  <c r="D2228" i="2"/>
  <c r="D2335" i="2"/>
  <c r="D2272" i="2"/>
  <c r="D1262" i="2"/>
  <c r="E2339" i="2"/>
  <c r="E2372" i="2"/>
  <c r="E2334" i="2"/>
  <c r="E2237" i="2"/>
  <c r="E2390" i="2"/>
  <c r="D2309" i="2"/>
  <c r="D2259" i="2"/>
  <c r="D2389" i="2"/>
  <c r="D2316" i="2"/>
  <c r="D2350" i="2"/>
  <c r="D2277" i="2"/>
  <c r="D2311" i="2"/>
  <c r="D1178" i="2"/>
  <c r="E2277" i="2"/>
  <c r="E2295" i="2"/>
  <c r="D2367" i="2"/>
  <c r="D2280" i="2"/>
  <c r="D2241" i="2"/>
  <c r="D2373" i="2"/>
  <c r="D2281" i="2"/>
  <c r="N1499" i="2"/>
  <c r="N1211" i="2"/>
  <c r="N2200" i="2"/>
  <c r="N1996" i="2"/>
  <c r="N1768" i="2"/>
  <c r="N2339" i="2"/>
  <c r="L1510" i="2"/>
  <c r="N1306" i="2"/>
  <c r="N1078" i="2"/>
  <c r="N2091" i="2"/>
  <c r="L1863" i="2"/>
  <c r="N1707" i="2"/>
  <c r="N2398" i="2"/>
  <c r="N2314" i="2"/>
  <c r="M2218" i="2"/>
  <c r="M1533" i="2"/>
  <c r="M1449" i="2"/>
  <c r="N1377" i="2"/>
  <c r="N1305" i="2"/>
  <c r="N1233" i="2"/>
  <c r="N1161" i="2"/>
  <c r="N1089" i="2"/>
  <c r="M1017" i="2"/>
  <c r="M2174" i="2"/>
  <c r="M2102" i="2"/>
  <c r="L2030" i="2"/>
  <c r="L1958" i="2"/>
  <c r="N1886" i="2"/>
  <c r="M1814" i="2"/>
  <c r="N1742" i="2"/>
  <c r="M1670" i="2"/>
  <c r="M2373" i="2"/>
  <c r="M2301" i="2"/>
  <c r="N2229" i="2"/>
  <c r="N1556" i="2"/>
  <c r="N1484" i="2"/>
  <c r="N1412" i="2"/>
  <c r="N1340" i="2"/>
  <c r="N1268" i="2"/>
  <c r="N1196" i="2"/>
  <c r="N1124" i="2"/>
  <c r="N1052" i="2"/>
  <c r="N1602" i="2"/>
  <c r="N2137" i="2"/>
  <c r="N2065" i="2"/>
  <c r="N1993" i="2"/>
  <c r="N1921" i="2"/>
  <c r="N1849" i="2"/>
  <c r="N1777" i="2"/>
  <c r="M1705" i="2"/>
  <c r="M1645" i="2"/>
  <c r="N2372" i="2"/>
  <c r="N2312" i="2"/>
  <c r="N2252" i="2"/>
  <c r="M1591" i="2"/>
  <c r="L1531" i="2"/>
  <c r="N1483" i="2"/>
  <c r="N1423" i="2"/>
  <c r="M1363" i="2"/>
  <c r="M1303" i="2"/>
  <c r="L1243" i="2"/>
  <c r="N1195" i="2"/>
  <c r="N1135" i="2"/>
  <c r="M1075" i="2"/>
  <c r="M1015" i="2"/>
  <c r="M2184" i="2"/>
  <c r="N2136" i="2"/>
  <c r="N2076" i="2"/>
  <c r="L2016" i="2"/>
  <c r="N1956" i="2"/>
  <c r="N1908" i="2"/>
  <c r="M1860" i="2"/>
  <c r="M1812" i="2"/>
  <c r="M1764" i="2"/>
  <c r="M1716" i="2"/>
  <c r="N1668" i="2"/>
  <c r="N2395" i="2"/>
  <c r="N2347" i="2"/>
  <c r="N2299" i="2"/>
  <c r="L2251" i="2"/>
  <c r="L2203" i="2"/>
  <c r="D1600" i="2"/>
  <c r="E1895" i="2"/>
  <c r="D1565" i="2"/>
  <c r="D1577" i="2"/>
  <c r="E1445" i="2"/>
  <c r="E1289" i="2"/>
  <c r="D1169" i="2"/>
  <c r="D1025" i="2"/>
  <c r="E2110" i="2"/>
  <c r="E1894" i="2"/>
  <c r="E1726" i="2"/>
  <c r="E1455" i="2"/>
  <c r="D1455" i="2"/>
  <c r="D1587" i="2"/>
  <c r="D1107" i="2"/>
  <c r="E1479" i="2"/>
  <c r="E1600" i="2"/>
  <c r="D1787" i="2"/>
  <c r="E1254" i="2"/>
  <c r="E1871" i="2"/>
  <c r="E2027" i="2"/>
  <c r="D1266" i="2"/>
  <c r="D1751" i="2"/>
  <c r="E2003" i="2"/>
  <c r="D1871" i="2"/>
  <c r="E1266" i="2"/>
  <c r="E1182" i="2"/>
  <c r="D1062" i="2"/>
  <c r="D1290" i="2"/>
  <c r="E1588" i="2"/>
  <c r="E1468" i="2"/>
  <c r="D1336" i="2"/>
  <c r="D1180" i="2"/>
  <c r="E1072" i="2"/>
  <c r="D2169" i="2"/>
  <c r="E2037" i="2"/>
  <c r="E1929" i="2"/>
  <c r="E1785" i="2"/>
  <c r="E1641" i="2"/>
  <c r="D1060" i="2"/>
  <c r="D1264" i="2"/>
  <c r="E2377" i="2"/>
  <c r="E2233" i="2"/>
  <c r="E2292" i="2"/>
  <c r="E2351" i="2"/>
  <c r="E2207" i="2"/>
  <c r="E2266" i="2"/>
  <c r="E2325" i="2"/>
  <c r="E2384" i="2"/>
  <c r="E2240" i="2"/>
  <c r="E2299" i="2"/>
  <c r="E2346" i="2"/>
  <c r="E2393" i="2"/>
  <c r="E2249" i="2"/>
  <c r="E2296" i="2"/>
  <c r="E2343" i="2"/>
  <c r="E2402" i="2"/>
  <c r="E2258" i="2"/>
  <c r="D2321" i="2"/>
  <c r="D2380" i="2"/>
  <c r="D2212" i="2"/>
  <c r="D2271" i="2"/>
  <c r="D2342" i="2"/>
  <c r="D2401" i="2"/>
  <c r="D2257" i="2"/>
  <c r="D2328" i="2"/>
  <c r="D2370" i="2"/>
  <c r="D2291" i="2"/>
  <c r="D2362" i="2"/>
  <c r="D2218" i="2"/>
  <c r="D2289" i="2"/>
  <c r="D2360" i="2"/>
  <c r="D2216" i="2"/>
  <c r="D2323" i="2"/>
  <c r="D2203" i="2"/>
  <c r="D1418" i="2"/>
  <c r="E2280" i="2"/>
  <c r="E2228" i="2"/>
  <c r="E2381" i="2"/>
  <c r="E2284" i="2"/>
  <c r="E2246" i="2"/>
  <c r="D2368" i="2"/>
  <c r="D2330" i="2"/>
  <c r="D2245" i="2"/>
  <c r="D2279" i="2"/>
  <c r="D2206" i="2"/>
  <c r="D2204" i="2"/>
  <c r="D1466" i="2"/>
  <c r="E2336" i="2"/>
  <c r="E2248" i="2"/>
  <c r="D2320" i="2"/>
  <c r="D2209" i="2"/>
  <c r="D2312" i="2"/>
  <c r="D2231" i="2"/>
  <c r="D1322" i="2"/>
  <c r="D2240" i="2"/>
  <c r="L1403" i="2"/>
  <c r="N1199" i="2"/>
  <c r="M2188" i="2"/>
  <c r="N1984" i="2"/>
  <c r="L1756" i="2"/>
  <c r="N2327" i="2"/>
  <c r="N1498" i="2"/>
  <c r="N1294" i="2"/>
  <c r="M1066" i="2"/>
  <c r="M2079" i="2"/>
  <c r="N1851" i="2"/>
  <c r="M1707" i="2"/>
  <c r="L2386" i="2"/>
  <c r="N2302" i="2"/>
  <c r="N2218" i="2"/>
  <c r="N1533" i="2"/>
  <c r="N1449" i="2"/>
  <c r="L1365" i="2"/>
  <c r="L1293" i="2"/>
  <c r="L1221" i="2"/>
  <c r="L1149" i="2"/>
  <c r="L1077" i="2"/>
  <c r="L1627" i="2"/>
  <c r="N2162" i="2"/>
  <c r="N2090" i="2"/>
  <c r="M2018" i="2"/>
  <c r="M1946" i="2"/>
  <c r="L1874" i="2"/>
  <c r="L1802" i="2"/>
  <c r="L1730" i="2"/>
  <c r="L1658" i="2"/>
  <c r="N2361" i="2"/>
  <c r="N2289" i="2"/>
  <c r="L2217" i="2"/>
  <c r="L1544" i="2"/>
  <c r="L1472" i="2"/>
  <c r="L1400" i="2"/>
  <c r="M1328" i="2"/>
  <c r="L1256" i="2"/>
  <c r="L1184" i="2"/>
  <c r="L1112" i="2"/>
  <c r="L1040" i="2"/>
  <c r="L2197" i="2"/>
  <c r="L2125" i="2"/>
  <c r="L2053" i="2"/>
  <c r="L1981" i="2"/>
  <c r="L1909" i="2"/>
  <c r="L1837" i="2"/>
  <c r="L1765" i="2"/>
  <c r="N1705" i="2"/>
  <c r="N1645" i="2"/>
  <c r="M2360" i="2"/>
  <c r="L2300" i="2"/>
  <c r="M2252" i="2"/>
  <c r="N1591" i="2"/>
  <c r="M1531" i="2"/>
  <c r="M1471" i="2"/>
  <c r="L1411" i="2"/>
  <c r="N1363" i="2"/>
  <c r="N1303" i="2"/>
  <c r="M1243" i="2"/>
  <c r="M1183" i="2"/>
  <c r="L1123" i="2"/>
  <c r="N1075" i="2"/>
  <c r="N1015" i="2"/>
  <c r="N2184" i="2"/>
  <c r="M2124" i="2"/>
  <c r="L2064" i="2"/>
  <c r="N2016" i="2"/>
  <c r="L1956" i="2"/>
  <c r="M1896" i="2"/>
  <c r="L1848" i="2"/>
  <c r="L1800" i="2"/>
  <c r="L1752" i="2"/>
  <c r="L1704" i="2"/>
  <c r="L1656" i="2"/>
  <c r="L2383" i="2"/>
  <c r="L2335" i="2"/>
  <c r="L2287" i="2"/>
  <c r="M2239" i="2"/>
  <c r="E1434" i="2"/>
  <c r="D2195" i="2"/>
  <c r="D1847" i="2"/>
  <c r="D1505" i="2"/>
  <c r="E1517" i="2"/>
  <c r="E1433" i="2"/>
  <c r="D1289" i="2"/>
  <c r="E1169" i="2"/>
  <c r="E1025" i="2"/>
  <c r="E2098" i="2"/>
  <c r="E1882" i="2"/>
  <c r="E1714" i="2"/>
  <c r="E1311" i="2"/>
  <c r="E1539" i="2"/>
  <c r="D1479" i="2"/>
  <c r="E1503" i="2"/>
  <c r="E1335" i="2"/>
  <c r="E2135" i="2"/>
  <c r="D1907" i="2"/>
  <c r="E1110" i="2"/>
  <c r="E1691" i="2"/>
  <c r="E1859" i="2"/>
  <c r="D1326" i="2"/>
  <c r="D1170" i="2"/>
  <c r="E1823" i="2"/>
  <c r="D1518" i="2"/>
  <c r="D1643" i="2"/>
  <c r="E1038" i="2"/>
  <c r="E1458" i="2"/>
  <c r="D1612" i="2"/>
  <c r="D1576" i="2"/>
  <c r="D1456" i="2"/>
  <c r="E1324" i="2"/>
  <c r="E1180" i="2"/>
  <c r="E1048" i="2"/>
  <c r="E2157" i="2"/>
  <c r="E2025" i="2"/>
  <c r="D1917" i="2"/>
  <c r="E1761" i="2"/>
  <c r="E1348" i="2"/>
  <c r="E1204" i="2"/>
  <c r="D1084" i="2"/>
  <c r="E2365" i="2"/>
  <c r="E2221" i="2"/>
  <c r="E2398" i="2"/>
  <c r="E2254" i="2"/>
  <c r="E2313" i="2"/>
  <c r="E2287" i="2"/>
  <c r="E2331" i="2"/>
  <c r="D2214" i="2"/>
  <c r="D2346" i="2"/>
  <c r="D2348" i="2"/>
  <c r="E2298" i="2"/>
  <c r="E2210" i="2"/>
  <c r="D2353" i="2"/>
  <c r="D2314" i="2"/>
  <c r="D1586" i="2"/>
  <c r="D2375" i="2"/>
  <c r="D2263" i="2"/>
  <c r="D2344" i="2"/>
  <c r="M1391" i="2"/>
  <c r="N1175" i="2"/>
  <c r="M2176" i="2"/>
  <c r="N1960" i="2"/>
  <c r="N1744" i="2"/>
  <c r="N2303" i="2"/>
  <c r="L1486" i="2"/>
  <c r="N1270" i="2"/>
  <c r="M1054" i="2"/>
  <c r="N2055" i="2"/>
  <c r="L1839" i="2"/>
  <c r="N1695" i="2"/>
  <c r="M2386" i="2"/>
  <c r="L2290" i="2"/>
  <c r="L2218" i="2"/>
  <c r="M1521" i="2"/>
  <c r="M1437" i="2"/>
  <c r="N1365" i="2"/>
  <c r="M1293" i="2"/>
  <c r="N1221" i="2"/>
  <c r="M1149" i="2"/>
  <c r="N1077" i="2"/>
  <c r="M1627" i="2"/>
  <c r="M2162" i="2"/>
  <c r="L2090" i="2"/>
  <c r="L2018" i="2"/>
  <c r="N1946" i="2"/>
  <c r="N1874" i="2"/>
  <c r="M1802" i="2"/>
  <c r="N1730" i="2"/>
  <c r="M1658" i="2"/>
  <c r="M2361" i="2"/>
  <c r="L2289" i="2"/>
  <c r="N2217" i="2"/>
  <c r="M1544" i="2"/>
  <c r="N1472" i="2"/>
  <c r="M1400" i="2"/>
  <c r="N1328" i="2"/>
  <c r="M1256" i="2"/>
  <c r="N1184" i="2"/>
  <c r="M1112" i="2"/>
  <c r="N1040" i="2"/>
  <c r="M2197" i="2"/>
  <c r="N2125" i="2"/>
  <c r="M2053" i="2"/>
  <c r="N1981" i="2"/>
  <c r="M1909" i="2"/>
  <c r="N1837" i="2"/>
  <c r="M1765" i="2"/>
  <c r="M1693" i="2"/>
  <c r="L1645" i="2"/>
  <c r="N2360" i="2"/>
  <c r="M2300" i="2"/>
  <c r="N2240" i="2"/>
  <c r="L1579" i="2"/>
  <c r="N1531" i="2"/>
  <c r="N1471" i="2"/>
  <c r="M1411" i="2"/>
  <c r="M1351" i="2"/>
  <c r="L1291" i="2"/>
  <c r="N1243" i="2"/>
  <c r="N1183" i="2"/>
  <c r="M1123" i="2"/>
  <c r="M1063" i="2"/>
  <c r="M1625" i="2"/>
  <c r="L2184" i="2"/>
  <c r="N2124" i="2"/>
  <c r="M2064" i="2"/>
  <c r="N2004" i="2"/>
  <c r="M1944" i="2"/>
  <c r="L1896" i="2"/>
  <c r="N1848" i="2"/>
  <c r="N1800" i="2"/>
  <c r="N1752" i="2"/>
  <c r="M1704" i="2"/>
  <c r="M1656" i="2"/>
  <c r="M2383" i="2"/>
  <c r="M2335" i="2"/>
  <c r="M2287" i="2"/>
  <c r="N2239" i="2"/>
  <c r="D1350" i="2"/>
  <c r="D2147" i="2"/>
  <c r="D1823" i="2"/>
  <c r="D1493" i="2"/>
  <c r="E1589" i="2"/>
  <c r="E1421" i="2"/>
  <c r="E1277" i="2"/>
  <c r="E1157" i="2"/>
  <c r="E1013" i="2"/>
  <c r="E2050" i="2"/>
  <c r="E1870" i="2"/>
  <c r="E1702" i="2"/>
  <c r="E1167" i="2"/>
  <c r="E1395" i="2"/>
  <c r="D1167" i="2"/>
  <c r="E1359" i="2"/>
  <c r="E1191" i="2"/>
  <c r="E2063" i="2"/>
  <c r="D1278" i="2"/>
  <c r="E1624" i="2"/>
  <c r="D1374" i="2"/>
  <c r="E1679" i="2"/>
  <c r="E1506" i="2"/>
  <c r="D2027" i="2"/>
  <c r="E1655" i="2"/>
  <c r="D1566" i="2"/>
  <c r="D1775" i="2"/>
  <c r="E2147" i="2"/>
  <c r="E1314" i="2"/>
  <c r="D1494" i="2"/>
  <c r="E1576" i="2"/>
  <c r="E1456" i="2"/>
  <c r="E1312" i="2"/>
  <c r="D1168" i="2"/>
  <c r="E1036" i="2"/>
  <c r="D2145" i="2"/>
  <c r="D2025" i="2"/>
  <c r="E1905" i="2"/>
  <c r="E1749" i="2"/>
  <c r="E1598" i="2"/>
  <c r="D1252" i="2"/>
  <c r="E1516" i="2"/>
  <c r="E2353" i="2"/>
  <c r="E2209" i="2"/>
  <c r="E2268" i="2"/>
  <c r="E2327" i="2"/>
  <c r="E2386" i="2"/>
  <c r="E2242" i="2"/>
  <c r="E2301" i="2"/>
  <c r="E2360" i="2"/>
  <c r="E2216" i="2"/>
  <c r="E2275" i="2"/>
  <c r="E2322" i="2"/>
  <c r="E2369" i="2"/>
  <c r="E2225" i="2"/>
  <c r="E2272" i="2"/>
  <c r="E2319" i="2"/>
  <c r="E2378" i="2"/>
  <c r="E2234" i="2"/>
  <c r="D2297" i="2"/>
  <c r="D2356" i="2"/>
  <c r="D2391" i="2"/>
  <c r="D2247" i="2"/>
  <c r="D2318" i="2"/>
  <c r="D2377" i="2"/>
  <c r="D2233" i="2"/>
  <c r="D2304" i="2"/>
  <c r="D2298" i="2"/>
  <c r="D2267" i="2"/>
  <c r="D2338" i="2"/>
  <c r="D2286" i="2"/>
  <c r="D2265" i="2"/>
  <c r="D2336" i="2"/>
  <c r="D2382" i="2"/>
  <c r="D2299" i="2"/>
  <c r="D1406" i="2"/>
  <c r="D1358" i="2"/>
  <c r="D1419" i="2"/>
  <c r="E1362" i="2"/>
  <c r="D1763" i="2"/>
  <c r="D1979" i="2"/>
  <c r="E1967" i="2"/>
  <c r="E1590" i="2"/>
  <c r="E1444" i="2"/>
  <c r="E1300" i="2"/>
  <c r="E1024" i="2"/>
  <c r="E2145" i="2"/>
  <c r="D1893" i="2"/>
  <c r="D1737" i="2"/>
  <c r="D1622" i="2"/>
  <c r="E1084" i="2"/>
  <c r="E2400" i="2"/>
  <c r="E2256" i="2"/>
  <c r="E2374" i="2"/>
  <c r="E2289" i="2"/>
  <c r="E2348" i="2"/>
  <c r="E2263" i="2"/>
  <c r="E2310" i="2"/>
  <c r="E2213" i="2"/>
  <c r="E2260" i="2"/>
  <c r="E2366" i="2"/>
  <c r="E2222" i="2"/>
  <c r="D2332" i="2"/>
  <c r="D2379" i="2"/>
  <c r="D2306" i="2"/>
  <c r="D2365" i="2"/>
  <c r="D2292" i="2"/>
  <c r="D2399" i="2"/>
  <c r="D2326" i="2"/>
  <c r="D2397" i="2"/>
  <c r="D2324" i="2"/>
  <c r="D2287" i="2"/>
  <c r="D1471" i="2"/>
  <c r="E2251" i="2"/>
  <c r="E2354" i="2"/>
  <c r="D2294" i="2"/>
  <c r="D2243" i="2"/>
  <c r="D2275" i="2"/>
  <c r="D2268" i="2"/>
  <c r="D2300" i="2"/>
  <c r="D2384" i="2"/>
  <c r="D949" i="2"/>
  <c r="J191" i="2"/>
  <c r="J346" i="2"/>
  <c r="K411" i="2"/>
  <c r="D779" i="2"/>
  <c r="D674" i="2"/>
  <c r="J423" i="2"/>
  <c r="J139" i="2"/>
  <c r="K247" i="2"/>
  <c r="K428" i="2"/>
  <c r="E635" i="2"/>
  <c r="E721" i="2"/>
  <c r="J249" i="2"/>
  <c r="J404" i="2"/>
  <c r="K234" i="2"/>
  <c r="E671" i="2"/>
  <c r="E757" i="2"/>
  <c r="J481" i="2"/>
  <c r="K293" i="2"/>
  <c r="K476" i="2"/>
  <c r="E938" i="2"/>
  <c r="E723" i="2"/>
  <c r="D903" i="2"/>
  <c r="J462" i="2"/>
  <c r="K310" i="2"/>
  <c r="D747" i="2"/>
  <c r="D539" i="2"/>
  <c r="E819" i="2"/>
  <c r="J286" i="2"/>
  <c r="K162" i="2"/>
  <c r="K351" i="2"/>
  <c r="D657" i="2"/>
  <c r="D861" i="2"/>
  <c r="J164" i="2"/>
  <c r="J363" i="2"/>
  <c r="J232" i="2"/>
  <c r="K187" i="2"/>
  <c r="K368" i="2"/>
  <c r="D806" i="2"/>
  <c r="D673" i="2"/>
  <c r="E537" i="2"/>
  <c r="J189" i="2"/>
  <c r="J344" i="2"/>
  <c r="K409" i="2"/>
  <c r="D875" i="2"/>
  <c r="D889" i="2"/>
  <c r="J421" i="2"/>
  <c r="J292" i="2"/>
  <c r="K426" i="2"/>
  <c r="E957" i="2"/>
  <c r="E577" i="2"/>
  <c r="J247" i="2"/>
  <c r="J402" i="2"/>
  <c r="K228" i="2"/>
  <c r="H203" i="2"/>
  <c r="E613" i="2"/>
  <c r="J479" i="2"/>
  <c r="K291" i="2"/>
  <c r="K472" i="2"/>
  <c r="E794" i="2"/>
  <c r="E998" i="2"/>
  <c r="J303" i="2"/>
  <c r="E598" i="2"/>
  <c r="K249" i="2"/>
  <c r="K430" i="2"/>
  <c r="E779" i="2"/>
  <c r="E865" i="2"/>
  <c r="J251" i="2"/>
  <c r="J406" i="2"/>
  <c r="K240" i="2"/>
  <c r="K197" i="2"/>
  <c r="E815" i="2"/>
  <c r="E901" i="2"/>
  <c r="J483" i="2"/>
  <c r="K295" i="2"/>
  <c r="K480" i="2"/>
  <c r="E579" i="2"/>
  <c r="E544" i="2"/>
  <c r="E599" i="2"/>
  <c r="J143" i="2"/>
  <c r="J298" i="2"/>
  <c r="K174" i="2"/>
  <c r="K363" i="2"/>
  <c r="K475" i="2"/>
  <c r="D633" i="2"/>
  <c r="E722" i="2"/>
  <c r="J176" i="2"/>
  <c r="J375" i="2"/>
  <c r="K199" i="2"/>
  <c r="K380" i="2"/>
  <c r="D644" i="2"/>
  <c r="D735" i="2"/>
  <c r="J477" i="2"/>
  <c r="K289" i="2"/>
  <c r="K468" i="2"/>
  <c r="E650" i="2"/>
  <c r="E854" i="2"/>
  <c r="J301" i="2"/>
  <c r="J458" i="2"/>
  <c r="J425" i="2"/>
  <c r="K306" i="2"/>
  <c r="D985" i="2"/>
  <c r="D853" i="2"/>
  <c r="E746" i="2"/>
  <c r="J282" i="2"/>
  <c r="K158" i="2"/>
  <c r="K347" i="2"/>
  <c r="K494" i="2"/>
  <c r="D890" i="2"/>
  <c r="J160" i="2"/>
  <c r="J359" i="2"/>
  <c r="J262" i="2"/>
  <c r="K183" i="2"/>
  <c r="K364" i="2"/>
  <c r="D555" i="2"/>
  <c r="D901" i="2"/>
  <c r="D878" i="2"/>
  <c r="J185" i="2"/>
  <c r="K216" i="2"/>
  <c r="K405" i="2"/>
  <c r="E829" i="2"/>
  <c r="D638" i="2"/>
  <c r="J218" i="2"/>
  <c r="J417" i="2"/>
  <c r="K241" i="2"/>
  <c r="K422" i="2"/>
  <c r="E669" i="2"/>
  <c r="E839" i="2"/>
  <c r="J243" i="2"/>
  <c r="J398" i="2"/>
  <c r="K463" i="2"/>
  <c r="E849" i="2"/>
  <c r="E731" i="2"/>
  <c r="D602" i="2"/>
  <c r="J475" i="2"/>
  <c r="K287" i="2"/>
  <c r="K464" i="2"/>
  <c r="D999" i="2"/>
  <c r="E710" i="2"/>
  <c r="J299" i="2"/>
  <c r="J456" i="2"/>
  <c r="D791" i="2"/>
  <c r="D993" i="2"/>
  <c r="E602" i="2"/>
  <c r="J280" i="2"/>
  <c r="K156" i="2"/>
  <c r="K345" i="2"/>
  <c r="K490" i="2"/>
  <c r="D826" i="2"/>
  <c r="H323" i="2"/>
  <c r="J158" i="2"/>
  <c r="J357" i="2"/>
  <c r="J258" i="2"/>
  <c r="K181" i="2"/>
  <c r="K362" i="2"/>
  <c r="D614" i="2"/>
  <c r="D867" i="2"/>
  <c r="D832" i="2"/>
  <c r="J183" i="2"/>
  <c r="J338" i="2"/>
  <c r="K308" i="2"/>
  <c r="D658" i="2"/>
  <c r="D1005" i="2"/>
  <c r="E890" i="2"/>
  <c r="J284" i="2"/>
  <c r="K160" i="2"/>
  <c r="K349" i="2"/>
  <c r="K498" i="2"/>
  <c r="D685" i="2"/>
  <c r="D970" i="2"/>
  <c r="J162" i="2"/>
  <c r="J361" i="2"/>
  <c r="J226" i="2"/>
  <c r="K185" i="2"/>
  <c r="K366" i="2"/>
  <c r="D589" i="2"/>
  <c r="D986" i="2"/>
  <c r="E531" i="2"/>
  <c r="J429" i="2"/>
  <c r="K253" i="2"/>
  <c r="K434" i="2"/>
  <c r="E517" i="2"/>
  <c r="D671" i="2"/>
  <c r="J255" i="2"/>
  <c r="J410" i="2"/>
  <c r="J377" i="2"/>
  <c r="K252" i="2"/>
  <c r="E553" i="2"/>
  <c r="D586" i="2"/>
  <c r="J487" i="2"/>
  <c r="K299" i="2"/>
  <c r="K488" i="2"/>
  <c r="E527" i="2"/>
  <c r="J355" i="2"/>
  <c r="J254" i="2"/>
  <c r="K179" i="2"/>
  <c r="K360" i="2"/>
  <c r="D707" i="2"/>
  <c r="D794" i="2"/>
  <c r="D637" i="2"/>
  <c r="J181" i="2"/>
  <c r="J336" i="2"/>
  <c r="K212" i="2"/>
  <c r="J460" i="2"/>
  <c r="E541" i="2"/>
  <c r="D553" i="2"/>
  <c r="J214" i="2"/>
  <c r="J413" i="2"/>
  <c r="K237" i="2"/>
  <c r="K418" i="2"/>
  <c r="E1003" i="2"/>
  <c r="H370" i="2"/>
  <c r="J239" i="2"/>
  <c r="J394" i="2"/>
  <c r="K459" i="2"/>
  <c r="E561" i="2"/>
  <c r="E538" i="2"/>
  <c r="J471" i="2"/>
  <c r="J187" i="2"/>
  <c r="K283" i="2"/>
  <c r="K258" i="2"/>
  <c r="D937" i="2"/>
  <c r="D729" i="2"/>
  <c r="J295" i="2"/>
  <c r="J452" i="2"/>
  <c r="K300" i="2"/>
  <c r="K280" i="2"/>
  <c r="D825" i="2"/>
  <c r="E756" i="2"/>
  <c r="J276" i="2"/>
  <c r="K152" i="2"/>
  <c r="K341" i="2"/>
  <c r="K482" i="2"/>
  <c r="D765" i="2"/>
  <c r="D759" i="2"/>
  <c r="J154" i="2"/>
  <c r="E875" i="2"/>
  <c r="J248" i="2"/>
  <c r="K177" i="2"/>
  <c r="K358" i="2"/>
  <c r="D634" i="2"/>
  <c r="D943" i="2"/>
  <c r="D603" i="2"/>
  <c r="J179" i="2"/>
  <c r="J334" i="2"/>
  <c r="K210" i="2"/>
  <c r="K399" i="2"/>
  <c r="E947" i="2"/>
  <c r="D959" i="2"/>
  <c r="J212" i="2"/>
  <c r="J411" i="2"/>
  <c r="K235" i="2"/>
  <c r="K416" i="2"/>
  <c r="E903" i="2"/>
  <c r="E873" i="2"/>
  <c r="D939" i="2"/>
  <c r="J237" i="2"/>
  <c r="J392" i="2"/>
  <c r="K457" i="2"/>
  <c r="E987" i="2"/>
  <c r="E909" i="2"/>
  <c r="J469" i="2"/>
  <c r="J305" i="2"/>
  <c r="K403" i="2"/>
  <c r="E685" i="2"/>
  <c r="D604" i="2"/>
  <c r="J216" i="2"/>
  <c r="J415" i="2"/>
  <c r="K239" i="2"/>
  <c r="K420" i="2"/>
  <c r="H204" i="2"/>
  <c r="E695" i="2"/>
  <c r="J241" i="2"/>
  <c r="J396" i="2"/>
  <c r="K461" i="2"/>
  <c r="E705" i="2"/>
  <c r="E587" i="2"/>
  <c r="D538" i="2"/>
  <c r="J307" i="2"/>
  <c r="J464" i="2"/>
  <c r="K312" i="2"/>
  <c r="D781" i="2"/>
  <c r="D915" i="2"/>
  <c r="E715" i="2"/>
  <c r="J288" i="2"/>
  <c r="K164" i="2"/>
  <c r="J412" i="2"/>
  <c r="K503" i="2"/>
  <c r="D873" i="2"/>
  <c r="D710" i="2"/>
  <c r="J166" i="2"/>
  <c r="J365" i="2"/>
  <c r="J238" i="2"/>
  <c r="K189" i="2"/>
  <c r="K370" i="2"/>
  <c r="D622" i="2"/>
  <c r="H322" i="2"/>
  <c r="D751" i="2"/>
  <c r="J390" i="2"/>
  <c r="K455" i="2"/>
  <c r="E651" i="2"/>
  <c r="E765" i="2"/>
  <c r="J467" i="2"/>
  <c r="K279" i="2"/>
  <c r="K214" i="2"/>
  <c r="D844" i="2"/>
  <c r="D975" i="2"/>
  <c r="J291" i="2"/>
  <c r="J448" i="2"/>
  <c r="K296" i="2"/>
  <c r="E781" i="2"/>
  <c r="D880" i="2"/>
  <c r="E525" i="2"/>
  <c r="J272" i="2"/>
  <c r="K148" i="2"/>
  <c r="K337" i="2"/>
  <c r="K474" i="2"/>
  <c r="D625" i="2"/>
  <c r="D686" i="2"/>
  <c r="J150" i="2"/>
  <c r="J349" i="2"/>
  <c r="J236" i="2"/>
  <c r="J473" i="2"/>
  <c r="K354" i="2"/>
  <c r="D899" i="2"/>
  <c r="D675" i="2"/>
  <c r="D535" i="2"/>
  <c r="J175" i="2"/>
  <c r="J330" i="2"/>
  <c r="K206" i="2"/>
  <c r="K395" i="2"/>
  <c r="D911" i="2"/>
  <c r="J208" i="2"/>
  <c r="J407" i="2"/>
  <c r="K231" i="2"/>
  <c r="K412" i="2"/>
  <c r="E926" i="2"/>
  <c r="E585" i="2"/>
  <c r="J233" i="2"/>
  <c r="J156" i="2"/>
  <c r="K453" i="2"/>
  <c r="E962" i="2"/>
  <c r="E621" i="2"/>
  <c r="J465" i="2"/>
  <c r="K277" i="2"/>
  <c r="K242" i="2"/>
  <c r="D813" i="2"/>
  <c r="D709" i="2"/>
  <c r="J289" i="2"/>
  <c r="J446" i="2"/>
  <c r="K294" i="2"/>
  <c r="E637" i="2"/>
  <c r="D973" i="2"/>
  <c r="E564" i="2"/>
  <c r="E551" i="2"/>
  <c r="J270" i="2"/>
  <c r="K146" i="2"/>
  <c r="K335" i="2"/>
  <c r="K470" i="2"/>
  <c r="D877" i="2"/>
  <c r="D621" i="2"/>
  <c r="J148" i="2"/>
  <c r="J347" i="2"/>
  <c r="J230" i="2"/>
  <c r="K171" i="2"/>
  <c r="J340" i="2"/>
  <c r="K254" i="2"/>
  <c r="D945" i="2"/>
  <c r="D662" i="2"/>
  <c r="J293" i="2"/>
  <c r="J450" i="2"/>
  <c r="K298" i="2"/>
  <c r="E925" i="2"/>
  <c r="H251" i="2"/>
  <c r="D636" i="2"/>
  <c r="J274" i="2"/>
  <c r="K150" i="2"/>
  <c r="K339" i="2"/>
  <c r="K478" i="2"/>
  <c r="D703" i="2"/>
  <c r="D682" i="2"/>
  <c r="J152" i="2"/>
  <c r="E559" i="2"/>
  <c r="J342" i="2"/>
  <c r="K218" i="2"/>
  <c r="K407" i="2"/>
  <c r="E985" i="2"/>
  <c r="D567" i="2"/>
  <c r="J419" i="2"/>
  <c r="K243" i="2"/>
  <c r="K166" i="2"/>
  <c r="E813" i="2"/>
  <c r="E983" i="2"/>
  <c r="J245" i="2"/>
  <c r="J400" i="2"/>
  <c r="K222" i="2"/>
  <c r="E993" i="2"/>
  <c r="D910" i="2"/>
  <c r="K144" i="2"/>
  <c r="K333" i="2"/>
  <c r="K466" i="2"/>
  <c r="D843" i="2"/>
  <c r="D691" i="2"/>
  <c r="J146" i="2"/>
  <c r="J345" i="2"/>
  <c r="J224" i="2"/>
  <c r="K169" i="2"/>
  <c r="K350" i="2"/>
  <c r="E937" i="2"/>
  <c r="D527" i="2"/>
  <c r="D855" i="2"/>
  <c r="J171" i="2"/>
  <c r="J326" i="2"/>
  <c r="K202" i="2"/>
  <c r="K391" i="2"/>
  <c r="E981" i="2"/>
  <c r="E889" i="2"/>
  <c r="D856" i="2"/>
  <c r="J403" i="2"/>
  <c r="K227" i="2"/>
  <c r="K408" i="2"/>
  <c r="E638" i="2"/>
  <c r="E699" i="2"/>
  <c r="J229" i="2"/>
  <c r="J384" i="2"/>
  <c r="J242" i="2"/>
  <c r="E674" i="2"/>
  <c r="E976" i="2"/>
  <c r="J461" i="2"/>
  <c r="K273" i="2"/>
  <c r="K230" i="2"/>
  <c r="D541" i="2"/>
  <c r="H418" i="2"/>
  <c r="J285" i="2"/>
  <c r="J442" i="2"/>
  <c r="K290" i="2"/>
  <c r="E755" i="2"/>
  <c r="D842" i="2"/>
  <c r="D766" i="2"/>
  <c r="J266" i="2"/>
  <c r="J235" i="2"/>
  <c r="K331" i="2"/>
  <c r="K497" i="2"/>
  <c r="D683" i="2"/>
  <c r="D530" i="2"/>
  <c r="J144" i="2"/>
  <c r="J343" i="2"/>
  <c r="J500" i="2"/>
  <c r="K167" i="2"/>
  <c r="K348" i="2"/>
  <c r="D598" i="2"/>
  <c r="D719" i="2"/>
  <c r="J169" i="2"/>
  <c r="J324" i="2"/>
  <c r="K200" i="2"/>
  <c r="K389" i="2"/>
  <c r="E837" i="2"/>
  <c r="E745" i="2"/>
  <c r="J202" i="2"/>
  <c r="D600" i="2"/>
  <c r="K225" i="2"/>
  <c r="K406" i="2"/>
  <c r="D563" i="2"/>
  <c r="E986" i="2"/>
  <c r="J227" i="2"/>
  <c r="J382" i="2"/>
  <c r="K447" i="2"/>
  <c r="D670" i="2"/>
  <c r="D983" i="2"/>
  <c r="D518" i="2"/>
  <c r="J173" i="2"/>
  <c r="J328" i="2"/>
  <c r="K204" i="2"/>
  <c r="K393" i="2"/>
  <c r="E515" i="2"/>
  <c r="D526" i="2"/>
  <c r="J206" i="2"/>
  <c r="J405" i="2"/>
  <c r="K229" i="2"/>
  <c r="K410" i="2"/>
  <c r="E782" i="2"/>
  <c r="E524" i="2"/>
  <c r="J231" i="2"/>
  <c r="D663" i="2"/>
  <c r="K285" i="2"/>
  <c r="K262" i="2"/>
  <c r="D669" i="2"/>
  <c r="E566" i="2"/>
  <c r="J297" i="2"/>
  <c r="J454" i="2"/>
  <c r="K302" i="2"/>
  <c r="D755" i="2"/>
  <c r="D525" i="2"/>
  <c r="D804" i="2"/>
  <c r="J278" i="2"/>
  <c r="K154" i="2"/>
  <c r="K343" i="2"/>
  <c r="K486" i="2"/>
  <c r="D554" i="2"/>
  <c r="D961" i="2"/>
  <c r="H419" i="2"/>
  <c r="K223" i="2"/>
  <c r="K404" i="2"/>
  <c r="D556" i="2"/>
  <c r="E842" i="2"/>
  <c r="J225" i="2"/>
  <c r="J380" i="2"/>
  <c r="K445" i="2"/>
  <c r="D801" i="2"/>
  <c r="E878" i="2"/>
  <c r="J457" i="2"/>
  <c r="K269" i="2"/>
  <c r="K462" i="2"/>
  <c r="D879" i="2"/>
  <c r="D957" i="2"/>
  <c r="D550" i="2"/>
  <c r="J438" i="2"/>
  <c r="K286" i="2"/>
  <c r="E694" i="2"/>
  <c r="D757" i="2"/>
  <c r="D783" i="2"/>
  <c r="J260" i="2"/>
  <c r="K138" i="2"/>
  <c r="K327" i="2"/>
  <c r="D995" i="2"/>
  <c r="D963" i="2"/>
  <c r="J140" i="2"/>
  <c r="J339" i="2"/>
  <c r="J496" i="2"/>
  <c r="K163" i="2"/>
  <c r="K344" i="2"/>
  <c r="E911" i="2"/>
  <c r="E853" i="2"/>
  <c r="D712" i="2"/>
  <c r="J165" i="2"/>
  <c r="J320" i="2"/>
  <c r="K196" i="2"/>
  <c r="K385" i="2"/>
  <c r="E549" i="2"/>
  <c r="E1007" i="2"/>
  <c r="J198" i="2"/>
  <c r="J397" i="2"/>
  <c r="J268" i="2"/>
  <c r="K402" i="2"/>
  <c r="D549" i="2"/>
  <c r="E698" i="2"/>
  <c r="J223" i="2"/>
  <c r="J378" i="2"/>
  <c r="K443" i="2"/>
  <c r="H179" i="2"/>
  <c r="E734" i="2"/>
  <c r="J455" i="2"/>
  <c r="K267" i="2"/>
  <c r="K460" i="2"/>
  <c r="D827" i="2"/>
  <c r="D548" i="2"/>
  <c r="J279" i="2"/>
  <c r="J204" i="2"/>
  <c r="K284" i="2"/>
  <c r="E933" i="2"/>
  <c r="D723" i="2"/>
  <c r="D777" i="2"/>
  <c r="J256" i="2"/>
  <c r="K136" i="2"/>
  <c r="K325" i="2"/>
  <c r="K485" i="2"/>
  <c r="K173" i="2"/>
  <c r="E530" i="2"/>
  <c r="E795" i="2"/>
  <c r="J459" i="2"/>
  <c r="K271" i="2"/>
  <c r="K224" i="2"/>
  <c r="D795" i="2"/>
  <c r="D705" i="2"/>
  <c r="E659" i="2"/>
  <c r="J283" i="2"/>
  <c r="J440" i="2"/>
  <c r="K288" i="2"/>
  <c r="E611" i="2"/>
  <c r="D913" i="2"/>
  <c r="D971" i="2"/>
  <c r="J264" i="2"/>
  <c r="K175" i="2"/>
  <c r="K356" i="2"/>
  <c r="D935" i="2"/>
  <c r="D721" i="2"/>
  <c r="D962" i="2"/>
  <c r="J177" i="2"/>
  <c r="J332" i="2"/>
  <c r="K208" i="2"/>
  <c r="K397" i="2"/>
  <c r="E803" i="2"/>
  <c r="D659" i="2"/>
  <c r="J210" i="2"/>
  <c r="J409" i="2"/>
  <c r="K233" i="2"/>
  <c r="K414" i="2"/>
  <c r="E555" i="2"/>
  <c r="E729" i="2"/>
  <c r="J436" i="2"/>
  <c r="E806" i="2"/>
  <c r="E897" i="2"/>
  <c r="J190" i="2"/>
  <c r="J389" i="2"/>
  <c r="K213" i="2"/>
  <c r="K394" i="2"/>
  <c r="D517" i="2"/>
  <c r="H346" i="2"/>
  <c r="J215" i="2"/>
  <c r="J370" i="2"/>
  <c r="K435" i="2"/>
  <c r="D609" i="2"/>
  <c r="D573" i="2"/>
  <c r="J447" i="2"/>
  <c r="J163" i="2"/>
  <c r="K244" i="2"/>
  <c r="K452" i="2"/>
  <c r="D699" i="2"/>
  <c r="D615" i="2"/>
  <c r="J271" i="2"/>
  <c r="J428" i="2"/>
  <c r="K276" i="2"/>
  <c r="K221" i="2"/>
  <c r="D799" i="2"/>
  <c r="D974" i="2"/>
  <c r="J234" i="2"/>
  <c r="K317" i="2"/>
  <c r="K469" i="2"/>
  <c r="E817" i="2"/>
  <c r="E733" i="2"/>
  <c r="E590" i="2"/>
  <c r="J486" i="2"/>
  <c r="K153" i="2"/>
  <c r="K334" i="2"/>
  <c r="E801" i="2"/>
  <c r="E683" i="2"/>
  <c r="D611" i="2"/>
  <c r="J155" i="2"/>
  <c r="J310" i="2"/>
  <c r="K186" i="2"/>
  <c r="K375" i="2"/>
  <c r="E662" i="2"/>
  <c r="E753" i="2"/>
  <c r="J188" i="2"/>
  <c r="J387" i="2"/>
  <c r="K211" i="2"/>
  <c r="K392" i="2"/>
  <c r="D693" i="2"/>
  <c r="D836" i="2"/>
  <c r="D635" i="2"/>
  <c r="J213" i="2"/>
  <c r="J368" i="2"/>
  <c r="K433" i="2"/>
  <c r="D592" i="2"/>
  <c r="D831" i="2"/>
  <c r="J445" i="2"/>
  <c r="J316" i="2"/>
  <c r="K450" i="2"/>
  <c r="D758" i="2"/>
  <c r="D542" i="2"/>
  <c r="J269" i="2"/>
  <c r="J426" i="2"/>
  <c r="K274" i="2"/>
  <c r="E902" i="2"/>
  <c r="H227" i="2"/>
  <c r="D932" i="2"/>
  <c r="J217" i="2"/>
  <c r="J372" i="2"/>
  <c r="K437" i="2"/>
  <c r="D927" i="2"/>
  <c r="D837" i="2"/>
  <c r="D631" i="2"/>
  <c r="K250" i="2"/>
  <c r="K454" i="2"/>
  <c r="D733" i="2"/>
  <c r="D817" i="2"/>
  <c r="J273" i="2"/>
  <c r="J430" i="2"/>
  <c r="J388" i="2"/>
  <c r="K493" i="2"/>
  <c r="D902" i="2"/>
  <c r="D745" i="2"/>
  <c r="J142" i="2"/>
  <c r="J341" i="2"/>
  <c r="J498" i="2"/>
  <c r="K165" i="2"/>
  <c r="K346" i="2"/>
  <c r="E649" i="2"/>
  <c r="H298" i="2"/>
  <c r="D926" i="2"/>
  <c r="J167" i="2"/>
  <c r="J322" i="2"/>
  <c r="K198" i="2"/>
  <c r="K387" i="2"/>
  <c r="E693" i="2"/>
  <c r="E601" i="2"/>
  <c r="J200" i="2"/>
  <c r="J399" i="2"/>
  <c r="I285" i="2"/>
  <c r="K190" i="2"/>
  <c r="D851" i="2"/>
  <c r="D547" i="2"/>
  <c r="J267" i="2"/>
  <c r="J424" i="2"/>
  <c r="K272" i="2"/>
  <c r="E758" i="2"/>
  <c r="D531" i="2"/>
  <c r="D687" i="2"/>
  <c r="J222" i="2"/>
  <c r="K313" i="2"/>
  <c r="K508" i="2"/>
  <c r="E529" i="2"/>
  <c r="E995" i="2"/>
  <c r="J325" i="2"/>
  <c r="J482" i="2"/>
  <c r="J449" i="2"/>
  <c r="K330" i="2"/>
  <c r="E513" i="2"/>
  <c r="E1005" i="2"/>
  <c r="E769" i="2"/>
  <c r="J151" i="2"/>
  <c r="J306" i="2"/>
  <c r="K182" i="2"/>
  <c r="K371" i="2"/>
  <c r="K491" i="2"/>
  <c r="E571" i="2"/>
  <c r="J184" i="2"/>
  <c r="J383" i="2"/>
  <c r="J506" i="2"/>
  <c r="K207" i="2"/>
  <c r="K388" i="2"/>
  <c r="D897" i="2"/>
  <c r="E764" i="2"/>
  <c r="D591" i="2"/>
  <c r="J209" i="2"/>
  <c r="K429" i="2"/>
  <c r="D698" i="2"/>
  <c r="D771" i="2"/>
  <c r="J441" i="2"/>
  <c r="K226" i="2"/>
  <c r="K446" i="2"/>
  <c r="D922" i="2"/>
  <c r="D601" i="2"/>
  <c r="J265" i="2"/>
  <c r="J422" i="2"/>
  <c r="K270" i="2"/>
  <c r="E614" i="2"/>
  <c r="D839" i="2"/>
  <c r="D711" i="2"/>
  <c r="E908" i="2"/>
  <c r="J499" i="2"/>
  <c r="K311" i="2"/>
  <c r="K506" i="2"/>
  <c r="E935" i="2"/>
  <c r="E851" i="2"/>
  <c r="J323" i="2"/>
  <c r="J480" i="2"/>
  <c r="K147" i="2"/>
  <c r="E859" i="2"/>
  <c r="E861" i="2"/>
  <c r="E625" i="2"/>
  <c r="J149" i="2"/>
  <c r="J304" i="2"/>
  <c r="K180" i="2"/>
  <c r="K369" i="2"/>
  <c r="K487" i="2"/>
  <c r="D909" i="2"/>
  <c r="H347" i="2"/>
  <c r="D818" i="2"/>
  <c r="J228" i="2"/>
  <c r="K315" i="2"/>
  <c r="K465" i="2"/>
  <c r="E673" i="2"/>
  <c r="E589" i="2"/>
  <c r="J327" i="2"/>
  <c r="K151" i="2"/>
  <c r="K332" i="2"/>
  <c r="E657" i="2"/>
  <c r="E539" i="2"/>
  <c r="E913" i="2"/>
  <c r="J153" i="2"/>
  <c r="J308" i="2"/>
  <c r="K184" i="2"/>
  <c r="K373" i="2"/>
  <c r="K142" i="2"/>
  <c r="D849" i="2"/>
  <c r="E554" i="2"/>
  <c r="J221" i="2"/>
  <c r="J376" i="2"/>
  <c r="K441" i="2"/>
  <c r="D568" i="2"/>
  <c r="E793" i="2"/>
  <c r="J453" i="2"/>
  <c r="K265" i="2"/>
  <c r="K458" i="2"/>
  <c r="D950" i="2"/>
  <c r="D746" i="2"/>
  <c r="J277" i="2"/>
  <c r="J434" i="2"/>
  <c r="I446" i="2"/>
  <c r="E867" i="2"/>
  <c r="E717" i="2"/>
  <c r="E887" i="2"/>
  <c r="J147" i="2"/>
  <c r="J302" i="2"/>
  <c r="K178" i="2"/>
  <c r="K367" i="2"/>
  <c r="K483" i="2"/>
  <c r="D921" i="2"/>
  <c r="E759" i="2"/>
  <c r="D577" i="2"/>
  <c r="J379" i="2"/>
  <c r="J502" i="2"/>
  <c r="K203" i="2"/>
  <c r="K384" i="2"/>
  <c r="D753" i="2"/>
  <c r="D716" i="2"/>
  <c r="D998" i="2"/>
  <c r="J205" i="2"/>
  <c r="J360" i="2"/>
  <c r="J484" i="2"/>
  <c r="D769" i="2"/>
  <c r="D513" i="2"/>
  <c r="J437" i="2"/>
  <c r="K261" i="2"/>
  <c r="K442" i="2"/>
  <c r="D587" i="2"/>
  <c r="H394" i="2"/>
  <c r="J263" i="2"/>
  <c r="J418" i="2"/>
  <c r="K266" i="2"/>
  <c r="D923" i="2"/>
  <c r="D782" i="2"/>
  <c r="J495" i="2"/>
  <c r="J211" i="2"/>
  <c r="K307" i="2"/>
  <c r="K502" i="2"/>
  <c r="E647" i="2"/>
  <c r="E563" i="2"/>
  <c r="J319" i="2"/>
  <c r="J476" i="2"/>
  <c r="K143" i="2"/>
  <c r="K324" i="2"/>
  <c r="K499" i="2"/>
  <c r="E573" i="2"/>
  <c r="E743" i="2"/>
  <c r="J145" i="2"/>
  <c r="J300" i="2"/>
  <c r="K176" i="2"/>
  <c r="K365" i="2"/>
  <c r="K479" i="2"/>
  <c r="D1007" i="2"/>
  <c r="E866" i="2"/>
  <c r="J178" i="2"/>
  <c r="D652" i="2"/>
  <c r="J507" i="2"/>
  <c r="K201" i="2"/>
  <c r="K382" i="2"/>
  <c r="D651" i="2"/>
  <c r="D668" i="2"/>
  <c r="D793" i="2"/>
  <c r="J203" i="2"/>
  <c r="J358" i="2"/>
  <c r="K423" i="2"/>
  <c r="K149" i="2"/>
  <c r="D613" i="2"/>
  <c r="D854" i="2"/>
  <c r="J435" i="2"/>
  <c r="K259" i="2"/>
  <c r="K440" i="2"/>
  <c r="E949" i="2"/>
  <c r="D865" i="2"/>
  <c r="E843" i="2"/>
  <c r="J182" i="2"/>
  <c r="J381" i="2"/>
  <c r="J504" i="2"/>
  <c r="K205" i="2"/>
  <c r="K386" i="2"/>
  <c r="D951" i="2"/>
  <c r="D728" i="2"/>
  <c r="D981" i="2"/>
  <c r="J207" i="2"/>
  <c r="J362" i="2"/>
  <c r="J329" i="2"/>
  <c r="K427" i="2"/>
  <c r="D847" i="2"/>
  <c r="D645" i="2"/>
  <c r="J439" i="2"/>
  <c r="K263" i="2"/>
  <c r="K444" i="2"/>
  <c r="E847" i="2"/>
  <c r="D650" i="2"/>
  <c r="D734" i="2"/>
  <c r="J240" i="2"/>
  <c r="K319" i="2"/>
  <c r="K473" i="2"/>
  <c r="E961" i="2"/>
  <c r="E877" i="2"/>
  <c r="D775" i="2"/>
  <c r="J331" i="2"/>
  <c r="J488" i="2"/>
  <c r="K155" i="2"/>
  <c r="K336" i="2"/>
  <c r="E945" i="2"/>
  <c r="E827" i="2"/>
  <c r="D647" i="2"/>
  <c r="J157" i="2"/>
  <c r="J312" i="2"/>
  <c r="K188" i="2"/>
  <c r="D579" i="2"/>
  <c r="D997" i="2"/>
  <c r="J433" i="2"/>
  <c r="K257" i="2"/>
  <c r="K438" i="2"/>
  <c r="E805" i="2"/>
  <c r="D819" i="2"/>
  <c r="E940" i="2"/>
  <c r="J414" i="2"/>
  <c r="K260" i="2"/>
  <c r="E841" i="2"/>
  <c r="D646" i="2"/>
  <c r="J491" i="2"/>
  <c r="K303" i="2"/>
  <c r="E825" i="2"/>
  <c r="E741" i="2"/>
  <c r="J315" i="2"/>
  <c r="J472" i="2"/>
  <c r="K139" i="2"/>
  <c r="K320" i="2"/>
  <c r="E770" i="2"/>
  <c r="E974" i="2"/>
  <c r="D574" i="2"/>
  <c r="J141" i="2"/>
  <c r="J296" i="2"/>
  <c r="K172" i="2"/>
  <c r="K361" i="2"/>
  <c r="K471" i="2"/>
  <c r="D789" i="2"/>
  <c r="E578" i="2"/>
  <c r="J174" i="2"/>
  <c r="J373" i="2"/>
  <c r="J503" i="2"/>
  <c r="J497" i="2"/>
  <c r="K378" i="2"/>
  <c r="D925" i="2"/>
  <c r="D914" i="2"/>
  <c r="D565" i="2"/>
  <c r="J199" i="2"/>
  <c r="J354" i="2"/>
  <c r="K419" i="2"/>
  <c r="H155" i="2"/>
  <c r="D590" i="2"/>
  <c r="J431" i="2"/>
  <c r="K255" i="2"/>
  <c r="K436" i="2"/>
  <c r="E661" i="2"/>
  <c r="D575" i="2"/>
  <c r="J257" i="2"/>
  <c r="J180" i="2"/>
  <c r="K256" i="2"/>
  <c r="E697" i="2"/>
  <c r="D803" i="2"/>
  <c r="J489" i="2"/>
  <c r="K301" i="2"/>
  <c r="K492" i="2"/>
  <c r="E681" i="2"/>
  <c r="E597" i="2"/>
  <c r="J313" i="2"/>
  <c r="J470" i="2"/>
  <c r="K137" i="2"/>
  <c r="K318" i="2"/>
  <c r="E626" i="2"/>
  <c r="E830" i="2"/>
  <c r="E921" i="2"/>
  <c r="D566" i="2"/>
  <c r="J261" i="2"/>
  <c r="J416" i="2"/>
  <c r="K264" i="2"/>
  <c r="E997" i="2"/>
  <c r="D697" i="2"/>
  <c r="J493" i="2"/>
  <c r="J364" i="2"/>
  <c r="K500" i="2"/>
  <c r="E969" i="2"/>
  <c r="E885" i="2"/>
  <c r="J317" i="2"/>
  <c r="J474" i="2"/>
  <c r="K141" i="2"/>
  <c r="K322" i="2"/>
  <c r="E914" i="2"/>
  <c r="E518" i="2"/>
  <c r="E609" i="2"/>
  <c r="J186" i="2"/>
  <c r="J385" i="2"/>
  <c r="J508" i="2"/>
  <c r="K209" i="2"/>
  <c r="K390" i="2"/>
  <c r="D627" i="2"/>
  <c r="D812" i="2"/>
  <c r="D767" i="2"/>
  <c r="J366" i="2"/>
  <c r="K431" i="2"/>
  <c r="D829" i="2"/>
  <c r="D722" i="2"/>
  <c r="J443" i="2"/>
  <c r="K232" i="2"/>
  <c r="E812" i="2"/>
  <c r="J311" i="2"/>
  <c r="J468" i="2"/>
  <c r="K316" i="2"/>
  <c r="D626" i="2"/>
  <c r="E686" i="2"/>
  <c r="E777" i="2"/>
  <c r="J137" i="2"/>
  <c r="K168" i="2"/>
  <c r="K357" i="2"/>
  <c r="K507" i="2"/>
  <c r="D578" i="2"/>
  <c r="D770" i="2"/>
  <c r="J170" i="2"/>
  <c r="J369" i="2"/>
  <c r="J250" i="2"/>
  <c r="K193" i="2"/>
  <c r="K374" i="2"/>
  <c r="D863" i="2"/>
  <c r="D599" i="2"/>
  <c r="D537" i="2"/>
  <c r="J195" i="2"/>
  <c r="J350" i="2"/>
  <c r="K415" i="2"/>
  <c r="D695" i="2"/>
  <c r="D887" i="2"/>
  <c r="E675" i="2"/>
  <c r="J427" i="2"/>
  <c r="K251" i="2"/>
  <c r="K432" i="2"/>
  <c r="E923" i="2"/>
  <c r="D623" i="2"/>
  <c r="J253" i="2"/>
  <c r="J408" i="2"/>
  <c r="J505" i="2"/>
  <c r="E959" i="2"/>
  <c r="D694" i="2"/>
  <c r="J485" i="2"/>
  <c r="K297" i="2"/>
  <c r="K484" i="2"/>
  <c r="E939" i="2"/>
  <c r="H275" i="2"/>
  <c r="J309" i="2"/>
  <c r="J466" i="2"/>
  <c r="K314" i="2"/>
  <c r="D681" i="2"/>
  <c r="E542" i="2"/>
  <c r="E633" i="2"/>
  <c r="J290" i="2"/>
  <c r="J259" i="2"/>
  <c r="K355" i="2"/>
  <c r="K505" i="2"/>
  <c r="D717" i="2"/>
  <c r="D661" i="2"/>
  <c r="J168" i="2"/>
  <c r="J367" i="2"/>
  <c r="J244" i="2"/>
  <c r="K191" i="2"/>
  <c r="K372" i="2"/>
  <c r="H156" i="2"/>
  <c r="D933" i="2"/>
  <c r="D543" i="2"/>
  <c r="J193" i="2"/>
  <c r="J348" i="2"/>
  <c r="K413" i="2"/>
  <c r="D610" i="2"/>
  <c r="D830" i="2"/>
  <c r="D741" i="2"/>
  <c r="J294" i="2"/>
  <c r="K170" i="2"/>
  <c r="K359" i="2"/>
  <c r="K467" i="2"/>
  <c r="D597" i="2"/>
  <c r="D616" i="2"/>
  <c r="J172" i="2"/>
  <c r="J371" i="2"/>
  <c r="J501" i="2"/>
  <c r="K195" i="2"/>
  <c r="D891" i="2"/>
  <c r="D585" i="2"/>
  <c r="D561" i="2"/>
  <c r="J197" i="2"/>
  <c r="J352" i="2"/>
  <c r="K417" i="2"/>
  <c r="D987" i="2"/>
  <c r="D938" i="2"/>
  <c r="J220" i="2"/>
  <c r="J420" i="2"/>
  <c r="K268" i="2"/>
  <c r="D898" i="2"/>
  <c r="D514" i="2"/>
  <c r="K309" i="2"/>
  <c r="J252" i="2"/>
  <c r="E565" i="2"/>
  <c r="K217" i="2"/>
  <c r="D562" i="2"/>
  <c r="E645" i="2"/>
  <c r="J490" i="2"/>
  <c r="E575" i="2"/>
  <c r="K161" i="2"/>
  <c r="J196" i="2"/>
  <c r="K236" i="2"/>
  <c r="K292" i="2"/>
  <c r="I407" i="2"/>
  <c r="F228" i="2"/>
  <c r="F384" i="2"/>
  <c r="H167" i="2"/>
  <c r="H409" i="2"/>
  <c r="I226" i="2"/>
  <c r="F233" i="2"/>
  <c r="F381" i="2"/>
  <c r="H232" i="2"/>
  <c r="H400" i="2"/>
  <c r="I260" i="2"/>
  <c r="I465" i="2"/>
  <c r="F442" i="2"/>
  <c r="K449" i="2"/>
  <c r="H249" i="2"/>
  <c r="H467" i="2"/>
  <c r="I289" i="2"/>
  <c r="F266" i="2"/>
  <c r="F439" i="2"/>
  <c r="H291" i="2"/>
  <c r="I136" i="2"/>
  <c r="I334" i="2"/>
  <c r="I432" i="2"/>
  <c r="F500" i="2"/>
  <c r="H282" i="2"/>
  <c r="H507" i="2"/>
  <c r="I347" i="2"/>
  <c r="F168" i="2"/>
  <c r="F348" i="2"/>
  <c r="K140" i="2"/>
  <c r="I246" i="2"/>
  <c r="I459" i="2"/>
  <c r="F436" i="2"/>
  <c r="H219" i="2"/>
  <c r="H485" i="2"/>
  <c r="I307" i="2"/>
  <c r="F139" i="2"/>
  <c r="F311" i="2"/>
  <c r="H162" i="2"/>
  <c r="H330" i="2"/>
  <c r="H446" i="2"/>
  <c r="I183" i="2"/>
  <c r="I395" i="2"/>
  <c r="F216" i="2"/>
  <c r="F396" i="2"/>
  <c r="G197" i="2"/>
  <c r="H397" i="2"/>
  <c r="I218" i="2"/>
  <c r="I416" i="2"/>
  <c r="F197" i="2"/>
  <c r="F369" i="2"/>
  <c r="H220" i="2"/>
  <c r="H412" i="2"/>
  <c r="F152" i="2"/>
  <c r="F308" i="2"/>
  <c r="D934" i="2"/>
  <c r="K398" i="2"/>
  <c r="J451" i="2"/>
  <c r="D885" i="2"/>
  <c r="K157" i="2"/>
  <c r="J192" i="2"/>
  <c r="K342" i="2"/>
  <c r="J395" i="2"/>
  <c r="K326" i="2"/>
  <c r="F263" i="2"/>
  <c r="F435" i="2"/>
  <c r="H287" i="2"/>
  <c r="I306" i="2"/>
  <c r="I498" i="2"/>
  <c r="F283" i="2"/>
  <c r="H278" i="2"/>
  <c r="H503" i="2"/>
  <c r="I343" i="2"/>
  <c r="F164" i="2"/>
  <c r="F320" i="2"/>
  <c r="F493" i="2"/>
  <c r="H369" i="2"/>
  <c r="I166" i="2"/>
  <c r="I364" i="2"/>
  <c r="I458" i="2"/>
  <c r="F145" i="2"/>
  <c r="F317" i="2"/>
  <c r="H168" i="2"/>
  <c r="H336" i="2"/>
  <c r="H464" i="2"/>
  <c r="I213" i="2"/>
  <c r="I425" i="2"/>
  <c r="F246" i="2"/>
  <c r="F378" i="2"/>
  <c r="H161" i="2"/>
  <c r="H403" i="2"/>
  <c r="I230" i="2"/>
  <c r="F203" i="2"/>
  <c r="F399" i="2"/>
  <c r="H250" i="2"/>
  <c r="H422" i="2"/>
  <c r="I337" i="2"/>
  <c r="F158" i="2"/>
  <c r="F314" i="2"/>
  <c r="F487" i="2"/>
  <c r="H339" i="2"/>
  <c r="I184" i="2"/>
  <c r="I382" i="2"/>
  <c r="I496" i="2"/>
  <c r="F426" i="2"/>
  <c r="H209" i="2"/>
  <c r="H451" i="2"/>
  <c r="I273" i="2"/>
  <c r="F251" i="2"/>
  <c r="F447" i="2"/>
  <c r="K278" i="2"/>
  <c r="I294" i="2"/>
  <c r="I442" i="2"/>
  <c r="F484" i="2"/>
  <c r="K448" i="2"/>
  <c r="H266" i="2"/>
  <c r="H478" i="2"/>
  <c r="I143" i="2"/>
  <c r="F187" i="2"/>
  <c r="F359" i="2"/>
  <c r="H210" i="2"/>
  <c r="H378" i="2"/>
  <c r="I251" i="2"/>
  <c r="I443" i="2"/>
  <c r="F444" i="2"/>
  <c r="G245" i="2"/>
  <c r="H445" i="2"/>
  <c r="I267" i="2"/>
  <c r="F245" i="2"/>
  <c r="F417" i="2"/>
  <c r="H293" i="2"/>
  <c r="I312" i="2"/>
  <c r="F200" i="2"/>
  <c r="F356" i="2"/>
  <c r="H139" i="2"/>
  <c r="H381" i="2"/>
  <c r="I202" i="2"/>
  <c r="I400" i="2"/>
  <c r="F205" i="2"/>
  <c r="F377" i="2"/>
  <c r="G258" i="2"/>
  <c r="H372" i="2"/>
  <c r="I233" i="2"/>
  <c r="I437" i="2"/>
  <c r="F258" i="2"/>
  <c r="F414" i="2"/>
  <c r="H221" i="2"/>
  <c r="H463" i="2"/>
  <c r="I244" i="2"/>
  <c r="K323" i="2"/>
  <c r="J161" i="2"/>
  <c r="D969" i="2"/>
  <c r="D519" i="2"/>
  <c r="K338" i="2"/>
  <c r="J391" i="2"/>
  <c r="E767" i="2"/>
  <c r="D649" i="2"/>
  <c r="J201" i="2"/>
  <c r="F141" i="2"/>
  <c r="F313" i="2"/>
  <c r="H164" i="2"/>
  <c r="H332" i="2"/>
  <c r="H452" i="2"/>
  <c r="I185" i="2"/>
  <c r="I397" i="2"/>
  <c r="F242" i="2"/>
  <c r="F398" i="2"/>
  <c r="H157" i="2"/>
  <c r="H399" i="2"/>
  <c r="I220" i="2"/>
  <c r="I418" i="2"/>
  <c r="F199" i="2"/>
  <c r="F371" i="2"/>
  <c r="H246" i="2"/>
  <c r="H414" i="2"/>
  <c r="I234" i="2"/>
  <c r="I455" i="2"/>
  <c r="F432" i="2"/>
  <c r="H215" i="2"/>
  <c r="H457" i="2"/>
  <c r="I303" i="2"/>
  <c r="F280" i="2"/>
  <c r="F429" i="2"/>
  <c r="H281" i="2"/>
  <c r="I300" i="2"/>
  <c r="I460" i="2"/>
  <c r="F490" i="2"/>
  <c r="H296" i="2"/>
  <c r="I214" i="2"/>
  <c r="I412" i="2"/>
  <c r="F193" i="2"/>
  <c r="F365" i="2"/>
  <c r="H216" i="2"/>
  <c r="H384" i="2"/>
  <c r="I241" i="2"/>
  <c r="I473" i="2"/>
  <c r="F477" i="2"/>
  <c r="H329" i="2"/>
  <c r="I150" i="2"/>
  <c r="I348" i="2"/>
  <c r="I502" i="2"/>
  <c r="F301" i="2"/>
  <c r="H176" i="2"/>
  <c r="H344" i="2"/>
  <c r="H504" i="2"/>
  <c r="I173" i="2"/>
  <c r="I385" i="2"/>
  <c r="F206" i="2"/>
  <c r="F362" i="2"/>
  <c r="H145" i="2"/>
  <c r="H387" i="2"/>
  <c r="I253" i="2"/>
  <c r="F474" i="2"/>
  <c r="K328" i="2"/>
  <c r="H263" i="2"/>
  <c r="H499" i="2"/>
  <c r="I321" i="2"/>
  <c r="F142" i="2"/>
  <c r="F298" i="2"/>
  <c r="F495" i="2"/>
  <c r="H228" i="2"/>
  <c r="I144" i="2"/>
  <c r="I342" i="2"/>
  <c r="I456" i="2"/>
  <c r="F295" i="2"/>
  <c r="H146" i="2"/>
  <c r="H314" i="2"/>
  <c r="H468" i="2"/>
  <c r="I191" i="2"/>
  <c r="I403" i="2"/>
  <c r="F235" i="2"/>
  <c r="F407" i="2"/>
  <c r="H254" i="2"/>
  <c r="I278" i="2"/>
  <c r="I491" i="2"/>
  <c r="F492" i="2"/>
  <c r="K501" i="2"/>
  <c r="G292" i="2"/>
  <c r="H493" i="2"/>
  <c r="I315" i="2"/>
  <c r="F136" i="2"/>
  <c r="F292" i="2"/>
  <c r="F465" i="2"/>
  <c r="H341" i="2"/>
  <c r="I162" i="2"/>
  <c r="I360" i="2"/>
  <c r="I438" i="2"/>
  <c r="K481" i="2"/>
  <c r="E956" i="2"/>
  <c r="K220" i="2"/>
  <c r="E982" i="2"/>
  <c r="E709" i="2"/>
  <c r="J353" i="2"/>
  <c r="E899" i="2"/>
  <c r="I195" i="2"/>
  <c r="F428" i="2"/>
  <c r="H211" i="2"/>
  <c r="H453" i="2"/>
  <c r="I275" i="2"/>
  <c r="F276" i="2"/>
  <c r="F449" i="2"/>
  <c r="H277" i="2"/>
  <c r="I296" i="2"/>
  <c r="I448" i="2"/>
  <c r="F486" i="2"/>
  <c r="K248" i="2"/>
  <c r="H292" i="2"/>
  <c r="H482" i="2"/>
  <c r="I145" i="2"/>
  <c r="I333" i="2"/>
  <c r="F154" i="2"/>
  <c r="F310" i="2"/>
  <c r="F483" i="2"/>
  <c r="H335" i="2"/>
  <c r="I156" i="2"/>
  <c r="I354" i="2"/>
  <c r="I488" i="2"/>
  <c r="F159" i="2"/>
  <c r="F331" i="2"/>
  <c r="H158" i="2"/>
  <c r="H326" i="2"/>
  <c r="H434" i="2"/>
  <c r="I179" i="2"/>
  <c r="I391" i="2"/>
  <c r="F212" i="2"/>
  <c r="F368" i="2"/>
  <c r="H175" i="2"/>
  <c r="H417" i="2"/>
  <c r="I290" i="2"/>
  <c r="I428" i="2"/>
  <c r="F480" i="2"/>
  <c r="K400" i="2"/>
  <c r="H260" i="2"/>
  <c r="H436" i="2"/>
  <c r="I351" i="2"/>
  <c r="F172" i="2"/>
  <c r="F328" i="2"/>
  <c r="H206" i="2"/>
  <c r="H374" i="2"/>
  <c r="I239" i="2"/>
  <c r="I439" i="2"/>
  <c r="F260" i="2"/>
  <c r="F416" i="2"/>
  <c r="H223" i="2"/>
  <c r="H465" i="2"/>
  <c r="I250" i="2"/>
  <c r="F241" i="2"/>
  <c r="F413" i="2"/>
  <c r="H265" i="2"/>
  <c r="I308" i="2"/>
  <c r="I503" i="2"/>
  <c r="H377" i="2"/>
  <c r="I198" i="2"/>
  <c r="I396" i="2"/>
  <c r="F177" i="2"/>
  <c r="F349" i="2"/>
  <c r="H224" i="2"/>
  <c r="H392" i="2"/>
  <c r="I221" i="2"/>
  <c r="I433" i="2"/>
  <c r="F254" i="2"/>
  <c r="F410" i="2"/>
  <c r="H193" i="2"/>
  <c r="H435" i="2"/>
  <c r="I281" i="2"/>
  <c r="F285" i="2"/>
  <c r="H136" i="2"/>
  <c r="H304" i="2"/>
  <c r="H432" i="2"/>
  <c r="I157" i="2"/>
  <c r="I369" i="2"/>
  <c r="F190" i="2"/>
  <c r="K192" i="2"/>
  <c r="K456" i="2"/>
  <c r="J246" i="2"/>
  <c r="E971" i="2"/>
  <c r="K215" i="2"/>
  <c r="D841" i="2"/>
  <c r="K451" i="2"/>
  <c r="J287" i="2"/>
  <c r="J321" i="2"/>
  <c r="F306" i="2"/>
  <c r="F479" i="2"/>
  <c r="H331" i="2"/>
  <c r="I152" i="2"/>
  <c r="I350" i="2"/>
  <c r="I504" i="2"/>
  <c r="F327" i="2"/>
  <c r="H178" i="2"/>
  <c r="H506" i="2"/>
  <c r="I175" i="2"/>
  <c r="I387" i="2"/>
  <c r="F208" i="2"/>
  <c r="F364" i="2"/>
  <c r="H147" i="2"/>
  <c r="H413" i="2"/>
  <c r="I257" i="2"/>
  <c r="F189" i="2"/>
  <c r="F361" i="2"/>
  <c r="H212" i="2"/>
  <c r="H380" i="2"/>
  <c r="I255" i="2"/>
  <c r="I445" i="2"/>
  <c r="F446" i="2"/>
  <c r="H205" i="2"/>
  <c r="H447" i="2"/>
  <c r="I269" i="2"/>
  <c r="F247" i="2"/>
  <c r="F419" i="2"/>
  <c r="H295" i="2"/>
  <c r="I381" i="2"/>
  <c r="F202" i="2"/>
  <c r="F358" i="2"/>
  <c r="H141" i="2"/>
  <c r="H383" i="2"/>
  <c r="I204" i="2"/>
  <c r="I402" i="2"/>
  <c r="F207" i="2"/>
  <c r="F379" i="2"/>
  <c r="H255" i="2"/>
  <c r="H495" i="2"/>
  <c r="I317" i="2"/>
  <c r="F138" i="2"/>
  <c r="F294" i="2"/>
  <c r="F467" i="2"/>
  <c r="H343" i="2"/>
  <c r="I164" i="2"/>
  <c r="I338" i="2"/>
  <c r="I444" i="2"/>
  <c r="F291" i="2"/>
  <c r="H142" i="2"/>
  <c r="H310" i="2"/>
  <c r="H450" i="2"/>
  <c r="I163" i="2"/>
  <c r="I399" i="2"/>
  <c r="F220" i="2"/>
  <c r="H257" i="2"/>
  <c r="I274" i="2"/>
  <c r="I487" i="2"/>
  <c r="F464" i="2"/>
  <c r="K496" i="2"/>
  <c r="H270" i="2"/>
  <c r="H460" i="2"/>
  <c r="I311" i="2"/>
  <c r="F288" i="2"/>
  <c r="F461" i="2"/>
  <c r="H313" i="2"/>
  <c r="I356" i="2"/>
  <c r="I434" i="2"/>
  <c r="F137" i="2"/>
  <c r="H183" i="2"/>
  <c r="H425" i="2"/>
  <c r="I249" i="2"/>
  <c r="F225" i="2"/>
  <c r="F397" i="2"/>
  <c r="H273" i="2"/>
  <c r="I268" i="2"/>
  <c r="I481" i="2"/>
  <c r="F458" i="2"/>
  <c r="K353" i="2"/>
  <c r="H241" i="2"/>
  <c r="H483" i="2"/>
  <c r="I329" i="2"/>
  <c r="F150" i="2"/>
  <c r="F282" i="2"/>
  <c r="D515" i="2"/>
  <c r="K381" i="2"/>
  <c r="J219" i="2"/>
  <c r="D928" i="2"/>
  <c r="D947" i="2"/>
  <c r="K396" i="2"/>
  <c r="D866" i="2"/>
  <c r="K504" i="2"/>
  <c r="J356" i="2"/>
  <c r="F357" i="2"/>
  <c r="H208" i="2"/>
  <c r="H376" i="2"/>
  <c r="I245" i="2"/>
  <c r="I441" i="2"/>
  <c r="F262" i="2"/>
  <c r="F418" i="2"/>
  <c r="H225" i="2"/>
  <c r="H443" i="2"/>
  <c r="I265" i="2"/>
  <c r="F243" i="2"/>
  <c r="F415" i="2"/>
  <c r="H267" i="2"/>
  <c r="I310" i="2"/>
  <c r="I505" i="2"/>
  <c r="F476" i="2"/>
  <c r="K352" i="2"/>
  <c r="H252" i="2"/>
  <c r="H420" i="2"/>
  <c r="I323" i="2"/>
  <c r="F144" i="2"/>
  <c r="F324" i="2"/>
  <c r="F497" i="2"/>
  <c r="H325" i="2"/>
  <c r="I146" i="2"/>
  <c r="I344" i="2"/>
  <c r="I462" i="2"/>
  <c r="F297" i="2"/>
  <c r="H148" i="2"/>
  <c r="H340" i="2"/>
  <c r="H472" i="2"/>
  <c r="I193" i="2"/>
  <c r="F237" i="2"/>
  <c r="F409" i="2"/>
  <c r="H258" i="2"/>
  <c r="I280" i="2"/>
  <c r="I493" i="2"/>
  <c r="F494" i="2"/>
  <c r="G138" i="2"/>
  <c r="H373" i="2"/>
  <c r="I194" i="2"/>
  <c r="I392" i="2"/>
  <c r="F173" i="2"/>
  <c r="F345" i="2"/>
  <c r="H196" i="2"/>
  <c r="H388" i="2"/>
  <c r="I228" i="2"/>
  <c r="I429" i="2"/>
  <c r="F250" i="2"/>
  <c r="F406" i="2"/>
  <c r="H189" i="2"/>
  <c r="H431" i="2"/>
  <c r="I262" i="2"/>
  <c r="F255" i="2"/>
  <c r="H300" i="2"/>
  <c r="H498" i="2"/>
  <c r="I153" i="2"/>
  <c r="I365" i="2"/>
  <c r="F186" i="2"/>
  <c r="F342" i="2"/>
  <c r="F508" i="2"/>
  <c r="H149" i="2"/>
  <c r="J401" i="2"/>
  <c r="J136" i="2"/>
  <c r="J374" i="2"/>
  <c r="D607" i="2"/>
  <c r="K321" i="2"/>
  <c r="J159" i="2"/>
  <c r="H180" i="2"/>
  <c r="J318" i="2"/>
  <c r="E818" i="2"/>
  <c r="J444" i="2"/>
  <c r="D529" i="2"/>
  <c r="K304" i="2"/>
  <c r="H259" i="2"/>
  <c r="H497" i="2"/>
  <c r="I319" i="2"/>
  <c r="F140" i="2"/>
  <c r="F296" i="2"/>
  <c r="F469" i="2"/>
  <c r="H345" i="2"/>
  <c r="I142" i="2"/>
  <c r="I340" i="2"/>
  <c r="I450" i="2"/>
  <c r="F293" i="2"/>
  <c r="H144" i="2"/>
  <c r="H312" i="2"/>
  <c r="H456" i="2"/>
  <c r="I189" i="2"/>
  <c r="I401" i="2"/>
  <c r="F222" i="2"/>
  <c r="F354" i="2"/>
  <c r="H137" i="2"/>
  <c r="H379" i="2"/>
  <c r="I200" i="2"/>
  <c r="I398" i="2"/>
  <c r="F179" i="2"/>
  <c r="F375" i="2"/>
  <c r="H226" i="2"/>
  <c r="J386" i="2"/>
  <c r="I227" i="2"/>
  <c r="I435" i="2"/>
  <c r="F256" i="2"/>
  <c r="F412" i="2"/>
  <c r="H195" i="2"/>
  <c r="H461" i="2"/>
  <c r="I283" i="2"/>
  <c r="F287" i="2"/>
  <c r="H138" i="2"/>
  <c r="H306" i="2"/>
  <c r="H438" i="2"/>
  <c r="I159" i="2"/>
  <c r="I371" i="2"/>
  <c r="F192" i="2"/>
  <c r="F372" i="2"/>
  <c r="K219" i="2"/>
  <c r="I270" i="2"/>
  <c r="I483" i="2"/>
  <c r="F460" i="2"/>
  <c r="K377" i="2"/>
  <c r="H243" i="2"/>
  <c r="H448" i="2"/>
  <c r="I331" i="2"/>
  <c r="F284" i="2"/>
  <c r="F457" i="2"/>
  <c r="H309" i="2"/>
  <c r="I328" i="2"/>
  <c r="I494" i="2"/>
  <c r="F305" i="2"/>
  <c r="H421" i="2"/>
  <c r="K282" i="2"/>
  <c r="J335" i="2"/>
  <c r="E615" i="2"/>
  <c r="K477" i="2"/>
  <c r="J314" i="2"/>
  <c r="D551" i="2"/>
  <c r="K194" i="2"/>
  <c r="E703" i="2"/>
  <c r="E791" i="2"/>
  <c r="J478" i="2"/>
  <c r="H375" i="2"/>
  <c r="I196" i="2"/>
  <c r="I394" i="2"/>
  <c r="F175" i="2"/>
  <c r="F347" i="2"/>
  <c r="H222" i="2"/>
  <c r="H390" i="2"/>
  <c r="I219" i="2"/>
  <c r="I431" i="2"/>
  <c r="F252" i="2"/>
  <c r="F408" i="2"/>
  <c r="H191" i="2"/>
  <c r="H433" i="2"/>
  <c r="I279" i="2"/>
  <c r="F257" i="2"/>
  <c r="F405" i="2"/>
  <c r="H261" i="2"/>
  <c r="I276" i="2"/>
  <c r="I489" i="2"/>
  <c r="F466" i="2"/>
  <c r="K489" i="2"/>
  <c r="H272" i="2"/>
  <c r="H491" i="2"/>
  <c r="I313" i="2"/>
  <c r="F290" i="2"/>
  <c r="F463" i="2"/>
  <c r="H315" i="2"/>
  <c r="I160" i="2"/>
  <c r="I358" i="2"/>
  <c r="I440" i="2"/>
  <c r="F402" i="2"/>
  <c r="H185" i="2"/>
  <c r="H427" i="2"/>
  <c r="I254" i="2"/>
  <c r="F227" i="2"/>
  <c r="F423" i="2"/>
  <c r="H490" i="2"/>
  <c r="I149" i="2"/>
  <c r="I361" i="2"/>
  <c r="F182" i="2"/>
  <c r="F338" i="2"/>
  <c r="F504" i="2"/>
  <c r="H363" i="2"/>
  <c r="I208" i="2"/>
  <c r="I406" i="2"/>
  <c r="F163" i="2"/>
  <c r="F335" i="2"/>
  <c r="H186" i="2"/>
  <c r="H354" i="2"/>
  <c r="H500" i="2"/>
  <c r="I207" i="2"/>
  <c r="I419" i="2"/>
  <c r="F240" i="2"/>
  <c r="F420" i="2"/>
  <c r="K495" i="2"/>
  <c r="I318" i="2"/>
  <c r="I474" i="2"/>
  <c r="F271" i="2"/>
  <c r="H290" i="2"/>
  <c r="H462" i="2"/>
  <c r="I167" i="2"/>
  <c r="I379" i="2"/>
  <c r="F176" i="2"/>
  <c r="F332" i="2"/>
  <c r="F505" i="2"/>
  <c r="H357" i="2"/>
  <c r="I178" i="2"/>
  <c r="I376" i="2"/>
  <c r="I484" i="2"/>
  <c r="F181" i="2"/>
  <c r="F353" i="2"/>
  <c r="G234" i="2"/>
  <c r="H469" i="2"/>
  <c r="I291" i="2"/>
  <c r="F268" i="2"/>
  <c r="F441" i="2"/>
  <c r="H317" i="2"/>
  <c r="I138" i="2"/>
  <c r="I336" i="2"/>
  <c r="I507" i="2"/>
  <c r="F265" i="2"/>
  <c r="H284" i="2"/>
  <c r="H466" i="2"/>
  <c r="I137" i="2"/>
  <c r="I349" i="2"/>
  <c r="F194" i="2"/>
  <c r="F350" i="2"/>
  <c r="E789" i="2"/>
  <c r="J492" i="2"/>
  <c r="E719" i="2"/>
  <c r="K439" i="2"/>
  <c r="J275" i="2"/>
  <c r="D731" i="2"/>
  <c r="J281" i="2"/>
  <c r="D815" i="2"/>
  <c r="K383" i="2"/>
  <c r="D620" i="2"/>
  <c r="H253" i="2"/>
  <c r="I272" i="2"/>
  <c r="I485" i="2"/>
  <c r="F462" i="2"/>
  <c r="K401" i="2"/>
  <c r="H268" i="2"/>
  <c r="H454" i="2"/>
  <c r="I309" i="2"/>
  <c r="F286" i="2"/>
  <c r="F459" i="2"/>
  <c r="H311" i="2"/>
  <c r="I330" i="2"/>
  <c r="I508" i="2"/>
  <c r="F307" i="2"/>
  <c r="H302" i="2"/>
  <c r="H424" i="2"/>
  <c r="I155" i="2"/>
  <c r="I367" i="2"/>
  <c r="F188" i="2"/>
  <c r="F344" i="2"/>
  <c r="H151" i="2"/>
  <c r="H393" i="2"/>
  <c r="I190" i="2"/>
  <c r="I388" i="2"/>
  <c r="F169" i="2"/>
  <c r="F341" i="2"/>
  <c r="H192" i="2"/>
  <c r="H360" i="2"/>
  <c r="I263" i="2"/>
  <c r="I449" i="2"/>
  <c r="F453" i="2"/>
  <c r="H305" i="2"/>
  <c r="I324" i="2"/>
  <c r="I486" i="2"/>
  <c r="F277" i="2"/>
  <c r="H152" i="2"/>
  <c r="H320" i="2"/>
  <c r="I225" i="2"/>
  <c r="F217" i="2"/>
  <c r="F389" i="2"/>
  <c r="H240" i="2"/>
  <c r="H408" i="2"/>
  <c r="I284" i="2"/>
  <c r="I497" i="2"/>
  <c r="F450" i="2"/>
  <c r="K238" i="2"/>
  <c r="H233" i="2"/>
  <c r="H475" i="2"/>
  <c r="I297" i="2"/>
  <c r="F274" i="2"/>
  <c r="F471" i="2"/>
  <c r="H480" i="2"/>
  <c r="I197" i="2"/>
  <c r="I409" i="2"/>
  <c r="F230" i="2"/>
  <c r="F386" i="2"/>
  <c r="H169" i="2"/>
  <c r="H411" i="2"/>
  <c r="I232" i="2"/>
  <c r="F211" i="2"/>
  <c r="F383" i="2"/>
  <c r="H234" i="2"/>
  <c r="H402" i="2"/>
  <c r="I223" i="2"/>
  <c r="I467" i="2"/>
  <c r="F468" i="2"/>
  <c r="K246" i="2"/>
  <c r="H274" i="2"/>
  <c r="I168" i="2"/>
  <c r="I366" i="2"/>
  <c r="I464" i="2"/>
  <c r="F147" i="2"/>
  <c r="F319" i="2"/>
  <c r="H170" i="2"/>
  <c r="H338" i="2"/>
  <c r="I215" i="2"/>
  <c r="I427" i="2"/>
  <c r="F224" i="2"/>
  <c r="F380" i="2"/>
  <c r="H163" i="2"/>
  <c r="H405" i="2"/>
  <c r="I236" i="2"/>
  <c r="F229" i="2"/>
  <c r="F401" i="2"/>
  <c r="D743" i="2"/>
  <c r="K159" i="2"/>
  <c r="J194" i="2"/>
  <c r="J432" i="2"/>
  <c r="H299" i="2"/>
  <c r="K379" i="2"/>
  <c r="J138" i="2"/>
  <c r="J463" i="2"/>
  <c r="D571" i="2"/>
  <c r="H494" i="2"/>
  <c r="I151" i="2"/>
  <c r="I363" i="2"/>
  <c r="F184" i="2"/>
  <c r="F340" i="2"/>
  <c r="F506" i="2"/>
  <c r="H389" i="2"/>
  <c r="I210" i="2"/>
  <c r="I408" i="2"/>
  <c r="I500" i="2"/>
  <c r="F165" i="2"/>
  <c r="F337" i="2"/>
  <c r="H188" i="2"/>
  <c r="H356" i="2"/>
  <c r="I209" i="2"/>
  <c r="I421" i="2"/>
  <c r="F422" i="2"/>
  <c r="H181" i="2"/>
  <c r="H423" i="2"/>
  <c r="I243" i="2"/>
  <c r="F223" i="2"/>
  <c r="F395" i="2"/>
  <c r="H271" i="2"/>
  <c r="I266" i="2"/>
  <c r="I479" i="2"/>
  <c r="F456" i="2"/>
  <c r="K329" i="2"/>
  <c r="H239" i="2"/>
  <c r="H481" i="2"/>
  <c r="I327" i="2"/>
  <c r="F148" i="2"/>
  <c r="F304" i="2"/>
  <c r="H182" i="2"/>
  <c r="H350" i="2"/>
  <c r="H492" i="2"/>
  <c r="I203" i="2"/>
  <c r="I415" i="2"/>
  <c r="F236" i="2"/>
  <c r="F392" i="2"/>
  <c r="H199" i="2"/>
  <c r="H441" i="2"/>
  <c r="I314" i="2"/>
  <c r="I466" i="2"/>
  <c r="F267" i="2"/>
  <c r="H286" i="2"/>
  <c r="H470" i="2"/>
  <c r="I139" i="2"/>
  <c r="I375" i="2"/>
  <c r="F196" i="2"/>
  <c r="F352" i="2"/>
  <c r="F501" i="2"/>
  <c r="H353" i="2"/>
  <c r="I174" i="2"/>
  <c r="I372" i="2"/>
  <c r="I476" i="2"/>
  <c r="F153" i="2"/>
  <c r="F325" i="2"/>
  <c r="H200" i="2"/>
  <c r="I287" i="2"/>
  <c r="F264" i="2"/>
  <c r="F437" i="2"/>
  <c r="H289" i="2"/>
  <c r="I332" i="2"/>
  <c r="I424" i="2"/>
  <c r="F498" i="2"/>
  <c r="H280" i="2"/>
  <c r="H505" i="2"/>
  <c r="I345" i="2"/>
  <c r="F166" i="2"/>
  <c r="F322" i="2"/>
  <c r="I240" i="2"/>
  <c r="I457" i="2"/>
  <c r="F434" i="2"/>
  <c r="H217" i="2"/>
  <c r="D802" i="2"/>
  <c r="K340" i="2"/>
  <c r="J393" i="2"/>
  <c r="D639" i="2"/>
  <c r="J337" i="2"/>
  <c r="E963" i="2"/>
  <c r="E707" i="2"/>
  <c r="K145" i="2"/>
  <c r="I231" i="2"/>
  <c r="F219" i="2"/>
  <c r="F391" i="2"/>
  <c r="H242" i="2"/>
  <c r="H410" i="2"/>
  <c r="I286" i="2"/>
  <c r="I499" i="2"/>
  <c r="F452" i="2"/>
  <c r="K281" i="2"/>
  <c r="H235" i="2"/>
  <c r="H477" i="2"/>
  <c r="I299" i="2"/>
  <c r="F300" i="2"/>
  <c r="F473" i="2"/>
  <c r="H301" i="2"/>
  <c r="I320" i="2"/>
  <c r="I478" i="2"/>
  <c r="F273" i="2"/>
  <c r="H316" i="2"/>
  <c r="H426" i="2"/>
  <c r="I169" i="2"/>
  <c r="I357" i="2"/>
  <c r="F178" i="2"/>
  <c r="F334" i="2"/>
  <c r="F507" i="2"/>
  <c r="H359" i="2"/>
  <c r="I180" i="2"/>
  <c r="I378" i="2"/>
  <c r="F183" i="2"/>
  <c r="F355" i="2"/>
  <c r="H229" i="2"/>
  <c r="H471" i="2"/>
  <c r="I293" i="2"/>
  <c r="F270" i="2"/>
  <c r="F443" i="2"/>
  <c r="H319" i="2"/>
  <c r="I140" i="2"/>
  <c r="I405" i="2"/>
  <c r="F226" i="2"/>
  <c r="F382" i="2"/>
  <c r="H165" i="2"/>
  <c r="H407" i="2"/>
  <c r="I242" i="2"/>
  <c r="F231" i="2"/>
  <c r="F403" i="2"/>
  <c r="H230" i="2"/>
  <c r="H398" i="2"/>
  <c r="I256" i="2"/>
  <c r="I463" i="2"/>
  <c r="F440" i="2"/>
  <c r="K425" i="2"/>
  <c r="H247" i="2"/>
  <c r="I362" i="2"/>
  <c r="I452" i="2"/>
  <c r="F143" i="2"/>
  <c r="F315" i="2"/>
  <c r="H166" i="2"/>
  <c r="H334" i="2"/>
  <c r="H458" i="2"/>
  <c r="I187" i="2"/>
  <c r="I423" i="2"/>
  <c r="F244" i="2"/>
  <c r="F400" i="2"/>
  <c r="H159" i="2"/>
  <c r="H401" i="2"/>
  <c r="I224" i="2"/>
  <c r="F201" i="2"/>
  <c r="F373" i="2"/>
  <c r="H248" i="2"/>
  <c r="H416" i="2"/>
  <c r="I335" i="2"/>
  <c r="F156" i="2"/>
  <c r="F312" i="2"/>
  <c r="F485" i="2"/>
  <c r="H337" i="2"/>
  <c r="I158" i="2"/>
  <c r="I380" i="2"/>
  <c r="I492" i="2"/>
  <c r="F161" i="2"/>
  <c r="F309" i="2"/>
  <c r="H160" i="2"/>
  <c r="H328" i="2"/>
  <c r="H440" i="2"/>
  <c r="I181" i="2"/>
  <c r="I393" i="2"/>
  <c r="F214" i="2"/>
  <c r="F370" i="2"/>
  <c r="H177" i="2"/>
  <c r="H395" i="2"/>
  <c r="J333" i="2"/>
  <c r="H288" i="2"/>
  <c r="F155" i="2"/>
  <c r="F261" i="2"/>
  <c r="I277" i="2"/>
  <c r="G210" i="2"/>
  <c r="I177" i="2"/>
  <c r="F366" i="2"/>
  <c r="H415" i="2"/>
  <c r="H256" i="2"/>
  <c r="I259" i="2"/>
  <c r="H449" i="2"/>
  <c r="I271" i="2"/>
  <c r="F249" i="2"/>
  <c r="F289" i="2"/>
  <c r="H140" i="2"/>
  <c r="H308" i="2"/>
  <c r="E950" i="2"/>
  <c r="H474" i="2"/>
  <c r="F351" i="2"/>
  <c r="I238" i="2"/>
  <c r="H349" i="2"/>
  <c r="F433" i="2"/>
  <c r="I341" i="2"/>
  <c r="I506" i="2"/>
  <c r="I386" i="2"/>
  <c r="F339" i="2"/>
  <c r="H303" i="2"/>
  <c r="I482" i="2"/>
  <c r="I325" i="2"/>
  <c r="F326" i="2"/>
  <c r="I148" i="2"/>
  <c r="I426" i="2"/>
  <c r="F299" i="2"/>
  <c r="H342" i="2"/>
  <c r="I171" i="2"/>
  <c r="F404" i="2"/>
  <c r="H187" i="2"/>
  <c r="H429" i="2"/>
  <c r="I258" i="2"/>
  <c r="F253" i="2"/>
  <c r="N380" i="2"/>
  <c r="N278" i="2"/>
  <c r="M243" i="2"/>
  <c r="G398" i="2"/>
  <c r="M499" i="2"/>
  <c r="G337" i="2"/>
  <c r="N209" i="2"/>
  <c r="N382" i="2"/>
  <c r="G190" i="2"/>
  <c r="G369" i="2"/>
  <c r="N488" i="2"/>
  <c r="N179" i="2"/>
  <c r="L298" i="2"/>
  <c r="G141" i="2"/>
  <c r="G484" i="2"/>
  <c r="M331" i="2"/>
  <c r="F427" i="2"/>
  <c r="G365" i="2"/>
  <c r="L403" i="2"/>
  <c r="M348" i="2"/>
  <c r="L349" i="2"/>
  <c r="G304" i="2"/>
  <c r="G502" i="2"/>
  <c r="M476" i="2"/>
  <c r="L225" i="2"/>
  <c r="L276" i="2"/>
  <c r="N204" i="2"/>
  <c r="N321" i="2"/>
  <c r="M456" i="2"/>
  <c r="G241" i="2"/>
  <c r="N439" i="2"/>
  <c r="L302" i="2"/>
  <c r="G262" i="2"/>
  <c r="G465" i="2"/>
  <c r="L238" i="2"/>
  <c r="L281" i="2"/>
  <c r="G320" i="2"/>
  <c r="N490" i="2"/>
  <c r="L379" i="2"/>
  <c r="G501" i="2"/>
  <c r="M364" i="2"/>
  <c r="G235" i="2"/>
  <c r="M406" i="2"/>
  <c r="M383" i="2"/>
  <c r="M338" i="2"/>
  <c r="L296" i="2"/>
  <c r="M211" i="2"/>
  <c r="L182" i="2"/>
  <c r="L184" i="2"/>
  <c r="G397" i="2"/>
  <c r="L319" i="2"/>
  <c r="L480" i="2"/>
  <c r="G444" i="2"/>
  <c r="M241" i="2"/>
  <c r="G445" i="2"/>
  <c r="N284" i="2"/>
  <c r="G308" i="2"/>
  <c r="G448" i="2"/>
  <c r="N166" i="2"/>
  <c r="L155" i="2"/>
  <c r="M240" i="2"/>
  <c r="J494" i="2"/>
  <c r="I165" i="2"/>
  <c r="H202" i="2"/>
  <c r="I170" i="2"/>
  <c r="F162" i="2"/>
  <c r="H269" i="2"/>
  <c r="I477" i="2"/>
  <c r="K305" i="2"/>
  <c r="F302" i="2"/>
  <c r="H488" i="2"/>
  <c r="F234" i="2"/>
  <c r="F346" i="2"/>
  <c r="H153" i="2"/>
  <c r="I192" i="2"/>
  <c r="F343" i="2"/>
  <c r="H362" i="2"/>
  <c r="I222" i="2"/>
  <c r="F248" i="2"/>
  <c r="F455" i="2"/>
  <c r="H307" i="2"/>
  <c r="I326" i="2"/>
  <c r="I490" i="2"/>
  <c r="F303" i="2"/>
  <c r="L453" i="2"/>
  <c r="N165" i="2"/>
  <c r="M432" i="2"/>
  <c r="G218" i="2"/>
  <c r="G475" i="2"/>
  <c r="M298" i="2"/>
  <c r="N272" i="2"/>
  <c r="G169" i="2"/>
  <c r="L332" i="2"/>
  <c r="N137" i="2"/>
  <c r="G225" i="2"/>
  <c r="N223" i="2"/>
  <c r="G428" i="2"/>
  <c r="L451" i="2"/>
  <c r="G267" i="2"/>
  <c r="M477" i="2"/>
  <c r="M238" i="2"/>
  <c r="G441" i="2"/>
  <c r="M274" i="2"/>
  <c r="M379" i="2"/>
  <c r="G232" i="2"/>
  <c r="N373" i="2"/>
  <c r="L257" i="2"/>
  <c r="G324" i="2"/>
  <c r="L368" i="2"/>
  <c r="L405" i="2"/>
  <c r="G180" i="2"/>
  <c r="G359" i="2"/>
  <c r="M273" i="2"/>
  <c r="L316" i="2"/>
  <c r="G296" i="2"/>
  <c r="M201" i="2"/>
  <c r="N346" i="2"/>
  <c r="F425" i="2"/>
  <c r="G460" i="2"/>
  <c r="L504" i="2"/>
  <c r="I355" i="2"/>
  <c r="G342" i="2"/>
  <c r="L466" i="2"/>
  <c r="M283" i="2"/>
  <c r="M323" i="2"/>
  <c r="G353" i="2"/>
  <c r="N145" i="2"/>
  <c r="L218" i="2"/>
  <c r="L149" i="2"/>
  <c r="N348" i="2"/>
  <c r="M247" i="2"/>
  <c r="M226" i="2"/>
  <c r="M169" i="2"/>
  <c r="L180" i="2"/>
  <c r="G336" i="2"/>
  <c r="N332" i="2"/>
  <c r="L388" i="2"/>
  <c r="G392" i="2"/>
  <c r="L139" i="2"/>
  <c r="M433" i="2"/>
  <c r="G248" i="2"/>
  <c r="G453" i="2"/>
  <c r="N343" i="2"/>
  <c r="M264" i="2"/>
  <c r="N240" i="2"/>
  <c r="G326" i="2"/>
  <c r="L416" i="2"/>
  <c r="L464" i="2"/>
  <c r="N312" i="2"/>
  <c r="M218" i="2"/>
  <c r="E863" i="2"/>
  <c r="I377" i="2"/>
  <c r="J351" i="2"/>
  <c r="F213" i="2"/>
  <c r="I368" i="2"/>
  <c r="H285" i="2"/>
  <c r="F318" i="2"/>
  <c r="H213" i="2"/>
  <c r="I298" i="2"/>
  <c r="F488" i="2"/>
  <c r="H486" i="2"/>
  <c r="F191" i="2"/>
  <c r="H382" i="2"/>
  <c r="H150" i="2"/>
  <c r="H502" i="2"/>
  <c r="I359" i="2"/>
  <c r="F336" i="2"/>
  <c r="I182" i="2"/>
  <c r="F333" i="2"/>
  <c r="H184" i="2"/>
  <c r="H352" i="2"/>
  <c r="H496" i="2"/>
  <c r="I205" i="2"/>
  <c r="I417" i="2"/>
  <c r="F238" i="2"/>
  <c r="F394" i="2"/>
  <c r="L320" i="2"/>
  <c r="L254" i="2"/>
  <c r="L440" i="2"/>
  <c r="G253" i="2"/>
  <c r="M141" i="2"/>
  <c r="M154" i="2"/>
  <c r="L448" i="2"/>
  <c r="G287" i="2"/>
  <c r="N250" i="2"/>
  <c r="I353" i="2"/>
  <c r="G188" i="2"/>
  <c r="G343" i="2"/>
  <c r="N427" i="2"/>
  <c r="M420" i="2"/>
  <c r="N239" i="2"/>
  <c r="G504" i="2"/>
  <c r="G440" i="2"/>
  <c r="L391" i="2"/>
  <c r="L395" i="2"/>
  <c r="N252" i="2"/>
  <c r="G159" i="2"/>
  <c r="L308" i="2"/>
  <c r="L331" i="2"/>
  <c r="M504" i="2"/>
  <c r="M170" i="2"/>
  <c r="G266" i="2"/>
  <c r="M181" i="2"/>
  <c r="G469" i="2"/>
  <c r="N264" i="2"/>
  <c r="G215" i="2"/>
  <c r="L393" i="2"/>
  <c r="F374" i="2"/>
  <c r="G260" i="2"/>
  <c r="G415" i="2"/>
  <c r="I384" i="2"/>
  <c r="G318" i="2"/>
  <c r="L153" i="2"/>
  <c r="M250" i="2"/>
  <c r="L307" i="2"/>
  <c r="G149" i="2"/>
  <c r="G429" i="2"/>
  <c r="N499" i="2"/>
  <c r="L456" i="2"/>
  <c r="L170" i="2"/>
  <c r="G400" i="2"/>
  <c r="N249" i="2"/>
  <c r="M346" i="2"/>
  <c r="L475" i="2"/>
  <c r="L264" i="2"/>
  <c r="M146" i="2"/>
  <c r="M494" i="2"/>
  <c r="G420" i="2"/>
  <c r="L215" i="2"/>
  <c r="M371" i="2"/>
  <c r="G493" i="2"/>
  <c r="G462" i="2"/>
  <c r="M139" i="2"/>
  <c r="L336" i="2"/>
  <c r="G282" i="2"/>
  <c r="M380" i="2"/>
  <c r="M493" i="2"/>
  <c r="N358" i="2"/>
  <c r="N489" i="2"/>
  <c r="L420" i="2"/>
  <c r="G146" i="2"/>
  <c r="G473" i="2"/>
  <c r="L457" i="2"/>
  <c r="N155" i="2"/>
  <c r="G434" i="2"/>
  <c r="L503" i="2"/>
  <c r="G153" i="2"/>
  <c r="M164" i="2"/>
  <c r="N265" i="2"/>
  <c r="G356" i="2"/>
  <c r="K275" i="2"/>
  <c r="F198" i="2"/>
  <c r="H484" i="2"/>
  <c r="F385" i="2"/>
  <c r="I468" i="2"/>
  <c r="F491" i="2"/>
  <c r="H333" i="2"/>
  <c r="F157" i="2"/>
  <c r="H324" i="2"/>
  <c r="I389" i="2"/>
  <c r="F478" i="2"/>
  <c r="H428" i="2"/>
  <c r="H197" i="2"/>
  <c r="F387" i="2"/>
  <c r="H406" i="2"/>
  <c r="I235" i="2"/>
  <c r="K245" i="2"/>
  <c r="H231" i="2"/>
  <c r="H473" i="2"/>
  <c r="I295" i="2"/>
  <c r="F272" i="2"/>
  <c r="F445" i="2"/>
  <c r="L421" i="2"/>
  <c r="M396" i="2"/>
  <c r="G192" i="2"/>
  <c r="G371" i="2"/>
  <c r="L154" i="2"/>
  <c r="N301" i="2"/>
  <c r="G143" i="2"/>
  <c r="G488" i="2"/>
  <c r="N476" i="2"/>
  <c r="G223" i="2"/>
  <c r="M452" i="2"/>
  <c r="L250" i="2"/>
  <c r="G246" i="2"/>
  <c r="G402" i="2"/>
  <c r="M322" i="2"/>
  <c r="L427" i="2"/>
  <c r="M190" i="2"/>
  <c r="N456" i="2"/>
  <c r="L413" i="2"/>
  <c r="G277" i="2"/>
  <c r="N310" i="2"/>
  <c r="N167" i="2"/>
  <c r="G182" i="2"/>
  <c r="G385" i="2"/>
  <c r="N311" i="2"/>
  <c r="M221" i="2"/>
  <c r="G298" i="2"/>
  <c r="M345" i="2"/>
  <c r="N320" i="2"/>
  <c r="G154" i="2"/>
  <c r="G333" i="2"/>
  <c r="N295" i="2"/>
  <c r="I264" i="2"/>
  <c r="G294" i="2"/>
  <c r="N273" i="2"/>
  <c r="L217" i="2"/>
  <c r="G454" i="2"/>
  <c r="N478" i="2"/>
  <c r="N491" i="2"/>
  <c r="M145" i="2"/>
  <c r="G363" i="2"/>
  <c r="L322" i="2"/>
  <c r="N238" i="2"/>
  <c r="L230" i="2"/>
  <c r="G220" i="2"/>
  <c r="G479" i="2"/>
  <c r="N151" i="2"/>
  <c r="M138" i="2"/>
  <c r="M361" i="2"/>
  <c r="G451" i="2"/>
  <c r="N271" i="2"/>
  <c r="M436" i="2"/>
  <c r="G310" i="2"/>
  <c r="M214" i="2"/>
  <c r="G390" i="2"/>
  <c r="L488" i="2"/>
  <c r="M297" i="2"/>
  <c r="G161" i="2"/>
  <c r="G401" i="2"/>
  <c r="M202" i="2"/>
  <c r="M179" i="2"/>
  <c r="L288" i="2"/>
  <c r="N177" i="2"/>
  <c r="M418" i="2"/>
  <c r="G181" i="2"/>
  <c r="L381" i="2"/>
  <c r="N344" i="2"/>
  <c r="N215" i="2"/>
  <c r="N459" i="2"/>
  <c r="G384" i="2"/>
  <c r="D805" i="2"/>
  <c r="F330" i="2"/>
  <c r="I199" i="2"/>
  <c r="H236" i="2"/>
  <c r="F149" i="2"/>
  <c r="I304" i="2"/>
  <c r="F221" i="2"/>
  <c r="H391" i="2"/>
  <c r="H190" i="2"/>
  <c r="I211" i="2"/>
  <c r="F424" i="2"/>
  <c r="F431" i="2"/>
  <c r="H283" i="2"/>
  <c r="I302" i="2"/>
  <c r="H351" i="2"/>
  <c r="I172" i="2"/>
  <c r="I370" i="2"/>
  <c r="I472" i="2"/>
  <c r="F151" i="2"/>
  <c r="F323" i="2"/>
  <c r="H198" i="2"/>
  <c r="H366" i="2"/>
  <c r="L203" i="2"/>
  <c r="L314" i="2"/>
  <c r="G227" i="2"/>
  <c r="N251" i="2"/>
  <c r="L231" i="2"/>
  <c r="G430" i="2"/>
  <c r="L499" i="2"/>
  <c r="N334" i="2"/>
  <c r="F496" i="2"/>
  <c r="G341" i="2"/>
  <c r="M442" i="2"/>
  <c r="N419" i="2"/>
  <c r="N372" i="2"/>
  <c r="G280" i="2"/>
  <c r="G483" i="2"/>
  <c r="N379" i="2"/>
  <c r="L206" i="2"/>
  <c r="M335" i="2"/>
  <c r="M466" i="2"/>
  <c r="G468" i="2"/>
  <c r="N428" i="2"/>
  <c r="L263" i="2"/>
  <c r="G217" i="2"/>
  <c r="M277" i="2"/>
  <c r="G238" i="2"/>
  <c r="G417" i="2"/>
  <c r="N421" i="2"/>
  <c r="N387" i="2"/>
  <c r="G189" i="2"/>
  <c r="L212" i="2"/>
  <c r="G186" i="2"/>
  <c r="G413" i="2"/>
  <c r="L429" i="2"/>
  <c r="M427" i="2"/>
  <c r="G339" i="2"/>
  <c r="M261" i="2"/>
  <c r="G196" i="2"/>
  <c r="K421" i="2"/>
  <c r="F503" i="2"/>
  <c r="I411" i="2"/>
  <c r="H404" i="2"/>
  <c r="F321" i="2"/>
  <c r="I430" i="2"/>
  <c r="H367" i="2"/>
  <c r="H455" i="2"/>
  <c r="H237" i="2"/>
  <c r="I301" i="2"/>
  <c r="F475" i="2"/>
  <c r="I201" i="2"/>
  <c r="F390" i="2"/>
  <c r="I471" i="2"/>
  <c r="F448" i="2"/>
  <c r="H207" i="2"/>
  <c r="F421" i="2"/>
  <c r="H297" i="2"/>
  <c r="H396" i="2"/>
  <c r="I252" i="2"/>
  <c r="I461" i="2"/>
  <c r="F438" i="2"/>
  <c r="H245" i="2"/>
  <c r="H487" i="2"/>
  <c r="N445" i="2"/>
  <c r="G166" i="2"/>
  <c r="G345" i="2"/>
  <c r="L439" i="2"/>
  <c r="M388" i="2"/>
  <c r="G506" i="2"/>
  <c r="M263" i="2"/>
  <c r="G412" i="2"/>
  <c r="L428" i="2"/>
  <c r="N504" i="2"/>
  <c r="N497" i="2"/>
  <c r="G399" i="2"/>
  <c r="N201" i="2"/>
  <c r="M334" i="2"/>
  <c r="M203" i="2"/>
  <c r="G208" i="2"/>
  <c r="M408" i="2"/>
  <c r="M172" i="2"/>
  <c r="G300" i="2"/>
  <c r="L235" i="2"/>
  <c r="N433" i="2"/>
  <c r="L169" i="2"/>
  <c r="G156" i="2"/>
  <c r="G335" i="2"/>
  <c r="M200" i="2"/>
  <c r="N339" i="2"/>
  <c r="G272" i="2"/>
  <c r="M140" i="2"/>
  <c r="L297" i="2"/>
  <c r="L419" i="2"/>
  <c r="G307" i="2"/>
  <c r="M166" i="2"/>
  <c r="L179" i="2"/>
  <c r="G315" i="2"/>
  <c r="N236" i="2"/>
  <c r="N144" i="2"/>
  <c r="G172" i="2"/>
  <c r="L380" i="2"/>
  <c r="L454" i="2"/>
  <c r="M266" i="2"/>
  <c r="M503" i="2"/>
  <c r="G231" i="2"/>
  <c r="M343" i="2"/>
  <c r="N190" i="2"/>
  <c r="G373" i="2"/>
  <c r="N202" i="2"/>
  <c r="M502" i="2"/>
  <c r="M407" i="2"/>
  <c r="G486" i="2"/>
  <c r="M197" i="2"/>
  <c r="N173" i="2"/>
  <c r="G467" i="2"/>
  <c r="L223" i="2"/>
  <c r="M437" i="2"/>
  <c r="G284" i="2"/>
  <c r="M404" i="2"/>
  <c r="G411" i="2"/>
  <c r="N404" i="2"/>
  <c r="N464" i="2"/>
  <c r="M492" i="2"/>
  <c r="G472" i="2"/>
  <c r="N141" i="2"/>
  <c r="L505" i="2"/>
  <c r="M191" i="2"/>
  <c r="N479" i="2"/>
  <c r="G155" i="2"/>
  <c r="N309" i="2"/>
  <c r="N443" i="2"/>
  <c r="L410" i="2"/>
  <c r="G358" i="2"/>
  <c r="I316" i="2"/>
  <c r="F232" i="2"/>
  <c r="H172" i="2"/>
  <c r="I453" i="2"/>
  <c r="I154" i="2"/>
  <c r="F278" i="2"/>
  <c r="H279" i="2"/>
  <c r="I454" i="2"/>
  <c r="I410" i="2"/>
  <c r="F363" i="2"/>
  <c r="F170" i="2"/>
  <c r="F499" i="2"/>
  <c r="H327" i="2"/>
  <c r="I346" i="2"/>
  <c r="H174" i="2"/>
  <c r="H476" i="2"/>
  <c r="H430" i="2"/>
  <c r="I339" i="2"/>
  <c r="F160" i="2"/>
  <c r="F316" i="2"/>
  <c r="F489" i="2"/>
  <c r="H365" i="2"/>
  <c r="I186" i="2"/>
  <c r="G201" i="2"/>
  <c r="M500" i="2"/>
  <c r="N274" i="2"/>
  <c r="N359" i="2"/>
  <c r="M482" i="2"/>
  <c r="G404" i="2"/>
  <c r="L358" i="2"/>
  <c r="N475" i="2"/>
  <c r="M253" i="2"/>
  <c r="G425" i="2"/>
  <c r="M394" i="2"/>
  <c r="L478" i="2"/>
  <c r="M319" i="2"/>
  <c r="M262" i="2"/>
  <c r="L311" i="2"/>
  <c r="G243" i="2"/>
  <c r="G240" i="2"/>
  <c r="G419" i="2"/>
  <c r="M320" i="2"/>
  <c r="L143" i="2"/>
  <c r="N347" i="2"/>
  <c r="G191" i="2"/>
  <c r="M296" i="2"/>
  <c r="G236" i="2"/>
  <c r="G391" i="2"/>
  <c r="N465" i="2"/>
  <c r="M469" i="2"/>
  <c r="G163" i="2"/>
  <c r="M416" i="2"/>
  <c r="L312" i="2"/>
  <c r="M163" i="2"/>
  <c r="L369" i="2"/>
  <c r="L313" i="2"/>
  <c r="M501" i="2"/>
  <c r="G207" i="2"/>
  <c r="M358" i="2"/>
  <c r="N225" i="2"/>
  <c r="G349" i="2"/>
  <c r="N154" i="2"/>
  <c r="M395" i="2"/>
  <c r="M455" i="2"/>
  <c r="L214" i="2"/>
  <c r="L165" i="2"/>
  <c r="M144" i="2"/>
  <c r="N484" i="2"/>
  <c r="G312" i="2"/>
  <c r="N319" i="2"/>
  <c r="M291" i="2"/>
  <c r="G368" i="2"/>
  <c r="N142" i="2"/>
  <c r="N396" i="2"/>
  <c r="G224" i="2"/>
  <c r="G403" i="2"/>
  <c r="L262" i="2"/>
  <c r="N227" i="2"/>
  <c r="M463" i="2"/>
  <c r="L501" i="2"/>
  <c r="M505" i="2"/>
  <c r="L167" i="2"/>
  <c r="G302" i="2"/>
  <c r="L283" i="2"/>
  <c r="N331" i="2"/>
  <c r="N263" i="2"/>
  <c r="N507" i="2"/>
  <c r="G410" i="2"/>
  <c r="L326" i="2"/>
  <c r="L209" i="2"/>
  <c r="G273" i="2"/>
  <c r="M284" i="2"/>
  <c r="L213" i="2"/>
  <c r="G478" i="2"/>
  <c r="N381" i="2"/>
  <c r="E623" i="2"/>
  <c r="I470" i="2"/>
  <c r="H355" i="2"/>
  <c r="F388" i="2"/>
  <c r="I229" i="2"/>
  <c r="H364" i="2"/>
  <c r="F281" i="2"/>
  <c r="F393" i="2"/>
  <c r="F329" i="2"/>
  <c r="H508" i="2"/>
  <c r="F210" i="2"/>
  <c r="H173" i="2"/>
  <c r="I420" i="2"/>
  <c r="K376" i="2"/>
  <c r="H371" i="2"/>
  <c r="I390" i="2"/>
  <c r="F171" i="2"/>
  <c r="H194" i="2"/>
  <c r="I451" i="2"/>
  <c r="I216" i="2"/>
  <c r="I414" i="2"/>
  <c r="F195" i="2"/>
  <c r="F367" i="2"/>
  <c r="H218" i="2"/>
  <c r="H386" i="2"/>
  <c r="I247" i="2"/>
  <c r="G164" i="2"/>
  <c r="G319" i="2"/>
  <c r="M478" i="2"/>
  <c r="L443" i="2"/>
  <c r="N218" i="2"/>
  <c r="G487" i="2"/>
  <c r="L487" i="2"/>
  <c r="L465" i="2"/>
  <c r="N407" i="2"/>
  <c r="M196" i="2"/>
  <c r="G422" i="2"/>
  <c r="M213" i="2"/>
  <c r="M217" i="2"/>
  <c r="G158" i="2"/>
  <c r="G361" i="2"/>
  <c r="G274" i="2"/>
  <c r="M212" i="2"/>
  <c r="N211" i="2"/>
  <c r="M481" i="2"/>
  <c r="G309" i="2"/>
  <c r="L202" i="2"/>
  <c r="G270" i="2"/>
  <c r="M272" i="2"/>
  <c r="N216" i="2"/>
  <c r="G281" i="2"/>
  <c r="M178" i="2"/>
  <c r="M290" i="2"/>
  <c r="L237" i="2"/>
  <c r="N188" i="2"/>
  <c r="L334" i="2"/>
  <c r="N315" i="2"/>
  <c r="G325" i="2"/>
  <c r="N206" i="2"/>
  <c r="N367" i="2"/>
  <c r="M299" i="2"/>
  <c r="M480" i="2"/>
  <c r="G396" i="2"/>
  <c r="M451" i="2"/>
  <c r="M158" i="2"/>
  <c r="N182" i="2"/>
  <c r="G252" i="2"/>
  <c r="G436" i="2"/>
  <c r="N392" i="2"/>
  <c r="H154" i="2"/>
  <c r="G498" i="2"/>
  <c r="G259" i="2"/>
  <c r="L367" i="2"/>
  <c r="N384" i="2"/>
  <c r="M333" i="2"/>
  <c r="M344" i="2"/>
  <c r="M275" i="2"/>
  <c r="G435" i="2"/>
  <c r="L356" i="2"/>
  <c r="G499" i="2"/>
  <c r="L171" i="2"/>
  <c r="G458" i="2"/>
  <c r="M453" i="2"/>
  <c r="M252" i="2"/>
  <c r="G332" i="2"/>
  <c r="N199" i="2"/>
  <c r="M224" i="2"/>
  <c r="G421" i="2"/>
  <c r="N395" i="2"/>
  <c r="N187" i="2"/>
  <c r="N180" i="2"/>
  <c r="I176" i="2"/>
  <c r="I469" i="2"/>
  <c r="G162" i="2"/>
  <c r="F430" i="2"/>
  <c r="I212" i="2"/>
  <c r="D807" i="2"/>
  <c r="F269" i="2"/>
  <c r="I374" i="2"/>
  <c r="H171" i="2"/>
  <c r="I217" i="2"/>
  <c r="H276" i="2"/>
  <c r="F481" i="2"/>
  <c r="I352" i="2"/>
  <c r="I288" i="2"/>
  <c r="F454" i="2"/>
  <c r="H479" i="2"/>
  <c r="F146" i="2"/>
  <c r="H348" i="2"/>
  <c r="I413" i="2"/>
  <c r="H439" i="2"/>
  <c r="I261" i="2"/>
  <c r="F215" i="2"/>
  <c r="H238" i="2"/>
  <c r="I495" i="2"/>
  <c r="F472" i="2"/>
  <c r="I383" i="2"/>
  <c r="F204" i="2"/>
  <c r="F360" i="2"/>
  <c r="H143" i="2"/>
  <c r="H385" i="2"/>
  <c r="I206" i="2"/>
  <c r="I248" i="2"/>
  <c r="F376" i="2"/>
  <c r="G317" i="2"/>
  <c r="M321" i="2"/>
  <c r="G257" i="2"/>
  <c r="G461" i="2"/>
  <c r="M310" i="2"/>
  <c r="N371" i="2"/>
  <c r="L193" i="2"/>
  <c r="N441" i="2"/>
  <c r="L383" i="2"/>
  <c r="M195" i="2"/>
  <c r="G276" i="2"/>
  <c r="N178" i="2"/>
  <c r="G311" i="2"/>
  <c r="N307" i="2"/>
  <c r="L290" i="2"/>
  <c r="G249" i="2"/>
  <c r="N163" i="2"/>
  <c r="N356" i="2"/>
  <c r="M454" i="2"/>
  <c r="M489" i="2"/>
  <c r="G283" i="2"/>
  <c r="N226" i="2"/>
  <c r="G291" i="2"/>
  <c r="L151" i="2"/>
  <c r="N430" i="2"/>
  <c r="G148" i="2"/>
  <c r="G477" i="2"/>
  <c r="M307" i="2"/>
  <c r="L500" i="2"/>
  <c r="N169" i="2"/>
  <c r="G256" i="2"/>
  <c r="M153" i="2"/>
  <c r="M142" i="2"/>
  <c r="L433" i="2"/>
  <c r="G348" i="2"/>
  <c r="M465" i="2"/>
  <c r="M287" i="2"/>
  <c r="N175" i="2"/>
  <c r="G443" i="2"/>
  <c r="F470" i="2"/>
  <c r="F502" i="2"/>
  <c r="I373" i="2"/>
  <c r="N213" i="2"/>
  <c r="L309" i="2"/>
  <c r="L275" i="2"/>
  <c r="M199" i="2"/>
  <c r="G285" i="2"/>
  <c r="G426" i="2"/>
  <c r="G301" i="2"/>
  <c r="G206" i="2"/>
  <c r="G322" i="2"/>
  <c r="M384" i="2"/>
  <c r="G437" i="2"/>
  <c r="N153" i="2"/>
  <c r="G405" i="2"/>
  <c r="M360" i="2"/>
  <c r="M415" i="2"/>
  <c r="G244" i="2"/>
  <c r="G250" i="2"/>
  <c r="L248" i="2"/>
  <c r="L491" i="2"/>
  <c r="L278" i="2"/>
  <c r="G439" i="2"/>
  <c r="M421" i="2"/>
  <c r="G485" i="2"/>
  <c r="N335" i="2"/>
  <c r="M405" i="2"/>
  <c r="M276" i="2"/>
  <c r="M236" i="2"/>
  <c r="G431" i="2"/>
  <c r="L430" i="2"/>
  <c r="G364" i="2"/>
  <c r="G500" i="2"/>
  <c r="N369" i="2"/>
  <c r="M315" i="2"/>
  <c r="G351" i="2"/>
  <c r="G160" i="2"/>
  <c r="G230" i="2"/>
  <c r="M210" i="2"/>
  <c r="N438" i="2"/>
  <c r="L458" i="2"/>
  <c r="J874" i="2"/>
  <c r="E620" i="2"/>
  <c r="J884" i="2"/>
  <c r="E898" i="2"/>
  <c r="F411" i="2"/>
  <c r="I141" i="2"/>
  <c r="L177" i="2"/>
  <c r="N297" i="2"/>
  <c r="G457" i="2"/>
  <c r="G193" i="2"/>
  <c r="G393" i="2"/>
  <c r="G165" i="2"/>
  <c r="G389" i="2"/>
  <c r="G328" i="2"/>
  <c r="M507" i="2"/>
  <c r="N243" i="2"/>
  <c r="L224" i="2"/>
  <c r="N463" i="2"/>
  <c r="L467" i="2"/>
  <c r="N391" i="2"/>
  <c r="G278" i="2"/>
  <c r="M177" i="2"/>
  <c r="M381" i="2"/>
  <c r="M385" i="2"/>
  <c r="L492" i="2"/>
  <c r="G271" i="2"/>
  <c r="N224" i="2"/>
  <c r="G350" i="2"/>
  <c r="L477" i="2"/>
  <c r="M411" i="2"/>
  <c r="N260" i="2"/>
  <c r="N393" i="2"/>
  <c r="G490" i="2"/>
  <c r="N176" i="2"/>
  <c r="M444" i="2"/>
  <c r="L201" i="2"/>
  <c r="N248" i="2"/>
  <c r="L181" i="2"/>
  <c r="M464" i="2"/>
  <c r="G195" i="2"/>
  <c r="M180" i="2"/>
  <c r="N352" i="2"/>
  <c r="N269" i="2"/>
  <c r="D1008" i="2"/>
  <c r="I538" i="2"/>
  <c r="E672" i="2"/>
  <c r="H1003" i="2"/>
  <c r="F897" i="2"/>
  <c r="H501" i="2"/>
  <c r="I322" i="2"/>
  <c r="H361" i="2"/>
  <c r="F482" i="2"/>
  <c r="I501" i="2"/>
  <c r="L431" i="2"/>
  <c r="L249" i="2"/>
  <c r="L226" i="2"/>
  <c r="L271" i="2"/>
  <c r="M440" i="2"/>
  <c r="G480" i="2"/>
  <c r="M368" i="2"/>
  <c r="N477" i="2"/>
  <c r="G290" i="2"/>
  <c r="G505" i="2"/>
  <c r="G346" i="2"/>
  <c r="M278" i="2"/>
  <c r="M189" i="2"/>
  <c r="I475" i="2"/>
  <c r="M259" i="2"/>
  <c r="N468" i="2"/>
  <c r="N487" i="2"/>
  <c r="G386" i="2"/>
  <c r="N416" i="2"/>
  <c r="H201" i="2"/>
  <c r="L286" i="2"/>
  <c r="N235" i="2"/>
  <c r="L495" i="2"/>
  <c r="M359" i="2"/>
  <c r="G452" i="2"/>
  <c r="L361" i="2"/>
  <c r="G507" i="2"/>
  <c r="M430" i="2"/>
  <c r="I237" i="2"/>
  <c r="H214" i="2"/>
  <c r="I422" i="2"/>
  <c r="F218" i="2"/>
  <c r="L481" i="2"/>
  <c r="N242" i="2"/>
  <c r="N300" i="2"/>
  <c r="L178" i="2"/>
  <c r="L141" i="2"/>
  <c r="M175" i="2"/>
  <c r="L343" i="2"/>
  <c r="L163" i="2"/>
  <c r="G409" i="2"/>
  <c r="G503" i="2"/>
  <c r="L373" i="2"/>
  <c r="G471" i="2"/>
  <c r="L352" i="2"/>
  <c r="M468" i="2"/>
  <c r="G173" i="2"/>
  <c r="N420" i="2"/>
  <c r="G137" i="2"/>
  <c r="G221" i="2"/>
  <c r="L160" i="2"/>
  <c r="M373" i="2"/>
  <c r="L482" i="2"/>
  <c r="F174" i="2"/>
  <c r="G150" i="2"/>
  <c r="L489" i="2"/>
  <c r="G147" i="2"/>
  <c r="N385" i="2"/>
  <c r="G474" i="2"/>
  <c r="M152" i="2"/>
  <c r="L204" i="2"/>
  <c r="N440" i="2"/>
  <c r="N152" i="2"/>
  <c r="L371" i="2"/>
  <c r="G194" i="2"/>
  <c r="G449" i="2"/>
  <c r="L417" i="2"/>
  <c r="N156" i="2"/>
  <c r="L325" i="2"/>
  <c r="G145" i="2"/>
  <c r="M173" i="2"/>
  <c r="M162" i="2"/>
  <c r="N495" i="2"/>
  <c r="F719" i="2"/>
  <c r="I812" i="2"/>
  <c r="K718" i="2"/>
  <c r="J719" i="2"/>
  <c r="I955" i="2"/>
  <c r="H244" i="2"/>
  <c r="F275" i="2"/>
  <c r="I404" i="2"/>
  <c r="K424" i="2"/>
  <c r="H489" i="2"/>
  <c r="L370" i="2"/>
  <c r="L406" i="2"/>
  <c r="M295" i="2"/>
  <c r="M429" i="2"/>
  <c r="M392" i="2"/>
  <c r="G476" i="2"/>
  <c r="M487" i="2"/>
  <c r="L463" i="2"/>
  <c r="G372" i="2"/>
  <c r="N451" i="2"/>
  <c r="G200" i="2"/>
  <c r="N452" i="2"/>
  <c r="G387" i="2"/>
  <c r="G394" i="2"/>
  <c r="G424" i="2"/>
  <c r="M254" i="2"/>
  <c r="N164" i="2"/>
  <c r="G279" i="2"/>
  <c r="G268" i="2"/>
  <c r="M151" i="2"/>
  <c r="G185" i="2"/>
  <c r="G265" i="2"/>
  <c r="G151" i="2"/>
  <c r="L188" i="2"/>
  <c r="G170" i="2"/>
  <c r="L266" i="2"/>
  <c r="L175" i="2"/>
  <c r="L229" i="2"/>
  <c r="L357" i="2"/>
  <c r="M229" i="2"/>
  <c r="L337" i="2"/>
  <c r="G229" i="2"/>
  <c r="M393" i="2"/>
  <c r="M397" i="2"/>
  <c r="L279" i="2"/>
  <c r="G432" i="2"/>
  <c r="L189" i="2"/>
  <c r="L245" i="2"/>
  <c r="L210" i="2"/>
  <c r="N207" i="2"/>
  <c r="F862" i="2"/>
  <c r="K883" i="2"/>
  <c r="F681" i="2"/>
  <c r="F694" i="2"/>
  <c r="F708" i="2"/>
  <c r="F451" i="2"/>
  <c r="H459" i="2"/>
  <c r="F279" i="2"/>
  <c r="H262" i="2"/>
  <c r="G388" i="2"/>
  <c r="L292" i="2"/>
  <c r="L253" i="2"/>
  <c r="N313" i="2"/>
  <c r="L146" i="2"/>
  <c r="N337" i="2"/>
  <c r="M271" i="2"/>
  <c r="L324" i="2"/>
  <c r="L404" i="2"/>
  <c r="M194" i="2"/>
  <c r="M188" i="2"/>
  <c r="N431" i="2"/>
  <c r="N453" i="2"/>
  <c r="N286" i="2"/>
  <c r="G463" i="2"/>
  <c r="G459" i="2"/>
  <c r="N277" i="2"/>
  <c r="G418" i="2"/>
  <c r="N259" i="2"/>
  <c r="G334" i="2"/>
  <c r="L158" i="2"/>
  <c r="L236" i="2"/>
  <c r="G303" i="2"/>
  <c r="N296" i="2"/>
  <c r="L442" i="2"/>
  <c r="G269" i="2"/>
  <c r="L216" i="2"/>
  <c r="G205" i="2"/>
  <c r="M382" i="2"/>
  <c r="F167" i="2"/>
  <c r="H318" i="2"/>
  <c r="F185" i="2"/>
  <c r="H444" i="2"/>
  <c r="G450" i="2"/>
  <c r="N503" i="2"/>
  <c r="N159" i="2"/>
  <c r="N432" i="2"/>
  <c r="I188" i="2"/>
  <c r="L493" i="2"/>
  <c r="N283" i="2"/>
  <c r="M372" i="2"/>
  <c r="N357" i="2"/>
  <c r="N189" i="2"/>
  <c r="L192" i="2"/>
  <c r="L411" i="2"/>
  <c r="N214" i="2"/>
  <c r="L432" i="2"/>
  <c r="G489" i="2"/>
  <c r="N481" i="2"/>
  <c r="N457" i="2"/>
  <c r="H368" i="2"/>
  <c r="G446" i="2"/>
  <c r="M182" i="2"/>
  <c r="G323" i="2"/>
  <c r="G330" i="2"/>
  <c r="N442" i="2"/>
  <c r="N349" i="2"/>
  <c r="G171" i="2"/>
  <c r="M325" i="2"/>
  <c r="G203" i="2"/>
  <c r="N403" i="2"/>
  <c r="G406" i="2"/>
  <c r="L394" i="2"/>
  <c r="N200" i="2"/>
  <c r="N282" i="2"/>
  <c r="L424" i="2"/>
  <c r="J944" i="2"/>
  <c r="I1006" i="2"/>
  <c r="D972" i="2"/>
  <c r="I740" i="2"/>
  <c r="J804" i="2"/>
  <c r="H549" i="2"/>
  <c r="N230" i="2"/>
  <c r="L338" i="2"/>
  <c r="M340" i="2"/>
  <c r="L455" i="2"/>
  <c r="K921" i="2"/>
  <c r="K978" i="2"/>
  <c r="F813" i="2"/>
  <c r="F516" i="2"/>
  <c r="K812" i="2"/>
  <c r="I634" i="2"/>
  <c r="N500" i="2"/>
  <c r="L483" i="2"/>
  <c r="N434" i="2"/>
  <c r="M317" i="2"/>
  <c r="K539" i="2"/>
  <c r="J692" i="2"/>
  <c r="J658" i="2"/>
  <c r="I671" i="2"/>
  <c r="J895" i="2"/>
  <c r="J777" i="2"/>
  <c r="M475" i="2"/>
  <c r="L256" i="2"/>
  <c r="N246" i="2"/>
  <c r="H900" i="2"/>
  <c r="G705" i="2"/>
  <c r="G563" i="2"/>
  <c r="G732" i="2"/>
  <c r="K934" i="2"/>
  <c r="F835" i="2"/>
  <c r="N143" i="2"/>
  <c r="L243" i="2"/>
  <c r="M425" i="2"/>
  <c r="L197" i="2"/>
  <c r="I739" i="2"/>
  <c r="K779" i="2"/>
  <c r="M156" i="2"/>
  <c r="L412" i="2"/>
  <c r="N292" i="2"/>
  <c r="L232" i="2"/>
  <c r="L498" i="2"/>
  <c r="K1002" i="2"/>
  <c r="H540" i="2"/>
  <c r="L252" i="2"/>
  <c r="M314" i="2"/>
  <c r="L342" i="2"/>
  <c r="M230" i="2"/>
  <c r="M171" i="2"/>
  <c r="H714" i="2"/>
  <c r="K766" i="2"/>
  <c r="F911" i="2"/>
  <c r="D788" i="2"/>
  <c r="E646" i="2"/>
  <c r="G588" i="2"/>
  <c r="M336" i="2"/>
  <c r="M222" i="2"/>
  <c r="N401" i="2"/>
  <c r="N474" i="2"/>
  <c r="G804" i="2"/>
  <c r="K693" i="2"/>
  <c r="J982" i="2"/>
  <c r="F588" i="2"/>
  <c r="I305" i="2"/>
  <c r="G316" i="2"/>
  <c r="H264" i="2"/>
  <c r="G199" i="2"/>
  <c r="G222" i="2"/>
  <c r="M251" i="2"/>
  <c r="N361" i="2"/>
  <c r="L194" i="2"/>
  <c r="L384" i="2"/>
  <c r="M428" i="2"/>
  <c r="N325" i="2"/>
  <c r="M223" i="2"/>
  <c r="N289" i="2"/>
  <c r="M370" i="2"/>
  <c r="G255" i="2"/>
  <c r="G226" i="2"/>
  <c r="G366" i="2"/>
  <c r="L299" i="2"/>
  <c r="M311" i="2"/>
  <c r="N287" i="2"/>
  <c r="L157" i="2"/>
  <c r="G157" i="2"/>
  <c r="N336" i="2"/>
  <c r="M300" i="2"/>
  <c r="N228" i="2"/>
  <c r="L164" i="2"/>
  <c r="N192" i="2"/>
  <c r="L355" i="2"/>
  <c r="G481" i="2"/>
  <c r="L409" i="2"/>
  <c r="L339" i="2"/>
  <c r="G289" i="2"/>
  <c r="N480" i="2"/>
  <c r="G142" i="2"/>
  <c r="G321" i="2"/>
  <c r="L363" i="2"/>
  <c r="G491" i="2"/>
  <c r="G152" i="2"/>
  <c r="N160" i="2"/>
  <c r="L351" i="2"/>
  <c r="G955" i="2"/>
  <c r="K550" i="2"/>
  <c r="H899" i="2"/>
  <c r="G823" i="2"/>
  <c r="F863" i="2"/>
  <c r="K692" i="2"/>
  <c r="N350" i="2"/>
  <c r="M198" i="2"/>
  <c r="M449" i="2"/>
  <c r="D944" i="2"/>
  <c r="G883" i="2"/>
  <c r="G968" i="2"/>
  <c r="H575" i="2"/>
  <c r="J835" i="2"/>
  <c r="H633" i="2"/>
  <c r="M165" i="2"/>
  <c r="L291" i="2"/>
  <c r="L378" i="2"/>
  <c r="L490" i="2"/>
  <c r="D718" i="2"/>
  <c r="D811" i="2"/>
  <c r="K669" i="2"/>
  <c r="K694" i="2"/>
  <c r="K672" i="2"/>
  <c r="H824" i="2"/>
  <c r="G211" i="2"/>
  <c r="N162" i="2"/>
  <c r="N413" i="2"/>
  <c r="L496" i="2"/>
  <c r="K815" i="2"/>
  <c r="J764" i="2"/>
  <c r="F622" i="2"/>
  <c r="I635" i="2"/>
  <c r="J598" i="2"/>
  <c r="K660" i="2"/>
  <c r="G383" i="2"/>
  <c r="M341" i="2"/>
  <c r="L293" i="2"/>
  <c r="M387" i="2"/>
  <c r="F860" i="2"/>
  <c r="J934" i="2"/>
  <c r="G407" i="2"/>
  <c r="M378" i="2"/>
  <c r="L474" i="2"/>
  <c r="N412" i="2"/>
  <c r="L447" i="2"/>
  <c r="F608" i="2"/>
  <c r="G682" i="2"/>
  <c r="M490" i="2"/>
  <c r="L375" i="2"/>
  <c r="L207" i="2"/>
  <c r="L191" i="2"/>
  <c r="N330" i="2"/>
  <c r="J907" i="2"/>
  <c r="H957" i="2"/>
  <c r="I540" i="2"/>
  <c r="I835" i="2"/>
  <c r="H657" i="2"/>
  <c r="G376" i="2"/>
  <c r="M389" i="2"/>
  <c r="N281" i="2"/>
  <c r="M413" i="2"/>
  <c r="I767" i="2"/>
  <c r="H692" i="2"/>
  <c r="I526" i="2"/>
  <c r="G515" i="2"/>
  <c r="H358" i="2"/>
  <c r="I147" i="2"/>
  <c r="I292" i="2"/>
  <c r="L199" i="2"/>
  <c r="G375" i="2"/>
  <c r="G184" i="2"/>
  <c r="G216" i="2"/>
  <c r="N326" i="2"/>
  <c r="G212" i="2"/>
  <c r="N360" i="2"/>
  <c r="M215" i="2"/>
  <c r="M289" i="2"/>
  <c r="L205" i="2"/>
  <c r="L289" i="2"/>
  <c r="L261" i="2"/>
  <c r="G344" i="2"/>
  <c r="M286" i="2"/>
  <c r="G261" i="2"/>
  <c r="G362" i="2"/>
  <c r="G494" i="2"/>
  <c r="G377" i="2"/>
  <c r="G456" i="2"/>
  <c r="G275" i="2"/>
  <c r="L468" i="2"/>
  <c r="G360" i="2"/>
  <c r="G414" i="2"/>
  <c r="G299" i="2"/>
  <c r="G306" i="2"/>
  <c r="M445" i="2"/>
  <c r="G340" i="2"/>
  <c r="G144" i="2"/>
  <c r="M417" i="2"/>
  <c r="G174" i="2"/>
  <c r="M192" i="2"/>
  <c r="G492" i="2"/>
  <c r="N374" i="2"/>
  <c r="G177" i="2"/>
  <c r="L295" i="2"/>
  <c r="M225" i="2"/>
  <c r="L392" i="2"/>
  <c r="L473" i="2"/>
  <c r="G380" i="2"/>
  <c r="L321" i="2"/>
  <c r="N454" i="2"/>
  <c r="L452" i="2"/>
  <c r="L195" i="2"/>
  <c r="M183" i="2"/>
  <c r="M339" i="2"/>
  <c r="L282" i="2"/>
  <c r="J708" i="2"/>
  <c r="I537" i="2"/>
  <c r="H934" i="2"/>
  <c r="I776" i="2"/>
  <c r="K994" i="2"/>
  <c r="F960" i="2"/>
  <c r="G254" i="2"/>
  <c r="N496" i="2"/>
  <c r="L423" i="2"/>
  <c r="M294" i="2"/>
  <c r="H622" i="2"/>
  <c r="I780" i="2"/>
  <c r="J632" i="2"/>
  <c r="I658" i="2"/>
  <c r="F995" i="2"/>
  <c r="J680" i="2"/>
  <c r="M409" i="2"/>
  <c r="N450" i="2"/>
  <c r="M365" i="2"/>
  <c r="I885" i="2"/>
  <c r="I576" i="2"/>
  <c r="I668" i="2"/>
  <c r="G633" i="2"/>
  <c r="H539" i="2"/>
  <c r="F741" i="2"/>
  <c r="L304" i="2"/>
  <c r="M399" i="2"/>
  <c r="L350" i="2"/>
  <c r="J814" i="2"/>
  <c r="F823" i="2"/>
  <c r="K657" i="2"/>
  <c r="I828" i="2"/>
  <c r="I741" i="2"/>
  <c r="I599" i="2"/>
  <c r="N467" i="2"/>
  <c r="L354" i="2"/>
  <c r="M324" i="2"/>
  <c r="M306" i="2"/>
  <c r="D886" i="2"/>
  <c r="F524" i="2"/>
  <c r="H574" i="2"/>
  <c r="M327" i="2"/>
  <c r="M205" i="2"/>
  <c r="I646" i="2"/>
  <c r="K823" i="2"/>
  <c r="I837" i="2"/>
  <c r="L471" i="2"/>
  <c r="M400" i="2"/>
  <c r="F909" i="2"/>
  <c r="F259" i="2"/>
  <c r="I161" i="2"/>
  <c r="L273" i="2"/>
  <c r="N262" i="2"/>
  <c r="G219" i="2"/>
  <c r="G251" i="2"/>
  <c r="L400" i="2"/>
  <c r="G247" i="2"/>
  <c r="N217" i="2"/>
  <c r="M337" i="2"/>
  <c r="M308" i="2"/>
  <c r="M443" i="2"/>
  <c r="M491" i="2"/>
  <c r="G379" i="2"/>
  <c r="M367" i="2"/>
  <c r="L166" i="2"/>
  <c r="N370" i="2"/>
  <c r="M457" i="2"/>
  <c r="G464" i="2"/>
  <c r="M355" i="2"/>
  <c r="G482" i="2"/>
  <c r="G433" i="2"/>
  <c r="M260" i="2"/>
  <c r="G447" i="2"/>
  <c r="G438" i="2"/>
  <c r="N298" i="2"/>
  <c r="L144" i="2"/>
  <c r="G179" i="2"/>
  <c r="L285" i="2"/>
  <c r="G209" i="2"/>
  <c r="N417" i="2"/>
  <c r="G408" i="2"/>
  <c r="G140" i="2"/>
  <c r="G295" i="2"/>
  <c r="L333" i="2"/>
  <c r="N205" i="2"/>
  <c r="G423" i="2"/>
  <c r="N406" i="2"/>
  <c r="L479" i="2"/>
  <c r="G331" i="2"/>
  <c r="N342" i="2"/>
  <c r="N327" i="2"/>
  <c r="G611" i="2"/>
  <c r="K620" i="2"/>
  <c r="J851" i="2"/>
  <c r="K991" i="2"/>
  <c r="J574" i="2"/>
  <c r="J935" i="2"/>
  <c r="N193" i="2"/>
  <c r="L386" i="2"/>
  <c r="N353" i="2"/>
  <c r="L269" i="2"/>
  <c r="F768" i="2"/>
  <c r="G789" i="2"/>
  <c r="G839" i="2"/>
  <c r="E960" i="2"/>
  <c r="F609" i="2"/>
  <c r="I982" i="2"/>
  <c r="M206" i="2"/>
  <c r="L240" i="2"/>
  <c r="N267" i="2"/>
  <c r="G896" i="2"/>
  <c r="G1006" i="2"/>
  <c r="E912" i="2"/>
  <c r="K704" i="2"/>
  <c r="E636" i="2"/>
  <c r="J908" i="2"/>
  <c r="M285" i="2"/>
  <c r="N222" i="2"/>
  <c r="J849" i="2"/>
  <c r="I995" i="2"/>
  <c r="E574" i="2"/>
  <c r="F887" i="2"/>
  <c r="G776" i="2"/>
  <c r="J634" i="2"/>
  <c r="L310" i="2"/>
  <c r="M267" i="2"/>
  <c r="L450" i="2"/>
  <c r="K562" i="2"/>
  <c r="J948" i="2"/>
  <c r="J621" i="2"/>
  <c r="M403" i="2"/>
  <c r="M220" i="2"/>
  <c r="G813" i="2"/>
  <c r="J696" i="2"/>
  <c r="J860" i="2"/>
  <c r="N429" i="2"/>
  <c r="L258" i="2"/>
  <c r="N221" i="2"/>
  <c r="G525" i="2"/>
  <c r="G863" i="2"/>
  <c r="I608" i="2"/>
  <c r="K621" i="2"/>
  <c r="H958" i="2"/>
  <c r="I996" i="2"/>
  <c r="N244" i="2"/>
  <c r="N402" i="2"/>
  <c r="N377" i="2"/>
  <c r="G729" i="2"/>
  <c r="G875" i="2"/>
  <c r="J596" i="2"/>
  <c r="I480" i="2"/>
  <c r="I447" i="2"/>
  <c r="F180" i="2"/>
  <c r="I436" i="2"/>
  <c r="H442" i="2"/>
  <c r="L247" i="2"/>
  <c r="G378" i="2"/>
  <c r="N161" i="2"/>
  <c r="G242" i="2"/>
  <c r="N455" i="2"/>
  <c r="G214" i="2"/>
  <c r="M374" i="2"/>
  <c r="L190" i="2"/>
  <c r="N253" i="2"/>
  <c r="N181" i="2"/>
  <c r="N276" i="2"/>
  <c r="L476" i="2"/>
  <c r="M391" i="2"/>
  <c r="L251" i="2"/>
  <c r="L187" i="2"/>
  <c r="N194" i="2"/>
  <c r="N247" i="2"/>
  <c r="L372" i="2"/>
  <c r="N409" i="2"/>
  <c r="M332" i="2"/>
  <c r="N308" i="2"/>
  <c r="M439" i="2"/>
  <c r="N146" i="2"/>
  <c r="G297" i="2"/>
  <c r="M441" i="2"/>
  <c r="G327" i="2"/>
  <c r="G495" i="2"/>
  <c r="H321" i="2"/>
  <c r="G175" i="2"/>
  <c r="G427" i="2"/>
  <c r="M479" i="2"/>
  <c r="G198" i="2"/>
  <c r="G354" i="2"/>
  <c r="M248" i="2"/>
  <c r="M357" i="2"/>
  <c r="N493" i="2"/>
  <c r="M157" i="2"/>
  <c r="N291" i="2"/>
  <c r="M258" i="2"/>
  <c r="M508" i="2"/>
  <c r="I670" i="2"/>
  <c r="G715" i="2"/>
  <c r="I562" i="2"/>
  <c r="H864" i="2"/>
  <c r="K573" i="2"/>
  <c r="D874" i="2"/>
  <c r="G497" i="2"/>
  <c r="N302" i="2"/>
  <c r="M269" i="2"/>
  <c r="L425" i="2"/>
  <c r="K827" i="2"/>
  <c r="H944" i="2"/>
  <c r="J910" i="2"/>
  <c r="I959" i="2"/>
  <c r="H620" i="2"/>
  <c r="G538" i="2"/>
  <c r="N394" i="2"/>
  <c r="N254" i="2"/>
  <c r="N279" i="2"/>
  <c r="N198" i="2"/>
  <c r="M424" i="2"/>
  <c r="K943" i="2"/>
  <c r="G993" i="2"/>
  <c r="G851" i="2"/>
  <c r="F972" i="2"/>
  <c r="K683" i="2"/>
  <c r="K572" i="2"/>
  <c r="N435" i="2"/>
  <c r="L470" i="2"/>
  <c r="L147" i="2"/>
  <c r="N462" i="2"/>
  <c r="F884" i="2"/>
  <c r="J972" i="2"/>
  <c r="K800" i="2"/>
  <c r="F1006" i="2"/>
  <c r="G811" i="2"/>
  <c r="G561" i="2"/>
  <c r="L260" i="2"/>
  <c r="N470" i="2"/>
  <c r="L436" i="2"/>
  <c r="H717" i="2"/>
  <c r="H959" i="2"/>
  <c r="G644" i="2"/>
  <c r="N405" i="2"/>
  <c r="L222" i="2"/>
  <c r="N482" i="2"/>
  <c r="I968" i="2"/>
  <c r="H671" i="2"/>
  <c r="G895" i="2"/>
  <c r="N502" i="2"/>
  <c r="L270" i="2"/>
  <c r="L435" i="2"/>
  <c r="F716" i="2"/>
  <c r="F239" i="2"/>
  <c r="N288" i="2"/>
  <c r="L300" i="2"/>
  <c r="G293" i="2"/>
  <c r="G233" i="2"/>
  <c r="L366" i="2"/>
  <c r="G717" i="2"/>
  <c r="G933" i="2"/>
  <c r="M312" i="2"/>
  <c r="M193" i="2"/>
  <c r="J970" i="2"/>
  <c r="D800" i="2"/>
  <c r="G564" i="2"/>
  <c r="J552" i="2"/>
  <c r="M265" i="2"/>
  <c r="F528" i="2"/>
  <c r="K907" i="2"/>
  <c r="G560" i="2"/>
  <c r="G288" i="2"/>
  <c r="M474" i="2"/>
  <c r="L219" i="2"/>
  <c r="J776" i="2"/>
  <c r="F1003" i="2"/>
  <c r="F814" i="2"/>
  <c r="G305" i="2"/>
  <c r="M184" i="2"/>
  <c r="L348" i="2"/>
  <c r="F562" i="2"/>
  <c r="M208" i="2"/>
  <c r="L305" i="2"/>
  <c r="G778" i="2"/>
  <c r="G352" i="2"/>
  <c r="N375" i="2"/>
  <c r="J527" i="2"/>
  <c r="J706" i="2"/>
  <c r="G620" i="2"/>
  <c r="G669" i="2"/>
  <c r="F812" i="2"/>
  <c r="M232" i="2"/>
  <c r="L376" i="2"/>
  <c r="F788" i="2"/>
  <c r="H514" i="2"/>
  <c r="K860" i="2"/>
  <c r="H788" i="2"/>
  <c r="E780" i="2"/>
  <c r="L438" i="2"/>
  <c r="N305" i="2"/>
  <c r="L221" i="2"/>
  <c r="H816" i="2"/>
  <c r="K681" i="2"/>
  <c r="F684" i="2"/>
  <c r="H597" i="2"/>
  <c r="I623" i="2"/>
  <c r="H811" i="2"/>
  <c r="N149" i="2"/>
  <c r="N290" i="2"/>
  <c r="D835" i="2"/>
  <c r="I598" i="2"/>
  <c r="I1007" i="2"/>
  <c r="J859" i="2"/>
  <c r="H681" i="2"/>
  <c r="I587" i="2"/>
  <c r="N139" i="2"/>
  <c r="M375" i="2"/>
  <c r="M281" i="2"/>
  <c r="L328" i="2"/>
  <c r="M401" i="2"/>
  <c r="D991" i="2"/>
  <c r="J586" i="2"/>
  <c r="I971" i="2"/>
  <c r="F789" i="2"/>
  <c r="H576" i="2"/>
  <c r="K752" i="2"/>
  <c r="L397" i="2"/>
  <c r="N231" i="2"/>
  <c r="L390" i="2"/>
  <c r="I282" i="2"/>
  <c r="N195" i="2"/>
  <c r="N444" i="2"/>
  <c r="M309" i="2"/>
  <c r="G313" i="2"/>
  <c r="N186" i="2"/>
  <c r="F780" i="2"/>
  <c r="H921" i="2"/>
  <c r="L364" i="2"/>
  <c r="K622" i="2"/>
  <c r="E883" i="2"/>
  <c r="G792" i="2"/>
  <c r="G645" i="2"/>
  <c r="L327" i="2"/>
  <c r="K560" i="2"/>
  <c r="F720" i="2"/>
  <c r="I792" i="2"/>
  <c r="J967" i="2"/>
  <c r="J888" i="2"/>
  <c r="J779" i="2"/>
  <c r="M467" i="2"/>
  <c r="L228" i="2"/>
  <c r="L172" i="2"/>
  <c r="I561" i="2"/>
  <c r="G329" i="2"/>
  <c r="N210" i="2"/>
  <c r="M497" i="2"/>
  <c r="H801" i="2"/>
  <c r="M301" i="2"/>
  <c r="M506" i="2"/>
  <c r="J526" i="2"/>
  <c r="J587" i="2"/>
  <c r="H876" i="2"/>
  <c r="F836" i="2"/>
  <c r="F847" i="2"/>
  <c r="L472" i="2"/>
  <c r="N485" i="2"/>
  <c r="N508" i="2"/>
  <c r="H847" i="2"/>
  <c r="H669" i="2"/>
  <c r="F871" i="2"/>
  <c r="F765" i="2"/>
  <c r="F839" i="2"/>
  <c r="G357" i="2"/>
  <c r="M219" i="2"/>
  <c r="N233" i="2"/>
  <c r="L441" i="2"/>
  <c r="N368" i="2"/>
  <c r="L284" i="2"/>
  <c r="N323" i="2"/>
  <c r="H705" i="2"/>
  <c r="H932" i="2"/>
  <c r="L255" i="2"/>
  <c r="N447" i="2"/>
  <c r="J669" i="2"/>
  <c r="K957" i="2"/>
  <c r="D524" i="2"/>
  <c r="K824" i="2"/>
  <c r="M446" i="2"/>
  <c r="N461" i="2"/>
  <c r="I852" i="2"/>
  <c r="I923" i="2"/>
  <c r="F707" i="2"/>
  <c r="L274" i="2"/>
  <c r="N306" i="2"/>
  <c r="M461" i="2"/>
  <c r="K780" i="2"/>
  <c r="H887" i="2"/>
  <c r="K959" i="2"/>
  <c r="L462" i="2"/>
  <c r="M496" i="2"/>
  <c r="D632" i="2"/>
  <c r="M305" i="2"/>
  <c r="F824" i="2"/>
  <c r="M363" i="2"/>
  <c r="M376" i="2"/>
  <c r="H513" i="2"/>
  <c r="I549" i="2"/>
  <c r="G803" i="2"/>
  <c r="K967" i="2"/>
  <c r="M143" i="2"/>
  <c r="J588" i="2"/>
  <c r="H800" i="2"/>
  <c r="I586" i="2"/>
  <c r="D920" i="2"/>
  <c r="G970" i="2"/>
  <c r="M242" i="2"/>
  <c r="N365" i="2"/>
  <c r="L341" i="2"/>
  <c r="N212" i="2"/>
  <c r="G370" i="2"/>
  <c r="G416" i="2"/>
  <c r="G382" i="2"/>
  <c r="L176" i="2"/>
  <c r="G470" i="2"/>
  <c r="M235" i="2"/>
  <c r="M280" i="2"/>
  <c r="H863" i="2"/>
  <c r="M326" i="2"/>
  <c r="M147" i="2"/>
  <c r="G692" i="2"/>
  <c r="K920" i="2"/>
  <c r="G972" i="2"/>
  <c r="J943" i="2"/>
  <c r="N138" i="2"/>
  <c r="M330" i="2"/>
  <c r="H690" i="2"/>
  <c r="I823" i="2"/>
  <c r="J730" i="2"/>
  <c r="L220" i="2"/>
  <c r="M498" i="2"/>
  <c r="I743" i="2"/>
  <c r="G922" i="2"/>
  <c r="E934" i="2"/>
  <c r="G204" i="2"/>
  <c r="L444" i="2"/>
  <c r="L398" i="2"/>
  <c r="F982" i="2"/>
  <c r="M187" i="2"/>
  <c r="N234" i="2"/>
  <c r="G907" i="2"/>
  <c r="N220" i="2"/>
  <c r="M329" i="2"/>
  <c r="F572" i="2"/>
  <c r="K864" i="2"/>
  <c r="K838" i="2"/>
  <c r="D732" i="2"/>
  <c r="L374" i="2"/>
  <c r="L198" i="2"/>
  <c r="N150" i="2"/>
  <c r="J953" i="2"/>
  <c r="I859" i="2"/>
  <c r="J515" i="2"/>
  <c r="F584" i="2"/>
  <c r="G550" i="2"/>
  <c r="M176" i="2"/>
  <c r="L174" i="2"/>
  <c r="N147" i="2"/>
  <c r="N328" i="2"/>
  <c r="L449" i="2"/>
  <c r="H660" i="2"/>
  <c r="F920" i="2"/>
  <c r="E526" i="2"/>
  <c r="J983" i="2"/>
  <c r="D656" i="2"/>
  <c r="G455" i="2"/>
  <c r="M347" i="2"/>
  <c r="M268" i="2"/>
  <c r="L227" i="2"/>
  <c r="E754" i="2"/>
  <c r="I900" i="2"/>
  <c r="F992" i="2"/>
  <c r="K526" i="2"/>
  <c r="H764" i="2"/>
  <c r="H826" i="2"/>
  <c r="L345" i="2"/>
  <c r="L506" i="2"/>
  <c r="L459" i="2"/>
  <c r="M209" i="2"/>
  <c r="L497" i="2"/>
  <c r="F730" i="2"/>
  <c r="F573" i="2"/>
  <c r="H730" i="2"/>
  <c r="I948" i="2"/>
  <c r="F585" i="2"/>
  <c r="K922" i="2"/>
  <c r="N241" i="2"/>
  <c r="N294" i="2"/>
  <c r="L287" i="2"/>
  <c r="G599" i="2"/>
  <c r="K632" i="2"/>
  <c r="F969" i="2"/>
  <c r="J946" i="2"/>
  <c r="K960" i="2"/>
  <c r="J994" i="2"/>
  <c r="J837" i="2"/>
  <c r="J788" i="2"/>
  <c r="K634" i="2"/>
  <c r="H995" i="2"/>
  <c r="K679" i="2"/>
  <c r="I615" i="2"/>
  <c r="I797" i="2"/>
  <c r="F734" i="2"/>
  <c r="K844" i="2"/>
  <c r="G858" i="2"/>
  <c r="K627" i="2"/>
  <c r="I876" i="2"/>
  <c r="K801" i="2"/>
  <c r="H967" i="2"/>
  <c r="H719" i="2"/>
  <c r="J518" i="2"/>
  <c r="J916" i="2"/>
  <c r="E655" i="2"/>
  <c r="K736" i="2"/>
  <c r="I642" i="2"/>
  <c r="H987" i="2"/>
  <c r="G881" i="2"/>
  <c r="F527" i="2"/>
  <c r="D895" i="2"/>
  <c r="K765" i="2"/>
  <c r="K792" i="2"/>
  <c r="H520" i="2"/>
  <c r="F714" i="2"/>
  <c r="K617" i="2"/>
  <c r="G523" i="2"/>
  <c r="G651" i="2"/>
  <c r="H665" i="2"/>
  <c r="J584" i="2"/>
  <c r="M352" i="2"/>
  <c r="N203" i="2"/>
  <c r="L407" i="2"/>
  <c r="M369" i="2"/>
  <c r="L265" i="2"/>
  <c r="L418" i="2"/>
  <c r="G442" i="2"/>
  <c r="G684" i="2"/>
  <c r="H872" i="2"/>
  <c r="N285" i="2"/>
  <c r="L294" i="2"/>
  <c r="N400" i="2"/>
  <c r="J924" i="2"/>
  <c r="H955" i="2"/>
  <c r="F912" i="2"/>
  <c r="G720" i="2"/>
  <c r="M293" i="2"/>
  <c r="L408" i="2"/>
  <c r="J923" i="2"/>
  <c r="H888" i="2"/>
  <c r="J720" i="2"/>
  <c r="F900" i="2"/>
  <c r="L344" i="2"/>
  <c r="L507" i="2"/>
  <c r="I754" i="2"/>
  <c r="F921" i="2"/>
  <c r="I993" i="2"/>
  <c r="N157" i="2"/>
  <c r="F993" i="2"/>
  <c r="G228" i="2"/>
  <c r="M282" i="2"/>
  <c r="G742" i="2"/>
  <c r="M356" i="2"/>
  <c r="M328" i="2"/>
  <c r="M390" i="2"/>
  <c r="K876" i="2"/>
  <c r="K767" i="2"/>
  <c r="J803" i="2"/>
  <c r="J671" i="2"/>
  <c r="N501" i="2"/>
  <c r="M414" i="2"/>
  <c r="M255" i="2"/>
  <c r="N422" i="2"/>
  <c r="K912" i="2"/>
  <c r="J516" i="2"/>
  <c r="F706" i="2"/>
  <c r="H924" i="2"/>
  <c r="K549" i="2"/>
  <c r="N351" i="2"/>
  <c r="N219" i="2"/>
  <c r="G395" i="2"/>
  <c r="G286" i="2"/>
  <c r="G168" i="2"/>
  <c r="M168" i="2"/>
  <c r="M167" i="2"/>
  <c r="J957" i="2"/>
  <c r="I611" i="2"/>
  <c r="G176" i="2"/>
  <c r="N389" i="2"/>
  <c r="F851" i="2"/>
  <c r="F732" i="2"/>
  <c r="H827" i="2"/>
  <c r="J647" i="2"/>
  <c r="N471" i="2"/>
  <c r="L461" i="2"/>
  <c r="J672" i="2"/>
  <c r="F959" i="2"/>
  <c r="G767" i="2"/>
  <c r="I887" i="2"/>
  <c r="N275" i="2"/>
  <c r="M495" i="2"/>
  <c r="J635" i="2"/>
  <c r="F636" i="2"/>
  <c r="K896" i="2"/>
  <c r="H528" i="2"/>
  <c r="M204" i="2"/>
  <c r="M256" i="2"/>
  <c r="L401" i="2"/>
  <c r="J956" i="2"/>
  <c r="L239" i="2"/>
  <c r="N255" i="2"/>
  <c r="F705" i="2"/>
  <c r="G239" i="2"/>
  <c r="M257" i="2"/>
  <c r="K804" i="2"/>
  <c r="F778" i="2"/>
  <c r="D946" i="2"/>
  <c r="F704" i="2"/>
  <c r="G263" i="2"/>
  <c r="M270" i="2"/>
  <c r="M473" i="2"/>
  <c r="L168" i="2"/>
  <c r="F983" i="2"/>
  <c r="I513" i="2"/>
  <c r="H885" i="2"/>
  <c r="I911" i="2"/>
  <c r="H560" i="2"/>
  <c r="N148" i="2"/>
  <c r="L150" i="2"/>
  <c r="G167" i="2"/>
  <c r="M313" i="2"/>
  <c r="N345" i="2"/>
  <c r="M249" i="2"/>
  <c r="N333" i="2"/>
  <c r="M137" i="2"/>
  <c r="K705" i="2"/>
  <c r="I584" i="2"/>
  <c r="M155" i="2"/>
  <c r="N376" i="2"/>
  <c r="D850" i="2"/>
  <c r="H611" i="2"/>
  <c r="G888" i="2"/>
  <c r="G187" i="2"/>
  <c r="L246" i="2"/>
  <c r="F563" i="2"/>
  <c r="G551" i="2"/>
  <c r="D838" i="2"/>
  <c r="K886" i="2"/>
  <c r="N383" i="2"/>
  <c r="E802" i="2"/>
  <c r="F671" i="2"/>
  <c r="K979" i="2"/>
  <c r="H572" i="2"/>
  <c r="F512" i="2"/>
  <c r="N338" i="2"/>
  <c r="L317" i="2"/>
  <c r="J704" i="2"/>
  <c r="N158" i="2"/>
  <c r="N183" i="2"/>
  <c r="L484" i="2"/>
  <c r="F922" i="2"/>
  <c r="I801" i="2"/>
  <c r="I622" i="2"/>
  <c r="K858" i="2"/>
  <c r="N229" i="2"/>
  <c r="N316" i="2"/>
  <c r="G575" i="2"/>
  <c r="F691" i="2"/>
  <c r="F980" i="2"/>
  <c r="F898" i="2"/>
  <c r="F816" i="2"/>
  <c r="N498" i="2"/>
  <c r="M318" i="2"/>
  <c r="L242" i="2"/>
  <c r="K972" i="2"/>
  <c r="K933" i="2"/>
  <c r="J767" i="2"/>
  <c r="J840" i="2"/>
  <c r="E968" i="2"/>
  <c r="D864" i="2"/>
  <c r="G202" i="2"/>
  <c r="M234" i="2"/>
  <c r="N411" i="2"/>
  <c r="J811" i="2"/>
  <c r="K897" i="2"/>
  <c r="K666" i="2"/>
  <c r="G693" i="2"/>
  <c r="H839" i="2"/>
  <c r="E536" i="2"/>
  <c r="G314" i="2"/>
  <c r="N341" i="2"/>
  <c r="L280" i="2"/>
  <c r="K931" i="2"/>
  <c r="H706" i="2"/>
  <c r="I756" i="2"/>
  <c r="F560" i="2"/>
  <c r="G897" i="2"/>
  <c r="H803" i="2"/>
  <c r="L183" i="2"/>
  <c r="L446" i="2"/>
  <c r="N386" i="2"/>
  <c r="L330" i="2"/>
  <c r="M483" i="2"/>
  <c r="I704" i="2"/>
  <c r="E790" i="2"/>
  <c r="J768" i="2"/>
  <c r="E548" i="2"/>
  <c r="I696" i="2"/>
  <c r="K944" i="2"/>
  <c r="G943" i="2"/>
  <c r="F994" i="2"/>
  <c r="H799" i="2"/>
  <c r="F984" i="2"/>
  <c r="F759" i="2"/>
  <c r="E624" i="2"/>
  <c r="K567" i="2"/>
  <c r="F869" i="2"/>
  <c r="H578" i="2"/>
  <c r="H584" i="2"/>
  <c r="J655" i="2"/>
  <c r="G768" i="2"/>
  <c r="D660" i="2"/>
  <c r="D982" i="2"/>
  <c r="H752" i="2"/>
  <c r="D677" i="2"/>
  <c r="H650" i="2"/>
  <c r="F647" i="2"/>
  <c r="K986" i="2"/>
  <c r="G916" i="2"/>
  <c r="I846" i="2"/>
  <c r="H851" i="2"/>
  <c r="H776" i="2"/>
  <c r="G367" i="2"/>
  <c r="M410" i="2"/>
  <c r="L142" i="2"/>
  <c r="L152" i="2"/>
  <c r="L346" i="2"/>
  <c r="M245" i="2"/>
  <c r="H693" i="2"/>
  <c r="K840" i="2"/>
  <c r="G355" i="2"/>
  <c r="N171" i="2"/>
  <c r="E560" i="2"/>
  <c r="I682" i="2"/>
  <c r="K971" i="2"/>
  <c r="N505" i="2"/>
  <c r="M185" i="2"/>
  <c r="M136" i="2"/>
  <c r="I610" i="2"/>
  <c r="H874" i="2"/>
  <c r="K885" i="2"/>
  <c r="G849" i="2"/>
  <c r="N494" i="2"/>
  <c r="N340" i="2"/>
  <c r="H1005" i="2"/>
  <c r="I826" i="2"/>
  <c r="K598" i="2"/>
  <c r="I992" i="2"/>
  <c r="M377" i="2"/>
  <c r="N410" i="2"/>
  <c r="F792" i="2"/>
  <c r="L145" i="2"/>
  <c r="N303" i="2"/>
  <c r="M353" i="2"/>
  <c r="H996" i="2"/>
  <c r="L494" i="2"/>
  <c r="K981" i="2"/>
  <c r="I848" i="2"/>
  <c r="I765" i="2"/>
  <c r="E668" i="2"/>
  <c r="L415" i="2"/>
  <c r="H682" i="2"/>
  <c r="J936" i="2"/>
  <c r="K548" i="2"/>
  <c r="G873" i="2"/>
  <c r="G731" i="2"/>
  <c r="L301" i="2"/>
  <c r="L137" i="2"/>
  <c r="L244" i="2"/>
  <c r="H983" i="2"/>
  <c r="I920" i="2"/>
  <c r="D730" i="2"/>
  <c r="F755" i="2"/>
  <c r="I536" i="2"/>
  <c r="K947" i="2"/>
  <c r="L329" i="2"/>
  <c r="M398" i="2"/>
  <c r="L233" i="2"/>
  <c r="M149" i="2"/>
  <c r="H947" i="2"/>
  <c r="K932" i="2"/>
  <c r="J827" i="2"/>
  <c r="H860" i="2"/>
  <c r="J886" i="2"/>
  <c r="H780" i="2"/>
  <c r="N415" i="2"/>
  <c r="M386" i="2"/>
  <c r="N388" i="2"/>
  <c r="M316" i="2"/>
  <c r="J828" i="2"/>
  <c r="I861" i="2"/>
  <c r="I719" i="2"/>
  <c r="J816" i="2"/>
  <c r="G932" i="2"/>
  <c r="G850" i="2"/>
  <c r="L272" i="2"/>
  <c r="N318" i="2"/>
  <c r="L323" i="2"/>
  <c r="L365" i="2"/>
  <c r="G960" i="2"/>
  <c r="J825" i="2"/>
  <c r="I683" i="2"/>
  <c r="I528" i="2"/>
  <c r="G743" i="2"/>
  <c r="I1003" i="2"/>
  <c r="D907" i="2"/>
  <c r="J562" i="2"/>
  <c r="G680" i="2"/>
  <c r="H1007" i="2"/>
  <c r="F806" i="2"/>
  <c r="I665" i="2"/>
  <c r="F650" i="2"/>
  <c r="E852" i="2"/>
  <c r="K930" i="2"/>
  <c r="H784" i="2"/>
  <c r="G654" i="2"/>
  <c r="F815" i="2"/>
  <c r="E644" i="2"/>
  <c r="H550" i="2"/>
  <c r="D823" i="2"/>
  <c r="K808" i="2"/>
  <c r="I1002" i="2"/>
  <c r="J869" i="2"/>
  <c r="H775" i="2"/>
  <c r="G915" i="2"/>
  <c r="F917" i="2"/>
  <c r="I836" i="2"/>
  <c r="D996" i="2"/>
  <c r="G139" i="2"/>
  <c r="N191" i="2"/>
  <c r="N168" i="2"/>
  <c r="G136" i="2"/>
  <c r="G347" i="2"/>
  <c r="M207" i="2"/>
  <c r="K636" i="2"/>
  <c r="G755" i="2"/>
  <c r="N437" i="2"/>
  <c r="N414" i="2"/>
  <c r="H840" i="2"/>
  <c r="J563" i="2"/>
  <c r="F575" i="2"/>
  <c r="L140" i="2"/>
  <c r="N460" i="2"/>
  <c r="J633" i="2"/>
  <c r="K945" i="2"/>
  <c r="E848" i="2"/>
  <c r="J896" i="2"/>
  <c r="L359" i="2"/>
  <c r="N366" i="2"/>
  <c r="I597" i="2"/>
  <c r="K909" i="2"/>
  <c r="K597" i="2"/>
  <c r="I656" i="2"/>
  <c r="M233" i="2"/>
  <c r="N436" i="2"/>
  <c r="G836" i="2"/>
  <c r="I707" i="2"/>
  <c r="N483" i="2"/>
  <c r="H923" i="2"/>
  <c r="N424" i="2"/>
  <c r="E932" i="2"/>
  <c r="I931" i="2"/>
  <c r="K983" i="2"/>
  <c r="H684" i="2"/>
  <c r="N197" i="2"/>
  <c r="L208" i="2"/>
  <c r="F621" i="2"/>
  <c r="G936" i="2"/>
  <c r="F576" i="2"/>
  <c r="E792" i="2"/>
  <c r="F908" i="2"/>
  <c r="G466" i="2"/>
  <c r="N266" i="2"/>
  <c r="L159" i="2"/>
  <c r="M458" i="2"/>
  <c r="N364" i="2"/>
  <c r="J1006" i="2"/>
  <c r="D931" i="2"/>
  <c r="H753" i="2"/>
  <c r="H778" i="2"/>
  <c r="D1004" i="2"/>
  <c r="F551" i="2"/>
  <c r="G381" i="2"/>
  <c r="M148" i="2"/>
  <c r="M422" i="2"/>
  <c r="N472" i="2"/>
  <c r="E970" i="2"/>
  <c r="F861" i="2"/>
  <c r="H970" i="2"/>
  <c r="F979" i="2"/>
  <c r="F873" i="2"/>
  <c r="F683" i="2"/>
  <c r="M228" i="2"/>
  <c r="L186" i="2"/>
  <c r="L156" i="2"/>
  <c r="N448" i="2"/>
  <c r="G887" i="2"/>
  <c r="E872" i="2"/>
  <c r="H742" i="2"/>
  <c r="K719" i="2"/>
  <c r="G991" i="2"/>
  <c r="J755" i="2"/>
  <c r="G237" i="2"/>
  <c r="N245" i="2"/>
  <c r="N425" i="2"/>
  <c r="M434" i="2"/>
  <c r="G899" i="2"/>
  <c r="K872" i="2"/>
  <c r="H708" i="2"/>
  <c r="I692" i="2"/>
  <c r="J826" i="2"/>
  <c r="K756" i="2"/>
  <c r="H972" i="2"/>
  <c r="K958" i="2"/>
  <c r="H883" i="2"/>
  <c r="D708" i="2"/>
  <c r="G703" i="2"/>
  <c r="I784" i="2"/>
  <c r="I535" i="2"/>
  <c r="J520" i="2"/>
  <c r="I897" i="2"/>
  <c r="J771" i="2"/>
  <c r="F515" i="2"/>
  <c r="G946" i="2"/>
  <c r="I924" i="2"/>
  <c r="K1004" i="2"/>
  <c r="H971" i="2"/>
  <c r="J819" i="2"/>
  <c r="E804" i="2"/>
  <c r="F916" i="2"/>
  <c r="K798" i="2"/>
  <c r="G974" i="2"/>
  <c r="G557" i="2"/>
  <c r="K682" i="2"/>
  <c r="F947" i="2"/>
  <c r="H437" i="2"/>
  <c r="G496" i="2"/>
  <c r="N322" i="2"/>
  <c r="L200" i="2"/>
  <c r="F209" i="2"/>
  <c r="L259" i="2"/>
  <c r="M471" i="2"/>
  <c r="K596" i="2"/>
  <c r="J790" i="2"/>
  <c r="N299" i="2"/>
  <c r="N174" i="2"/>
  <c r="N314" i="2"/>
  <c r="J791" i="2"/>
  <c r="I946" i="2"/>
  <c r="K742" i="2"/>
  <c r="N458" i="2"/>
  <c r="L414" i="2"/>
  <c r="M354" i="2"/>
  <c r="H704" i="2"/>
  <c r="F826" i="2"/>
  <c r="J850" i="2"/>
  <c r="J955" i="2"/>
  <c r="N170" i="2"/>
  <c r="F644" i="2"/>
  <c r="H896" i="2"/>
  <c r="D596" i="2"/>
  <c r="I644" i="2"/>
  <c r="M366" i="2"/>
  <c r="N399" i="2"/>
  <c r="F895" i="2"/>
  <c r="D720" i="2"/>
  <c r="N270" i="2"/>
  <c r="M462" i="2"/>
  <c r="G584" i="2"/>
  <c r="I958" i="2"/>
  <c r="L434" i="2"/>
  <c r="M244" i="2"/>
  <c r="J979" i="2"/>
  <c r="I824" i="2"/>
  <c r="F552" i="2"/>
  <c r="G719" i="2"/>
  <c r="L502" i="2"/>
  <c r="M450" i="2"/>
  <c r="M447" i="2"/>
  <c r="F800" i="2"/>
  <c r="K898" i="2"/>
  <c r="F623" i="2"/>
  <c r="K695" i="2"/>
  <c r="D967" i="2"/>
  <c r="L422" i="2"/>
  <c r="L486" i="2"/>
  <c r="L267" i="2"/>
  <c r="H526" i="2"/>
  <c r="E684" i="2"/>
  <c r="G788" i="2"/>
  <c r="I825" i="2"/>
  <c r="H680" i="2"/>
  <c r="I718" i="2"/>
  <c r="M419" i="2"/>
  <c r="N378" i="2"/>
  <c r="M342" i="2"/>
  <c r="L211" i="2"/>
  <c r="M160" i="2"/>
  <c r="J744" i="2"/>
  <c r="F1004" i="2"/>
  <c r="E634" i="2"/>
  <c r="J756" i="2"/>
  <c r="F848" i="2"/>
  <c r="D706" i="2"/>
  <c r="M431" i="2"/>
  <c r="N446" i="2"/>
  <c r="L385" i="2"/>
  <c r="H946" i="2"/>
  <c r="J919" i="2"/>
  <c r="G681" i="2"/>
  <c r="I730" i="2"/>
  <c r="K768" i="2"/>
  <c r="H910" i="2"/>
  <c r="M216" i="2"/>
  <c r="M470" i="2"/>
  <c r="L347" i="2"/>
  <c r="M231" i="2"/>
  <c r="L315" i="2"/>
  <c r="H294" i="2"/>
  <c r="G183" i="2"/>
  <c r="M239" i="2"/>
  <c r="N492" i="2"/>
  <c r="N355" i="2"/>
  <c r="G374" i="2"/>
  <c r="M472" i="2"/>
  <c r="N208" i="2"/>
  <c r="H647" i="2"/>
  <c r="K849" i="2"/>
  <c r="M288" i="2"/>
  <c r="L437" i="2"/>
  <c r="M161" i="2"/>
  <c r="J754" i="2"/>
  <c r="G921" i="2"/>
  <c r="J813" i="2"/>
  <c r="L162" i="2"/>
  <c r="M435" i="2"/>
  <c r="F885" i="2"/>
  <c r="F525" i="2"/>
  <c r="D792" i="2"/>
  <c r="M351" i="2"/>
  <c r="M484" i="2"/>
  <c r="N423" i="2"/>
  <c r="G967" i="2"/>
  <c r="I919" i="2"/>
  <c r="F852" i="2"/>
  <c r="N184" i="2"/>
  <c r="L460" i="2"/>
  <c r="F648" i="2"/>
  <c r="G876" i="2"/>
  <c r="L136" i="2"/>
  <c r="J864" i="2"/>
  <c r="J875" i="2"/>
  <c r="L303" i="2"/>
  <c r="M438" i="2"/>
  <c r="G835" i="2"/>
  <c r="H756" i="2"/>
  <c r="K852" i="2"/>
  <c r="J513" i="2"/>
  <c r="K802" i="2"/>
  <c r="N280" i="2"/>
  <c r="D979" i="2"/>
  <c r="K969" i="2"/>
  <c r="E778" i="2"/>
  <c r="H718" i="2"/>
  <c r="I744" i="2"/>
  <c r="M488" i="2"/>
  <c r="L234" i="2"/>
  <c r="G980" i="2"/>
  <c r="G587" i="2"/>
  <c r="K871" i="2"/>
  <c r="F790" i="2"/>
  <c r="G859" i="2"/>
  <c r="J789" i="2"/>
  <c r="M237" i="2"/>
  <c r="L268" i="2"/>
  <c r="M349" i="2"/>
  <c r="N329" i="2"/>
  <c r="M486" i="2"/>
  <c r="K803" i="2"/>
  <c r="F668" i="2"/>
  <c r="I789" i="2"/>
  <c r="J695" i="2"/>
  <c r="G931" i="2"/>
  <c r="N397" i="2"/>
  <c r="N293" i="2"/>
  <c r="L173" i="2"/>
  <c r="M174" i="2"/>
  <c r="K1005" i="2"/>
  <c r="G648" i="2"/>
  <c r="D740" i="2"/>
  <c r="I753" i="2"/>
  <c r="I512" i="2"/>
  <c r="G574" i="2"/>
  <c r="N418" i="2"/>
  <c r="M159" i="2"/>
  <c r="K993" i="2"/>
  <c r="K848" i="2"/>
  <c r="G1005" i="2"/>
  <c r="K696" i="2"/>
  <c r="J836" i="2"/>
  <c r="H670" i="2"/>
  <c r="F1008" i="2"/>
  <c r="H789" i="2"/>
  <c r="H743" i="2"/>
  <c r="D992" i="2"/>
  <c r="K941" i="2"/>
  <c r="H938" i="2"/>
  <c r="K588" i="2"/>
  <c r="I771" i="2"/>
  <c r="K677" i="2"/>
  <c r="I607" i="2"/>
  <c r="I684" i="2"/>
  <c r="K525" i="2"/>
  <c r="H838" i="2"/>
  <c r="G816" i="2"/>
  <c r="H1008" i="2"/>
  <c r="F831" i="2"/>
  <c r="H989" i="2"/>
  <c r="H926" i="2"/>
  <c r="G964" i="2"/>
  <c r="F1002" i="2"/>
  <c r="K759" i="2"/>
  <c r="K828" i="2"/>
  <c r="G552" i="2"/>
  <c r="H786" i="2"/>
  <c r="G911" i="2"/>
  <c r="K710" i="2"/>
  <c r="J521" i="2"/>
  <c r="H787" i="2"/>
  <c r="G880" i="2"/>
  <c r="I834" i="2"/>
  <c r="K743" i="2"/>
  <c r="F606" i="2"/>
  <c r="N506" i="2"/>
  <c r="L469" i="2"/>
  <c r="N324" i="2"/>
  <c r="N237" i="2"/>
  <c r="G508" i="2"/>
  <c r="M412" i="2"/>
  <c r="E680" i="2"/>
  <c r="D742" i="2"/>
  <c r="L241" i="2"/>
  <c r="H777" i="2"/>
  <c r="I956" i="2"/>
  <c r="K561" i="2"/>
  <c r="G264" i="2"/>
  <c r="L426" i="2"/>
  <c r="K528" i="2"/>
  <c r="K716" i="2"/>
  <c r="J525" i="2"/>
  <c r="L382" i="2"/>
  <c r="L377" i="2"/>
  <c r="N172" i="2"/>
  <c r="F597" i="2"/>
  <c r="I672" i="2"/>
  <c r="G779" i="2"/>
  <c r="N390" i="2"/>
  <c r="N304" i="2"/>
  <c r="K527" i="2"/>
  <c r="N469" i="2"/>
  <c r="N449" i="2"/>
  <c r="J815" i="2"/>
  <c r="D588" i="2"/>
  <c r="L485" i="2"/>
  <c r="N258" i="2"/>
  <c r="H516" i="2"/>
  <c r="H635" i="2"/>
  <c r="E610" i="2"/>
  <c r="G514" i="2"/>
  <c r="K837" i="2"/>
  <c r="N136" i="2"/>
  <c r="L318" i="2"/>
  <c r="K778" i="2"/>
  <c r="H850" i="2"/>
  <c r="J861" i="2"/>
  <c r="I729" i="2"/>
  <c r="K570" i="2"/>
  <c r="G178" i="2"/>
  <c r="L389" i="2"/>
  <c r="M302" i="2"/>
  <c r="H536" i="2"/>
  <c r="H646" i="2"/>
  <c r="K954" i="2"/>
  <c r="G981" i="2"/>
  <c r="F672" i="2"/>
  <c r="I788" i="2"/>
  <c r="L353" i="2"/>
  <c r="N268" i="2"/>
  <c r="G632" i="2"/>
  <c r="F946" i="2"/>
  <c r="G1008" i="2"/>
  <c r="J812" i="2"/>
  <c r="G670" i="2"/>
  <c r="J684" i="2"/>
  <c r="L445" i="2"/>
  <c r="N257" i="2"/>
  <c r="N185" i="2"/>
  <c r="H956" i="2"/>
  <c r="F539" i="2"/>
  <c r="K811" i="2"/>
  <c r="I800" i="2"/>
  <c r="G948" i="2"/>
  <c r="I717" i="2"/>
  <c r="M150" i="2"/>
  <c r="N473" i="2"/>
  <c r="L340" i="2"/>
  <c r="L396" i="2"/>
  <c r="J611" i="2"/>
  <c r="K512" i="2"/>
  <c r="H621" i="2"/>
  <c r="I647" i="2"/>
  <c r="G871" i="2"/>
  <c r="I681" i="2"/>
  <c r="J660" i="2"/>
  <c r="F896" i="2"/>
  <c r="F802" i="2"/>
  <c r="I560" i="2"/>
  <c r="L138" i="2"/>
  <c r="G598" i="2"/>
  <c r="K658" i="2"/>
  <c r="N196" i="2"/>
  <c r="K720" i="2"/>
  <c r="K1007" i="2"/>
  <c r="G213" i="2"/>
  <c r="M448" i="2"/>
  <c r="J609" i="2"/>
  <c r="H551" i="2"/>
  <c r="N232" i="2"/>
  <c r="E924" i="2"/>
  <c r="H935" i="2"/>
  <c r="G609" i="2"/>
  <c r="D984" i="2"/>
  <c r="H720" i="2"/>
  <c r="I755" i="2"/>
  <c r="F715" i="2"/>
  <c r="I762" i="2"/>
  <c r="I727" i="2"/>
  <c r="J766" i="2"/>
  <c r="K887" i="2"/>
  <c r="J778" i="2"/>
  <c r="H678" i="2"/>
  <c r="I751" i="2"/>
  <c r="F881" i="2"/>
  <c r="F894" i="2"/>
  <c r="F981" i="2"/>
  <c r="F742" i="2"/>
  <c r="H754" i="2"/>
  <c r="F542" i="2"/>
  <c r="K926" i="2"/>
  <c r="G962" i="2"/>
  <c r="G628" i="2"/>
  <c r="J891" i="2"/>
  <c r="E660" i="2"/>
  <c r="D776" i="2"/>
  <c r="I720" i="2"/>
  <c r="J718" i="2"/>
  <c r="G798" i="2"/>
  <c r="G843" i="2"/>
  <c r="G642" i="2"/>
  <c r="H687" i="2"/>
  <c r="G658" i="2"/>
  <c r="J938" i="2"/>
  <c r="G868" i="2"/>
  <c r="E550" i="2"/>
  <c r="G516" i="2"/>
  <c r="J728" i="2"/>
  <c r="G635" i="2"/>
  <c r="J962" i="2"/>
  <c r="F864" i="2"/>
  <c r="K568" i="2"/>
  <c r="E941" i="2"/>
  <c r="H590" i="2"/>
  <c r="H527" i="2"/>
  <c r="E716" i="2"/>
  <c r="J971" i="2"/>
  <c r="F634" i="2"/>
  <c r="F702" i="2"/>
  <c r="K699" i="2"/>
  <c r="G624" i="2"/>
  <c r="L508" i="2"/>
  <c r="G765" i="2"/>
  <c r="G585" i="2"/>
  <c r="N426" i="2"/>
  <c r="H695" i="2"/>
  <c r="G982" i="2"/>
  <c r="L306" i="2"/>
  <c r="F680" i="2"/>
  <c r="H634" i="2"/>
  <c r="F1007" i="2"/>
  <c r="K970" i="2"/>
  <c r="I680" i="2"/>
  <c r="H936" i="2"/>
  <c r="K599" i="2"/>
  <c r="J572" i="2"/>
  <c r="F850" i="2"/>
  <c r="D852" i="2"/>
  <c r="G953" i="2"/>
  <c r="G898" i="2"/>
  <c r="H873" i="2"/>
  <c r="F753" i="2"/>
  <c r="I773" i="2"/>
  <c r="J894" i="2"/>
  <c r="I566" i="2"/>
  <c r="K814" i="2"/>
  <c r="G597" i="2"/>
  <c r="G752" i="2"/>
  <c r="I660" i="2"/>
  <c r="H870" i="2"/>
  <c r="G930" i="2"/>
  <c r="I790" i="2"/>
  <c r="F686" i="2"/>
  <c r="H986" i="2"/>
  <c r="I563" i="2"/>
  <c r="F693" i="2"/>
  <c r="F767" i="2"/>
  <c r="K741" i="2"/>
  <c r="I941" i="2"/>
  <c r="F962" i="2"/>
  <c r="F761" i="2"/>
  <c r="J674" i="2"/>
  <c r="G821" i="2"/>
  <c r="K739" i="2"/>
  <c r="I873" i="2"/>
  <c r="I693" i="2"/>
  <c r="I551" i="2"/>
  <c r="J960" i="2"/>
  <c r="E682" i="2"/>
  <c r="H739" i="2"/>
  <c r="G631" i="2"/>
  <c r="F567" i="2"/>
  <c r="G612" i="2"/>
  <c r="I966" i="2"/>
  <c r="E540" i="2"/>
  <c r="F799" i="2"/>
  <c r="K587" i="2"/>
  <c r="J693" i="2"/>
  <c r="K797" i="2"/>
  <c r="H806" i="2"/>
  <c r="M350" i="2"/>
  <c r="I548" i="2"/>
  <c r="I936" i="2"/>
  <c r="F729" i="2"/>
  <c r="J537" i="2"/>
  <c r="M459" i="2"/>
  <c r="D752" i="2"/>
  <c r="F596" i="2"/>
  <c r="I694" i="2"/>
  <c r="F932" i="2"/>
  <c r="I899" i="2"/>
  <c r="G540" i="2"/>
  <c r="I633" i="2"/>
  <c r="I737" i="2"/>
  <c r="E751" i="2"/>
  <c r="I758" i="2"/>
  <c r="I533" i="2"/>
  <c r="F924" i="2"/>
  <c r="D884" i="2"/>
  <c r="H994" i="2"/>
  <c r="I999" i="2"/>
  <c r="H1001" i="2"/>
  <c r="G570" i="2"/>
  <c r="H636" i="2"/>
  <c r="K776" i="2"/>
  <c r="F996" i="2"/>
  <c r="I677" i="2"/>
  <c r="J905" i="2"/>
  <c r="J624" i="2"/>
  <c r="H698" i="2"/>
  <c r="K607" i="2"/>
  <c r="H530" i="2"/>
  <c r="D576" i="2"/>
  <c r="G860" i="2"/>
  <c r="K910" i="2"/>
  <c r="K728" i="2"/>
  <c r="H557" i="2"/>
  <c r="G530" i="2"/>
  <c r="I832" i="2"/>
  <c r="I849" i="2"/>
  <c r="F868" i="2"/>
  <c r="K750" i="2"/>
  <c r="H599" i="2"/>
  <c r="I728" i="2"/>
  <c r="F586" i="2"/>
  <c r="F899" i="2"/>
  <c r="K729" i="2"/>
  <c r="H587" i="2"/>
  <c r="D689" i="2"/>
  <c r="G542" i="2"/>
  <c r="J532" i="2"/>
  <c r="K558" i="2"/>
  <c r="M402" i="2"/>
  <c r="I816" i="2"/>
  <c r="I875" i="2"/>
  <c r="N486" i="2"/>
  <c r="F728" i="2"/>
  <c r="J538" i="2"/>
  <c r="N466" i="2"/>
  <c r="H943" i="2"/>
  <c r="J900" i="2"/>
  <c r="N362" i="2"/>
  <c r="K717" i="2"/>
  <c r="F564" i="2"/>
  <c r="G799" i="2"/>
  <c r="K671" i="2"/>
  <c r="G704" i="2"/>
  <c r="J748" i="2"/>
  <c r="J774" i="2"/>
  <c r="D559" i="2"/>
  <c r="J758" i="2"/>
  <c r="H732" i="2"/>
  <c r="F967" i="2"/>
  <c r="H929" i="2"/>
  <c r="I603" i="2"/>
  <c r="G617" i="2"/>
  <c r="H701" i="2"/>
  <c r="G694" i="2"/>
  <c r="G672" i="2"/>
  <c r="G947" i="2"/>
  <c r="I700" i="2"/>
  <c r="K628" i="2"/>
  <c r="G593" i="2"/>
  <c r="H510" i="2"/>
  <c r="I714" i="2"/>
  <c r="J882" i="2"/>
  <c r="K635" i="2"/>
  <c r="G524" i="2"/>
  <c r="J1005" i="2"/>
  <c r="K984" i="2"/>
  <c r="G664" i="2"/>
  <c r="I906" i="2"/>
  <c r="J885" i="2"/>
  <c r="H715" i="2"/>
  <c r="H831" i="2"/>
  <c r="J797" i="2"/>
  <c r="I912" i="2"/>
  <c r="G984" i="2"/>
  <c r="G513" i="2"/>
  <c r="I898" i="2"/>
  <c r="J694" i="2"/>
  <c r="G775" i="2"/>
  <c r="J700" i="2"/>
  <c r="I918" i="2"/>
  <c r="G627" i="2"/>
  <c r="F701" i="2"/>
  <c r="F970" i="2"/>
  <c r="I907" i="2"/>
  <c r="J933" i="2"/>
  <c r="F936" i="2"/>
  <c r="F520" i="2"/>
  <c r="K810" i="2"/>
  <c r="G771" i="2"/>
  <c r="M279" i="2"/>
  <c r="K731" i="2"/>
  <c r="F971" i="2"/>
  <c r="N317" i="2"/>
  <c r="J645" i="2"/>
  <c r="H728" i="2"/>
  <c r="L362" i="2"/>
  <c r="M246" i="2"/>
  <c r="F948" i="2"/>
  <c r="K1008" i="2"/>
  <c r="E910" i="2"/>
  <c r="H814" i="2"/>
  <c r="K861" i="2"/>
  <c r="K834" i="2"/>
  <c r="D756" i="2"/>
  <c r="F834" i="2"/>
  <c r="I868" i="2"/>
  <c r="J606" i="2"/>
  <c r="I654" i="2"/>
  <c r="K546" i="2"/>
  <c r="G547" i="2"/>
  <c r="F988" i="2"/>
  <c r="K511" i="2"/>
  <c r="F747" i="2"/>
  <c r="F760" i="2"/>
  <c r="G912" i="2"/>
  <c r="J599" i="2"/>
  <c r="G958" i="2"/>
  <c r="G675" i="2"/>
  <c r="H735" i="2"/>
  <c r="J802" i="2"/>
  <c r="F581" i="2"/>
  <c r="I833" i="2"/>
  <c r="K753" i="2"/>
  <c r="I802" i="2"/>
  <c r="I864" i="2"/>
  <c r="J980" i="2"/>
  <c r="G923" i="2"/>
  <c r="E747" i="2"/>
  <c r="I953" i="2"/>
  <c r="K856" i="2"/>
  <c r="J726" i="2"/>
  <c r="H878" i="2"/>
  <c r="K916" i="2"/>
  <c r="K859" i="2"/>
  <c r="K911" i="2"/>
  <c r="G596" i="2"/>
  <c r="J969" i="2"/>
  <c r="K640" i="2"/>
  <c r="J798" i="2"/>
  <c r="J723" i="2"/>
  <c r="K989" i="2"/>
  <c r="H734" i="2"/>
  <c r="G832" i="2"/>
  <c r="K646" i="2"/>
  <c r="J780" i="2"/>
  <c r="I944" i="2"/>
  <c r="F875" i="2"/>
  <c r="J627" i="2"/>
  <c r="H869" i="2"/>
  <c r="H895" i="2"/>
  <c r="L185" i="2"/>
  <c r="G886" i="2"/>
  <c r="J958" i="2"/>
  <c r="M304" i="2"/>
  <c r="J668" i="2"/>
  <c r="E799" i="2"/>
  <c r="N398" i="2"/>
  <c r="L335" i="2"/>
  <c r="J539" i="2"/>
  <c r="K935" i="2"/>
  <c r="M426" i="2"/>
  <c r="G790" i="2"/>
  <c r="J752" i="2"/>
  <c r="J648" i="2"/>
  <c r="G695" i="2"/>
  <c r="F777" i="2"/>
  <c r="J557" i="2"/>
  <c r="I939" i="2"/>
  <c r="K713" i="2"/>
  <c r="G809" i="2"/>
  <c r="F526" i="2"/>
  <c r="G864" i="2"/>
  <c r="H939" i="2"/>
  <c r="I545" i="2"/>
  <c r="F779" i="2"/>
  <c r="I840" i="2"/>
  <c r="I851" i="2"/>
  <c r="G586" i="2"/>
  <c r="F943" i="2"/>
  <c r="G559" i="2"/>
  <c r="J818" i="2"/>
  <c r="F628" i="2"/>
  <c r="I676" i="2"/>
  <c r="J976" i="2"/>
  <c r="H629" i="2"/>
  <c r="I981" i="2"/>
  <c r="I839" i="2"/>
  <c r="K1003" i="2"/>
  <c r="G934" i="2"/>
  <c r="G746" i="2"/>
  <c r="J848" i="2"/>
  <c r="G831" i="2"/>
  <c r="D749" i="2"/>
  <c r="F703" i="2"/>
  <c r="H999" i="2"/>
  <c r="H861" i="2"/>
  <c r="H898" i="2"/>
  <c r="J876" i="2"/>
  <c r="E696" i="2"/>
  <c r="J639" i="2"/>
  <c r="J821" i="2"/>
  <c r="F758" i="2"/>
  <c r="D617" i="2"/>
  <c r="H619" i="2"/>
  <c r="G903" i="2"/>
  <c r="H813" i="2"/>
  <c r="H767" i="2"/>
  <c r="H979" i="2"/>
  <c r="G874" i="2"/>
  <c r="H674" i="2"/>
  <c r="F935" i="2"/>
  <c r="K795" i="2"/>
  <c r="H884" i="2"/>
  <c r="J573" i="2"/>
  <c r="L277" i="2"/>
  <c r="F827" i="2"/>
  <c r="I967" i="2"/>
  <c r="N363" i="2"/>
  <c r="M186" i="2"/>
  <c r="H909" i="2"/>
  <c r="I969" i="2"/>
  <c r="L387" i="2"/>
  <c r="H981" i="2"/>
  <c r="F811" i="2"/>
  <c r="H515" i="2"/>
  <c r="I778" i="2"/>
  <c r="I764" i="2"/>
  <c r="J592" i="2"/>
  <c r="J594" i="2"/>
  <c r="F927" i="2"/>
  <c r="F952" i="2"/>
  <c r="F536" i="2"/>
  <c r="G935" i="2"/>
  <c r="J998" i="2"/>
  <c r="J580" i="2"/>
  <c r="F833" i="2"/>
  <c r="F998" i="2"/>
  <c r="J852" i="2"/>
  <c r="H585" i="2"/>
  <c r="D840" i="2"/>
  <c r="K678" i="2"/>
  <c r="G655" i="2"/>
  <c r="J615" i="2"/>
  <c r="J783" i="2"/>
  <c r="K975" i="2"/>
  <c r="G562" i="2"/>
  <c r="H980" i="2"/>
  <c r="G838" i="2"/>
  <c r="G756" i="2"/>
  <c r="H552" i="2"/>
  <c r="K708" i="2"/>
  <c r="K953" i="2"/>
  <c r="G830" i="2"/>
  <c r="I820" i="2"/>
  <c r="K846" i="2"/>
  <c r="I627" i="2"/>
  <c r="I705" i="2"/>
  <c r="I945" i="2"/>
  <c r="I803" i="2"/>
  <c r="F743" i="2"/>
  <c r="G614" i="2"/>
  <c r="I892" i="2"/>
  <c r="J667" i="2"/>
  <c r="I736" i="2"/>
  <c r="K738" i="2"/>
  <c r="J585" i="2"/>
  <c r="G920" i="2"/>
  <c r="K826" i="2"/>
  <c r="I708" i="2"/>
  <c r="J945" i="2"/>
  <c r="E996" i="2"/>
  <c r="K893" i="2"/>
  <c r="I782" i="2"/>
  <c r="H548" i="2"/>
  <c r="K608" i="2"/>
  <c r="J838" i="2"/>
  <c r="F840" i="2"/>
  <c r="L402" i="2"/>
  <c r="L399" i="2"/>
  <c r="J1004" i="2"/>
  <c r="N140" i="2"/>
  <c r="M292" i="2"/>
  <c r="I573" i="2"/>
  <c r="J1007" i="2"/>
  <c r="F598" i="2"/>
  <c r="K813" i="2"/>
  <c r="G847" i="2"/>
  <c r="I933" i="2"/>
  <c r="D523" i="2"/>
  <c r="F531" i="2"/>
  <c r="G520" i="2"/>
  <c r="J792" i="2"/>
  <c r="D512" i="2"/>
  <c r="K966" i="2"/>
  <c r="J675" i="2"/>
  <c r="K556" i="2"/>
  <c r="I775" i="2"/>
  <c r="K923" i="2"/>
  <c r="K644" i="2"/>
  <c r="I970" i="2"/>
  <c r="H809" i="2"/>
  <c r="G622" i="2"/>
  <c r="H638" i="2"/>
  <c r="F890" i="2"/>
  <c r="G723" i="2"/>
  <c r="G791" i="2"/>
  <c r="I524" i="2"/>
  <c r="G801" i="2"/>
  <c r="G659" i="2"/>
  <c r="H623" i="2"/>
  <c r="G770" i="2"/>
  <c r="H988" i="2"/>
  <c r="H667" i="2"/>
  <c r="H891" i="2"/>
  <c r="D953" i="2"/>
  <c r="J698" i="2"/>
  <c r="H815" i="2"/>
  <c r="F968" i="2"/>
  <c r="I804" i="2"/>
  <c r="H886" i="2"/>
  <c r="G990" i="2"/>
  <c r="E951" i="2"/>
  <c r="I786" i="2"/>
  <c r="H819" i="2"/>
  <c r="K809" i="2"/>
  <c r="G862" i="2"/>
  <c r="G979" i="2"/>
  <c r="F801" i="2"/>
  <c r="F611" i="2"/>
  <c r="H968" i="2"/>
  <c r="H912" i="2"/>
  <c r="F940" i="2"/>
  <c r="I731" i="2"/>
  <c r="E728" i="2"/>
  <c r="M227" i="2"/>
  <c r="M423" i="2"/>
  <c r="H982" i="2"/>
  <c r="I588" i="2"/>
  <c r="M485" i="2"/>
  <c r="I768" i="2"/>
  <c r="G944" i="2"/>
  <c r="G338" i="2"/>
  <c r="N256" i="2"/>
  <c r="F876" i="2"/>
  <c r="H993" i="2"/>
  <c r="F658" i="2"/>
  <c r="K835" i="2"/>
  <c r="K908" i="2"/>
  <c r="K616" i="2"/>
  <c r="J677" i="2"/>
  <c r="F654" i="2"/>
  <c r="J602" i="2"/>
  <c r="G707" i="2"/>
  <c r="H707" i="2"/>
  <c r="F546" i="2"/>
  <c r="H782" i="2"/>
  <c r="E663" i="2"/>
  <c r="F664" i="2"/>
  <c r="G706" i="2"/>
  <c r="K936" i="2"/>
  <c r="G526" i="2"/>
  <c r="H952" i="2"/>
  <c r="I726" i="2"/>
  <c r="G600" i="2"/>
  <c r="F739" i="2"/>
  <c r="I710" i="2"/>
  <c r="H563" i="2"/>
  <c r="F756" i="2"/>
  <c r="G848" i="2"/>
  <c r="I706" i="2"/>
  <c r="J928" i="2"/>
  <c r="E583" i="2"/>
  <c r="K987" i="2"/>
  <c r="G726" i="2"/>
  <c r="I519" i="2"/>
  <c r="J581" i="2"/>
  <c r="E547" i="2"/>
  <c r="H779" i="2"/>
  <c r="K536" i="2"/>
  <c r="K875" i="2"/>
  <c r="J981" i="2"/>
  <c r="I510" i="2"/>
  <c r="F579" i="2"/>
  <c r="G893" i="2"/>
  <c r="H890" i="2"/>
  <c r="I813" i="2"/>
  <c r="G660" i="2"/>
  <c r="G996" i="2"/>
  <c r="I1008" i="2"/>
  <c r="N261" i="2"/>
  <c r="N354" i="2"/>
  <c r="G969" i="2"/>
  <c r="K659" i="2"/>
  <c r="L148" i="2"/>
  <c r="H659" i="2"/>
  <c r="H608" i="2"/>
  <c r="M362" i="2"/>
  <c r="K791" i="2"/>
  <c r="H992" i="2"/>
  <c r="H837" i="2"/>
  <c r="G995" i="2"/>
  <c r="I572" i="2"/>
  <c r="G590" i="2"/>
  <c r="G676" i="2"/>
  <c r="K700" i="2"/>
  <c r="I932" i="2"/>
  <c r="G754" i="2"/>
  <c r="J656" i="2"/>
  <c r="I896" i="2"/>
  <c r="K786" i="2"/>
  <c r="J746" i="2"/>
  <c r="K818" i="2"/>
  <c r="J765" i="2"/>
  <c r="I972" i="2"/>
  <c r="I980" i="2"/>
  <c r="I555" i="2"/>
  <c r="J737" i="2"/>
  <c r="K606" i="2"/>
  <c r="G994" i="2"/>
  <c r="H523" i="2"/>
  <c r="G957" i="2"/>
  <c r="F659" i="2"/>
  <c r="F907" i="2"/>
  <c r="H948" i="2"/>
  <c r="I903" i="2"/>
  <c r="H582" i="2"/>
  <c r="H543" i="2"/>
  <c r="K881" i="2"/>
  <c r="F602" i="2"/>
  <c r="K688" i="2"/>
  <c r="I594" i="2"/>
  <c r="E826" i="2"/>
  <c r="F944" i="2"/>
  <c r="E1006" i="2"/>
  <c r="F956" i="2"/>
  <c r="J689" i="2"/>
  <c r="F674" i="2"/>
  <c r="H509" i="2"/>
  <c r="J679" i="2"/>
  <c r="H569" i="2"/>
  <c r="K816" i="2"/>
  <c r="K623" i="2"/>
  <c r="H871" i="2"/>
  <c r="H792" i="2"/>
  <c r="G855" i="2"/>
  <c r="G510" i="2"/>
  <c r="J950" i="2"/>
  <c r="F725" i="2"/>
  <c r="K751" i="2"/>
  <c r="G544" i="2"/>
  <c r="G909" i="2"/>
  <c r="G959" i="2"/>
  <c r="F692" i="2"/>
  <c r="F587" i="2"/>
  <c r="G842" i="2"/>
  <c r="I617" i="2"/>
  <c r="H648" i="2"/>
  <c r="G905" i="2"/>
  <c r="G621" i="2"/>
  <c r="G671" i="2"/>
  <c r="I943" i="2"/>
  <c r="I838" i="2"/>
  <c r="G554" i="2"/>
  <c r="I856" i="2"/>
  <c r="G539" i="2"/>
  <c r="I653" i="2"/>
  <c r="J547" i="2"/>
  <c r="K723" i="2"/>
  <c r="E994" i="2"/>
  <c r="G825" i="2"/>
  <c r="G683" i="2"/>
  <c r="G910" i="2"/>
  <c r="I799" i="2"/>
  <c r="J724" i="2"/>
  <c r="I942" i="2"/>
  <c r="J915" i="2"/>
  <c r="G977" i="2"/>
  <c r="J722" i="2"/>
  <c r="F736" i="2"/>
  <c r="F548" i="2"/>
  <c r="K899" i="2"/>
  <c r="I752" i="2"/>
  <c r="K839" i="2"/>
  <c r="K830" i="2"/>
  <c r="K665" i="2"/>
  <c r="H626" i="2"/>
  <c r="F550" i="2"/>
  <c r="K674" i="2"/>
  <c r="G604" i="2"/>
  <c r="J644" i="2"/>
  <c r="F838" i="2"/>
  <c r="J732" i="2"/>
  <c r="E824" i="2"/>
  <c r="G738" i="2"/>
  <c r="H653" i="2"/>
  <c r="F518" i="2"/>
  <c r="K748" i="2"/>
  <c r="G702" i="2"/>
  <c r="K998" i="2"/>
  <c r="I557" i="2"/>
  <c r="K584" i="2"/>
  <c r="G814" i="2"/>
  <c r="J932" i="2"/>
  <c r="E816" i="2"/>
  <c r="J591" i="2"/>
  <c r="G917" i="2"/>
  <c r="F938" i="2"/>
  <c r="K749" i="2"/>
  <c r="H655" i="2"/>
  <c r="F545" i="2"/>
  <c r="G942" i="2"/>
  <c r="H640" i="2"/>
  <c r="I546" i="2"/>
  <c r="K903" i="2"/>
  <c r="F695" i="2"/>
  <c r="I922" i="2"/>
  <c r="M460" i="2"/>
  <c r="J536" i="2"/>
  <c r="I1005" i="2"/>
  <c r="M303" i="2"/>
  <c r="J899" i="2"/>
  <c r="I935" i="2"/>
  <c r="N408" i="2"/>
  <c r="L161" i="2"/>
  <c r="E943" i="2"/>
  <c r="I883" i="2"/>
  <c r="K647" i="2"/>
  <c r="J622" i="2"/>
  <c r="J550" i="2"/>
  <c r="G966" i="2"/>
  <c r="I699" i="2"/>
  <c r="E735" i="2"/>
  <c r="F744" i="2"/>
  <c r="K706" i="2"/>
  <c r="F859" i="2"/>
  <c r="F830" i="2"/>
  <c r="G845" i="2"/>
  <c r="H595" i="2"/>
  <c r="K619" i="2"/>
  <c r="F934" i="2"/>
  <c r="E516" i="2"/>
  <c r="D564" i="2"/>
  <c r="F931" i="2"/>
  <c r="K772" i="2"/>
  <c r="I749" i="2"/>
  <c r="J906" i="2"/>
  <c r="J558" i="2"/>
  <c r="H945" i="2"/>
  <c r="H694" i="2"/>
  <c r="K684" i="2"/>
  <c r="G576" i="2"/>
  <c r="G902" i="2"/>
  <c r="E641" i="2"/>
  <c r="I638" i="2"/>
  <c r="K612" i="2"/>
  <c r="K600" i="2"/>
  <c r="J711" i="2"/>
  <c r="J564" i="2"/>
  <c r="J731" i="2"/>
  <c r="G608" i="2"/>
  <c r="H658" i="2"/>
  <c r="I979" i="2"/>
  <c r="I808" i="2"/>
  <c r="K559" i="2"/>
  <c r="J544" i="2"/>
  <c r="I947" i="2"/>
  <c r="F580" i="2"/>
  <c r="H573" i="2"/>
  <c r="F646" i="2"/>
  <c r="H588" i="2"/>
  <c r="K851" i="2"/>
  <c r="F854" i="2"/>
  <c r="K569" i="2"/>
  <c r="K775" i="2"/>
  <c r="K850" i="2"/>
  <c r="H969" i="2"/>
  <c r="L360" i="2"/>
  <c r="L196" i="2"/>
  <c r="G828" i="2"/>
  <c r="I1004" i="2"/>
  <c r="K515" i="2"/>
  <c r="H922" i="2"/>
  <c r="G924" i="2"/>
  <c r="F670" i="2"/>
  <c r="F803" i="2"/>
  <c r="D955" i="2"/>
  <c r="F828" i="2"/>
  <c r="J867" i="2"/>
  <c r="H643" i="2"/>
  <c r="J854" i="2"/>
  <c r="J549" i="2"/>
  <c r="G885" i="2"/>
  <c r="G744" i="2"/>
  <c r="J631" i="2"/>
  <c r="K879" i="2"/>
  <c r="D608" i="2"/>
  <c r="F540" i="2"/>
  <c r="K513" i="2"/>
  <c r="G647" i="2"/>
  <c r="H683" i="2"/>
  <c r="E567" i="2"/>
  <c r="I807" i="2"/>
  <c r="I951" i="2"/>
  <c r="G629" i="2"/>
  <c r="H796" i="2"/>
  <c r="G1007" i="2"/>
  <c r="J729" i="2"/>
  <c r="E900" i="2"/>
  <c r="G623" i="2"/>
  <c r="F727" i="2"/>
  <c r="G748" i="2"/>
  <c r="G535" i="2"/>
  <c r="G592" i="2"/>
  <c r="J546" i="2"/>
  <c r="K754" i="2"/>
  <c r="J845" i="2"/>
  <c r="F886" i="2"/>
  <c r="D908" i="2"/>
  <c r="J717" i="2"/>
  <c r="K732" i="2"/>
  <c r="K891" i="2"/>
  <c r="J618" i="2"/>
  <c r="F872" i="2"/>
  <c r="F966" i="2"/>
  <c r="G567" i="2"/>
  <c r="G956" i="2"/>
  <c r="I657" i="2"/>
  <c r="I515" i="2"/>
  <c r="I994" i="2"/>
  <c r="E643" i="2"/>
  <c r="J604" i="2"/>
  <c r="J918" i="2"/>
  <c r="G951" i="2"/>
  <c r="I977" i="2"/>
  <c r="I908" i="2"/>
  <c r="G668" i="2"/>
  <c r="I574" i="2"/>
  <c r="J863" i="2"/>
  <c r="J657" i="2"/>
  <c r="H738" i="2"/>
  <c r="F629" i="2"/>
  <c r="J799" i="2"/>
  <c r="H656" i="2"/>
  <c r="G919" i="2"/>
  <c r="K789" i="2"/>
  <c r="K575" i="2"/>
  <c r="H908" i="2"/>
  <c r="K977" i="2"/>
  <c r="K880" i="2"/>
  <c r="I547" i="2"/>
  <c r="H675" i="2"/>
  <c r="I689" i="2"/>
  <c r="H703" i="2"/>
  <c r="K847" i="2"/>
  <c r="H931" i="2"/>
  <c r="K777" i="2"/>
  <c r="H741" i="2"/>
  <c r="D833" i="2"/>
  <c r="F782" i="2"/>
  <c r="G641" i="2"/>
  <c r="F626" i="2"/>
  <c r="K712" i="2"/>
  <c r="I618" i="2"/>
  <c r="G963" i="2"/>
  <c r="H632" i="2"/>
  <c r="F682" i="2"/>
  <c r="E648" i="2"/>
  <c r="H825" i="2"/>
  <c r="H834" i="2"/>
  <c r="I795" i="2"/>
  <c r="F660" i="2"/>
  <c r="F604" i="2"/>
  <c r="I989" i="2"/>
  <c r="J662" i="2"/>
  <c r="H562" i="2"/>
  <c r="G812" i="2"/>
  <c r="J670" i="2"/>
  <c r="F933" i="2"/>
  <c r="I774" i="2"/>
  <c r="F651" i="2"/>
  <c r="J881" i="2"/>
  <c r="K902" i="2"/>
  <c r="F1000" i="2"/>
  <c r="J1002" i="2"/>
  <c r="I687" i="2"/>
  <c r="J595" i="2"/>
  <c r="K874" i="2"/>
  <c r="J1008" i="2"/>
  <c r="H802" i="2"/>
  <c r="J583" i="2"/>
  <c r="G640" i="2"/>
  <c r="I882" i="2"/>
  <c r="F620" i="2"/>
  <c r="F942" i="2"/>
  <c r="F543" i="2"/>
  <c r="H941" i="2"/>
  <c r="H729" i="2"/>
  <c r="G797" i="2"/>
  <c r="K586" i="2"/>
  <c r="I641" i="2"/>
  <c r="G759" i="2"/>
  <c r="F639" i="2"/>
  <c r="J911" i="2"/>
  <c r="H731" i="2"/>
  <c r="J909" i="2"/>
  <c r="I652" i="2"/>
  <c r="G527" i="2"/>
  <c r="H857" i="2"/>
  <c r="G716" i="2"/>
  <c r="E948" i="2"/>
  <c r="H765" i="2"/>
  <c r="J873" i="2"/>
  <c r="F965" i="2"/>
  <c r="G750" i="2"/>
  <c r="H763" i="2"/>
  <c r="H747" i="2"/>
  <c r="J830" i="2"/>
  <c r="J753" i="2"/>
  <c r="F791" i="2"/>
  <c r="K863" i="2"/>
  <c r="K763" i="2"/>
  <c r="K747" i="2"/>
  <c r="I843" i="2"/>
  <c r="I845" i="2"/>
  <c r="K821" i="2"/>
  <c r="G546" i="2"/>
  <c r="I732" i="2"/>
  <c r="K760" i="2"/>
  <c r="J878" i="2"/>
  <c r="E670" i="2"/>
  <c r="J862" i="2"/>
  <c r="K790" i="2"/>
  <c r="H920" i="2"/>
  <c r="J759" i="2"/>
  <c r="F652" i="2"/>
  <c r="G988" i="2"/>
  <c r="H512" i="2"/>
  <c r="H810" i="2"/>
  <c r="K884" i="2"/>
  <c r="I991" i="2"/>
  <c r="F612" i="2"/>
  <c r="D893" i="2"/>
  <c r="I858" i="2"/>
  <c r="I734" i="2"/>
  <c r="G834" i="2"/>
  <c r="J800" i="2"/>
  <c r="E922" i="2"/>
  <c r="I814" i="2"/>
  <c r="H875" i="2"/>
  <c r="D679" i="2"/>
  <c r="H914" i="2"/>
  <c r="F892" i="2"/>
  <c r="K940" i="2"/>
  <c r="E692" i="2"/>
  <c r="F583" i="2"/>
  <c r="G882" i="2"/>
  <c r="K995" i="2"/>
  <c r="H897" i="2"/>
  <c r="J683" i="2"/>
  <c r="F955" i="2"/>
  <c r="I679" i="2"/>
  <c r="K639" i="2"/>
  <c r="K580" i="2"/>
  <c r="F610" i="2"/>
  <c r="K996" i="2"/>
  <c r="G696" i="2"/>
  <c r="I960" i="2"/>
  <c r="E999" i="2"/>
  <c r="F509" i="2"/>
  <c r="K755" i="2"/>
  <c r="J582" i="2"/>
  <c r="E929" i="2"/>
  <c r="F717" i="2"/>
  <c r="K514" i="2"/>
  <c r="H849" i="2"/>
  <c r="G822" i="2"/>
  <c r="I810" i="2"/>
  <c r="E691" i="2"/>
  <c r="I855" i="2"/>
  <c r="K532" i="2"/>
  <c r="K576" i="2"/>
  <c r="K788" i="2"/>
  <c r="J630" i="2"/>
  <c r="K557" i="2"/>
  <c r="K516" i="2"/>
  <c r="G908" i="2"/>
  <c r="I850" i="2"/>
  <c r="H696" i="2"/>
  <c r="J646" i="2"/>
  <c r="H662" i="2"/>
  <c r="F687" i="2"/>
  <c r="E514" i="2"/>
  <c r="G636" i="2"/>
  <c r="J610" i="2"/>
  <c r="H794" i="2"/>
  <c r="I567" i="2"/>
  <c r="G616" i="2"/>
  <c r="J930" i="2"/>
  <c r="K820" i="2"/>
  <c r="I509" i="2"/>
  <c r="I884" i="2"/>
  <c r="G1004" i="2"/>
  <c r="J872" i="2"/>
  <c r="I916" i="2"/>
  <c r="I917" i="2"/>
  <c r="K610" i="2"/>
  <c r="H902" i="2"/>
  <c r="K651" i="2"/>
  <c r="F974" i="2"/>
  <c r="F766" i="2"/>
  <c r="K868" i="2"/>
  <c r="H836" i="2"/>
  <c r="K968" i="2"/>
  <c r="H991" i="2"/>
  <c r="J514" i="2"/>
  <c r="E622" i="2"/>
  <c r="I750" i="2"/>
  <c r="J523" i="2"/>
  <c r="J770" i="2"/>
  <c r="K537" i="2"/>
  <c r="H766" i="2"/>
  <c r="I609" i="2"/>
  <c r="G607" i="2"/>
  <c r="I662" i="2"/>
  <c r="I711" i="2"/>
  <c r="G652" i="2"/>
  <c r="I915" i="2"/>
  <c r="H835" i="2"/>
  <c r="J548" i="2"/>
  <c r="K524" i="2"/>
  <c r="F574" i="2"/>
  <c r="F975" i="2"/>
  <c r="H533" i="2"/>
  <c r="J739" i="2"/>
  <c r="G727" i="2"/>
  <c r="G571" i="2"/>
  <c r="G646" i="2"/>
  <c r="G555" i="2"/>
  <c r="H808" i="2"/>
  <c r="F764" i="2"/>
  <c r="I571" i="2"/>
  <c r="I645" i="2"/>
  <c r="I716" i="2"/>
  <c r="K761" i="2"/>
  <c r="K630" i="2"/>
  <c r="J619" i="2"/>
  <c r="F1005" i="2"/>
  <c r="D764" i="2"/>
  <c r="J659" i="2"/>
  <c r="H606" i="2"/>
  <c r="I559" i="2"/>
  <c r="F698" i="2"/>
  <c r="F710" i="2"/>
  <c r="K519" i="2"/>
  <c r="H760" i="2"/>
  <c r="K888" i="2"/>
  <c r="E768" i="2"/>
  <c r="I860" i="2"/>
  <c r="G603" i="2"/>
  <c r="J568" i="2"/>
  <c r="J750" i="2"/>
  <c r="K870" i="2"/>
  <c r="I596" i="2"/>
  <c r="G872" i="2"/>
  <c r="G537" i="2"/>
  <c r="J528" i="2"/>
  <c r="D876" i="2"/>
  <c r="I893" i="2"/>
  <c r="I806" i="2"/>
  <c r="I651" i="2"/>
  <c r="H927" i="2"/>
  <c r="D605" i="2"/>
  <c r="G780" i="2"/>
  <c r="I539" i="2"/>
  <c r="D960" i="2"/>
  <c r="H537" i="2"/>
  <c r="G815" i="2"/>
  <c r="J612" i="2"/>
  <c r="J1001" i="2"/>
  <c r="G691" i="2"/>
  <c r="K691" i="2"/>
  <c r="I564" i="2"/>
  <c r="K538" i="2"/>
  <c r="K574" i="2"/>
  <c r="D965" i="2"/>
  <c r="G878" i="2"/>
  <c r="F819" i="2"/>
  <c r="K544" i="2"/>
  <c r="F999" i="2"/>
  <c r="J808" i="2"/>
  <c r="H798" i="2"/>
  <c r="H511" i="2"/>
  <c r="I691" i="2"/>
  <c r="F867" i="2"/>
  <c r="L983" i="2"/>
  <c r="M574" i="2"/>
  <c r="F653" i="2"/>
  <c r="M802" i="2"/>
  <c r="L818" i="2"/>
  <c r="N606" i="2"/>
  <c r="E519" i="2"/>
  <c r="H612" i="2"/>
  <c r="K523" i="2"/>
  <c r="F795" i="2"/>
  <c r="K928" i="2"/>
  <c r="M601" i="2"/>
  <c r="L629" i="2"/>
  <c r="I805" i="2"/>
  <c r="M876" i="2"/>
  <c r="L832" i="2"/>
  <c r="H793" i="2"/>
  <c r="F928" i="2"/>
  <c r="H930" i="2"/>
  <c r="F615" i="2"/>
  <c r="F775" i="2"/>
  <c r="N821" i="2"/>
  <c r="L699" i="2"/>
  <c r="E763" i="2"/>
  <c r="N839" i="2"/>
  <c r="N532" i="2"/>
  <c r="F723" i="2"/>
  <c r="E771" i="2"/>
  <c r="F910" i="2"/>
  <c r="H963" i="2"/>
  <c r="H881" i="2"/>
  <c r="J542" i="2"/>
  <c r="H649" i="2"/>
  <c r="N822" i="2"/>
  <c r="J856" i="2"/>
  <c r="N1002" i="2"/>
  <c r="L575" i="2"/>
  <c r="N866" i="2"/>
  <c r="E600" i="2"/>
  <c r="I675" i="2"/>
  <c r="H749" i="2"/>
  <c r="E739" i="2"/>
  <c r="E591" i="2"/>
  <c r="F949" i="2"/>
  <c r="H773" i="2"/>
  <c r="G787" i="2"/>
  <c r="F592" i="2"/>
  <c r="H594" i="2"/>
  <c r="F685" i="2"/>
  <c r="L750" i="2"/>
  <c r="I604" i="2"/>
  <c r="F642" i="2"/>
  <c r="G914" i="2"/>
  <c r="I928" i="2"/>
  <c r="L725" i="2"/>
  <c r="M615" i="2"/>
  <c r="L882" i="2"/>
  <c r="M874" i="2"/>
  <c r="L986" i="2"/>
  <c r="D704" i="2"/>
  <c r="E871" i="2"/>
  <c r="E896" i="2"/>
  <c r="K866" i="2"/>
  <c r="J796" i="2"/>
  <c r="F726" i="2"/>
  <c r="L845" i="2"/>
  <c r="M927" i="2"/>
  <c r="J553" i="2"/>
  <c r="N712" i="2"/>
  <c r="E704" i="2"/>
  <c r="H602" i="2"/>
  <c r="E783" i="2"/>
  <c r="H862" i="2"/>
  <c r="J991" i="2"/>
  <c r="E936" i="2"/>
  <c r="K668" i="2"/>
  <c r="K796" i="2"/>
  <c r="K773" i="2"/>
  <c r="I666" i="2"/>
  <c r="G800" i="2"/>
  <c r="I811" i="2"/>
  <c r="G826" i="2"/>
  <c r="G665" i="2"/>
  <c r="G666" i="2"/>
  <c r="H722" i="2"/>
  <c r="F619" i="2"/>
  <c r="H554" i="2"/>
  <c r="I747" i="2"/>
  <c r="I863" i="2"/>
  <c r="K730" i="2"/>
  <c r="H919" i="2"/>
  <c r="I698" i="2"/>
  <c r="K645" i="2"/>
  <c r="G773" i="2"/>
  <c r="D593" i="2"/>
  <c r="K869" i="2"/>
  <c r="F657" i="2"/>
  <c r="I954" i="2"/>
  <c r="J782" i="2"/>
  <c r="E766" i="2"/>
  <c r="I888" i="2"/>
  <c r="K862" i="2"/>
  <c r="F591" i="2"/>
  <c r="K831" i="2"/>
  <c r="G904" i="2"/>
  <c r="F632" i="2"/>
  <c r="F696" i="2"/>
  <c r="G971" i="2"/>
  <c r="K552" i="2"/>
  <c r="G772" i="2"/>
  <c r="H785" i="2"/>
  <c r="H534" i="2"/>
  <c r="I738" i="2"/>
  <c r="K906" i="2"/>
  <c r="F837" i="2"/>
  <c r="I862" i="2"/>
  <c r="J682" i="2"/>
  <c r="H672" i="2"/>
  <c r="F571" i="2"/>
  <c r="K592" i="2"/>
  <c r="I844" i="2"/>
  <c r="K735" i="2"/>
  <c r="G892" i="2"/>
  <c r="J940" i="2"/>
  <c r="I921" i="2"/>
  <c r="K631" i="2"/>
  <c r="K825" i="2"/>
  <c r="H1006" i="2"/>
  <c r="J897" i="2"/>
  <c r="F566" i="2"/>
  <c r="I950" i="2"/>
  <c r="J975" i="2"/>
  <c r="G940" i="2"/>
  <c r="J623" i="2"/>
  <c r="K982" i="2"/>
  <c r="I621" i="2"/>
  <c r="H867" i="2"/>
  <c r="G634" i="2"/>
  <c r="H605" i="2"/>
  <c r="D845" i="2"/>
  <c r="K873" i="2"/>
  <c r="F633" i="2"/>
  <c r="I872" i="2"/>
  <c r="G861" i="2"/>
  <c r="K551" i="2"/>
  <c r="J642" i="2"/>
  <c r="G591" i="2"/>
  <c r="J543" i="2"/>
  <c r="K1006" i="2"/>
  <c r="F891" i="2"/>
  <c r="F523" i="2"/>
  <c r="F678" i="2"/>
  <c r="I678" i="2"/>
  <c r="G730" i="2"/>
  <c r="F513" i="2"/>
  <c r="J947" i="2"/>
  <c r="H894" i="2"/>
  <c r="K518" i="2"/>
  <c r="G986" i="2"/>
  <c r="I909" i="2"/>
  <c r="H610" i="2"/>
  <c r="H538" i="2"/>
  <c r="H668" i="2"/>
  <c r="F986" i="2"/>
  <c r="H855" i="2"/>
  <c r="G700" i="2"/>
  <c r="J1000" i="2"/>
  <c r="F630" i="2"/>
  <c r="F599" i="2"/>
  <c r="G708" i="2"/>
  <c r="H1004" i="2"/>
  <c r="H586" i="2"/>
  <c r="D859" i="2"/>
  <c r="G566" i="2"/>
  <c r="G511" i="2"/>
  <c r="K962" i="2"/>
  <c r="G950" i="2"/>
  <c r="G679" i="2"/>
  <c r="F689" i="2"/>
  <c r="H833" i="2"/>
  <c r="H525" i="2"/>
  <c r="G536" i="2"/>
  <c r="K563" i="2"/>
  <c r="E917" i="2"/>
  <c r="H954" i="2"/>
  <c r="J531" i="2"/>
  <c r="K707" i="2"/>
  <c r="H609" i="2"/>
  <c r="I934" i="2"/>
  <c r="K924" i="2"/>
  <c r="I930" i="2"/>
  <c r="G854" i="2"/>
  <c r="K807" i="2"/>
  <c r="F987" i="2"/>
  <c r="J653" i="2"/>
  <c r="J524" i="2"/>
  <c r="K522" i="2"/>
  <c r="I632" i="2"/>
  <c r="I585" i="2"/>
  <c r="I655" i="2"/>
  <c r="F1001" i="2"/>
  <c r="J570" i="2"/>
  <c r="F751" i="2"/>
  <c r="I542" i="2"/>
  <c r="E891" i="2"/>
  <c r="K724" i="2"/>
  <c r="F976" i="2"/>
  <c r="K948" i="2"/>
  <c r="D828" i="2"/>
  <c r="J742" i="2"/>
  <c r="K545" i="2"/>
  <c r="H522" i="2"/>
  <c r="H822" i="2"/>
  <c r="F731" i="2"/>
  <c r="F656" i="2"/>
  <c r="H598" i="2"/>
  <c r="J839" i="2"/>
  <c r="E860" i="2"/>
  <c r="J691" i="2"/>
  <c r="F914" i="2"/>
  <c r="I516" i="2"/>
  <c r="H676" i="2"/>
  <c r="F849" i="2"/>
  <c r="K744" i="2"/>
  <c r="G900" i="2"/>
  <c r="G656" i="2"/>
  <c r="G713" i="2"/>
  <c r="I760" i="2"/>
  <c r="I910" i="2"/>
  <c r="K774" i="2"/>
  <c r="F978" i="2"/>
  <c r="J992" i="2"/>
  <c r="J741" i="2"/>
  <c r="H561" i="2"/>
  <c r="H547" i="2"/>
  <c r="F787" i="2"/>
  <c r="H579" i="2"/>
  <c r="H591" i="2"/>
  <c r="I759" i="2"/>
  <c r="J951" i="2"/>
  <c r="D919" i="2"/>
  <c r="J1003" i="2"/>
  <c r="G549" i="2"/>
  <c r="J855" i="2"/>
  <c r="G928" i="2"/>
  <c r="F514" i="2"/>
  <c r="F643" i="2"/>
  <c r="J522" i="2"/>
  <c r="I715" i="2"/>
  <c r="E586" i="2"/>
  <c r="J921" i="2"/>
  <c r="G1003" i="2"/>
  <c r="J690" i="2"/>
  <c r="G827" i="2"/>
  <c r="J963" i="2"/>
  <c r="I712" i="2"/>
  <c r="I525" i="2"/>
  <c r="D667" i="2"/>
  <c r="K702" i="2"/>
  <c r="F906" i="2"/>
  <c r="K722" i="2"/>
  <c r="L708" i="2"/>
  <c r="L694" i="2"/>
  <c r="M973" i="2"/>
  <c r="M857" i="2"/>
  <c r="G961" i="2"/>
  <c r="M650" i="2"/>
  <c r="L714" i="2"/>
  <c r="K867" i="2"/>
  <c r="K992" i="2"/>
  <c r="I639" i="2"/>
  <c r="H545" i="2"/>
  <c r="M758" i="2"/>
  <c r="L684" i="2"/>
  <c r="N964" i="2"/>
  <c r="J817" i="2"/>
  <c r="M737" i="2"/>
  <c r="G901" i="2"/>
  <c r="G735" i="2"/>
  <c r="G630" i="2"/>
  <c r="K782" i="2"/>
  <c r="J820" i="2"/>
  <c r="F858" i="2"/>
  <c r="L929" i="2"/>
  <c r="K673" i="2"/>
  <c r="N564" i="2"/>
  <c r="M556" i="2"/>
  <c r="E788" i="2"/>
  <c r="L803" i="2"/>
  <c r="K905" i="2"/>
  <c r="K638" i="2"/>
  <c r="J736" i="2"/>
  <c r="F690" i="2"/>
  <c r="G757" i="2"/>
  <c r="M846" i="2"/>
  <c r="N742" i="2"/>
  <c r="M614" i="2"/>
  <c r="L726" i="2"/>
  <c r="M958" i="2"/>
  <c r="L974" i="2"/>
  <c r="K787" i="2"/>
  <c r="I983" i="2"/>
  <c r="K595" i="2"/>
  <c r="H699" i="2"/>
  <c r="M515" i="2"/>
  <c r="J725" i="2"/>
  <c r="I570" i="2"/>
  <c r="I927" i="2"/>
  <c r="I821" i="2"/>
  <c r="H751" i="2"/>
  <c r="D924" i="2"/>
  <c r="J626" i="2"/>
  <c r="K642" i="2"/>
  <c r="F638" i="2"/>
  <c r="H580" i="2"/>
  <c r="I534" i="2"/>
  <c r="M557" i="2"/>
  <c r="N591" i="2"/>
  <c r="I531" i="2"/>
  <c r="M771" i="2"/>
  <c r="E632" i="2"/>
  <c r="N623" i="2"/>
  <c r="F748" i="2"/>
  <c r="H774" i="2"/>
  <c r="F555" i="2"/>
  <c r="F593" i="2"/>
  <c r="N618" i="2"/>
  <c r="L604" i="2"/>
  <c r="I541" i="2"/>
  <c r="N851" i="2"/>
  <c r="M795" i="2"/>
  <c r="F677" i="2"/>
  <c r="J620" i="2"/>
  <c r="J883" i="2"/>
  <c r="I847" i="2"/>
  <c r="F522" i="2"/>
  <c r="H521" i="2"/>
  <c r="I938" i="2"/>
  <c r="I690" i="2"/>
  <c r="J716" i="2"/>
  <c r="J705" i="2"/>
  <c r="J551" i="2"/>
  <c r="F676" i="2"/>
  <c r="J794" i="2"/>
  <c r="J806" i="2"/>
  <c r="F797" i="2"/>
  <c r="J801" i="2"/>
  <c r="I669" i="2"/>
  <c r="H852" i="2"/>
  <c r="G686" i="2"/>
  <c r="K571" i="2"/>
  <c r="G618" i="2"/>
  <c r="F603" i="2"/>
  <c r="G528" i="2"/>
  <c r="H691" i="2"/>
  <c r="H617" i="2"/>
  <c r="H797" i="2"/>
  <c r="M622" i="2"/>
  <c r="F637" i="2"/>
  <c r="J517" i="2"/>
  <c r="N678" i="2"/>
  <c r="N850" i="2"/>
  <c r="H542" i="2"/>
  <c r="I794" i="2"/>
  <c r="G657" i="2"/>
  <c r="E603" i="2"/>
  <c r="L1002" i="2"/>
  <c r="M567" i="2"/>
  <c r="N758" i="2"/>
  <c r="K581" i="2"/>
  <c r="N533" i="2"/>
  <c r="I630" i="2"/>
  <c r="J977" i="2"/>
  <c r="K655" i="2"/>
  <c r="H727" i="2"/>
  <c r="M516" i="2"/>
  <c r="M815" i="2"/>
  <c r="J985" i="2"/>
  <c r="N638" i="2"/>
  <c r="L865" i="2"/>
  <c r="F640" i="2"/>
  <c r="H984" i="2"/>
  <c r="I964" i="2"/>
  <c r="G701" i="2"/>
  <c r="G733" i="2"/>
  <c r="N546" i="2"/>
  <c r="L858" i="2"/>
  <c r="I757" i="2"/>
  <c r="G625" i="2"/>
  <c r="H962" i="2"/>
  <c r="G699" i="2"/>
  <c r="H759" i="2"/>
  <c r="F973" i="2"/>
  <c r="N615" i="2"/>
  <c r="J535" i="2"/>
  <c r="J715" i="2"/>
  <c r="K590" i="2"/>
  <c r="L798" i="2"/>
  <c r="L947" i="2"/>
  <c r="G741" i="2"/>
  <c r="J989" i="2"/>
  <c r="J738" i="2"/>
  <c r="M663" i="2"/>
  <c r="F649" i="2"/>
  <c r="I841" i="2"/>
  <c r="L719" i="2"/>
  <c r="N922" i="2"/>
  <c r="F631" i="2"/>
  <c r="K771" i="2"/>
  <c r="E927" i="2"/>
  <c r="F945" i="2"/>
  <c r="I925" i="2"/>
  <c r="M997" i="2"/>
  <c r="L654" i="2"/>
  <c r="M809" i="2"/>
  <c r="H529" i="2"/>
  <c r="N720" i="2"/>
  <c r="F737" i="2"/>
  <c r="G512" i="2"/>
  <c r="F521" i="2"/>
  <c r="H918" i="2"/>
  <c r="N642" i="2"/>
  <c r="L724" i="2"/>
  <c r="I721" i="2"/>
  <c r="H845" i="2"/>
  <c r="F853" i="2"/>
  <c r="L685" i="2"/>
  <c r="J978" i="2"/>
  <c r="J710" i="2"/>
  <c r="F700" i="2"/>
  <c r="H726" i="2"/>
  <c r="J519" i="2"/>
  <c r="G595" i="2"/>
  <c r="M971" i="2"/>
  <c r="L999" i="2"/>
  <c r="D540" i="2"/>
  <c r="N755" i="2"/>
  <c r="N699" i="2"/>
  <c r="F954" i="2"/>
  <c r="H711" i="2"/>
  <c r="I701" i="2"/>
  <c r="D744" i="2"/>
  <c r="M838" i="2"/>
  <c r="J565" i="2"/>
  <c r="M995" i="2"/>
  <c r="M628" i="2"/>
  <c r="I673" i="2"/>
  <c r="E797" i="2"/>
  <c r="K650" i="2"/>
  <c r="K687" i="2"/>
  <c r="K593" i="2"/>
  <c r="I523" i="2"/>
  <c r="F735" i="2"/>
  <c r="M695" i="2"/>
  <c r="F549" i="2"/>
  <c r="D888" i="2"/>
  <c r="J575" i="2"/>
  <c r="G534" i="2"/>
  <c r="K784" i="2"/>
  <c r="J556" i="2"/>
  <c r="F538" i="2"/>
  <c r="I809" i="2"/>
  <c r="F804" i="2"/>
  <c r="G764" i="2"/>
  <c r="I550" i="2"/>
  <c r="K686" i="2"/>
  <c r="E631" i="2"/>
  <c r="I857" i="2"/>
  <c r="F844" i="2"/>
  <c r="J959" i="2"/>
  <c r="H716" i="2"/>
  <c r="F645" i="2"/>
  <c r="J809" i="2"/>
  <c r="H558" i="2"/>
  <c r="F808" i="2"/>
  <c r="H710" i="2"/>
  <c r="K626" i="2"/>
  <c r="F749" i="2"/>
  <c r="J664" i="2"/>
  <c r="H844" i="2"/>
  <c r="J601" i="2"/>
  <c r="L702" i="2"/>
  <c r="M843" i="2"/>
  <c r="M664" i="2"/>
  <c r="H685" i="2"/>
  <c r="K918" i="2"/>
  <c r="F655" i="2"/>
  <c r="F614" i="2"/>
  <c r="G710" i="2"/>
  <c r="K904" i="2"/>
  <c r="N888" i="2"/>
  <c r="L912" i="2"/>
  <c r="M723" i="2"/>
  <c r="L950" i="2"/>
  <c r="D785" i="2"/>
  <c r="K656" i="2"/>
  <c r="H654" i="2"/>
  <c r="F953" i="2"/>
  <c r="N514" i="2"/>
  <c r="K877" i="2"/>
  <c r="J529" i="2"/>
  <c r="M648" i="2"/>
  <c r="G913" i="2"/>
  <c r="I735" i="2"/>
  <c r="K1000" i="2"/>
  <c r="I532" i="2"/>
  <c r="F855" i="2"/>
  <c r="L700" i="2"/>
  <c r="M676" i="2"/>
  <c r="K913" i="2"/>
  <c r="L738" i="2"/>
  <c r="L918" i="2"/>
  <c r="J858" i="2"/>
  <c r="J686" i="2"/>
  <c r="K878" i="2"/>
  <c r="D936" i="2"/>
  <c r="L529" i="2"/>
  <c r="H907" i="2"/>
  <c r="F774" i="2"/>
  <c r="I600" i="2"/>
  <c r="M748" i="2"/>
  <c r="F937" i="2"/>
  <c r="I569" i="2"/>
  <c r="I605" i="2"/>
  <c r="F845" i="2"/>
  <c r="N984" i="2"/>
  <c r="L870" i="2"/>
  <c r="F901" i="2"/>
  <c r="J781" i="2"/>
  <c r="H817" i="2"/>
  <c r="J964" i="2"/>
  <c r="K806" i="2"/>
  <c r="G626" i="2"/>
  <c r="H879" i="2"/>
  <c r="D994" i="2"/>
  <c r="E629" i="2"/>
  <c r="M604" i="2"/>
  <c r="L901" i="2"/>
  <c r="N630" i="2"/>
  <c r="K520" i="2"/>
  <c r="H524" i="2"/>
  <c r="K578" i="2"/>
  <c r="J987" i="2"/>
  <c r="G941" i="2"/>
  <c r="L772" i="2"/>
  <c r="M842" i="2"/>
  <c r="M906" i="2"/>
  <c r="M627" i="2"/>
  <c r="D511" i="2"/>
  <c r="M623" i="2"/>
  <c r="F820" i="2"/>
  <c r="F559" i="2"/>
  <c r="I783" i="2"/>
  <c r="K857" i="2"/>
  <c r="G578" i="2"/>
  <c r="M929" i="2"/>
  <c r="H997" i="2"/>
  <c r="M925" i="2"/>
  <c r="L713" i="2"/>
  <c r="F841" i="2"/>
  <c r="L805" i="2"/>
  <c r="G522" i="2"/>
  <c r="K770" i="2"/>
  <c r="H744" i="2"/>
  <c r="K530" i="2"/>
  <c r="J589" i="2"/>
  <c r="M953" i="2"/>
  <c r="D696" i="2"/>
  <c r="M746" i="2"/>
  <c r="L810" i="2"/>
  <c r="M531" i="2"/>
  <c r="I628" i="2"/>
  <c r="F662" i="2"/>
  <c r="H604" i="2"/>
  <c r="I558" i="2"/>
  <c r="K854" i="2"/>
  <c r="I889" i="2"/>
  <c r="E862" i="2"/>
  <c r="I827" i="2"/>
  <c r="E562" i="2"/>
  <c r="D581" i="2"/>
  <c r="H644" i="2"/>
  <c r="H758" i="2"/>
  <c r="H990" i="2"/>
  <c r="J952" i="2"/>
  <c r="H791" i="2"/>
  <c r="F669" i="2"/>
  <c r="H596" i="2"/>
  <c r="E535" i="2"/>
  <c r="G690" i="2"/>
  <c r="G568" i="2"/>
  <c r="G807" i="2"/>
  <c r="H564" i="2"/>
  <c r="H960" i="2"/>
  <c r="J824" i="2"/>
  <c r="I880" i="2"/>
  <c r="J629" i="2"/>
  <c r="E543" i="2"/>
  <c r="F595" i="2"/>
  <c r="J939" i="2"/>
  <c r="J868" i="2"/>
  <c r="F718" i="2"/>
  <c r="I998" i="2"/>
  <c r="G653" i="2"/>
  <c r="N652" i="2"/>
  <c r="L949" i="2"/>
  <c r="M810" i="2"/>
  <c r="L544" i="2"/>
  <c r="K510" i="2"/>
  <c r="F738" i="2"/>
  <c r="H942" i="2"/>
  <c r="E595" i="2"/>
  <c r="N587" i="2"/>
  <c r="L826" i="2"/>
  <c r="M551" i="2"/>
  <c r="L733" i="2"/>
  <c r="N876" i="2"/>
  <c r="J999" i="2"/>
  <c r="H737" i="2"/>
  <c r="J713" i="2"/>
  <c r="I640" i="2"/>
  <c r="H517" i="2"/>
  <c r="L749" i="2"/>
  <c r="G698" i="2"/>
  <c r="M598" i="2"/>
  <c r="E656" i="2"/>
  <c r="K794" i="2"/>
  <c r="H974" i="2"/>
  <c r="J651" i="2"/>
  <c r="M994" i="2"/>
  <c r="L614" i="2"/>
  <c r="M794" i="2"/>
  <c r="L533" i="2"/>
  <c r="N688" i="2"/>
  <c r="N509" i="2"/>
  <c r="K633" i="2"/>
  <c r="K547" i="2"/>
  <c r="H882" i="2"/>
  <c r="M821" i="2"/>
  <c r="M970" i="2"/>
  <c r="H821" i="2"/>
  <c r="J857" i="2"/>
  <c r="G677" i="2"/>
  <c r="N578" i="2"/>
  <c r="F784" i="2"/>
  <c r="G556" i="2"/>
  <c r="H724" i="2"/>
  <c r="K946" i="2"/>
  <c r="M922" i="2"/>
  <c r="M509" i="2"/>
  <c r="E828" i="2"/>
  <c r="M882" i="2"/>
  <c r="L689" i="2"/>
  <c r="K583" i="2"/>
  <c r="G643" i="2"/>
  <c r="G1002" i="2"/>
  <c r="F878" i="2"/>
  <c r="M975" i="2"/>
  <c r="M638" i="2"/>
  <c r="N925" i="2"/>
  <c r="M576" i="2"/>
  <c r="L616" i="2"/>
  <c r="I777" i="2"/>
  <c r="K509" i="2"/>
  <c r="G894" i="2"/>
  <c r="G543" i="2"/>
  <c r="F557" i="2"/>
  <c r="L890" i="2"/>
  <c r="N960" i="2"/>
  <c r="K937" i="2"/>
  <c r="N601" i="2"/>
  <c r="M581" i="2"/>
  <c r="J733" i="2"/>
  <c r="H652" i="2"/>
  <c r="I606" i="2"/>
  <c r="J902" i="2"/>
  <c r="H1000" i="2"/>
  <c r="L977" i="2"/>
  <c r="N915" i="2"/>
  <c r="D552" i="2"/>
  <c r="M767" i="2"/>
  <c r="M651" i="2"/>
  <c r="E958" i="2"/>
  <c r="M983" i="2"/>
  <c r="E653" i="2"/>
  <c r="H571" i="2"/>
  <c r="K976" i="2"/>
  <c r="G846" i="2"/>
  <c r="L1001" i="2"/>
  <c r="N939" i="2"/>
  <c r="H601" i="2"/>
  <c r="L864" i="2"/>
  <c r="K889" i="2"/>
  <c r="N996" i="2"/>
  <c r="F786" i="2"/>
  <c r="J990" i="2"/>
  <c r="H651" i="2"/>
  <c r="G725" i="2"/>
  <c r="J727" i="2"/>
  <c r="D905" i="2"/>
  <c r="F925" i="2"/>
  <c r="L829" i="2"/>
  <c r="N629" i="2"/>
  <c r="F754" i="2"/>
  <c r="H828" i="2"/>
  <c r="I620" i="2"/>
  <c r="J628" i="2"/>
  <c r="E807" i="2"/>
  <c r="J643" i="2"/>
  <c r="D557" i="2"/>
  <c r="F958" i="2"/>
  <c r="F825" i="2"/>
  <c r="E836" i="2"/>
  <c r="F888" i="2"/>
  <c r="K654" i="2"/>
  <c r="I702" i="2"/>
  <c r="G663" i="2"/>
  <c r="H854" i="2"/>
  <c r="D1003" i="2"/>
  <c r="J887" i="2"/>
  <c r="I791" i="2"/>
  <c r="I886" i="2"/>
  <c r="G724" i="2"/>
  <c r="G518" i="2"/>
  <c r="K714" i="2"/>
  <c r="F843" i="2"/>
  <c r="F951" i="2"/>
  <c r="F902" i="2"/>
  <c r="K566" i="2"/>
  <c r="M686" i="2"/>
  <c r="L899" i="2"/>
  <c r="N624" i="2"/>
  <c r="L808" i="2"/>
  <c r="M961" i="2"/>
  <c r="J665" i="2"/>
  <c r="K618" i="2"/>
  <c r="I965" i="2"/>
  <c r="J714" i="2"/>
  <c r="H805" i="2"/>
  <c r="F625" i="2"/>
  <c r="I986" i="2"/>
  <c r="M671" i="2"/>
  <c r="N874" i="2"/>
  <c r="J603" i="2"/>
  <c r="I772" i="2"/>
  <c r="K915" i="2"/>
  <c r="M564" i="2"/>
  <c r="N773" i="2"/>
  <c r="L879" i="2"/>
  <c r="F589" i="2"/>
  <c r="M761" i="2"/>
  <c r="N582" i="2"/>
  <c r="I595" i="2"/>
  <c r="E787" i="2"/>
  <c r="I746" i="2"/>
  <c r="L894" i="2"/>
  <c r="M540" i="2"/>
  <c r="N912" i="2"/>
  <c r="M962" i="2"/>
  <c r="N662" i="2"/>
  <c r="G594" i="2"/>
  <c r="F582" i="2"/>
  <c r="I582" i="2"/>
  <c r="F929" i="2"/>
  <c r="N663" i="2"/>
  <c r="I914" i="2"/>
  <c r="G844" i="2"/>
  <c r="I612" i="2"/>
  <c r="H911" i="2"/>
  <c r="L995" i="2"/>
  <c r="I713" i="2"/>
  <c r="I591" i="2"/>
  <c r="G819" i="2"/>
  <c r="K664" i="2"/>
  <c r="F673" i="2"/>
  <c r="J893" i="2"/>
  <c r="M677" i="2"/>
  <c r="L880" i="2"/>
  <c r="K577" i="2"/>
  <c r="K533" i="2"/>
  <c r="F893" i="2"/>
  <c r="I522" i="2"/>
  <c r="G667" i="2"/>
  <c r="N554" i="2"/>
  <c r="N612" i="2"/>
  <c r="F889" i="2"/>
  <c r="N670" i="2"/>
  <c r="M762" i="2"/>
  <c r="J545" i="2"/>
  <c r="I987" i="2"/>
  <c r="I905" i="2"/>
  <c r="J566" i="2"/>
  <c r="K676" i="2"/>
  <c r="N1008" i="2"/>
  <c r="J880" i="2"/>
  <c r="E523" i="2"/>
  <c r="L623" i="2"/>
  <c r="N914" i="2"/>
  <c r="M786" i="2"/>
  <c r="J699" i="2"/>
  <c r="J773" i="2"/>
  <c r="G763" i="2"/>
  <c r="H568" i="2"/>
  <c r="N963" i="2"/>
  <c r="L925" i="2"/>
  <c r="N725" i="2"/>
  <c r="K853" i="2"/>
  <c r="N625" i="2"/>
  <c r="M893" i="2"/>
  <c r="N574" i="2"/>
  <c r="F712" i="2"/>
  <c r="J898" i="2"/>
  <c r="G939" i="2"/>
  <c r="G857" i="2"/>
  <c r="N987" i="2"/>
  <c r="L554" i="2"/>
  <c r="N774" i="2"/>
  <c r="J832" i="2"/>
  <c r="N954" i="2"/>
  <c r="L527" i="2"/>
  <c r="G580" i="2"/>
  <c r="J510" i="2"/>
  <c r="G758" i="2"/>
  <c r="F856" i="2"/>
  <c r="D989" i="2"/>
  <c r="L771" i="2"/>
  <c r="E1004" i="2"/>
  <c r="L767" i="2"/>
  <c r="L555" i="2"/>
  <c r="N978" i="2"/>
  <c r="L695" i="2"/>
  <c r="M845" i="2"/>
  <c r="M666" i="2"/>
  <c r="N706" i="2"/>
  <c r="M674" i="2"/>
  <c r="J984" i="2"/>
  <c r="J540" i="2"/>
  <c r="E658" i="2"/>
  <c r="E711" i="2"/>
  <c r="H607" i="2"/>
  <c r="K762" i="2"/>
  <c r="K652" i="2"/>
  <c r="F699" i="2"/>
  <c r="I895" i="2"/>
  <c r="G840" i="2"/>
  <c r="K670" i="2"/>
  <c r="F785" i="2"/>
  <c r="H713" i="2"/>
  <c r="J650" i="2"/>
  <c r="K822" i="2"/>
  <c r="J912" i="2"/>
  <c r="F874" i="2"/>
  <c r="G753" i="2"/>
  <c r="J904" i="2"/>
  <c r="J787" i="2"/>
  <c r="I894" i="2"/>
  <c r="I785" i="2"/>
  <c r="I624" i="2"/>
  <c r="G579" i="2"/>
  <c r="F750" i="2"/>
  <c r="H1002" i="2"/>
  <c r="L660" i="2"/>
  <c r="F913" i="2"/>
  <c r="N718" i="2"/>
  <c r="M744" i="2"/>
  <c r="N947" i="2"/>
  <c r="J784" i="2"/>
  <c r="G545" i="2"/>
  <c r="G581" i="2"/>
  <c r="M649" i="2"/>
  <c r="N846" i="2"/>
  <c r="L822" i="2"/>
  <c r="F877" i="2"/>
  <c r="J757" i="2"/>
  <c r="D560" i="2"/>
  <c r="J578" i="2"/>
  <c r="J747" i="2"/>
  <c r="K543" i="2"/>
  <c r="N562" i="2"/>
  <c r="M625" i="2"/>
  <c r="N949" i="2"/>
  <c r="L606" i="2"/>
  <c r="M747" i="2"/>
  <c r="L568" i="2"/>
  <c r="F870" i="2"/>
  <c r="J870" i="2"/>
  <c r="I619" i="2"/>
  <c r="N748" i="2"/>
  <c r="N538" i="2"/>
  <c r="M996" i="2"/>
  <c r="N792" i="2"/>
  <c r="M816" i="2"/>
  <c r="H842" i="2"/>
  <c r="F605" i="2"/>
  <c r="F880" i="2"/>
  <c r="D900" i="2"/>
  <c r="L577" i="2"/>
  <c r="H965" i="2"/>
  <c r="K855" i="2"/>
  <c r="G687" i="2"/>
  <c r="K952" i="2"/>
  <c r="F961" i="2"/>
  <c r="F554" i="2"/>
  <c r="J614" i="2"/>
  <c r="G739" i="2"/>
  <c r="K663" i="2"/>
  <c r="M918" i="2"/>
  <c r="L723" i="2"/>
  <c r="N519" i="2"/>
  <c r="M613" i="2"/>
  <c r="N833" i="2"/>
  <c r="G689" i="2"/>
  <c r="G509" i="2"/>
  <c r="J871" i="2"/>
  <c r="F809" i="2"/>
  <c r="L516" i="2"/>
  <c r="L646" i="2"/>
  <c r="E874" i="2"/>
  <c r="G747" i="2"/>
  <c r="N760" i="2"/>
  <c r="J703" i="2"/>
  <c r="H998" i="2"/>
  <c r="I988" i="2"/>
  <c r="H600" i="2"/>
  <c r="K783" i="2"/>
  <c r="M946" i="2"/>
  <c r="M553" i="2"/>
  <c r="L581" i="2"/>
  <c r="I781" i="2"/>
  <c r="M828" i="2"/>
  <c r="N784" i="2"/>
  <c r="G806" i="2"/>
  <c r="F904" i="2"/>
  <c r="H906" i="2"/>
  <c r="K603" i="2"/>
  <c r="N973" i="2"/>
  <c r="L863" i="2"/>
  <c r="L651" i="2"/>
  <c r="D739" i="2"/>
  <c r="N791" i="2"/>
  <c r="N975" i="2"/>
  <c r="K799" i="2"/>
  <c r="J743" i="2"/>
  <c r="F846" i="2"/>
  <c r="H950" i="2"/>
  <c r="I940" i="2"/>
  <c r="L602" i="2"/>
  <c r="M720" i="2"/>
  <c r="L760" i="2"/>
  <c r="M948" i="2"/>
  <c r="L988" i="2"/>
  <c r="I733" i="2"/>
  <c r="K615" i="2"/>
  <c r="K629" i="2"/>
  <c r="I643" i="2"/>
  <c r="G927" i="2"/>
  <c r="L819" i="2"/>
  <c r="N745" i="2"/>
  <c r="M725" i="2"/>
  <c r="J805" i="2"/>
  <c r="M972" i="2"/>
  <c r="L605" i="2"/>
  <c r="E607" i="2"/>
  <c r="F752" i="2"/>
  <c r="G837" i="2"/>
  <c r="I703" i="2"/>
  <c r="J654" i="2"/>
  <c r="D821" i="2"/>
  <c r="F866" i="2"/>
  <c r="I686" i="2"/>
  <c r="I648" i="2"/>
  <c r="I815" i="2"/>
  <c r="F773" i="2"/>
  <c r="K999" i="2"/>
  <c r="H783" i="2"/>
  <c r="J681" i="2"/>
  <c r="J941" i="2"/>
  <c r="G983" i="2"/>
  <c r="K956" i="2"/>
  <c r="H812" i="2"/>
  <c r="I879" i="2"/>
  <c r="G929" i="2"/>
  <c r="J965" i="2"/>
  <c r="F556" i="2"/>
  <c r="F783" i="2"/>
  <c r="G650" i="2"/>
  <c r="G833" i="2"/>
  <c r="H677" i="2"/>
  <c r="I565" i="2"/>
  <c r="D848" i="2"/>
  <c r="H771" i="2"/>
  <c r="N598" i="2"/>
  <c r="L622" i="2"/>
  <c r="I866" i="2"/>
  <c r="G532" i="2"/>
  <c r="H700" i="2"/>
  <c r="N635" i="2"/>
  <c r="L784" i="2"/>
  <c r="N543" i="2"/>
  <c r="E718" i="2"/>
  <c r="M834" i="2"/>
  <c r="L641" i="2"/>
  <c r="G824" i="2"/>
  <c r="D619" i="2"/>
  <c r="G602" i="2"/>
  <c r="H541" i="2"/>
  <c r="N611" i="2"/>
  <c r="J617" i="2"/>
  <c r="N877" i="2"/>
  <c r="L853" i="2"/>
  <c r="J600" i="2"/>
  <c r="F857" i="2"/>
  <c r="G1001" i="2"/>
  <c r="K564" i="2"/>
  <c r="L662" i="2"/>
  <c r="H625" i="2"/>
  <c r="N994" i="2"/>
  <c r="L730" i="2"/>
  <c r="J769" i="2"/>
  <c r="H905" i="2"/>
  <c r="H628" i="2"/>
  <c r="H951" i="2"/>
  <c r="K701" i="2"/>
  <c r="G769" i="2"/>
  <c r="F842" i="2"/>
  <c r="I902" i="2"/>
  <c r="K746" i="2"/>
  <c r="E915" i="2"/>
  <c r="M630" i="2"/>
  <c r="K785" i="2"/>
  <c r="F535" i="2"/>
  <c r="F810" i="2"/>
  <c r="G638" i="2"/>
  <c r="N639" i="2"/>
  <c r="N697" i="2"/>
  <c r="L924" i="2"/>
  <c r="L743" i="2"/>
  <c r="N855" i="2"/>
  <c r="J831" i="2"/>
  <c r="H616" i="2"/>
  <c r="E773" i="2"/>
  <c r="K964" i="2"/>
  <c r="K697" i="2"/>
  <c r="L809" i="2"/>
  <c r="L989" i="2"/>
  <c r="M754" i="2"/>
  <c r="L770" i="2"/>
  <c r="J593" i="2"/>
  <c r="H518" i="2"/>
  <c r="I556" i="2"/>
  <c r="F594" i="2"/>
  <c r="G866" i="2"/>
  <c r="M1002" i="2"/>
  <c r="N539" i="2"/>
  <c r="M519" i="2"/>
  <c r="L786" i="2"/>
  <c r="M778" i="2"/>
  <c r="M890" i="2"/>
  <c r="F679" i="2"/>
  <c r="I975" i="2"/>
  <c r="H953" i="2"/>
  <c r="F991" i="2"/>
  <c r="M911" i="2"/>
  <c r="J853" i="2"/>
  <c r="M577" i="2"/>
  <c r="L701" i="2"/>
  <c r="I961" i="2"/>
  <c r="K843" i="2"/>
  <c r="I659" i="2"/>
  <c r="F939" i="2"/>
  <c r="K845" i="2"/>
  <c r="J775" i="2"/>
  <c r="G999" i="2"/>
  <c r="M768" i="2"/>
  <c r="N814" i="2"/>
  <c r="L906" i="2"/>
  <c r="L946" i="2"/>
  <c r="L914" i="2"/>
  <c r="L690" i="2"/>
  <c r="J638" i="2"/>
  <c r="H748" i="2"/>
  <c r="J762" i="2"/>
  <c r="G531" i="2"/>
  <c r="N793" i="2"/>
  <c r="N767" i="2"/>
  <c r="N567" i="2"/>
  <c r="L930" i="2"/>
  <c r="N970" i="2"/>
  <c r="L735" i="2"/>
  <c r="E596" i="2"/>
  <c r="M658" i="2"/>
  <c r="L674" i="2"/>
  <c r="N965" i="2"/>
  <c r="K973" i="2"/>
  <c r="N780" i="2"/>
  <c r="E360" i="2"/>
  <c r="N872" i="2"/>
  <c r="E856" i="2"/>
  <c r="M883" i="2"/>
  <c r="N604" i="2"/>
  <c r="L732" i="2"/>
  <c r="L688" i="2"/>
  <c r="H721" i="2"/>
  <c r="N565" i="2"/>
  <c r="M955" i="2"/>
  <c r="N873" i="2"/>
  <c r="D941" i="2"/>
  <c r="E171" i="2"/>
  <c r="E452" i="2"/>
  <c r="E730" i="2"/>
  <c r="L965" i="2"/>
  <c r="I973" i="2"/>
  <c r="L721" i="2"/>
  <c r="N665" i="2"/>
  <c r="H673" i="2"/>
  <c r="E341" i="2"/>
  <c r="E930" i="2"/>
  <c r="M703" i="2"/>
  <c r="E904" i="2"/>
  <c r="D248" i="2"/>
  <c r="M858" i="2"/>
  <c r="E944" i="2"/>
  <c r="M672" i="2"/>
  <c r="L868" i="2"/>
  <c r="G615" i="2"/>
  <c r="E713" i="2"/>
  <c r="N621" i="2"/>
  <c r="D325" i="2"/>
  <c r="E168" i="2"/>
  <c r="E495" i="2"/>
  <c r="D363" i="2"/>
  <c r="N781" i="2"/>
  <c r="J509" i="2"/>
  <c r="D528" i="2"/>
  <c r="L911" i="2"/>
  <c r="N626" i="2"/>
  <c r="D263" i="2"/>
  <c r="M947" i="2"/>
  <c r="E720" i="2"/>
  <c r="M851" i="2"/>
  <c r="N628" i="2"/>
  <c r="J649" i="2"/>
  <c r="N907" i="2"/>
  <c r="D580" i="2"/>
  <c r="D929" i="2"/>
  <c r="E347" i="2"/>
  <c r="D358" i="2"/>
  <c r="L707" i="2"/>
  <c r="K951" i="2"/>
  <c r="N689" i="2"/>
  <c r="H877" i="2"/>
  <c r="N959" i="2"/>
  <c r="E351" i="2"/>
  <c r="D481" i="2"/>
  <c r="D431" i="2"/>
  <c r="D246" i="2"/>
  <c r="D736" i="2"/>
  <c r="M905" i="2"/>
  <c r="J997" i="2"/>
  <c r="L769" i="2"/>
  <c r="N713" i="2"/>
  <c r="I985" i="2"/>
  <c r="N517" i="2"/>
  <c r="D738" i="2"/>
  <c r="E858" i="2"/>
  <c r="N525" i="2"/>
  <c r="E217" i="2"/>
  <c r="D424" i="2"/>
  <c r="E313" i="2"/>
  <c r="N948" i="2"/>
  <c r="M940" i="2"/>
  <c r="J661" i="2"/>
  <c r="N684" i="2"/>
  <c r="N735" i="2"/>
  <c r="D182" i="2"/>
  <c r="L542" i="2"/>
  <c r="M860" i="2"/>
  <c r="E990" i="2"/>
  <c r="M548" i="2"/>
  <c r="M792" i="2"/>
  <c r="N972" i="2"/>
  <c r="M749" i="2"/>
  <c r="J961" i="2"/>
  <c r="M952" i="2"/>
  <c r="D532" i="2"/>
  <c r="E846" i="2"/>
  <c r="E142" i="2"/>
  <c r="E159" i="2"/>
  <c r="G760" i="2"/>
  <c r="N810" i="2"/>
  <c r="M886" i="2"/>
  <c r="N674" i="2"/>
  <c r="M976" i="2"/>
  <c r="D197" i="2"/>
  <c r="N646" i="2"/>
  <c r="N826" i="2"/>
  <c r="M591" i="2"/>
  <c r="D754" i="2"/>
  <c r="F561" i="2"/>
  <c r="I984" i="2"/>
  <c r="E980" i="2"/>
  <c r="H768" i="2"/>
  <c r="G749" i="2"/>
  <c r="I593" i="2"/>
  <c r="K727" i="2"/>
  <c r="G548" i="2"/>
  <c r="J995" i="2"/>
  <c r="D814" i="2"/>
  <c r="H820" i="2"/>
  <c r="H531" i="2"/>
  <c r="F763" i="2"/>
  <c r="J702" i="2"/>
  <c r="H664" i="2"/>
  <c r="K540" i="2"/>
  <c r="J512" i="2"/>
  <c r="I871" i="2"/>
  <c r="K715" i="2"/>
  <c r="K740" i="2"/>
  <c r="J605" i="2"/>
  <c r="H566" i="2"/>
  <c r="H830" i="2"/>
  <c r="F883" i="2"/>
  <c r="K988" i="2"/>
  <c r="M734" i="2"/>
  <c r="L857" i="2"/>
  <c r="M534" i="2"/>
  <c r="G661" i="2"/>
  <c r="K517" i="2"/>
  <c r="I625" i="2"/>
  <c r="K764" i="2"/>
  <c r="H567" i="2"/>
  <c r="G890" i="2"/>
  <c r="H829" i="2"/>
  <c r="M710" i="2"/>
  <c r="I869" i="2"/>
  <c r="M629" i="2"/>
  <c r="L938" i="2"/>
  <c r="I590" i="2"/>
  <c r="H631" i="2"/>
  <c r="H750" i="2"/>
  <c r="G978" i="2"/>
  <c r="N747" i="2"/>
  <c r="H913" i="2"/>
  <c r="M590" i="2"/>
  <c r="N803" i="2"/>
  <c r="M528" i="2"/>
  <c r="G678" i="2"/>
  <c r="H916" i="2"/>
  <c r="F617" i="2"/>
  <c r="F989" i="2"/>
  <c r="M588" i="2"/>
  <c r="M808" i="2"/>
  <c r="H757" i="2"/>
  <c r="F577" i="2"/>
  <c r="K938" i="2"/>
  <c r="H686" i="2"/>
  <c r="G782" i="2"/>
  <c r="H555" i="2"/>
  <c r="I724" i="2"/>
  <c r="D680" i="2"/>
  <c r="H762" i="2"/>
  <c r="F930" i="2"/>
  <c r="F547" i="2"/>
  <c r="G926" i="2"/>
  <c r="N724" i="2"/>
  <c r="F941" i="2"/>
  <c r="D761" i="2"/>
  <c r="K585" i="2"/>
  <c r="F600" i="2"/>
  <c r="L601" i="2"/>
  <c r="N719" i="2"/>
  <c r="G697" i="2"/>
  <c r="I520" i="2"/>
  <c r="M781" i="2"/>
  <c r="K950" i="2"/>
  <c r="G639" i="2"/>
  <c r="H807" i="2"/>
  <c r="F544" i="2"/>
  <c r="N570" i="2"/>
  <c r="L747" i="2"/>
  <c r="N580" i="2"/>
  <c r="G637" i="2"/>
  <c r="N696" i="2"/>
  <c r="H940" i="2"/>
  <c r="K894" i="2"/>
  <c r="K675" i="2"/>
  <c r="I725" i="2"/>
  <c r="E931" i="2"/>
  <c r="N1000" i="2"/>
  <c r="H781" i="2"/>
  <c r="L840" i="2"/>
  <c r="M736" i="2"/>
  <c r="G649" i="2"/>
  <c r="M517" i="2"/>
  <c r="J810" i="2"/>
  <c r="I579" i="2"/>
  <c r="F919" i="2"/>
  <c r="H818" i="2"/>
  <c r="J877" i="2"/>
  <c r="E785" i="2"/>
  <c r="N563" i="2"/>
  <c r="L831" i="2"/>
  <c r="E744" i="2"/>
  <c r="M616" i="2"/>
  <c r="E975" i="2"/>
  <c r="F950" i="2"/>
  <c r="H892" i="2"/>
  <c r="J846" i="2"/>
  <c r="H627" i="2"/>
  <c r="N862" i="2"/>
  <c r="K819" i="2"/>
  <c r="N904" i="2"/>
  <c r="H733" i="2"/>
  <c r="N744" i="2"/>
  <c r="N640" i="2"/>
  <c r="H559" i="2"/>
  <c r="H843" i="2"/>
  <c r="G869" i="2"/>
  <c r="E775" i="2"/>
  <c r="N815" i="2"/>
  <c r="I853" i="2"/>
  <c r="J968" i="2"/>
  <c r="F923" i="2"/>
  <c r="J608" i="2"/>
  <c r="F905" i="2"/>
  <c r="K892" i="2"/>
  <c r="H614" i="2"/>
  <c r="G810" i="2"/>
  <c r="G766" i="2"/>
  <c r="K611" i="2"/>
  <c r="G777" i="2"/>
  <c r="I974" i="2"/>
  <c r="K900" i="2"/>
  <c r="G906" i="2"/>
  <c r="K737" i="2"/>
  <c r="E552" i="2"/>
  <c r="F537" i="2"/>
  <c r="E584" i="2"/>
  <c r="K648" i="2"/>
  <c r="G774" i="2"/>
  <c r="I929" i="2"/>
  <c r="G795" i="2"/>
  <c r="K942" i="2"/>
  <c r="I667" i="2"/>
  <c r="G820" i="2"/>
  <c r="F568" i="2"/>
  <c r="L742" i="2"/>
  <c r="L795" i="2"/>
  <c r="L628" i="2"/>
  <c r="M702" i="2"/>
  <c r="N905" i="2"/>
  <c r="G998" i="2"/>
  <c r="K602" i="2"/>
  <c r="J590" i="2"/>
  <c r="D715" i="2"/>
  <c r="N894" i="2"/>
  <c r="L862" i="2"/>
  <c r="M675" i="2"/>
  <c r="N962" i="2"/>
  <c r="M565" i="2"/>
  <c r="I688" i="2"/>
  <c r="F665" i="2"/>
  <c r="D869" i="2"/>
  <c r="K624" i="2"/>
  <c r="M673" i="2"/>
  <c r="E512" i="2"/>
  <c r="L598" i="2"/>
  <c r="F865" i="2"/>
  <c r="N622" i="2"/>
  <c r="K974" i="2"/>
  <c r="K939" i="2"/>
  <c r="I819" i="2"/>
  <c r="D612" i="2"/>
  <c r="N586" i="2"/>
  <c r="M954" i="2"/>
  <c r="N750" i="2"/>
  <c r="N868" i="2"/>
  <c r="F829" i="2"/>
  <c r="F776" i="2"/>
  <c r="K667" i="2"/>
  <c r="J530" i="2"/>
  <c r="K734" i="2"/>
  <c r="N797" i="2"/>
  <c r="K726" i="2"/>
  <c r="H624" i="2"/>
  <c r="I874" i="2"/>
  <c r="J822" i="2"/>
  <c r="L686" i="2"/>
  <c r="I521" i="2"/>
  <c r="H904" i="2"/>
  <c r="F534" i="2"/>
  <c r="D701" i="2"/>
  <c r="E973" i="2"/>
  <c r="I829" i="2"/>
  <c r="E814" i="2"/>
  <c r="L827" i="2"/>
  <c r="K781" i="2"/>
  <c r="F530" i="2"/>
  <c r="K980" i="2"/>
  <c r="I854" i="2"/>
  <c r="E639" i="2"/>
  <c r="M530" i="2"/>
  <c r="N721" i="2"/>
  <c r="I904" i="2"/>
  <c r="M654" i="2"/>
  <c r="N550" i="2"/>
  <c r="K963" i="2"/>
  <c r="F624" i="2"/>
  <c r="I770" i="2"/>
  <c r="H856" i="2"/>
  <c r="N545" i="2"/>
  <c r="L519" i="2"/>
  <c r="N798" i="2"/>
  <c r="L778" i="2"/>
  <c r="N710" i="2"/>
  <c r="M966" i="2"/>
  <c r="N647" i="2"/>
  <c r="J917" i="2"/>
  <c r="J554" i="2"/>
  <c r="F713" i="2"/>
  <c r="I631" i="2"/>
  <c r="E895" i="2"/>
  <c r="N521" i="2"/>
  <c r="H889" i="2"/>
  <c r="N901" i="2"/>
  <c r="I674" i="2"/>
  <c r="N590" i="2"/>
  <c r="K690" i="2"/>
  <c r="E727" i="2"/>
  <c r="H915" i="2"/>
  <c r="F977" i="2"/>
  <c r="I722" i="2"/>
  <c r="J666" i="2"/>
  <c r="L898" i="2"/>
  <c r="M914" i="2"/>
  <c r="N702" i="2"/>
  <c r="L682" i="2"/>
  <c r="N614" i="2"/>
  <c r="F666" i="2"/>
  <c r="G938" i="2"/>
  <c r="G952" i="2"/>
  <c r="K955" i="2"/>
  <c r="I877" i="2"/>
  <c r="M930" i="2"/>
  <c r="J823" i="2"/>
  <c r="J922" i="2"/>
  <c r="G802" i="2"/>
  <c r="F964" i="2"/>
  <c r="H975" i="2"/>
  <c r="I990" i="2"/>
  <c r="I742" i="2"/>
  <c r="F740" i="2"/>
  <c r="H790" i="2"/>
  <c r="K895" i="2"/>
  <c r="K542" i="2"/>
  <c r="K555" i="2"/>
  <c r="F569" i="2"/>
  <c r="F796" i="2"/>
  <c r="J914" i="2"/>
  <c r="J560" i="2"/>
  <c r="J576" i="2"/>
  <c r="G884" i="2"/>
  <c r="F533" i="2"/>
  <c r="H964" i="2"/>
  <c r="H866" i="2"/>
  <c r="K534" i="2"/>
  <c r="H917" i="2"/>
  <c r="I831" i="2"/>
  <c r="F663" i="2"/>
  <c r="I589" i="2"/>
  <c r="N769" i="2"/>
  <c r="M760" i="2"/>
  <c r="N556" i="2"/>
  <c r="L532" i="2"/>
  <c r="H581" i="2"/>
  <c r="G918" i="2"/>
  <c r="F618" i="2"/>
  <c r="G786" i="2"/>
  <c r="M832" i="2"/>
  <c r="I745" i="2"/>
  <c r="N649" i="2"/>
  <c r="M826" i="2"/>
  <c r="N695" i="2"/>
  <c r="H966" i="2"/>
  <c r="F724" i="2"/>
  <c r="D684" i="2"/>
  <c r="J761" i="2"/>
  <c r="N659" i="2"/>
  <c r="L881" i="2"/>
  <c r="I517" i="2"/>
  <c r="E850" i="2"/>
  <c r="M706" i="2"/>
  <c r="H645" i="2"/>
  <c r="I543" i="2"/>
  <c r="F818" i="2"/>
  <c r="I963" i="2"/>
  <c r="N870" i="2"/>
  <c r="N952" i="2"/>
  <c r="M688" i="2"/>
  <c r="N938" i="2"/>
  <c r="E991" i="2"/>
  <c r="J534" i="2"/>
  <c r="J786" i="2"/>
  <c r="G572" i="2"/>
  <c r="H583" i="2"/>
  <c r="N771" i="2"/>
  <c r="J892" i="2"/>
  <c r="J641" i="2"/>
  <c r="F822" i="2"/>
  <c r="K965" i="2"/>
  <c r="H770" i="2"/>
  <c r="F711" i="2"/>
  <c r="H903" i="2"/>
  <c r="J569" i="2"/>
  <c r="F832" i="2"/>
  <c r="E742" i="2"/>
  <c r="N832" i="2"/>
  <c r="N653" i="2"/>
  <c r="G925" i="2"/>
  <c r="N930" i="2"/>
  <c r="J954" i="2"/>
  <c r="F667" i="2"/>
  <c r="J751" i="2"/>
  <c r="K721" i="2"/>
  <c r="M863" i="2"/>
  <c r="L887" i="2"/>
  <c r="N686" i="2"/>
  <c r="N999" i="2"/>
  <c r="D692" i="2"/>
  <c r="J567" i="2"/>
  <c r="H641" i="2"/>
  <c r="K643" i="2"/>
  <c r="E855" i="2"/>
  <c r="L567" i="2"/>
  <c r="M936" i="2"/>
  <c r="L736" i="2"/>
  <c r="F601" i="2"/>
  <c r="M864" i="2"/>
  <c r="N557" i="2"/>
  <c r="J579" i="2"/>
  <c r="G1000" i="2"/>
  <c r="K680" i="2"/>
  <c r="I748" i="2"/>
  <c r="H630" i="2"/>
  <c r="N569" i="2"/>
  <c r="L639" i="2"/>
  <c r="D780" i="2"/>
  <c r="H593" i="2"/>
  <c r="F565" i="2"/>
  <c r="L600" i="2"/>
  <c r="F532" i="2"/>
  <c r="F798" i="2"/>
  <c r="H519" i="2"/>
  <c r="K605" i="2"/>
  <c r="G954" i="2"/>
  <c r="N856" i="2"/>
  <c r="G709" i="2"/>
  <c r="N840" i="2"/>
  <c r="M640" i="2"/>
  <c r="F553" i="2"/>
  <c r="L768" i="2"/>
  <c r="G785" i="2"/>
  <c r="I763" i="2"/>
  <c r="I695" i="2"/>
  <c r="J571" i="2"/>
  <c r="L978" i="2"/>
  <c r="N880" i="2"/>
  <c r="G721" i="2"/>
  <c r="M661" i="2"/>
  <c r="L737" i="2"/>
  <c r="J636" i="2"/>
  <c r="J993" i="2"/>
  <c r="H848" i="2"/>
  <c r="F915" i="2"/>
  <c r="I978" i="2"/>
  <c r="K582" i="2"/>
  <c r="K882" i="2"/>
  <c r="K836" i="2"/>
  <c r="I957" i="2"/>
  <c r="H740" i="2"/>
  <c r="H978" i="2"/>
  <c r="H846" i="2"/>
  <c r="J597" i="2"/>
  <c r="G867" i="2"/>
  <c r="J847" i="2"/>
  <c r="G852" i="2"/>
  <c r="I527" i="2"/>
  <c r="G989" i="2"/>
  <c r="J735" i="2"/>
  <c r="G519" i="2"/>
  <c r="I779" i="2"/>
  <c r="K689" i="2"/>
  <c r="G533" i="2"/>
  <c r="I878" i="2"/>
  <c r="K535" i="2"/>
  <c r="L905" i="2"/>
  <c r="L935" i="2"/>
  <c r="N734" i="2"/>
  <c r="L961" i="2"/>
  <c r="N768" i="2"/>
  <c r="F918" i="2"/>
  <c r="K929" i="2"/>
  <c r="J749" i="2"/>
  <c r="G992" i="2"/>
  <c r="N732" i="2"/>
  <c r="L954" i="2"/>
  <c r="L671" i="2"/>
  <c r="G673" i="2"/>
  <c r="G987" i="2"/>
  <c r="I552" i="2"/>
  <c r="J807" i="2"/>
  <c r="H592" i="2"/>
  <c r="J772" i="2"/>
  <c r="H937" i="2"/>
  <c r="N522" i="2"/>
  <c r="L761" i="2"/>
  <c r="M941" i="2"/>
  <c r="G613" i="2"/>
  <c r="G751" i="2"/>
  <c r="H535" i="2"/>
  <c r="J996" i="2"/>
  <c r="F519" i="2"/>
  <c r="M856" i="2"/>
  <c r="L962" i="2"/>
  <c r="N588" i="2"/>
  <c r="F821" i="2"/>
  <c r="M533" i="2"/>
  <c r="F641" i="2"/>
  <c r="H893" i="2"/>
  <c r="G582" i="2"/>
  <c r="H702" i="2"/>
  <c r="K579" i="2"/>
  <c r="G975" i="2"/>
  <c r="F688" i="2"/>
  <c r="H868" i="2"/>
  <c r="I581" i="2"/>
  <c r="F661" i="2"/>
  <c r="I818" i="2"/>
  <c r="G945" i="2"/>
  <c r="F627" i="2"/>
  <c r="F903" i="2"/>
  <c r="L677" i="2"/>
  <c r="N806" i="2"/>
  <c r="K833" i="2"/>
  <c r="N581" i="2"/>
  <c r="L557" i="2"/>
  <c r="K1001" i="2"/>
  <c r="J678" i="2"/>
  <c r="F882" i="2"/>
  <c r="M652" i="2"/>
  <c r="I901" i="2"/>
  <c r="M526" i="2"/>
  <c r="M696" i="2"/>
  <c r="L913" i="2"/>
  <c r="N857" i="2"/>
  <c r="K662" i="2"/>
  <c r="J760" i="2"/>
  <c r="G714" i="2"/>
  <c r="J920" i="2"/>
  <c r="M984" i="2"/>
  <c r="N790" i="2"/>
  <c r="M662" i="2"/>
  <c r="L774" i="2"/>
  <c r="M1006" i="2"/>
  <c r="H832" i="2"/>
  <c r="K531" i="2"/>
  <c r="H804" i="2"/>
  <c r="F607" i="2"/>
  <c r="I723" i="2"/>
  <c r="H689" i="2"/>
  <c r="L687" i="2"/>
  <c r="M757" i="2"/>
  <c r="L833" i="2"/>
  <c r="M542" i="2"/>
  <c r="L558" i="2"/>
  <c r="M550" i="2"/>
  <c r="J879" i="2"/>
  <c r="I881" i="2"/>
  <c r="K614" i="2"/>
  <c r="J712" i="2"/>
  <c r="M904" i="2"/>
  <c r="N830" i="2"/>
  <c r="M798" i="2"/>
  <c r="N694" i="2"/>
  <c r="M566" i="2"/>
  <c r="L678" i="2"/>
  <c r="L910" i="2"/>
  <c r="H928" i="2"/>
  <c r="J834" i="2"/>
  <c r="H688" i="2"/>
  <c r="G558" i="2"/>
  <c r="M928" i="2"/>
  <c r="N854" i="2"/>
  <c r="E706" i="2"/>
  <c r="L791" i="2"/>
  <c r="K601" i="2"/>
  <c r="N923" i="2"/>
  <c r="N677" i="2"/>
  <c r="L817" i="2"/>
  <c r="N761" i="2"/>
  <c r="E612" i="2"/>
  <c r="N650" i="2"/>
  <c r="I575" i="2"/>
  <c r="F957" i="2"/>
  <c r="J931" i="2"/>
  <c r="J974" i="2"/>
  <c r="F990" i="2"/>
  <c r="H725" i="2"/>
  <c r="E627" i="2"/>
  <c r="J740" i="2"/>
  <c r="D956" i="2"/>
  <c r="H859" i="2"/>
  <c r="H546" i="2"/>
  <c r="K604" i="2"/>
  <c r="K832" i="2"/>
  <c r="F578" i="2"/>
  <c r="K919" i="2"/>
  <c r="H755" i="2"/>
  <c r="E528" i="2"/>
  <c r="G521" i="2"/>
  <c r="F722" i="2"/>
  <c r="I614" i="2"/>
  <c r="J929" i="2"/>
  <c r="E879" i="2"/>
  <c r="H663" i="2"/>
  <c r="D763" i="2"/>
  <c r="I766" i="2"/>
  <c r="L843" i="2"/>
  <c r="J577" i="2"/>
  <c r="L744" i="2"/>
  <c r="M899" i="2"/>
  <c r="G784" i="2"/>
  <c r="K591" i="2"/>
  <c r="I580" i="2"/>
  <c r="H880" i="2"/>
  <c r="F510" i="2"/>
  <c r="M910" i="2"/>
  <c r="K961" i="2"/>
  <c r="L834" i="2"/>
  <c r="D871" i="2"/>
  <c r="L779" i="2"/>
  <c r="J734" i="2"/>
  <c r="J926" i="2"/>
  <c r="G728" i="2"/>
  <c r="G783" i="2"/>
  <c r="E888" i="2"/>
  <c r="L556" i="2"/>
  <c r="M699" i="2"/>
  <c r="J616" i="2"/>
  <c r="M606" i="2"/>
  <c r="I822" i="2"/>
  <c r="H642" i="2"/>
  <c r="K554" i="2"/>
  <c r="K990" i="2"/>
  <c r="E831" i="2"/>
  <c r="M888" i="2"/>
  <c r="L766" i="2"/>
  <c r="M579" i="2"/>
  <c r="L780" i="2"/>
  <c r="H772" i="2"/>
  <c r="G976" i="2"/>
  <c r="I629" i="2"/>
  <c r="J833" i="2"/>
  <c r="E776" i="2"/>
  <c r="H603" i="2"/>
  <c r="D958" i="2"/>
  <c r="G891" i="2"/>
  <c r="J688" i="2"/>
  <c r="N700" i="2"/>
  <c r="H679" i="2"/>
  <c r="J663" i="2"/>
  <c r="G734" i="2"/>
  <c r="F997" i="2"/>
  <c r="N936" i="2"/>
  <c r="L960" i="2"/>
  <c r="M785" i="2"/>
  <c r="L998" i="2"/>
  <c r="M687" i="2"/>
  <c r="I761" i="2"/>
  <c r="D725" i="2"/>
  <c r="H977" i="2"/>
  <c r="M578" i="2"/>
  <c r="E823" i="2"/>
  <c r="G722" i="2"/>
  <c r="M646" i="2"/>
  <c r="L851" i="2"/>
  <c r="L975" i="2"/>
  <c r="J559" i="2"/>
  <c r="J843" i="2"/>
  <c r="G740" i="2"/>
  <c r="H615" i="2"/>
  <c r="N838" i="2"/>
  <c r="K613" i="2"/>
  <c r="L636" i="2"/>
  <c r="M916" i="2"/>
  <c r="J793" i="2"/>
  <c r="M689" i="2"/>
  <c r="J561" i="2"/>
  <c r="H736" i="2"/>
  <c r="G606" i="2"/>
  <c r="K758" i="2"/>
  <c r="G796" i="2"/>
  <c r="M805" i="2"/>
  <c r="N887" i="2"/>
  <c r="K649" i="2"/>
  <c r="N516" i="2"/>
  <c r="M999" i="2"/>
  <c r="E864" i="2"/>
  <c r="I926" i="2"/>
  <c r="K521" i="2"/>
  <c r="F511" i="2"/>
  <c r="H795" i="2"/>
  <c r="N878" i="2"/>
  <c r="M840" i="2"/>
  <c r="L652" i="2"/>
  <c r="K565" i="2"/>
  <c r="N540" i="2"/>
  <c r="N820" i="2"/>
  <c r="J745" i="2"/>
  <c r="J927" i="2"/>
  <c r="K609" i="2"/>
  <c r="F675" i="2"/>
  <c r="G605" i="2"/>
  <c r="N902" i="2"/>
  <c r="L1008" i="2"/>
  <c r="M701" i="2"/>
  <c r="I544" i="2"/>
  <c r="N881" i="2"/>
  <c r="H973" i="2"/>
  <c r="G610" i="2"/>
  <c r="G573" i="2"/>
  <c r="J511" i="2"/>
  <c r="J942" i="2"/>
  <c r="G965" i="2"/>
  <c r="G856" i="2"/>
  <c r="I583" i="2"/>
  <c r="H823" i="2"/>
  <c r="F635" i="2"/>
  <c r="I636" i="2"/>
  <c r="K641" i="2"/>
  <c r="G711" i="2"/>
  <c r="F807" i="2"/>
  <c r="H933" i="2"/>
  <c r="I514" i="2"/>
  <c r="J707" i="2"/>
  <c r="D572" i="2"/>
  <c r="H532" i="2"/>
  <c r="H746" i="2"/>
  <c r="E511" i="2"/>
  <c r="J988" i="2"/>
  <c r="I890" i="2"/>
  <c r="K890" i="2"/>
  <c r="I1001" i="2"/>
  <c r="I798" i="2"/>
  <c r="N817" i="2"/>
  <c r="F746" i="2"/>
  <c r="M694" i="2"/>
  <c r="H553" i="2"/>
  <c r="N852" i="2"/>
  <c r="G761" i="2"/>
  <c r="E687" i="2"/>
  <c r="F879" i="2"/>
  <c r="H556" i="2"/>
  <c r="I769" i="2"/>
  <c r="D595" i="2"/>
  <c r="M784" i="2"/>
  <c r="N605" i="2"/>
  <c r="E572" i="2"/>
  <c r="G583" i="2"/>
  <c r="I787" i="2"/>
  <c r="K842" i="2"/>
  <c r="I830" i="2"/>
  <c r="I616" i="2"/>
  <c r="L973" i="2"/>
  <c r="N673" i="2"/>
  <c r="N664" i="2"/>
  <c r="N951" i="2"/>
  <c r="D533" i="2"/>
  <c r="K725" i="2"/>
  <c r="G870" i="2"/>
  <c r="F570" i="2"/>
  <c r="N946" i="2"/>
  <c r="K589" i="2"/>
  <c r="I697" i="2"/>
  <c r="N553" i="2"/>
  <c r="M730" i="2"/>
  <c r="I867" i="2"/>
  <c r="H712" i="2"/>
  <c r="J676" i="2"/>
  <c r="H976" i="2"/>
  <c r="M773" i="2"/>
  <c r="G674" i="2"/>
  <c r="F926" i="2"/>
  <c r="E708" i="2"/>
  <c r="G794" i="2"/>
  <c r="N530" i="2"/>
  <c r="F762" i="2"/>
  <c r="J966" i="2"/>
  <c r="G619" i="2"/>
  <c r="D912" i="2"/>
  <c r="L874" i="2"/>
  <c r="M599" i="2"/>
  <c r="L781" i="2"/>
  <c r="M924" i="2"/>
  <c r="N757" i="2"/>
  <c r="I796" i="2"/>
  <c r="J844" i="2"/>
  <c r="J640" i="2"/>
  <c r="N911" i="2"/>
  <c r="L797" i="2"/>
  <c r="F613" i="2"/>
  <c r="D816" i="2"/>
  <c r="G937" i="2"/>
  <c r="M602" i="2"/>
  <c r="H666" i="2"/>
  <c r="I842" i="2"/>
  <c r="K594" i="2"/>
  <c r="F590" i="2"/>
  <c r="K637" i="2"/>
  <c r="N594" i="2"/>
  <c r="L814" i="2"/>
  <c r="N986" i="2"/>
  <c r="I962" i="2"/>
  <c r="N675" i="2"/>
  <c r="F772" i="2"/>
  <c r="H723" i="2"/>
  <c r="K653" i="2"/>
  <c r="J607" i="2"/>
  <c r="I891" i="2"/>
  <c r="N935" i="2"/>
  <c r="I592" i="2"/>
  <c r="M977" i="2"/>
  <c r="L550" i="2"/>
  <c r="N829" i="2"/>
  <c r="M713" i="2"/>
  <c r="I518" i="2"/>
  <c r="F616" i="2"/>
  <c r="H618" i="2"/>
  <c r="F794" i="2"/>
  <c r="L888" i="2"/>
  <c r="M790" i="2"/>
  <c r="L566" i="2"/>
  <c r="M1001" i="2"/>
  <c r="L718" i="2"/>
  <c r="N890" i="2"/>
  <c r="I870" i="2"/>
  <c r="G718" i="2"/>
  <c r="F558" i="2"/>
  <c r="G662" i="2"/>
  <c r="J652" i="2"/>
  <c r="L517" i="2"/>
  <c r="M647" i="2"/>
  <c r="H570" i="2"/>
  <c r="L875" i="2"/>
  <c r="L903" i="2"/>
  <c r="D860" i="2"/>
  <c r="K829" i="2"/>
  <c r="G889" i="2"/>
  <c r="L997" i="2"/>
  <c r="L570" i="2"/>
  <c r="M697" i="2"/>
  <c r="L691" i="2"/>
  <c r="M740" i="2"/>
  <c r="E144" i="2"/>
  <c r="E467" i="2"/>
  <c r="D189" i="2"/>
  <c r="M772" i="2"/>
  <c r="M593" i="2"/>
  <c r="G829" i="2"/>
  <c r="M589" i="2"/>
  <c r="N795" i="2"/>
  <c r="D330" i="2"/>
  <c r="D282" i="2"/>
  <c r="M708" i="2"/>
  <c r="L703" i="2"/>
  <c r="M669" i="2"/>
  <c r="N971" i="2"/>
  <c r="M797" i="2"/>
  <c r="K985" i="2"/>
  <c r="M570" i="2"/>
  <c r="G781" i="2"/>
  <c r="E760" i="2"/>
  <c r="D232" i="2"/>
  <c r="D482" i="2"/>
  <c r="E454" i="2"/>
  <c r="E375" i="2"/>
  <c r="L531" i="2"/>
  <c r="K841" i="2"/>
  <c r="N900" i="2"/>
  <c r="M892" i="2"/>
  <c r="J637" i="2"/>
  <c r="M563" i="2"/>
  <c r="D279" i="2"/>
  <c r="D295" i="2"/>
  <c r="L675" i="2"/>
  <c r="L873" i="2"/>
  <c r="L512" i="2"/>
  <c r="I568" i="2"/>
  <c r="N575" i="2"/>
  <c r="M950" i="2"/>
  <c r="E619" i="2"/>
  <c r="M791" i="2"/>
  <c r="L638" i="2"/>
  <c r="L956" i="2"/>
  <c r="M804" i="2"/>
  <c r="M756" i="2"/>
  <c r="L796" i="2"/>
  <c r="I637" i="2"/>
  <c r="L970" i="2"/>
  <c r="D284" i="2"/>
  <c r="E321" i="2"/>
  <c r="D370" i="2"/>
  <c r="N763" i="2"/>
  <c r="N668" i="2"/>
  <c r="M923" i="2"/>
  <c r="J709" i="2"/>
  <c r="M780" i="2"/>
  <c r="L916" i="2"/>
  <c r="I817" i="2"/>
  <c r="N779" i="2"/>
  <c r="E725" i="2"/>
  <c r="M861" i="2"/>
  <c r="D762" i="2"/>
  <c r="E457" i="2"/>
  <c r="D447" i="2"/>
  <c r="L762" i="2"/>
  <c r="N526" i="2"/>
  <c r="M618" i="2"/>
  <c r="N658" i="2"/>
  <c r="M541" i="2"/>
  <c r="D422" i="2"/>
  <c r="E199" i="2"/>
  <c r="E353" i="2"/>
  <c r="D341" i="2"/>
  <c r="L579" i="2"/>
  <c r="M716" i="2"/>
  <c r="N853" i="2"/>
  <c r="L720" i="2"/>
  <c r="N916" i="2"/>
  <c r="J903" i="2"/>
  <c r="N520" i="2"/>
  <c r="N608" i="2"/>
  <c r="D362" i="2"/>
  <c r="E286" i="2"/>
  <c r="D278" i="2"/>
  <c r="D388" i="2"/>
  <c r="M889" i="2"/>
  <c r="L917" i="2"/>
  <c r="I949" i="2"/>
  <c r="L673" i="2"/>
  <c r="N544" i="2"/>
  <c r="N811" i="2"/>
  <c r="L716" i="2"/>
  <c r="D990" i="2"/>
  <c r="D872" i="2"/>
  <c r="M913" i="2"/>
  <c r="L534" i="2"/>
  <c r="M766" i="2"/>
  <c r="G762" i="2"/>
  <c r="E869" i="2"/>
  <c r="M909" i="2"/>
  <c r="L731" i="2"/>
  <c r="N759" i="2"/>
  <c r="E979" i="2"/>
  <c r="I865" i="2"/>
  <c r="M829" i="2"/>
  <c r="M709" i="2"/>
  <c r="L520" i="2"/>
  <c r="M803" i="2"/>
  <c r="N942" i="2"/>
  <c r="D262" i="2"/>
  <c r="L908" i="2"/>
  <c r="D337" i="2"/>
  <c r="E504" i="2"/>
  <c r="E608" i="2"/>
  <c r="N818" i="2"/>
  <c r="M960" i="2"/>
  <c r="N641" i="2"/>
  <c r="M721" i="2"/>
  <c r="E406" i="2"/>
  <c r="E688" i="2"/>
  <c r="E283" i="2"/>
  <c r="N583" i="2"/>
  <c r="N927" i="2"/>
  <c r="L1007" i="2"/>
  <c r="G841" i="2"/>
  <c r="G879" i="2"/>
  <c r="D429" i="2"/>
  <c r="E786" i="2"/>
  <c r="D490" i="2"/>
  <c r="N858" i="2"/>
  <c r="L594" i="2"/>
  <c r="M774" i="2"/>
  <c r="E732" i="2"/>
  <c r="D471" i="2"/>
  <c r="M752" i="2"/>
  <c r="D228" i="2"/>
  <c r="L793" i="2"/>
  <c r="N807" i="2"/>
  <c r="N924" i="2"/>
  <c r="I511" i="2"/>
  <c r="M796" i="2"/>
  <c r="I649" i="2"/>
  <c r="N754" i="2"/>
  <c r="F985" i="2"/>
  <c r="M718" i="2"/>
  <c r="D509" i="2"/>
  <c r="E278" i="2"/>
  <c r="L756" i="2"/>
  <c r="D665" i="2"/>
  <c r="M641" i="2"/>
  <c r="N940" i="2"/>
  <c r="M543" i="2"/>
  <c r="N666" i="2"/>
  <c r="D216" i="2"/>
  <c r="N716" i="2"/>
  <c r="D300" i="2"/>
  <c r="L552" i="2"/>
  <c r="G865" i="2"/>
  <c r="G688" i="2"/>
  <c r="N886" i="2"/>
  <c r="D355" i="2"/>
  <c r="M981" i="2"/>
  <c r="E380" i="2"/>
  <c r="E594" i="2"/>
  <c r="F817" i="2"/>
  <c r="L990" i="2"/>
  <c r="L640" i="2"/>
  <c r="L952" i="2"/>
  <c r="D156" i="2"/>
  <c r="M872" i="2"/>
  <c r="D273" i="2"/>
  <c r="M875" i="2"/>
  <c r="L611" i="2"/>
  <c r="L839" i="2"/>
  <c r="L936" i="2"/>
  <c r="E280" i="2"/>
  <c r="M852" i="2"/>
  <c r="E821" i="2"/>
  <c r="D177" i="2"/>
  <c r="E592" i="2"/>
  <c r="N558" i="2"/>
  <c r="N676" i="2"/>
  <c r="F733" i="2"/>
  <c r="D797" i="2"/>
  <c r="E317" i="2"/>
  <c r="L630" i="2"/>
  <c r="M685" i="2"/>
  <c r="L876" i="2"/>
  <c r="M735" i="2"/>
  <c r="N535" i="2"/>
  <c r="E569" i="2"/>
  <c r="N573" i="2"/>
  <c r="E492" i="2"/>
  <c r="E216" i="2"/>
  <c r="N871" i="2"/>
  <c r="E582" i="2"/>
  <c r="D822" i="2"/>
  <c r="E426" i="2"/>
  <c r="E342" i="2"/>
  <c r="D213" i="2"/>
  <c r="D269" i="2"/>
  <c r="L607" i="2"/>
  <c r="M573" i="2"/>
  <c r="E418" i="2"/>
  <c r="E169" i="2"/>
  <c r="N931" i="2"/>
  <c r="D520" i="2"/>
  <c r="D510" i="2"/>
  <c r="N691" i="2"/>
  <c r="D239" i="2"/>
  <c r="E284" i="2"/>
  <c r="E167" i="2"/>
  <c r="L523" i="2"/>
  <c r="J555" i="2"/>
  <c r="N671" i="2"/>
  <c r="L785" i="2"/>
  <c r="L664" i="2"/>
  <c r="I553" i="2"/>
  <c r="M880" i="2"/>
  <c r="E462" i="2"/>
  <c r="E546" i="2"/>
  <c r="E355" i="2"/>
  <c r="D190" i="2"/>
  <c r="L792" i="2"/>
  <c r="M682" i="2"/>
  <c r="N551" i="2"/>
  <c r="L663" i="2"/>
  <c r="N707" i="2"/>
  <c r="L900" i="2"/>
  <c r="E499" i="2"/>
  <c r="L715" i="2"/>
  <c r="I626" i="2"/>
  <c r="E972" i="2"/>
  <c r="D768" i="2"/>
  <c r="M539" i="2"/>
  <c r="D219" i="2"/>
  <c r="D326" i="2"/>
  <c r="M813" i="2"/>
  <c r="E333" i="2"/>
  <c r="L892" i="2"/>
  <c r="M544" i="2"/>
  <c r="K698" i="2"/>
  <c r="M869" i="2"/>
  <c r="E318" i="2"/>
  <c r="D808" i="2"/>
  <c r="M705" i="2"/>
  <c r="D205" i="2"/>
  <c r="L680" i="2"/>
  <c r="M733" i="2"/>
  <c r="L599" i="2"/>
  <c r="M915" i="2"/>
  <c r="L540" i="2"/>
  <c r="E238" i="2"/>
  <c r="L696" i="2"/>
  <c r="H637" i="2"/>
  <c r="D896" i="2"/>
  <c r="I530" i="2"/>
  <c r="M679" i="2"/>
  <c r="E455" i="2"/>
  <c r="M763" i="2"/>
  <c r="E490" i="2"/>
  <c r="N627" i="2"/>
  <c r="L854" i="2"/>
  <c r="N613" i="2"/>
  <c r="M700" i="2"/>
  <c r="D453" i="2"/>
  <c r="D313" i="2"/>
  <c r="L775" i="2"/>
  <c r="D449" i="2"/>
  <c r="L837" i="2"/>
  <c r="E984" i="2"/>
  <c r="E884" i="2"/>
  <c r="N660" i="2"/>
  <c r="K661" i="2"/>
  <c r="E293" i="2"/>
  <c r="N800" i="2"/>
  <c r="D141" i="2"/>
  <c r="D496" i="2"/>
  <c r="M835" i="2"/>
  <c r="J785" i="2"/>
  <c r="N770" i="2"/>
  <c r="L746" i="2"/>
  <c r="M522" i="2"/>
  <c r="D346" i="2"/>
  <c r="E138" i="2"/>
  <c r="E822" i="2"/>
  <c r="E450" i="2"/>
  <c r="E415" i="2"/>
  <c r="H949" i="2"/>
  <c r="L972" i="2"/>
  <c r="K805" i="2"/>
  <c r="L985" i="2"/>
  <c r="M600" i="2"/>
  <c r="K769" i="2"/>
  <c r="M806" i="2"/>
  <c r="L590" i="2"/>
  <c r="N512" i="2"/>
  <c r="D410" i="2"/>
  <c r="L776" i="2"/>
  <c r="N672" i="2"/>
  <c r="G601" i="2"/>
  <c r="K927" i="2"/>
  <c r="N934" i="2"/>
  <c r="H961" i="2"/>
  <c r="M859" i="2"/>
  <c r="N631" i="2"/>
  <c r="E197" i="2"/>
  <c r="F517" i="2"/>
  <c r="M617" i="2"/>
  <c r="N941" i="2"/>
  <c r="M942" i="2"/>
  <c r="E281" i="2"/>
  <c r="E379" i="2"/>
  <c r="E628" i="2"/>
  <c r="E196" i="2"/>
  <c r="N789" i="2"/>
  <c r="M818" i="2"/>
  <c r="N518" i="2"/>
  <c r="M1000" i="2"/>
  <c r="N711" i="2"/>
  <c r="E265" i="2"/>
  <c r="E1000" i="2"/>
  <c r="D339" i="2"/>
  <c r="N749" i="2"/>
  <c r="K757" i="2"/>
  <c r="J865" i="2"/>
  <c r="N889" i="2"/>
  <c r="G985" i="2"/>
  <c r="D272" i="2"/>
  <c r="M714" i="2"/>
  <c r="N510" i="2"/>
  <c r="N989" i="2"/>
  <c r="E992" i="2"/>
  <c r="E213" i="2"/>
  <c r="E329" i="2"/>
  <c r="N777" i="2"/>
  <c r="E430" i="2"/>
  <c r="D467" i="2"/>
  <c r="L637" i="2"/>
  <c r="N778" i="2"/>
  <c r="I976" i="2"/>
  <c r="M626" i="2"/>
  <c r="E172" i="2"/>
  <c r="E605" i="2"/>
  <c r="K917" i="2"/>
  <c r="M665" i="2"/>
  <c r="M989" i="2"/>
  <c r="H589" i="2"/>
  <c r="N690" i="2"/>
  <c r="D452" i="2"/>
  <c r="M753" i="2"/>
  <c r="N837" i="2"/>
  <c r="E387" i="2"/>
  <c r="M974" i="2"/>
  <c r="M684" i="2"/>
  <c r="M912" i="2"/>
  <c r="L530" i="2"/>
  <c r="D160" i="2"/>
  <c r="E493" i="2"/>
  <c r="N979" i="2"/>
  <c r="E383" i="2"/>
  <c r="L667" i="2"/>
  <c r="E1008" i="2"/>
  <c r="D583" i="2"/>
  <c r="M514" i="2"/>
  <c r="J613" i="2"/>
  <c r="D276" i="2"/>
  <c r="N825" i="2"/>
  <c r="L922" i="2"/>
  <c r="N805" i="2"/>
  <c r="N577" i="2"/>
  <c r="J973" i="2"/>
  <c r="N714" i="2"/>
  <c r="L958" i="2"/>
  <c r="N920" i="2"/>
  <c r="E334" i="2"/>
  <c r="E137" i="2"/>
  <c r="L764" i="2"/>
  <c r="M712" i="2"/>
  <c r="M870" i="2"/>
  <c r="M635" i="2"/>
  <c r="K685" i="2"/>
  <c r="D980" i="2"/>
  <c r="D522" i="2"/>
  <c r="E448" i="2"/>
  <c r="D170" i="2"/>
  <c r="E533" i="2"/>
  <c r="E390" i="2"/>
  <c r="M903" i="2"/>
  <c r="N603" i="2"/>
  <c r="L915" i="2"/>
  <c r="N796" i="2"/>
  <c r="E371" i="2"/>
  <c r="E581" i="2"/>
  <c r="E166" i="2"/>
  <c r="D390" i="2"/>
  <c r="M582" i="2"/>
  <c r="L648" i="2"/>
  <c r="M814" i="2"/>
  <c r="N974" i="2"/>
  <c r="L625" i="2"/>
  <c r="D391" i="2"/>
  <c r="M656" i="2"/>
  <c r="D304" i="2"/>
  <c r="J829" i="2"/>
  <c r="N882" i="2"/>
  <c r="D862" i="2"/>
  <c r="J925" i="2"/>
  <c r="E800" i="2"/>
  <c r="L968" i="2"/>
  <c r="L712" i="2"/>
  <c r="L939" i="2"/>
  <c r="N698" i="2"/>
  <c r="L773" i="2"/>
  <c r="D546" i="2"/>
  <c r="E393" i="2"/>
  <c r="M898" i="2"/>
  <c r="M575" i="2"/>
  <c r="H745" i="2"/>
  <c r="M745" i="2"/>
  <c r="K949" i="2"/>
  <c r="D241" i="2"/>
  <c r="L751" i="2"/>
  <c r="D298" i="2"/>
  <c r="E417" i="2"/>
  <c r="M850" i="2"/>
  <c r="N651" i="2"/>
  <c r="L963" i="2"/>
  <c r="N917" i="2"/>
  <c r="M820" i="2"/>
  <c r="E726" i="2"/>
  <c r="E469" i="2"/>
  <c r="E401" i="2"/>
  <c r="E810" i="2"/>
  <c r="D192" i="2"/>
  <c r="L982" i="2"/>
  <c r="M634" i="2"/>
  <c r="N1006" i="2"/>
  <c r="M959" i="2"/>
  <c r="L872" i="2"/>
  <c r="E175" i="2"/>
  <c r="E173" i="2"/>
  <c r="N808" i="2"/>
  <c r="L569" i="2"/>
  <c r="M831" i="2"/>
  <c r="G517" i="2"/>
  <c r="M546" i="2"/>
  <c r="E354" i="2"/>
  <c r="E834" i="2"/>
  <c r="M833" i="2"/>
  <c r="D545" i="2"/>
  <c r="L510" i="2"/>
  <c r="E840" i="2"/>
  <c r="L748" i="2"/>
  <c r="I793" i="2"/>
  <c r="D810" i="2"/>
  <c r="D473" i="2"/>
  <c r="D438" i="2"/>
  <c r="D678" i="2"/>
  <c r="K541" i="2"/>
  <c r="M964" i="2"/>
  <c r="E919" i="2"/>
  <c r="N738" i="2"/>
  <c r="N977" i="2"/>
  <c r="M631" i="2"/>
  <c r="E215" i="2"/>
  <c r="N715" i="2"/>
  <c r="D267" i="2"/>
  <c r="N733" i="2"/>
  <c r="L709" i="2"/>
  <c r="N568" i="2"/>
  <c r="L710" i="2"/>
  <c r="L717" i="2"/>
  <c r="D264" i="2"/>
  <c r="M742" i="2"/>
  <c r="L586" i="2"/>
  <c r="J697" i="2"/>
  <c r="L984" i="2"/>
  <c r="G793" i="2"/>
  <c r="L562" i="2"/>
  <c r="L609" i="2"/>
  <c r="L885" i="2"/>
  <c r="M529" i="2"/>
  <c r="L509" i="2"/>
  <c r="I578" i="2"/>
  <c r="E835" i="2"/>
  <c r="M678" i="2"/>
  <c r="D569" i="2"/>
  <c r="L722" i="2"/>
  <c r="M865" i="2"/>
  <c r="D713" i="2"/>
  <c r="M711" i="2"/>
  <c r="D393" i="2"/>
  <c r="L859" i="2"/>
  <c r="M535" i="2"/>
  <c r="H858" i="2"/>
  <c r="M738" i="2"/>
  <c r="D790" i="2"/>
  <c r="M731" i="2"/>
  <c r="D968" i="2"/>
  <c r="E414" i="2"/>
  <c r="D964" i="2"/>
  <c r="E136" i="2"/>
  <c r="H985" i="2"/>
  <c r="L757" i="2"/>
  <c r="N616" i="2"/>
  <c r="N843" i="2"/>
  <c r="M938" i="2"/>
  <c r="M704" i="2"/>
  <c r="D378" i="2"/>
  <c r="N656" i="2"/>
  <c r="E209" i="2"/>
  <c r="I709" i="2"/>
  <c r="G577" i="2"/>
  <c r="M587" i="2"/>
  <c r="K901" i="2"/>
  <c r="E369" i="2"/>
  <c r="E558" i="2"/>
  <c r="D322" i="2"/>
  <c r="D406" i="2"/>
  <c r="N891" i="2"/>
  <c r="M998" i="2"/>
  <c r="J763" i="2"/>
  <c r="M917" i="2"/>
  <c r="L650" i="2"/>
  <c r="M907" i="2"/>
  <c r="M583" i="2"/>
  <c r="M819" i="2"/>
  <c r="M937" i="2"/>
  <c r="K711" i="2"/>
  <c r="N879" i="2"/>
  <c r="N1007" i="2"/>
  <c r="E811" i="2"/>
  <c r="L787" i="2"/>
  <c r="D464" i="2"/>
  <c r="L937" i="2"/>
  <c r="D303" i="2"/>
  <c r="M900" i="2"/>
  <c r="F771" i="2"/>
  <c r="N892" i="2"/>
  <c r="M868" i="2"/>
  <c r="M908" i="2"/>
  <c r="D356" i="2"/>
  <c r="D491" i="2"/>
  <c r="N729" i="2"/>
  <c r="E381" i="2"/>
  <c r="L815" i="2"/>
  <c r="L659" i="2"/>
  <c r="M887" i="2"/>
  <c r="L578" i="2"/>
  <c r="N636" i="2"/>
  <c r="L683" i="2"/>
  <c r="E820" i="2"/>
  <c r="E736" i="2"/>
  <c r="N766" i="2"/>
  <c r="L582" i="2"/>
  <c r="J866" i="2"/>
  <c r="M934" i="2"/>
  <c r="D824" i="2"/>
  <c r="L727" i="2"/>
  <c r="D261" i="2"/>
  <c r="D169" i="2"/>
  <c r="E556" i="2"/>
  <c r="N929" i="2"/>
  <c r="M639" i="2"/>
  <c r="L869" i="2"/>
  <c r="M521" i="2"/>
  <c r="N772" i="2"/>
  <c r="N560" i="2"/>
  <c r="N648" i="2"/>
  <c r="L526" i="2"/>
  <c r="M830" i="2"/>
  <c r="N541" i="2"/>
  <c r="E170" i="2"/>
  <c r="N812" i="2"/>
  <c r="D462" i="2"/>
  <c r="E207" i="2"/>
  <c r="M978" i="2"/>
  <c r="N736" i="2"/>
  <c r="L545" i="2"/>
  <c r="N990" i="2"/>
  <c r="L893" i="2"/>
  <c r="E617" i="2"/>
  <c r="E259" i="2"/>
  <c r="M607" i="2"/>
  <c r="L866" i="2"/>
  <c r="M935" i="2"/>
  <c r="L626" i="2"/>
  <c r="M769" i="2"/>
  <c r="L610" i="2"/>
  <c r="L657" i="2"/>
  <c r="E236" i="2"/>
  <c r="M933" i="2"/>
  <c r="M609" i="2"/>
  <c r="M881" i="2"/>
  <c r="L642" i="2"/>
  <c r="M822" i="2"/>
  <c r="G805" i="2"/>
  <c r="E907" i="2"/>
  <c r="D430" i="2"/>
  <c r="L739" i="2"/>
  <c r="E195" i="2"/>
  <c r="L841" i="2"/>
  <c r="G685" i="2"/>
  <c r="L647" i="2"/>
  <c r="M963" i="2"/>
  <c r="L759" i="2"/>
  <c r="N816" i="2"/>
  <c r="N860" i="2"/>
  <c r="D257" i="2"/>
  <c r="N681" i="2"/>
  <c r="G569" i="2"/>
  <c r="L666" i="2"/>
  <c r="I661" i="2"/>
  <c r="G529" i="2"/>
  <c r="E749" i="2"/>
  <c r="N782" i="2"/>
  <c r="M902" i="2"/>
  <c r="N661" i="2"/>
  <c r="L821" i="2"/>
  <c r="I613" i="2"/>
  <c r="D478" i="2"/>
  <c r="E242" i="2"/>
  <c r="D342" i="2"/>
  <c r="D344" i="2"/>
  <c r="N885" i="2"/>
  <c r="E255" i="2"/>
  <c r="E319" i="2"/>
  <c r="E453" i="2"/>
  <c r="E205" i="2"/>
  <c r="E181" i="2"/>
  <c r="N955" i="2"/>
  <c r="E477" i="2"/>
  <c r="E483" i="2"/>
  <c r="E466" i="2"/>
  <c r="E487" i="2"/>
  <c r="E151" i="2"/>
  <c r="E305" i="2"/>
  <c r="N827" i="2"/>
  <c r="N896" i="2"/>
  <c r="D508" i="2"/>
  <c r="D179" i="2"/>
  <c r="D499" i="2"/>
  <c r="E479" i="2"/>
  <c r="E162" i="2"/>
  <c r="L931" i="2"/>
  <c r="L871" i="2"/>
  <c r="E187" i="2"/>
  <c r="E176" i="2"/>
  <c r="D255" i="2"/>
  <c r="M633" i="2"/>
  <c r="D372" i="2"/>
  <c r="N740" i="2"/>
  <c r="E312" i="2"/>
  <c r="L802" i="2"/>
  <c r="N705" i="2"/>
  <c r="E677" i="2"/>
  <c r="E359" i="2"/>
  <c r="D336" i="2"/>
  <c r="N875" i="2"/>
  <c r="E882" i="2"/>
  <c r="D507" i="2"/>
  <c r="D368" i="2"/>
  <c r="D180" i="2"/>
  <c r="D191" i="2"/>
  <c r="D448" i="2"/>
  <c r="M597" i="2"/>
  <c r="E398" i="2"/>
  <c r="D268" i="2"/>
  <c r="D136" i="2"/>
  <c r="D143" i="2"/>
  <c r="E264" i="2"/>
  <c r="M1003" i="2"/>
  <c r="E157" i="2"/>
  <c r="E916" i="2"/>
  <c r="D653" i="2"/>
  <c r="D505" i="2"/>
  <c r="D230" i="2"/>
  <c r="D296" i="2"/>
  <c r="D357" i="2"/>
  <c r="M681" i="2"/>
  <c r="E616" i="2"/>
  <c r="N980" i="2"/>
  <c r="D223" i="2"/>
  <c r="L729" i="2"/>
  <c r="E845" i="2"/>
  <c r="E714" i="2"/>
  <c r="D493" i="2"/>
  <c r="N928" i="2"/>
  <c r="L617" i="2"/>
  <c r="G589" i="2"/>
  <c r="L624" i="2"/>
  <c r="E752" i="2"/>
  <c r="M549" i="2"/>
  <c r="D270" i="2"/>
  <c r="E471" i="2"/>
  <c r="N776" i="2"/>
  <c r="N995" i="2"/>
  <c r="N579" i="2"/>
  <c r="L806" i="2"/>
  <c r="M986" i="2"/>
  <c r="E978" i="2"/>
  <c r="E234" i="2"/>
  <c r="D316" i="2"/>
  <c r="D882" i="2"/>
  <c r="D465" i="2"/>
  <c r="M839" i="2"/>
  <c r="F793" i="2"/>
  <c r="I663" i="2"/>
  <c r="M1007" i="2"/>
  <c r="N634" i="2"/>
  <c r="E593" i="2"/>
  <c r="D226" i="2"/>
  <c r="D381" i="2"/>
  <c r="D966" i="2"/>
  <c r="L518" i="2"/>
  <c r="M724" i="2"/>
  <c r="F757" i="2"/>
  <c r="M594" i="2"/>
  <c r="N845" i="2"/>
  <c r="M751" i="2"/>
  <c r="D457" i="2"/>
  <c r="L980" i="2"/>
  <c r="L653" i="2"/>
  <c r="N709" i="2"/>
  <c r="L807" i="2"/>
  <c r="N998" i="2"/>
  <c r="M968" i="2"/>
  <c r="L676" i="2"/>
  <c r="K997" i="2"/>
  <c r="I577" i="2"/>
  <c r="L804" i="2"/>
  <c r="F697" i="2"/>
  <c r="E335" i="2"/>
  <c r="D654" i="2"/>
  <c r="E253" i="2"/>
  <c r="D443" i="2"/>
  <c r="N515" i="2"/>
  <c r="L842" i="2"/>
  <c r="D648" i="2"/>
  <c r="L928" i="2"/>
  <c r="M532" i="2"/>
  <c r="L765" i="2"/>
  <c r="E357" i="2"/>
  <c r="M717" i="2"/>
  <c r="M698" i="2"/>
  <c r="J687" i="2"/>
  <c r="M552" i="2"/>
  <c r="M755" i="2"/>
  <c r="N932" i="2"/>
  <c r="D451" i="2"/>
  <c r="E203" i="2"/>
  <c r="D724" i="2"/>
  <c r="E431" i="2"/>
  <c r="N976" i="2"/>
  <c r="M592" i="2"/>
  <c r="J986" i="2"/>
  <c r="M990" i="2"/>
  <c r="N617" i="2"/>
  <c r="N968" i="2"/>
  <c r="N692" i="2"/>
  <c r="E290" i="2"/>
  <c r="N728" i="2"/>
  <c r="H577" i="2"/>
  <c r="J889" i="2"/>
  <c r="N937" i="2"/>
  <c r="M611" i="2"/>
  <c r="N910" i="2"/>
  <c r="E666" i="2"/>
  <c r="D917" i="2"/>
  <c r="M603" i="2"/>
  <c r="K817" i="2"/>
  <c r="L546" i="2"/>
  <c r="M726" i="2"/>
  <c r="L813" i="2"/>
  <c r="N997" i="2"/>
  <c r="N828" i="2"/>
  <c r="I1000" i="2"/>
  <c r="M759" i="2"/>
  <c r="L953" i="2"/>
  <c r="D427" i="2"/>
  <c r="E306" i="2"/>
  <c r="L627" i="2"/>
  <c r="L825" i="2"/>
  <c r="D458" i="2"/>
  <c r="D319" i="2"/>
  <c r="M645" i="2"/>
  <c r="N969" i="2"/>
  <c r="E300" i="2"/>
  <c r="D347" i="2"/>
  <c r="D450" i="2"/>
  <c r="D486" i="2"/>
  <c r="E322" i="2"/>
  <c r="E881" i="2"/>
  <c r="E298" i="2"/>
  <c r="D360" i="2"/>
  <c r="D425" i="2"/>
  <c r="D188" i="2"/>
  <c r="L1003" i="2"/>
  <c r="M837" i="2"/>
  <c r="M884" i="2"/>
  <c r="E291" i="2"/>
  <c r="D428" i="2"/>
  <c r="L543" i="2"/>
  <c r="M555" i="2"/>
  <c r="M558" i="2"/>
  <c r="G712" i="2"/>
  <c r="L941" i="2"/>
  <c r="M969" i="2"/>
  <c r="D437" i="2"/>
  <c r="M643" i="2"/>
  <c r="D386" i="2"/>
  <c r="L940" i="2"/>
  <c r="L589" i="2"/>
  <c r="M732" i="2"/>
  <c r="I664" i="2"/>
  <c r="L535" i="2"/>
  <c r="D227" i="2"/>
  <c r="L811" i="2"/>
  <c r="D774" i="2"/>
  <c r="L603" i="2"/>
  <c r="E679" i="2"/>
  <c r="M562" i="2"/>
  <c r="K925" i="2"/>
  <c r="N918" i="2"/>
  <c r="L812" i="2"/>
  <c r="D221" i="2"/>
  <c r="L573" i="2"/>
  <c r="N953" i="2"/>
  <c r="N794" i="2"/>
  <c r="L942" i="2"/>
  <c r="N592" i="2"/>
  <c r="N867" i="2"/>
  <c r="M823" i="2"/>
  <c r="D181" i="2"/>
  <c r="L933" i="2"/>
  <c r="I997" i="2"/>
  <c r="M841" i="2"/>
  <c r="N637" i="2"/>
  <c r="L613" i="2"/>
  <c r="E738" i="2"/>
  <c r="J541" i="2"/>
  <c r="N809" i="2"/>
  <c r="L618" i="2"/>
  <c r="L838" i="2"/>
  <c r="L966" i="2"/>
  <c r="L907" i="2"/>
  <c r="D168" i="2"/>
  <c r="E352" i="2"/>
  <c r="M715" i="2"/>
  <c r="L951" i="2"/>
  <c r="M1008" i="2"/>
  <c r="L711" i="2"/>
  <c r="M854" i="2"/>
  <c r="N602" i="2"/>
  <c r="E640" i="2"/>
  <c r="E892" i="2"/>
  <c r="L644" i="2"/>
  <c r="N654" i="2"/>
  <c r="M610" i="2"/>
  <c r="J949" i="2"/>
  <c r="I529" i="2"/>
  <c r="M799" i="2"/>
  <c r="E402" i="2"/>
  <c r="E419" i="2"/>
  <c r="L560" i="2"/>
  <c r="G973" i="2"/>
  <c r="N566" i="2"/>
  <c r="M545" i="2"/>
  <c r="L844" i="2"/>
  <c r="M853" i="2"/>
  <c r="M921" i="2"/>
  <c r="D494" i="2"/>
  <c r="E712" i="2"/>
  <c r="L816" i="2"/>
  <c r="D624" i="2"/>
  <c r="G949" i="2"/>
  <c r="N529" i="2"/>
  <c r="N903" i="2"/>
  <c r="N708" i="2"/>
  <c r="M580" i="2"/>
  <c r="M644" i="2"/>
  <c r="D247" i="2"/>
  <c r="M596" i="2"/>
  <c r="D345" i="2"/>
  <c r="K914" i="2"/>
  <c r="M527" i="2"/>
  <c r="N730" i="2"/>
  <c r="M612" i="2"/>
  <c r="E481" i="2"/>
  <c r="D198" i="2"/>
  <c r="M764" i="2"/>
  <c r="E182" i="2"/>
  <c r="E473" i="2"/>
  <c r="K625" i="2"/>
  <c r="M879" i="2"/>
  <c r="G541" i="2"/>
  <c r="E967" i="2"/>
  <c r="L904" i="2"/>
  <c r="N753" i="2"/>
  <c r="L539" i="2"/>
  <c r="D834" i="2"/>
  <c r="N898" i="2"/>
  <c r="H761" i="2"/>
  <c r="N722" i="2"/>
  <c r="L698" i="2"/>
  <c r="D641" i="2"/>
  <c r="D311" i="2"/>
  <c r="N607" i="2"/>
  <c r="J937" i="2"/>
  <c r="M827" i="2"/>
  <c r="L563" i="2"/>
  <c r="I937" i="2"/>
  <c r="L835" i="2"/>
  <c r="J795" i="2"/>
  <c r="L927" i="2"/>
  <c r="K793" i="2"/>
  <c r="N1001" i="2"/>
  <c r="M605" i="2"/>
  <c r="L895" i="2"/>
  <c r="E808" i="2"/>
  <c r="L783" i="2"/>
  <c r="N599" i="2"/>
  <c r="M637" i="2"/>
  <c r="L828" i="2"/>
  <c r="E737" i="2"/>
  <c r="E445" i="2"/>
  <c r="E690" i="2"/>
  <c r="D137" i="2"/>
  <c r="L634" i="2"/>
  <c r="G565" i="2"/>
  <c r="E886" i="2"/>
  <c r="L522" i="2"/>
  <c r="N669" i="2"/>
  <c r="E263" i="2"/>
  <c r="N981" i="2"/>
  <c r="L513" i="2"/>
  <c r="E211" i="2"/>
  <c r="H865" i="2"/>
  <c r="M862" i="2"/>
  <c r="N531" i="2"/>
  <c r="L758" i="2"/>
  <c r="N983" i="2"/>
  <c r="L643" i="2"/>
  <c r="E232" i="2"/>
  <c r="M595" i="2"/>
  <c r="L592" i="2"/>
  <c r="I602" i="2"/>
  <c r="D883" i="2"/>
  <c r="D516" i="2"/>
  <c r="L943" i="2"/>
  <c r="D194" i="2"/>
  <c r="E439" i="2"/>
  <c r="E876" i="2"/>
  <c r="J913" i="2"/>
  <c r="L755" i="2"/>
  <c r="H613" i="2"/>
  <c r="I952" i="2"/>
  <c r="D158" i="2"/>
  <c r="M825" i="2"/>
  <c r="D364" i="2"/>
  <c r="F805" i="2"/>
  <c r="J685" i="2"/>
  <c r="E955" i="2"/>
  <c r="N610" i="2"/>
  <c r="E185" i="2"/>
  <c r="E219" i="2"/>
  <c r="D846" i="2"/>
  <c r="D383" i="2"/>
  <c r="D629" i="2"/>
  <c r="F770" i="2"/>
  <c r="M965" i="2"/>
  <c r="N783" i="2"/>
  <c r="D881" i="2"/>
  <c r="D906" i="2"/>
  <c r="E870" i="2"/>
  <c r="D157" i="2"/>
  <c r="L670" i="2"/>
  <c r="L926" i="2"/>
  <c r="M636" i="2"/>
  <c r="N864" i="2"/>
  <c r="M896" i="2"/>
  <c r="E480" i="2"/>
  <c r="E178" i="2"/>
  <c r="N992" i="2"/>
  <c r="E316" i="2"/>
  <c r="L889" i="2"/>
  <c r="H925" i="2"/>
  <c r="F745" i="2"/>
  <c r="G818" i="2"/>
  <c r="M788" i="2"/>
  <c r="L856" i="2"/>
  <c r="M554" i="2"/>
  <c r="N762" i="2"/>
  <c r="M939" i="2"/>
  <c r="N687" i="2"/>
  <c r="D870" i="2"/>
  <c r="E436" i="2"/>
  <c r="D479" i="2"/>
  <c r="D521" i="2"/>
  <c r="E588" i="2"/>
  <c r="M683" i="2"/>
  <c r="N982" i="2"/>
  <c r="L1006" i="2"/>
  <c r="L860" i="2"/>
  <c r="D150" i="2"/>
  <c r="L621" i="2"/>
  <c r="E295" i="2"/>
  <c r="H544" i="2"/>
  <c r="M510" i="2"/>
  <c r="N831" i="2"/>
  <c r="D643" i="2"/>
  <c r="N788" i="2"/>
  <c r="L921" i="2"/>
  <c r="D371" i="2"/>
  <c r="M877" i="2"/>
  <c r="J721" i="2"/>
  <c r="L541" i="2"/>
  <c r="N682" i="2"/>
  <c r="L549" i="2"/>
  <c r="L596" i="2"/>
  <c r="E405" i="2"/>
  <c r="N824" i="2"/>
  <c r="K865" i="2"/>
  <c r="D948" i="2"/>
  <c r="M569" i="2"/>
  <c r="N893" i="2"/>
  <c r="N547" i="2"/>
  <c r="E201" i="2"/>
  <c r="H841" i="2"/>
  <c r="G745" i="2"/>
  <c r="D584" i="2"/>
  <c r="L891" i="2"/>
  <c r="N683" i="2"/>
  <c r="D147" i="2"/>
  <c r="L547" i="2"/>
  <c r="D293" i="2"/>
  <c r="D773" i="2"/>
  <c r="M690" i="2"/>
  <c r="L1000" i="2"/>
  <c r="H565" i="2"/>
  <c r="N859" i="2"/>
  <c r="D809" i="2"/>
  <c r="D380" i="2"/>
  <c r="E580" i="2"/>
  <c r="N743" i="2"/>
  <c r="M520" i="2"/>
  <c r="M807" i="2"/>
  <c r="M901" i="2"/>
  <c r="L847" i="2"/>
  <c r="D334" i="2"/>
  <c r="E200" i="2"/>
  <c r="L668" i="2"/>
  <c r="D376" i="2"/>
  <c r="M866" i="2"/>
  <c r="L934" i="2"/>
  <c r="M586" i="2"/>
  <c r="N958" i="2"/>
  <c r="M849" i="2"/>
  <c r="N933" i="2"/>
  <c r="E497" i="2"/>
  <c r="K553" i="2"/>
  <c r="D1006" i="2"/>
  <c r="N701" i="2"/>
  <c r="F709" i="2"/>
  <c r="L580" i="2"/>
  <c r="L672" i="2"/>
  <c r="M722" i="2"/>
  <c r="N913" i="2"/>
  <c r="L948" i="2"/>
  <c r="E444" i="2"/>
  <c r="D159" i="2"/>
  <c r="N751" i="2"/>
  <c r="D236" i="2"/>
  <c r="D672" i="2"/>
  <c r="G853" i="2"/>
  <c r="K709" i="2"/>
  <c r="D655" i="2"/>
  <c r="D760" i="2"/>
  <c r="E158" i="2"/>
  <c r="L587" i="2"/>
  <c r="N679" i="2"/>
  <c r="E494" i="2"/>
  <c r="M568" i="2"/>
  <c r="M855" i="2"/>
  <c r="M949" i="2"/>
  <c r="N593" i="2"/>
  <c r="E363" i="2"/>
  <c r="D455" i="2"/>
  <c r="N655" i="2"/>
  <c r="E230" i="2"/>
  <c r="D184" i="2"/>
  <c r="L665" i="2"/>
  <c r="J890" i="2"/>
  <c r="M982" i="2"/>
  <c r="H697" i="2"/>
  <c r="L1004" i="2"/>
  <c r="D400" i="2"/>
  <c r="E221" i="2"/>
  <c r="M777" i="2"/>
  <c r="D396" i="2"/>
  <c r="F529" i="2"/>
  <c r="L855" i="2"/>
  <c r="N555" i="2"/>
  <c r="K703" i="2"/>
  <c r="D377" i="2"/>
  <c r="D209" i="2"/>
  <c r="E740" i="2"/>
  <c r="L877" i="2"/>
  <c r="N534" i="2"/>
  <c r="M817" i="2"/>
  <c r="H853" i="2"/>
  <c r="L920" i="2"/>
  <c r="L967" i="2"/>
  <c r="M667" i="2"/>
  <c r="M988" i="2"/>
  <c r="L794" i="2"/>
  <c r="E667" i="2"/>
  <c r="N869" i="2"/>
  <c r="E191" i="2"/>
  <c r="N847" i="2"/>
  <c r="D434" i="2"/>
  <c r="M559" i="2"/>
  <c r="M951" i="2"/>
  <c r="M985" i="2"/>
  <c r="M659" i="2"/>
  <c r="N528" i="2"/>
  <c r="M957" i="2"/>
  <c r="E262" i="2"/>
  <c r="D338" i="2"/>
  <c r="D978" i="2"/>
  <c r="E180" i="2"/>
  <c r="N842" i="2"/>
  <c r="I685" i="2"/>
  <c r="G553" i="2"/>
  <c r="G997" i="2"/>
  <c r="D454" i="2"/>
  <c r="E618" i="2"/>
  <c r="D151" i="2"/>
  <c r="D379" i="2"/>
  <c r="N785" i="2"/>
  <c r="L521" i="2"/>
  <c r="M783" i="2"/>
  <c r="L846" i="2"/>
  <c r="E411" i="2"/>
  <c r="H709" i="2"/>
  <c r="G736" i="2"/>
  <c r="N552" i="2"/>
  <c r="L576" i="2"/>
  <c r="N921" i="2"/>
  <c r="D324" i="2"/>
  <c r="L836" i="2"/>
  <c r="N731" i="2"/>
  <c r="E946" i="2"/>
  <c r="N786" i="2"/>
  <c r="K745" i="2"/>
  <c r="E918" i="2"/>
  <c r="D351" i="2"/>
  <c r="D690" i="2"/>
  <c r="E198" i="2"/>
  <c r="D426" i="2"/>
  <c r="N542" i="2"/>
  <c r="M707" i="2"/>
  <c r="N576" i="2"/>
  <c r="L615" i="2"/>
  <c r="D415" i="2"/>
  <c r="N723" i="2"/>
  <c r="E774" i="2"/>
  <c r="E289" i="2"/>
  <c r="L728" i="2"/>
  <c r="I650" i="2"/>
  <c r="F781" i="2"/>
  <c r="M642" i="2"/>
  <c r="N966" i="2"/>
  <c r="E701" i="2"/>
  <c r="E282" i="2"/>
  <c r="D419" i="2"/>
  <c r="L919" i="2"/>
  <c r="D495" i="2"/>
  <c r="J533" i="2"/>
  <c r="N685" i="2"/>
  <c r="L661" i="2"/>
  <c r="N926" i="2"/>
  <c r="D152" i="2"/>
  <c r="D204" i="2"/>
  <c r="N657" i="2"/>
  <c r="D244" i="2"/>
  <c r="E245" i="2"/>
  <c r="H661" i="2"/>
  <c r="E576" i="2"/>
  <c r="J842" i="2"/>
  <c r="J901" i="2"/>
  <c r="E413" i="2"/>
  <c r="N906" i="2"/>
  <c r="N737" i="2"/>
  <c r="L902" i="2"/>
  <c r="M653" i="2"/>
  <c r="J625" i="2"/>
  <c r="E642" i="2"/>
  <c r="N703" i="2"/>
  <c r="L561" i="2"/>
  <c r="E337" i="2"/>
  <c r="E246" i="2"/>
  <c r="M668" i="2"/>
  <c r="E832" i="2"/>
  <c r="D772" i="2"/>
  <c r="N537" i="2"/>
  <c r="M765" i="2"/>
  <c r="L619" i="2"/>
  <c r="D558" i="2"/>
  <c r="N752" i="2"/>
  <c r="E502" i="2"/>
  <c r="E233" i="2"/>
  <c r="D250" i="2"/>
  <c r="E294" i="2"/>
  <c r="N693" i="2"/>
  <c r="E988" i="2"/>
  <c r="D786" i="2"/>
  <c r="E521" i="2"/>
  <c r="E630" i="2"/>
  <c r="D238" i="2"/>
  <c r="E311" i="2"/>
  <c r="L692" i="2"/>
  <c r="E857" i="2"/>
  <c r="D175" i="2"/>
  <c r="E304" i="2"/>
  <c r="E372" i="2"/>
  <c r="D329" i="2"/>
  <c r="E905" i="2"/>
  <c r="E260" i="2"/>
  <c r="D178" i="2"/>
  <c r="E208" i="2"/>
  <c r="D237" i="2"/>
  <c r="D235" i="2"/>
  <c r="M776" i="2"/>
  <c r="M511" i="2"/>
  <c r="L800" i="2"/>
  <c r="D185" i="2"/>
  <c r="E478" i="2"/>
  <c r="D399" i="2"/>
  <c r="N883" i="2"/>
  <c r="E438" i="2"/>
  <c r="N741" i="2"/>
  <c r="E570" i="2"/>
  <c r="D930" i="2"/>
  <c r="E394" i="2"/>
  <c r="E225" i="2"/>
  <c r="E441" i="2"/>
  <c r="L632" i="2"/>
  <c r="N1005" i="2"/>
  <c r="L993" i="2"/>
  <c r="E392" i="2"/>
  <c r="E437" i="2"/>
  <c r="D498" i="2"/>
  <c r="D286" i="2"/>
  <c r="E384" i="2"/>
  <c r="N645" i="2"/>
  <c r="E844" i="2"/>
  <c r="E928" i="2"/>
  <c r="D463" i="2"/>
  <c r="N985" i="2"/>
  <c r="E327" i="2"/>
  <c r="M836" i="2"/>
  <c r="D475" i="2"/>
  <c r="E222" i="2"/>
  <c r="E143" i="2"/>
  <c r="D349" i="2"/>
  <c r="D207" i="2"/>
  <c r="N549" i="2"/>
  <c r="D477" i="2"/>
  <c r="E229" i="2"/>
  <c r="F769" i="2"/>
  <c r="E440" i="2"/>
  <c r="D361" i="2"/>
  <c r="L987" i="2"/>
  <c r="M987" i="2"/>
  <c r="N950" i="2"/>
  <c r="M750" i="2"/>
  <c r="N527" i="2"/>
  <c r="N589" i="2"/>
  <c r="D702" i="2"/>
  <c r="E350" i="2"/>
  <c r="N559" i="2"/>
  <c r="E420" i="2"/>
  <c r="E256" i="2"/>
  <c r="E545" i="2"/>
  <c r="M931" i="2"/>
  <c r="E367" i="2"/>
  <c r="D748" i="2"/>
  <c r="M536" i="2"/>
  <c r="E301" i="2"/>
  <c r="D1002" i="2"/>
  <c r="E365" i="2"/>
  <c r="E366" i="2"/>
  <c r="E247" i="2"/>
  <c r="M789" i="2"/>
  <c r="E446" i="2"/>
  <c r="M945" i="2"/>
  <c r="D165" i="2"/>
  <c r="N993" i="2"/>
  <c r="D215" i="2"/>
  <c r="N991" i="2"/>
  <c r="D202" i="2"/>
  <c r="D420" i="2"/>
  <c r="E328" i="2"/>
  <c r="E210" i="2"/>
  <c r="E964" i="2"/>
  <c r="E235" i="2"/>
  <c r="E349" i="2"/>
  <c r="N909" i="2"/>
  <c r="E331" i="2"/>
  <c r="E356" i="2"/>
  <c r="D476" i="2"/>
  <c r="E252" i="2"/>
  <c r="N739" i="2"/>
  <c r="E332" i="2"/>
  <c r="L536" i="2"/>
  <c r="E296" i="2"/>
  <c r="E269" i="2"/>
  <c r="D277" i="2"/>
  <c r="M800" i="2"/>
  <c r="L706" i="2"/>
  <c r="E231" i="2"/>
  <c r="E459" i="2"/>
  <c r="M608" i="2"/>
  <c r="E188" i="2"/>
  <c r="E344" i="2"/>
  <c r="E416" i="2"/>
  <c r="N643" i="2"/>
  <c r="L959" i="2"/>
  <c r="E250" i="2"/>
  <c r="D382" i="2"/>
  <c r="N899" i="2"/>
  <c r="N961" i="2"/>
  <c r="L565" i="2"/>
  <c r="N726" i="2"/>
  <c r="K733" i="2"/>
  <c r="L515" i="2"/>
  <c r="L752" i="2"/>
  <c r="D323" i="2"/>
  <c r="E292" i="2"/>
  <c r="N944" i="2"/>
  <c r="D798" i="2"/>
  <c r="E155" i="2"/>
  <c r="M727" i="2"/>
  <c r="D328" i="2"/>
  <c r="D186" i="2"/>
  <c r="M1004" i="2"/>
  <c r="D265" i="2"/>
  <c r="M920" i="2"/>
  <c r="L992" i="2"/>
  <c r="D307" i="2"/>
  <c r="D359" i="2"/>
  <c r="D155" i="2"/>
  <c r="D299" i="2"/>
  <c r="E796" i="2"/>
  <c r="D375" i="2"/>
  <c r="D308" i="2"/>
  <c r="E700" i="2"/>
  <c r="E460" i="2"/>
  <c r="D952" i="2"/>
  <c r="N764" i="2"/>
  <c r="D480" i="2"/>
  <c r="N861" i="2"/>
  <c r="E270" i="2"/>
  <c r="E893" i="2"/>
  <c r="D174" i="2"/>
  <c r="L595" i="2"/>
  <c r="D441" i="2"/>
  <c r="E534" i="2"/>
  <c r="D166" i="2"/>
  <c r="E206" i="2"/>
  <c r="E498" i="2"/>
  <c r="E368" i="2"/>
  <c r="M926" i="2"/>
  <c r="E501" i="2"/>
  <c r="D212" i="2"/>
  <c r="M871" i="2"/>
  <c r="D283" i="2"/>
  <c r="M824" i="2"/>
  <c r="D894" i="2"/>
  <c r="D466" i="2"/>
  <c r="L645" i="2"/>
  <c r="L583" i="2"/>
  <c r="E880" i="2"/>
  <c r="N585" i="2"/>
  <c r="D139" i="2"/>
  <c r="D320" i="2"/>
  <c r="L1005" i="2"/>
  <c r="E522" i="2"/>
  <c r="D309" i="2"/>
  <c r="E748" i="2"/>
  <c r="E212" i="2"/>
  <c r="N1004" i="2"/>
  <c r="E302" i="2"/>
  <c r="D201" i="2"/>
  <c r="H639" i="2"/>
  <c r="E323" i="2"/>
  <c r="L574" i="2"/>
  <c r="M624" i="2"/>
  <c r="M743" i="2"/>
  <c r="G808" i="2"/>
  <c r="N834" i="2"/>
  <c r="L705" i="2"/>
  <c r="L514" i="2"/>
  <c r="D500" i="2"/>
  <c r="M571" i="2"/>
  <c r="D149" i="2"/>
  <c r="N595" i="2"/>
  <c r="D254" i="2"/>
  <c r="E557" i="2"/>
  <c r="E314" i="2"/>
  <c r="L584" i="2"/>
  <c r="L669" i="2"/>
  <c r="L511" i="2"/>
  <c r="D231" i="2"/>
  <c r="D297" i="2"/>
  <c r="M619" i="2"/>
  <c r="E488" i="2"/>
  <c r="D468" i="2"/>
  <c r="M919" i="2"/>
  <c r="N536" i="2"/>
  <c r="E186" i="2"/>
  <c r="M572" i="2"/>
  <c r="D171" i="2"/>
  <c r="E364" i="2"/>
  <c r="E833" i="2"/>
  <c r="D200" i="2"/>
  <c r="D373" i="2"/>
  <c r="D183" i="2"/>
  <c r="E809" i="2"/>
  <c r="E409" i="2"/>
  <c r="F721" i="2"/>
  <c r="D954" i="2"/>
  <c r="D354" i="2"/>
  <c r="D506" i="2"/>
  <c r="L945" i="2"/>
  <c r="D331" i="2"/>
  <c r="E276" i="2"/>
  <c r="E150" i="2"/>
  <c r="E772" i="2"/>
  <c r="E989" i="2"/>
  <c r="D340" i="2"/>
  <c r="N596" i="2"/>
  <c r="M729" i="2"/>
  <c r="D439" i="2"/>
  <c r="D243" i="2"/>
  <c r="E489" i="2"/>
  <c r="D456" i="2"/>
  <c r="M560" i="2"/>
  <c r="L524" i="2"/>
  <c r="E326" i="2"/>
  <c r="E461" i="2"/>
  <c r="D976" i="2"/>
  <c r="L704" i="2"/>
  <c r="D594" i="2"/>
  <c r="G817" i="2"/>
  <c r="E421" i="2"/>
  <c r="D224" i="2"/>
  <c r="I601" i="2"/>
  <c r="J673" i="2"/>
  <c r="I913" i="2"/>
  <c r="M518" i="2"/>
  <c r="L964" i="2"/>
  <c r="D727" i="2"/>
  <c r="D222" i="2"/>
  <c r="L969" i="2"/>
  <c r="D253" i="2"/>
  <c r="E403" i="2"/>
  <c r="M524" i="2"/>
  <c r="E249" i="2"/>
  <c r="D229" i="2"/>
  <c r="E223" i="2"/>
  <c r="L631" i="2"/>
  <c r="E251" i="2"/>
  <c r="D1000" i="2"/>
  <c r="E391" i="2"/>
  <c r="L572" i="2"/>
  <c r="E220" i="2"/>
  <c r="D459" i="2"/>
  <c r="E248" i="2"/>
  <c r="L957" i="2"/>
  <c r="D234" i="2"/>
  <c r="E214" i="2"/>
  <c r="E279" i="2"/>
  <c r="L861" i="2"/>
  <c r="N644" i="2"/>
  <c r="E676" i="2"/>
  <c r="E428" i="2"/>
  <c r="D367" i="2"/>
  <c r="E140" i="2"/>
  <c r="E277" i="2"/>
  <c r="N632" i="2"/>
  <c r="D164" i="2"/>
  <c r="D352" i="2"/>
  <c r="E330" i="2"/>
  <c r="L886" i="2"/>
  <c r="L763" i="2"/>
  <c r="M867" i="2"/>
  <c r="M844" i="2"/>
  <c r="M894" i="2"/>
  <c r="E784" i="2"/>
  <c r="F963" i="2"/>
  <c r="M793" i="2"/>
  <c r="J701" i="2"/>
  <c r="E761" i="2"/>
  <c r="M885" i="2"/>
  <c r="E271" i="2"/>
  <c r="E174" i="2"/>
  <c r="N548" i="2"/>
  <c r="D138" i="2"/>
  <c r="L635" i="2"/>
  <c r="D582" i="2"/>
  <c r="E239" i="2"/>
  <c r="E177" i="2"/>
  <c r="E146" i="2"/>
  <c r="D193" i="2"/>
  <c r="D504" i="2"/>
  <c r="D280" i="2"/>
  <c r="E397" i="2"/>
  <c r="N945" i="2"/>
  <c r="D271" i="2"/>
  <c r="D642" i="2"/>
  <c r="E336" i="2"/>
  <c r="M873" i="2"/>
  <c r="D408" i="2"/>
  <c r="D446" i="2"/>
  <c r="E520" i="2"/>
  <c r="E338" i="2"/>
  <c r="L553" i="2"/>
  <c r="D940" i="2"/>
  <c r="E443" i="2"/>
  <c r="M621" i="2"/>
  <c r="D407" i="2"/>
  <c r="L753" i="2"/>
  <c r="E165" i="2"/>
  <c r="E868" i="2"/>
  <c r="M513" i="2"/>
  <c r="E954" i="2"/>
  <c r="L955" i="2"/>
  <c r="E952" i="2"/>
  <c r="L591" i="2"/>
  <c r="M770" i="2"/>
  <c r="N844" i="2"/>
  <c r="E389" i="2"/>
  <c r="G877" i="2"/>
  <c r="M779" i="2"/>
  <c r="M782" i="2"/>
  <c r="E484" i="2"/>
  <c r="E966" i="2"/>
  <c r="D405" i="2"/>
  <c r="D365" i="2"/>
  <c r="E396" i="2"/>
  <c r="N787" i="2"/>
  <c r="E678" i="2"/>
  <c r="L693" i="2"/>
  <c r="D401" i="2"/>
  <c r="D397" i="2"/>
  <c r="E218" i="2"/>
  <c r="E348" i="2"/>
  <c r="D142" i="2"/>
  <c r="L658" i="2"/>
  <c r="E373" i="2"/>
  <c r="D411" i="2"/>
  <c r="E429" i="2"/>
  <c r="D292" i="2"/>
  <c r="E227" i="2"/>
  <c r="E463" i="2"/>
  <c r="L994" i="2"/>
  <c r="E942" i="2"/>
  <c r="E424" i="2"/>
  <c r="N1003" i="2"/>
  <c r="E456" i="2"/>
  <c r="D233" i="2"/>
  <c r="D242" i="2"/>
  <c r="D750" i="2"/>
  <c r="D266" i="2"/>
  <c r="E1001" i="2"/>
  <c r="E476" i="2"/>
  <c r="E395" i="2"/>
  <c r="E192" i="2"/>
  <c r="E228" i="2"/>
  <c r="E194" i="2"/>
  <c r="N895" i="2"/>
  <c r="D287" i="2"/>
  <c r="E308" i="2"/>
  <c r="E532" i="2"/>
  <c r="E272" i="2"/>
  <c r="N513" i="2"/>
  <c r="E370" i="2"/>
  <c r="D258" i="2"/>
  <c r="D726" i="2"/>
  <c r="E664" i="2"/>
  <c r="E266" i="2"/>
  <c r="L830" i="2"/>
  <c r="M944" i="2"/>
  <c r="D145" i="2"/>
  <c r="E243" i="2"/>
  <c r="E423" i="2"/>
  <c r="N727" i="2"/>
  <c r="E464" i="2"/>
  <c r="L734" i="2"/>
  <c r="D314" i="2"/>
  <c r="D210" i="2"/>
  <c r="L597" i="2"/>
  <c r="N680" i="2"/>
  <c r="E486" i="2"/>
  <c r="D259" i="2"/>
  <c r="N919" i="2"/>
  <c r="E183" i="2"/>
  <c r="D290" i="2"/>
  <c r="E412" i="2"/>
  <c r="L655" i="2"/>
  <c r="E362" i="2"/>
  <c r="N765" i="2"/>
  <c r="M561" i="2"/>
  <c r="D892" i="2"/>
  <c r="D497" i="2"/>
  <c r="M967" i="2"/>
  <c r="E762" i="2"/>
  <c r="E472" i="2"/>
  <c r="E361" i="2"/>
  <c r="D445" i="2"/>
  <c r="E606" i="2"/>
  <c r="E152" i="2"/>
  <c r="D343" i="2"/>
  <c r="L656" i="2"/>
  <c r="E407" i="2"/>
  <c r="E510" i="2"/>
  <c r="E449" i="2"/>
  <c r="E507" i="2"/>
  <c r="D350" i="2"/>
  <c r="M932" i="2"/>
  <c r="L848" i="2"/>
  <c r="N836" i="2"/>
  <c r="E288" i="2"/>
  <c r="M897" i="2"/>
  <c r="E254" i="2"/>
  <c r="D302" i="2"/>
  <c r="D366" i="2"/>
  <c r="E894" i="2"/>
  <c r="M632" i="2"/>
  <c r="D394" i="2"/>
  <c r="M848" i="2"/>
  <c r="D140" i="2"/>
  <c r="E665" i="2"/>
  <c r="E838" i="2"/>
  <c r="N600" i="2"/>
  <c r="L588" i="2"/>
  <c r="E258" i="2"/>
  <c r="D536" i="2"/>
  <c r="H901" i="2"/>
  <c r="N756" i="2"/>
  <c r="E268" i="2"/>
  <c r="N704" i="2"/>
  <c r="E153" i="2"/>
  <c r="D163" i="2"/>
  <c r="E433" i="2"/>
  <c r="L740" i="2"/>
  <c r="D402" i="2"/>
  <c r="D666" i="2"/>
  <c r="E376" i="2"/>
  <c r="L633" i="2"/>
  <c r="L612" i="2"/>
  <c r="E386" i="2"/>
  <c r="N849" i="2"/>
  <c r="E906" i="2"/>
  <c r="N572" i="2"/>
  <c r="L697" i="2"/>
  <c r="D353" i="2"/>
  <c r="E139" i="2"/>
  <c r="M691" i="2"/>
  <c r="M993" i="2"/>
  <c r="D176" i="2"/>
  <c r="E299" i="2"/>
  <c r="N956" i="2"/>
  <c r="E244" i="2"/>
  <c r="D489" i="2"/>
  <c r="E475" i="2"/>
  <c r="D301" i="2"/>
  <c r="E422" i="2"/>
  <c r="D306" i="2"/>
  <c r="L789" i="2"/>
  <c r="D534" i="2"/>
  <c r="D312" i="2"/>
  <c r="L525" i="2"/>
  <c r="E508" i="2"/>
  <c r="L571" i="2"/>
  <c r="D418" i="2"/>
  <c r="D502" i="2"/>
  <c r="E399" i="2"/>
  <c r="E506" i="2"/>
  <c r="E432" i="2"/>
  <c r="E465" i="2"/>
  <c r="D217" i="2"/>
  <c r="L850" i="2"/>
  <c r="E267" i="2"/>
  <c r="E179" i="2"/>
  <c r="E482" i="2"/>
  <c r="E237" i="2"/>
  <c r="D187" i="2"/>
  <c r="M719" i="2"/>
  <c r="L538" i="2"/>
  <c r="M538" i="2"/>
  <c r="E442" i="2"/>
  <c r="N988" i="2"/>
  <c r="L976" i="2"/>
  <c r="L790" i="2"/>
  <c r="N819" i="2"/>
  <c r="D148" i="2"/>
  <c r="M657" i="2"/>
  <c r="M728" i="2"/>
  <c r="M680" i="2"/>
  <c r="E491" i="2"/>
  <c r="D317" i="2"/>
  <c r="D195" i="2"/>
  <c r="D688" i="2"/>
  <c r="E408" i="2"/>
  <c r="D144" i="2"/>
  <c r="N633" i="2"/>
  <c r="L878" i="2"/>
  <c r="D384" i="2"/>
  <c r="M847" i="2"/>
  <c r="L849" i="2"/>
  <c r="E509" i="2"/>
  <c r="N584" i="2"/>
  <c r="D488" i="2"/>
  <c r="L537" i="2"/>
  <c r="D203" i="2"/>
  <c r="D423" i="2"/>
  <c r="E965" i="2"/>
  <c r="L896" i="2"/>
  <c r="E724" i="2"/>
  <c r="E474" i="2"/>
  <c r="E141" i="2"/>
  <c r="M775" i="2"/>
  <c r="D501" i="2"/>
  <c r="D676" i="2"/>
  <c r="L777" i="2"/>
  <c r="D413" i="2"/>
  <c r="D398" i="2"/>
  <c r="D640" i="2"/>
  <c r="E496" i="2"/>
  <c r="L909" i="2"/>
  <c r="L979" i="2"/>
  <c r="E451" i="2"/>
  <c r="M523" i="2"/>
  <c r="E652" i="2"/>
  <c r="D251" i="2"/>
  <c r="D857" i="2"/>
  <c r="E315" i="2"/>
  <c r="D485" i="2"/>
  <c r="M525" i="2"/>
  <c r="D310" i="2"/>
  <c r="E345" i="2"/>
  <c r="D260" i="2"/>
  <c r="D218" i="2"/>
  <c r="M979" i="2"/>
  <c r="E273" i="2"/>
  <c r="E261" i="2"/>
  <c r="D442" i="2"/>
  <c r="D492" i="2"/>
  <c r="D291" i="2"/>
  <c r="E1002" i="2"/>
  <c r="D487" i="2"/>
  <c r="E374" i="2"/>
  <c r="L883" i="2"/>
  <c r="D432" i="2"/>
  <c r="M811" i="2"/>
  <c r="F541" i="2"/>
  <c r="N746" i="2"/>
  <c r="L820" i="2"/>
  <c r="D469" i="2"/>
  <c r="H769" i="2"/>
  <c r="L551" i="2"/>
  <c r="M891" i="2"/>
  <c r="E164" i="2"/>
  <c r="E160" i="2"/>
  <c r="M787" i="2"/>
  <c r="D403" i="2"/>
  <c r="D904" i="2"/>
  <c r="D321" i="2"/>
  <c r="N908" i="2"/>
  <c r="E275" i="2"/>
  <c r="M512" i="2"/>
  <c r="N717" i="2"/>
  <c r="N775" i="2"/>
  <c r="D161" i="2"/>
  <c r="E148" i="2"/>
  <c r="D288" i="2"/>
  <c r="D618" i="2"/>
  <c r="M584" i="2"/>
  <c r="E297" i="2"/>
  <c r="M991" i="2"/>
  <c r="D460" i="2"/>
  <c r="D988" i="2"/>
  <c r="D153" i="2"/>
  <c r="M655" i="2"/>
  <c r="D294" i="2"/>
  <c r="E307" i="2"/>
  <c r="M537" i="2"/>
  <c r="D369" i="2"/>
  <c r="E274" i="2"/>
  <c r="M1005" i="2"/>
  <c r="E184" i="2"/>
  <c r="L548" i="2"/>
  <c r="D225" i="2"/>
  <c r="L944" i="2"/>
  <c r="E568" i="2"/>
  <c r="D474" i="2"/>
  <c r="N848" i="2"/>
  <c r="L754" i="2"/>
  <c r="D412" i="2"/>
  <c r="N801" i="2"/>
  <c r="D395" i="2"/>
  <c r="L932" i="2"/>
  <c r="M693" i="2"/>
  <c r="E145" i="2"/>
  <c r="D606" i="2"/>
  <c r="E320" i="2"/>
  <c r="N561" i="2"/>
  <c r="D173" i="2"/>
  <c r="D503" i="2"/>
  <c r="D820" i="2"/>
  <c r="L559" i="2"/>
  <c r="E377" i="2"/>
  <c r="D305" i="2"/>
  <c r="D470" i="2"/>
  <c r="D196" i="2"/>
  <c r="E154" i="2"/>
  <c r="D240" i="2"/>
  <c r="E485" i="2"/>
  <c r="D787" i="2"/>
  <c r="G737" i="2"/>
  <c r="L867" i="2"/>
  <c r="D737" i="2"/>
  <c r="D778" i="2"/>
  <c r="J841" i="2"/>
  <c r="N865" i="2"/>
  <c r="M801" i="2"/>
  <c r="L981" i="2"/>
  <c r="D167" i="2"/>
  <c r="L824" i="2"/>
  <c r="D245" i="2"/>
  <c r="D700" i="2"/>
  <c r="E503" i="2"/>
  <c r="D318" i="2"/>
  <c r="E161" i="2"/>
  <c r="D484" i="2"/>
  <c r="E163" i="2"/>
  <c r="D664" i="2"/>
  <c r="D172" i="2"/>
  <c r="M980" i="2"/>
  <c r="E702" i="2"/>
  <c r="N609" i="2"/>
  <c r="L782" i="2"/>
  <c r="E953" i="2"/>
  <c r="E400" i="2"/>
  <c r="E339" i="2"/>
  <c r="D374" i="2"/>
  <c r="D472" i="2"/>
  <c r="N597" i="2"/>
  <c r="N835" i="2"/>
  <c r="D435" i="2"/>
  <c r="N823" i="2"/>
  <c r="D211" i="2"/>
  <c r="D461" i="2"/>
  <c r="E303" i="2"/>
  <c r="D714" i="2"/>
  <c r="E325" i="2"/>
  <c r="D154" i="2"/>
  <c r="E224" i="2"/>
  <c r="L649" i="2"/>
  <c r="L971" i="2"/>
  <c r="E202" i="2"/>
  <c r="M660" i="2"/>
  <c r="N804" i="2"/>
  <c r="M878" i="2"/>
  <c r="N841" i="2"/>
  <c r="L799" i="2"/>
  <c r="L593" i="2"/>
  <c r="I554" i="2"/>
  <c r="L528" i="2"/>
  <c r="D868" i="2"/>
  <c r="E435" i="2"/>
  <c r="D483" i="2"/>
  <c r="D199" i="2"/>
  <c r="N943" i="2"/>
  <c r="D417" i="2"/>
  <c r="D544" i="2"/>
  <c r="E257" i="2"/>
  <c r="E798" i="2"/>
  <c r="L991" i="2"/>
  <c r="D281" i="2"/>
  <c r="E285" i="2"/>
  <c r="M943" i="2"/>
  <c r="E226" i="2"/>
  <c r="D275" i="2"/>
  <c r="E156" i="2"/>
  <c r="E977" i="2"/>
  <c r="D220" i="2"/>
  <c r="N523" i="2"/>
  <c r="N619" i="2"/>
  <c r="E385" i="2"/>
  <c r="E241" i="2"/>
  <c r="E346" i="2"/>
  <c r="L788" i="2"/>
  <c r="D332" i="2"/>
  <c r="D208" i="2"/>
  <c r="E470" i="2"/>
  <c r="D146" i="2"/>
  <c r="E689" i="2"/>
  <c r="E378" i="2"/>
  <c r="D252" i="2"/>
  <c r="E410" i="2"/>
  <c r="D570" i="2"/>
  <c r="D335" i="2"/>
  <c r="D436" i="2"/>
  <c r="N799" i="2"/>
  <c r="N667" i="2"/>
  <c r="N802" i="2"/>
  <c r="L852" i="2"/>
  <c r="N863" i="2"/>
  <c r="D628" i="2"/>
  <c r="K529" i="2"/>
  <c r="E920" i="2"/>
  <c r="M670" i="2"/>
  <c r="D392" i="2"/>
  <c r="L608" i="2"/>
  <c r="E654" i="2"/>
  <c r="N813" i="2"/>
  <c r="L996" i="2"/>
  <c r="E447" i="2"/>
  <c r="N957" i="2"/>
  <c r="N897" i="2"/>
  <c r="E147" i="2"/>
  <c r="D327" i="2"/>
  <c r="D289" i="2"/>
  <c r="E190" i="2"/>
  <c r="D404" i="2"/>
  <c r="E604" i="2"/>
  <c r="D416" i="2"/>
  <c r="E343" i="2"/>
  <c r="E340" i="2"/>
  <c r="M992" i="2"/>
  <c r="D440" i="2"/>
  <c r="E750" i="2"/>
  <c r="N511" i="2"/>
  <c r="D274" i="2"/>
  <c r="E204" i="2"/>
  <c r="D916" i="2"/>
  <c r="E309" i="2"/>
  <c r="E425" i="2"/>
  <c r="D249" i="2"/>
  <c r="D409" i="2"/>
  <c r="L741" i="2"/>
  <c r="L679" i="2"/>
  <c r="D433" i="2"/>
  <c r="E240" i="2"/>
  <c r="L620" i="2"/>
  <c r="E189" i="2"/>
  <c r="D414" i="2"/>
  <c r="D389" i="2"/>
  <c r="L745" i="2"/>
  <c r="E358" i="2"/>
  <c r="E458" i="2"/>
  <c r="M956" i="2"/>
  <c r="D333" i="2"/>
  <c r="D942" i="2"/>
  <c r="L564" i="2"/>
  <c r="L897" i="2"/>
  <c r="E287" i="2"/>
  <c r="D1001" i="2"/>
  <c r="M812" i="2"/>
  <c r="N524" i="2"/>
  <c r="M620" i="2"/>
  <c r="L923" i="2"/>
  <c r="L801" i="2"/>
  <c r="D256" i="2"/>
  <c r="D162" i="2"/>
  <c r="D206" i="2"/>
  <c r="D385" i="2"/>
  <c r="E310" i="2"/>
  <c r="E427" i="2"/>
  <c r="L681" i="2"/>
  <c r="E388" i="2"/>
  <c r="D214" i="2"/>
  <c r="L884" i="2"/>
  <c r="M739" i="2"/>
  <c r="E434" i="2"/>
  <c r="D796" i="2"/>
  <c r="D348" i="2"/>
  <c r="N571" i="2"/>
  <c r="E382" i="2"/>
  <c r="M895" i="2"/>
  <c r="E149" i="2"/>
  <c r="M547" i="2"/>
  <c r="D630" i="2"/>
  <c r="D387" i="2"/>
  <c r="N884" i="2"/>
  <c r="E324" i="2"/>
  <c r="D858" i="2"/>
  <c r="E404" i="2"/>
  <c r="L585" i="2"/>
  <c r="D918" i="2"/>
  <c r="M741" i="2"/>
  <c r="N967" i="2"/>
  <c r="D784" i="2"/>
  <c r="D444" i="2"/>
  <c r="D315" i="2"/>
  <c r="E505" i="2"/>
  <c r="M692" i="2"/>
  <c r="D977" i="2"/>
  <c r="N620" i="2"/>
  <c r="L823" i="2"/>
  <c r="D285" i="2"/>
  <c r="D421" i="2"/>
  <c r="E500" i="2"/>
  <c r="E193" i="2"/>
  <c r="E468" i="2"/>
  <c r="M585" i="2"/>
  <c r="K104" i="2"/>
  <c r="K48" i="2"/>
  <c r="H96" i="2"/>
  <c r="K127" i="2"/>
  <c r="H90" i="2"/>
  <c r="H78" i="2"/>
  <c r="J45" i="2"/>
  <c r="J29" i="2"/>
  <c r="H116" i="2"/>
  <c r="H60" i="2"/>
  <c r="J23" i="2"/>
  <c r="H110" i="2"/>
  <c r="J10" i="2"/>
  <c r="K108" i="2"/>
  <c r="G50" i="2"/>
  <c r="I131" i="2"/>
  <c r="F46" i="2"/>
  <c r="H57" i="2"/>
  <c r="I98" i="2"/>
  <c r="G106" i="2"/>
  <c r="I70" i="2"/>
  <c r="F86" i="2"/>
  <c r="I42" i="2"/>
  <c r="I71" i="2"/>
  <c r="H73" i="2"/>
  <c r="I120" i="2"/>
  <c r="F112" i="2"/>
  <c r="F60" i="2"/>
  <c r="F35" i="2"/>
  <c r="G29" i="2"/>
  <c r="I33" i="2"/>
  <c r="I88" i="2"/>
  <c r="G48" i="2"/>
  <c r="G55" i="2"/>
  <c r="N131" i="2"/>
  <c r="M73" i="2"/>
  <c r="G133" i="2"/>
  <c r="G115" i="2"/>
  <c r="M45" i="2"/>
  <c r="I49" i="2"/>
  <c r="L13" i="2"/>
  <c r="F54" i="2"/>
  <c r="N107" i="2"/>
  <c r="F45" i="2"/>
  <c r="M93" i="2"/>
  <c r="L131" i="2"/>
  <c r="N49" i="2"/>
  <c r="G54" i="2"/>
  <c r="N89" i="2"/>
  <c r="L119" i="2"/>
  <c r="L79" i="2"/>
  <c r="M82" i="2"/>
  <c r="M23" i="2"/>
  <c r="G43" i="2"/>
  <c r="N21" i="2"/>
  <c r="L134" i="2"/>
  <c r="M55" i="2"/>
  <c r="F82" i="2"/>
  <c r="N123" i="2"/>
  <c r="L87" i="2"/>
  <c r="L90" i="2"/>
  <c r="M75" i="2"/>
  <c r="L54" i="2"/>
  <c r="M27" i="2"/>
  <c r="L77" i="2"/>
  <c r="D87" i="2"/>
  <c r="D50" i="2"/>
  <c r="D38" i="2"/>
  <c r="E86" i="2"/>
  <c r="E87" i="2"/>
  <c r="D33" i="2"/>
  <c r="E16" i="2"/>
  <c r="E93" i="2"/>
  <c r="D98" i="2"/>
  <c r="E135" i="2"/>
  <c r="E125" i="2"/>
  <c r="D100" i="2"/>
  <c r="D41" i="2"/>
  <c r="E79" i="2"/>
  <c r="D29" i="2"/>
  <c r="J131" i="2"/>
  <c r="K44" i="2"/>
  <c r="J75" i="2"/>
  <c r="K100" i="2"/>
  <c r="K123" i="2"/>
  <c r="K110" i="2"/>
  <c r="K38" i="2"/>
  <c r="K88" i="2"/>
  <c r="J119" i="2"/>
  <c r="H40" i="2"/>
  <c r="H24" i="2"/>
  <c r="K121" i="2"/>
  <c r="K105" i="2"/>
  <c r="H18" i="2"/>
  <c r="H68" i="2"/>
  <c r="H62" i="2"/>
  <c r="J128" i="2"/>
  <c r="K130" i="2"/>
  <c r="K114" i="2"/>
  <c r="J112" i="2"/>
  <c r="J135" i="2"/>
  <c r="K87" i="2"/>
  <c r="F33" i="2"/>
  <c r="G14" i="2"/>
  <c r="F88" i="2"/>
  <c r="G80" i="2"/>
  <c r="I68" i="2"/>
  <c r="F36" i="2"/>
  <c r="G28" i="2"/>
  <c r="H93" i="2"/>
  <c r="I115" i="2"/>
  <c r="G18" i="2"/>
  <c r="F32" i="2"/>
  <c r="G24" i="2"/>
  <c r="I111" i="2"/>
  <c r="F85" i="2"/>
  <c r="I72" i="2"/>
  <c r="G74" i="2"/>
  <c r="F30" i="2"/>
  <c r="H115" i="2"/>
  <c r="F135" i="2"/>
  <c r="H63" i="2"/>
  <c r="I85" i="2"/>
  <c r="I75" i="2"/>
  <c r="H56" i="2"/>
  <c r="F25" i="2"/>
  <c r="G101" i="2"/>
  <c r="I81" i="2"/>
  <c r="F31" i="2"/>
  <c r="F69" i="2"/>
  <c r="N51" i="2"/>
  <c r="I89" i="2"/>
  <c r="L100" i="2"/>
  <c r="M84" i="2"/>
  <c r="M12" i="2"/>
  <c r="N10" i="2"/>
  <c r="I106" i="2"/>
  <c r="F58" i="2"/>
  <c r="I20" i="2"/>
  <c r="G75" i="2"/>
  <c r="H125" i="2"/>
  <c r="G13" i="2"/>
  <c r="L121" i="2"/>
  <c r="L73" i="2"/>
  <c r="J103" i="2"/>
  <c r="H126" i="2"/>
  <c r="I127" i="2"/>
  <c r="G109" i="2"/>
  <c r="M18" i="2"/>
  <c r="L86" i="2"/>
  <c r="G59" i="2"/>
  <c r="L34" i="2"/>
  <c r="L40" i="2"/>
  <c r="G47" i="2"/>
  <c r="N122" i="2"/>
  <c r="N26" i="2"/>
  <c r="M38" i="2"/>
  <c r="M28" i="2"/>
  <c r="G57" i="2"/>
  <c r="G127" i="2"/>
  <c r="N42" i="2"/>
  <c r="M111" i="2"/>
  <c r="N134" i="2"/>
  <c r="M116" i="2"/>
  <c r="L129" i="2"/>
  <c r="L124" i="2"/>
  <c r="L69" i="2"/>
  <c r="M66" i="2"/>
  <c r="L99" i="2"/>
  <c r="M112" i="2"/>
  <c r="M95" i="2"/>
  <c r="G119" i="2"/>
  <c r="N124" i="2"/>
  <c r="G89" i="2"/>
  <c r="N76" i="2"/>
  <c r="L12" i="2"/>
  <c r="L15" i="2"/>
  <c r="L24" i="2"/>
  <c r="E9" i="2"/>
  <c r="E37" i="2"/>
  <c r="D14" i="2"/>
  <c r="D82" i="2"/>
  <c r="D53" i="2"/>
  <c r="E85" i="2"/>
  <c r="D21" i="2"/>
  <c r="E104" i="2"/>
  <c r="D26" i="2"/>
  <c r="E103" i="2"/>
  <c r="E76" i="2"/>
  <c r="D117" i="2"/>
  <c r="D70" i="2"/>
  <c r="D71" i="2"/>
  <c r="E68" i="2"/>
  <c r="E82" i="2"/>
  <c r="K13" i="2"/>
  <c r="J48" i="2"/>
  <c r="J71" i="2"/>
  <c r="J127" i="2"/>
  <c r="K40" i="2"/>
  <c r="K46" i="2"/>
  <c r="J121" i="2"/>
  <c r="K34" i="2"/>
  <c r="K57" i="2"/>
  <c r="J92" i="2"/>
  <c r="K67" i="2"/>
  <c r="K51" i="2"/>
  <c r="J86" i="2"/>
  <c r="J30" i="2"/>
  <c r="J115" i="2"/>
  <c r="K45" i="2"/>
  <c r="J80" i="2"/>
  <c r="K32" i="2"/>
  <c r="K95" i="2"/>
  <c r="J130" i="2"/>
  <c r="K101" i="2"/>
  <c r="K39" i="2"/>
  <c r="J74" i="2"/>
  <c r="K89" i="2"/>
  <c r="J124" i="2"/>
  <c r="K76" i="2"/>
  <c r="K60" i="2"/>
  <c r="K54" i="2"/>
  <c r="J85" i="2"/>
  <c r="K17" i="2"/>
  <c r="J52" i="2"/>
  <c r="H45" i="2"/>
  <c r="I96" i="2"/>
  <c r="K18" i="2"/>
  <c r="H39" i="2"/>
  <c r="J84" i="2"/>
  <c r="G94" i="2"/>
  <c r="H135" i="2"/>
  <c r="J65" i="2"/>
  <c r="I57" i="2"/>
  <c r="G66" i="2"/>
  <c r="I30" i="2"/>
  <c r="F115" i="2"/>
  <c r="H67" i="2"/>
  <c r="K41" i="2"/>
  <c r="F57" i="2"/>
  <c r="H33" i="2"/>
  <c r="I45" i="2"/>
  <c r="F66" i="2"/>
  <c r="G82" i="2"/>
  <c r="K86" i="2"/>
  <c r="I123" i="2"/>
  <c r="I12" i="2"/>
  <c r="M62" i="2"/>
  <c r="N93" i="2"/>
  <c r="H65" i="2"/>
  <c r="L33" i="2"/>
  <c r="M35" i="2"/>
  <c r="H79" i="2"/>
  <c r="M59" i="2"/>
  <c r="I50" i="2"/>
  <c r="L110" i="2"/>
  <c r="M44" i="2"/>
  <c r="L51" i="2"/>
  <c r="N110" i="2"/>
  <c r="F87" i="2"/>
  <c r="F38" i="2"/>
  <c r="G91" i="2"/>
  <c r="I97" i="2"/>
  <c r="G73" i="2"/>
  <c r="L55" i="2"/>
  <c r="I18" i="2"/>
  <c r="G118" i="2"/>
  <c r="N45" i="2"/>
  <c r="G87" i="2"/>
  <c r="L67" i="2"/>
  <c r="G120" i="2"/>
  <c r="N37" i="2"/>
  <c r="N44" i="2"/>
  <c r="L46" i="2"/>
  <c r="N60" i="2"/>
  <c r="N126" i="2"/>
  <c r="M89" i="2"/>
  <c r="N86" i="2"/>
  <c r="N31" i="2"/>
  <c r="M102" i="2"/>
  <c r="N94" i="2"/>
  <c r="M99" i="2"/>
  <c r="N114" i="2"/>
  <c r="L106" i="2"/>
  <c r="L118" i="2"/>
  <c r="N98" i="2"/>
  <c r="N66" i="2"/>
  <c r="N41" i="2"/>
  <c r="M10" i="2"/>
  <c r="G65" i="2"/>
  <c r="N88" i="2"/>
  <c r="D67" i="2"/>
  <c r="E120" i="2"/>
  <c r="E18" i="2"/>
  <c r="E117" i="2"/>
  <c r="E59" i="2"/>
  <c r="D10" i="2"/>
  <c r="D72" i="2"/>
  <c r="E97" i="2"/>
  <c r="E124" i="2"/>
  <c r="D75" i="2"/>
  <c r="D123" i="2"/>
  <c r="D105" i="2"/>
  <c r="D110" i="2"/>
  <c r="E12" i="2"/>
  <c r="D119" i="2"/>
  <c r="E100" i="2"/>
  <c r="K106" i="2"/>
  <c r="J54" i="2"/>
  <c r="J38" i="2"/>
  <c r="J61" i="2"/>
  <c r="J32" i="2"/>
  <c r="J26" i="2"/>
  <c r="J49" i="2"/>
  <c r="K12" i="2"/>
  <c r="K35" i="2"/>
  <c r="J70" i="2"/>
  <c r="J93" i="2"/>
  <c r="J43" i="2"/>
  <c r="J87" i="2"/>
  <c r="J31" i="2"/>
  <c r="J58" i="2"/>
  <c r="K29" i="2"/>
  <c r="J81" i="2"/>
  <c r="K33" i="2"/>
  <c r="I19" i="2"/>
  <c r="I48" i="2"/>
  <c r="F40" i="2"/>
  <c r="I32" i="2"/>
  <c r="F24" i="2"/>
  <c r="G64" i="2"/>
  <c r="H105" i="2"/>
  <c r="I103" i="2"/>
  <c r="F77" i="2"/>
  <c r="G58" i="2"/>
  <c r="I51" i="2"/>
  <c r="I99" i="2"/>
  <c r="F49" i="2"/>
  <c r="H25" i="2"/>
  <c r="J76" i="2"/>
  <c r="F18" i="2"/>
  <c r="F99" i="2"/>
  <c r="H51" i="2"/>
  <c r="J55" i="2"/>
  <c r="I121" i="2"/>
  <c r="H134" i="2"/>
  <c r="F12" i="2"/>
  <c r="I126" i="2"/>
  <c r="F118" i="2"/>
  <c r="I91" i="2"/>
  <c r="F108" i="2"/>
  <c r="G100" i="2"/>
  <c r="F43" i="2"/>
  <c r="I122" i="2"/>
  <c r="F114" i="2"/>
  <c r="I17" i="2"/>
  <c r="I47" i="2"/>
  <c r="F15" i="2"/>
  <c r="G70" i="2"/>
  <c r="M15" i="2"/>
  <c r="L62" i="2"/>
  <c r="M130" i="2"/>
  <c r="L133" i="2"/>
  <c r="N104" i="2"/>
  <c r="G113" i="2"/>
  <c r="M110" i="2"/>
  <c r="N132" i="2"/>
  <c r="N12" i="2"/>
  <c r="G23" i="2"/>
  <c r="J9" i="2"/>
  <c r="M94" i="2"/>
  <c r="F83" i="2"/>
  <c r="H113" i="2"/>
  <c r="L97" i="2"/>
  <c r="N79" i="2"/>
  <c r="I60" i="2"/>
  <c r="L80" i="2"/>
  <c r="N115" i="2"/>
  <c r="N105" i="2"/>
  <c r="M127" i="2"/>
  <c r="L83" i="2"/>
  <c r="G19" i="2"/>
  <c r="M53" i="2"/>
  <c r="K22" i="2"/>
  <c r="L23" i="2"/>
  <c r="L32" i="2"/>
  <c r="M109" i="2"/>
  <c r="M25" i="2"/>
  <c r="L66" i="2"/>
  <c r="L114" i="2"/>
  <c r="L63" i="2"/>
  <c r="M96" i="2"/>
  <c r="N106" i="2"/>
  <c r="M133" i="2"/>
  <c r="L50" i="2"/>
  <c r="L107" i="2"/>
  <c r="N135" i="2"/>
  <c r="M49" i="2"/>
  <c r="N101" i="2"/>
  <c r="M64" i="2"/>
  <c r="D47" i="2"/>
  <c r="E108" i="2"/>
  <c r="E91" i="2"/>
  <c r="D23" i="2"/>
  <c r="E15" i="2"/>
  <c r="E133" i="2"/>
  <c r="E122" i="2"/>
  <c r="E54" i="2"/>
  <c r="E63" i="2"/>
  <c r="H44" i="2"/>
  <c r="K102" i="2"/>
  <c r="H35" i="2"/>
  <c r="H88" i="2"/>
  <c r="J11" i="2"/>
  <c r="H98" i="2"/>
  <c r="H82" i="2"/>
  <c r="H26" i="2"/>
  <c r="H76" i="2"/>
  <c r="K107" i="2"/>
  <c r="J39" i="2"/>
  <c r="H70" i="2"/>
  <c r="J33" i="2"/>
  <c r="J20" i="2"/>
  <c r="J27" i="2"/>
  <c r="K116" i="2"/>
  <c r="K135" i="2"/>
  <c r="H48" i="2"/>
  <c r="F91" i="2"/>
  <c r="I108" i="2"/>
  <c r="G92" i="2"/>
  <c r="H27" i="2"/>
  <c r="I73" i="2"/>
  <c r="F23" i="2"/>
  <c r="I102" i="2"/>
  <c r="F129" i="2"/>
  <c r="I21" i="2"/>
  <c r="G76" i="2"/>
  <c r="F90" i="2"/>
  <c r="H101" i="2"/>
  <c r="K132" i="2"/>
  <c r="H103" i="2"/>
  <c r="I24" i="2"/>
  <c r="F51" i="2"/>
  <c r="I130" i="2"/>
  <c r="I43" i="2"/>
  <c r="F78" i="2"/>
  <c r="G46" i="2"/>
  <c r="H72" i="2"/>
  <c r="I10" i="2"/>
  <c r="I133" i="2"/>
  <c r="H117" i="2"/>
  <c r="G42" i="2"/>
  <c r="G114" i="2"/>
  <c r="F39" i="2"/>
  <c r="M56" i="2"/>
  <c r="M60" i="2"/>
  <c r="M31" i="2"/>
  <c r="I128" i="2"/>
  <c r="N69" i="2"/>
  <c r="M57" i="2"/>
  <c r="G11" i="2"/>
  <c r="M118" i="2"/>
  <c r="N13" i="2"/>
  <c r="F10" i="2"/>
  <c r="H130" i="2"/>
  <c r="M58" i="2"/>
  <c r="G117" i="2"/>
  <c r="G123" i="2"/>
  <c r="I36" i="2"/>
  <c r="I113" i="2"/>
  <c r="M115" i="2"/>
  <c r="N81" i="2"/>
  <c r="H61" i="2"/>
  <c r="N28" i="2"/>
  <c r="M104" i="2"/>
  <c r="F104" i="2"/>
  <c r="N118" i="2"/>
  <c r="L17" i="2"/>
  <c r="N74" i="2"/>
  <c r="M134" i="2"/>
  <c r="L18" i="2"/>
  <c r="M77" i="2"/>
  <c r="G40" i="2"/>
  <c r="M32" i="2"/>
  <c r="N24" i="2"/>
  <c r="L108" i="2"/>
  <c r="L60" i="2"/>
  <c r="N25" i="2"/>
  <c r="L48" i="2"/>
  <c r="G27" i="2"/>
  <c r="N99" i="2"/>
  <c r="M100" i="2"/>
  <c r="L59" i="2"/>
  <c r="N30" i="2"/>
  <c r="M83" i="2"/>
  <c r="L70" i="2"/>
  <c r="L94" i="2"/>
  <c r="E129" i="2"/>
  <c r="E114" i="2"/>
  <c r="D63" i="2"/>
  <c r="D39" i="2"/>
  <c r="D40" i="2"/>
  <c r="D64" i="2"/>
  <c r="D118" i="2"/>
  <c r="D15" i="2"/>
  <c r="E112" i="2"/>
  <c r="D134" i="2"/>
  <c r="E43" i="2"/>
  <c r="D22" i="2"/>
  <c r="E131" i="2"/>
  <c r="K71" i="2"/>
  <c r="J106" i="2"/>
  <c r="K77" i="2"/>
  <c r="J50" i="2"/>
  <c r="K98" i="2"/>
  <c r="J129" i="2"/>
  <c r="H34" i="2"/>
  <c r="K92" i="2"/>
  <c r="K131" i="2"/>
  <c r="K115" i="2"/>
  <c r="H28" i="2"/>
  <c r="J94" i="2"/>
  <c r="K109" i="2"/>
  <c r="H22" i="2"/>
  <c r="K96" i="2"/>
  <c r="K80" i="2"/>
  <c r="K103" i="2"/>
  <c r="H66" i="2"/>
  <c r="K97" i="2"/>
  <c r="K124" i="2"/>
  <c r="K62" i="2"/>
  <c r="F19" i="2"/>
  <c r="K112" i="2"/>
  <c r="H64" i="2"/>
  <c r="K75" i="2"/>
  <c r="J110" i="2"/>
  <c r="K19" i="2"/>
  <c r="J89" i="2"/>
  <c r="F76" i="2"/>
  <c r="H127" i="2"/>
  <c r="I125" i="2"/>
  <c r="F75" i="2"/>
  <c r="H54" i="2"/>
  <c r="H17" i="2"/>
  <c r="J101" i="2"/>
  <c r="I63" i="2"/>
  <c r="F84" i="2"/>
  <c r="H59" i="2"/>
  <c r="H13" i="2"/>
  <c r="F132" i="2"/>
  <c r="I35" i="2"/>
  <c r="I112" i="2"/>
  <c r="F80" i="2"/>
  <c r="G72" i="2"/>
  <c r="H122" i="2"/>
  <c r="G16" i="2"/>
  <c r="K23" i="2"/>
  <c r="F130" i="2"/>
  <c r="I62" i="2"/>
  <c r="H29" i="2"/>
  <c r="H111" i="2"/>
  <c r="I29" i="2"/>
  <c r="F74" i="2"/>
  <c r="G90" i="2"/>
  <c r="L84" i="2"/>
  <c r="N80" i="2"/>
  <c r="F56" i="2"/>
  <c r="M80" i="2"/>
  <c r="L43" i="2"/>
  <c r="H81" i="2"/>
  <c r="F63" i="2"/>
  <c r="N62" i="2"/>
  <c r="G107" i="2"/>
  <c r="H109" i="2"/>
  <c r="L130" i="2"/>
  <c r="L49" i="2"/>
  <c r="F29" i="2"/>
  <c r="I58" i="2"/>
  <c r="L96" i="2"/>
  <c r="G36" i="2"/>
  <c r="M85" i="2"/>
  <c r="M98" i="2"/>
  <c r="M33" i="2"/>
  <c r="G129" i="2"/>
  <c r="G63" i="2"/>
  <c r="I65" i="2"/>
  <c r="N11" i="2"/>
  <c r="L112" i="2"/>
  <c r="L132" i="2"/>
  <c r="F34" i="2"/>
  <c r="G99" i="2"/>
  <c r="G71" i="2"/>
  <c r="N72" i="2"/>
  <c r="N120" i="2"/>
  <c r="F89" i="2"/>
  <c r="L35" i="2"/>
  <c r="M14" i="2"/>
  <c r="L42" i="2"/>
  <c r="M40" i="2"/>
  <c r="N54" i="2"/>
  <c r="L104" i="2"/>
  <c r="L58" i="2"/>
  <c r="L74" i="2"/>
  <c r="L39" i="2"/>
  <c r="N116" i="2"/>
  <c r="N75" i="2"/>
  <c r="N78" i="2"/>
  <c r="H41" i="2"/>
  <c r="M42" i="2"/>
  <c r="M29" i="2"/>
  <c r="L27" i="2"/>
  <c r="M30" i="2"/>
  <c r="D44" i="2"/>
  <c r="E26" i="2"/>
  <c r="E94" i="2"/>
  <c r="E74" i="2"/>
  <c r="D66" i="2"/>
  <c r="D129" i="2"/>
  <c r="E109" i="2"/>
  <c r="D85" i="2"/>
  <c r="E50" i="2"/>
  <c r="E126" i="2"/>
  <c r="D120" i="2"/>
  <c r="D30" i="2"/>
  <c r="K11" i="2"/>
  <c r="J46" i="2"/>
  <c r="J91" i="2"/>
  <c r="J102" i="2"/>
  <c r="J108" i="2"/>
  <c r="J125" i="2"/>
  <c r="K61" i="2"/>
  <c r="J96" i="2"/>
  <c r="J40" i="2"/>
  <c r="H131" i="2"/>
  <c r="K55" i="2"/>
  <c r="J90" i="2"/>
  <c r="K42" i="2"/>
  <c r="K26" i="2"/>
  <c r="K49" i="2"/>
  <c r="J123" i="2"/>
  <c r="J107" i="2"/>
  <c r="K20" i="2"/>
  <c r="J51" i="2"/>
  <c r="K93" i="2"/>
  <c r="K64" i="2"/>
  <c r="K70" i="2"/>
  <c r="J95" i="2"/>
  <c r="K58" i="2"/>
  <c r="K81" i="2"/>
  <c r="J116" i="2"/>
  <c r="K15" i="2"/>
  <c r="J12" i="2"/>
  <c r="I77" i="2"/>
  <c r="H80" i="2"/>
  <c r="F27" i="2"/>
  <c r="F11" i="2"/>
  <c r="I114" i="2"/>
  <c r="G98" i="2"/>
  <c r="I38" i="2"/>
  <c r="F20" i="2"/>
  <c r="H89" i="2"/>
  <c r="I34" i="2"/>
  <c r="F50" i="2"/>
  <c r="G125" i="2"/>
  <c r="G20" i="2"/>
  <c r="F100" i="2"/>
  <c r="G68" i="2"/>
  <c r="F105" i="2"/>
  <c r="H47" i="2"/>
  <c r="F101" i="2"/>
  <c r="H77" i="2"/>
  <c r="I129" i="2"/>
  <c r="I39" i="2"/>
  <c r="G134" i="2"/>
  <c r="G49" i="2"/>
  <c r="N34" i="2"/>
  <c r="G31" i="2"/>
  <c r="L11" i="2"/>
  <c r="M43" i="2"/>
  <c r="N63" i="2"/>
  <c r="G103" i="2"/>
  <c r="N65" i="2"/>
  <c r="M117" i="2"/>
  <c r="L81" i="2"/>
  <c r="M11" i="2"/>
  <c r="N58" i="2"/>
  <c r="N59" i="2"/>
  <c r="H99" i="2"/>
  <c r="L117" i="2"/>
  <c r="L21" i="2"/>
  <c r="M63" i="2"/>
  <c r="M124" i="2"/>
  <c r="L44" i="2"/>
  <c r="N119" i="2"/>
  <c r="N9" i="2"/>
  <c r="L93" i="2"/>
  <c r="F73" i="2"/>
  <c r="M107" i="2"/>
  <c r="I104" i="2"/>
  <c r="N22" i="2"/>
  <c r="G116" i="2"/>
  <c r="G111" i="2"/>
  <c r="L52" i="2"/>
  <c r="L37" i="2"/>
  <c r="M34" i="2"/>
  <c r="M51" i="2"/>
  <c r="M79" i="2"/>
  <c r="N90" i="2"/>
  <c r="M131" i="2"/>
  <c r="L85" i="2"/>
  <c r="L102" i="2"/>
  <c r="N64" i="2"/>
  <c r="G69" i="2"/>
  <c r="N121" i="2"/>
  <c r="L101" i="2"/>
  <c r="L72" i="2"/>
  <c r="N17" i="2"/>
  <c r="M125" i="2"/>
  <c r="N117" i="2"/>
  <c r="L126" i="2"/>
  <c r="N56" i="2"/>
  <c r="L111" i="2"/>
  <c r="M135" i="2"/>
  <c r="N27" i="2"/>
  <c r="E30" i="2"/>
  <c r="D52" i="2"/>
  <c r="E81" i="2"/>
  <c r="D25" i="2"/>
  <c r="E101" i="2"/>
  <c r="D20" i="2"/>
  <c r="D115" i="2"/>
  <c r="D96" i="2"/>
  <c r="D68" i="2"/>
  <c r="E39" i="2"/>
  <c r="E20" i="2"/>
  <c r="D86" i="2"/>
  <c r="E111" i="2"/>
  <c r="D58" i="2"/>
  <c r="G10" i="2"/>
  <c r="J15" i="2"/>
  <c r="H102" i="2"/>
  <c r="H83" i="2"/>
  <c r="J42" i="2"/>
  <c r="J59" i="2"/>
  <c r="J36" i="2"/>
  <c r="J53" i="2"/>
  <c r="J24" i="2"/>
  <c r="J47" i="2"/>
  <c r="J34" i="2"/>
  <c r="J97" i="2"/>
  <c r="K10" i="2"/>
  <c r="J41" i="2"/>
  <c r="J68" i="2"/>
  <c r="K43" i="2"/>
  <c r="J78" i="2"/>
  <c r="K27" i="2"/>
  <c r="J62" i="2"/>
  <c r="K21" i="2"/>
  <c r="J56" i="2"/>
  <c r="H106" i="2"/>
  <c r="H50" i="2"/>
  <c r="K120" i="2"/>
  <c r="F111" i="2"/>
  <c r="G44" i="2"/>
  <c r="I61" i="2"/>
  <c r="F81" i="2"/>
  <c r="I80" i="2"/>
  <c r="K14" i="2"/>
  <c r="F96" i="2"/>
  <c r="I28" i="2"/>
  <c r="I69" i="2"/>
  <c r="J18" i="2"/>
  <c r="H53" i="2"/>
  <c r="I76" i="2"/>
  <c r="F68" i="2"/>
  <c r="G108" i="2"/>
  <c r="F16" i="2"/>
  <c r="F133" i="2"/>
  <c r="I101" i="2"/>
  <c r="I74" i="2"/>
  <c r="I15" i="2"/>
  <c r="H123" i="2"/>
  <c r="F13" i="2"/>
  <c r="I92" i="2"/>
  <c r="F95" i="2"/>
  <c r="F62" i="2"/>
  <c r="I11" i="2"/>
  <c r="H95" i="2"/>
  <c r="G96" i="2"/>
  <c r="G37" i="2"/>
  <c r="N20" i="2"/>
  <c r="M46" i="2"/>
  <c r="H43" i="2"/>
  <c r="F107" i="2"/>
  <c r="G84" i="2"/>
  <c r="M88" i="2"/>
  <c r="G32" i="2"/>
  <c r="L47" i="2"/>
  <c r="G104" i="2"/>
  <c r="G25" i="2"/>
  <c r="F109" i="2"/>
  <c r="N96" i="2"/>
  <c r="I64" i="2"/>
  <c r="G41" i="2"/>
  <c r="L36" i="2"/>
  <c r="G33" i="2"/>
  <c r="G61" i="2"/>
  <c r="M70" i="2"/>
  <c r="N38" i="2"/>
  <c r="L103" i="2"/>
  <c r="M22" i="2"/>
  <c r="N92" i="2"/>
  <c r="F52" i="2"/>
  <c r="M19" i="2"/>
  <c r="M69" i="2"/>
  <c r="N127" i="2"/>
  <c r="L98" i="2"/>
  <c r="M87" i="2"/>
  <c r="L109" i="2"/>
  <c r="I84" i="2"/>
  <c r="N125" i="2"/>
  <c r="N77" i="2"/>
  <c r="L31" i="2"/>
  <c r="N95" i="2"/>
  <c r="M41" i="2"/>
  <c r="N87" i="2"/>
  <c r="M97" i="2"/>
  <c r="L88" i="2"/>
  <c r="N29" i="2"/>
  <c r="L120" i="2"/>
  <c r="N18" i="2"/>
  <c r="M13" i="2"/>
  <c r="M106" i="2"/>
  <c r="E11" i="2"/>
  <c r="E47" i="2"/>
  <c r="E35" i="2"/>
  <c r="D111" i="2"/>
  <c r="D59" i="2"/>
  <c r="D32" i="2"/>
  <c r="D128" i="2"/>
  <c r="E90" i="2"/>
  <c r="E132" i="2"/>
  <c r="E70" i="2"/>
  <c r="E95" i="2"/>
  <c r="D46" i="2"/>
  <c r="D83" i="2"/>
  <c r="D76" i="2"/>
  <c r="E123" i="2"/>
  <c r="D73" i="2"/>
  <c r="D13" i="2"/>
  <c r="E24" i="2"/>
  <c r="E38" i="2"/>
  <c r="D56" i="2"/>
  <c r="E127" i="2"/>
  <c r="D48" i="2"/>
  <c r="D124" i="2"/>
  <c r="E52" i="2"/>
  <c r="D90" i="2"/>
  <c r="E60" i="2"/>
  <c r="D133" i="2"/>
  <c r="E96" i="2"/>
  <c r="D131" i="2"/>
  <c r="E66" i="2"/>
  <c r="E67" i="2"/>
  <c r="E107" i="2"/>
  <c r="K129" i="2"/>
  <c r="H42" i="2"/>
  <c r="K73" i="2"/>
  <c r="J21" i="2"/>
  <c r="H108" i="2"/>
  <c r="H92" i="2"/>
  <c r="H36" i="2"/>
  <c r="H86" i="2"/>
  <c r="K117" i="2"/>
  <c r="K94" i="2"/>
  <c r="K82" i="2"/>
  <c r="I118" i="2"/>
  <c r="J14" i="2"/>
  <c r="J37" i="2"/>
  <c r="K126" i="2"/>
  <c r="J25" i="2"/>
  <c r="H112" i="2"/>
  <c r="J35" i="2"/>
  <c r="K133" i="2"/>
  <c r="H46" i="2"/>
  <c r="J113" i="2"/>
  <c r="F110" i="2"/>
  <c r="G102" i="2"/>
  <c r="I66" i="2"/>
  <c r="H11" i="2"/>
  <c r="G110" i="2"/>
  <c r="I26" i="2"/>
  <c r="F42" i="2"/>
  <c r="F123" i="2"/>
  <c r="H75" i="2"/>
  <c r="F71" i="2"/>
  <c r="H23" i="2"/>
  <c r="G30" i="2"/>
  <c r="H71" i="2"/>
  <c r="I117" i="2"/>
  <c r="H84" i="2"/>
  <c r="F67" i="2"/>
  <c r="H19" i="2"/>
  <c r="I41" i="2"/>
  <c r="I44" i="2"/>
  <c r="F93" i="2"/>
  <c r="H69" i="2"/>
  <c r="I14" i="2"/>
  <c r="F65" i="2"/>
  <c r="I110" i="2"/>
  <c r="G12" i="2"/>
  <c r="I87" i="2"/>
  <c r="H124" i="2"/>
  <c r="F26" i="2"/>
  <c r="H85" i="2"/>
  <c r="F72" i="2"/>
  <c r="H9" i="2"/>
  <c r="L127" i="2"/>
  <c r="F14" i="2"/>
  <c r="L113" i="2"/>
  <c r="N14" i="2"/>
  <c r="N32" i="2"/>
  <c r="H119" i="2"/>
  <c r="L9" i="2"/>
  <c r="M91" i="2"/>
  <c r="I25" i="2"/>
  <c r="N133" i="2"/>
  <c r="M92" i="2"/>
  <c r="M121" i="2"/>
  <c r="I124" i="2"/>
  <c r="M37" i="2"/>
  <c r="K9" i="2"/>
  <c r="M61" i="2"/>
  <c r="M78" i="2"/>
  <c r="F21" i="2"/>
  <c r="M81" i="2"/>
  <c r="G85" i="2"/>
  <c r="G132" i="2"/>
  <c r="G21" i="2"/>
  <c r="N91" i="2"/>
  <c r="N97" i="2"/>
  <c r="L19" i="2"/>
  <c r="M21" i="2"/>
  <c r="I100" i="2"/>
  <c r="G93" i="2"/>
  <c r="L53" i="2"/>
  <c r="G121" i="2"/>
  <c r="G17" i="2"/>
  <c r="L92" i="2"/>
  <c r="N48" i="2"/>
  <c r="G95" i="2"/>
  <c r="M101" i="2"/>
  <c r="M103" i="2"/>
  <c r="M123" i="2"/>
  <c r="M113" i="2"/>
  <c r="L41" i="2"/>
  <c r="L76" i="2"/>
  <c r="N111" i="2"/>
  <c r="N53" i="2"/>
  <c r="L135" i="2"/>
  <c r="L22" i="2"/>
  <c r="G51" i="2"/>
  <c r="N40" i="2"/>
  <c r="M122" i="2"/>
  <c r="D84" i="2"/>
  <c r="E36" i="2"/>
  <c r="D17" i="2"/>
  <c r="D126" i="2"/>
  <c r="E49" i="2"/>
  <c r="D130" i="2"/>
  <c r="E119" i="2"/>
  <c r="E134" i="2"/>
  <c r="D112" i="2"/>
  <c r="E71" i="2"/>
  <c r="D60" i="2"/>
  <c r="E99" i="2"/>
  <c r="E88" i="2"/>
  <c r="D102" i="2"/>
  <c r="D62" i="2"/>
  <c r="D9" i="2"/>
  <c r="K69" i="2"/>
  <c r="J104" i="2"/>
  <c r="H38" i="2"/>
  <c r="K119" i="2"/>
  <c r="K125" i="2"/>
  <c r="K63" i="2"/>
  <c r="K90" i="2"/>
  <c r="K113" i="2"/>
  <c r="K84" i="2"/>
  <c r="K28" i="2"/>
  <c r="K78" i="2"/>
  <c r="J109" i="2"/>
  <c r="H30" i="2"/>
  <c r="K128" i="2"/>
  <c r="K72" i="2"/>
  <c r="K122" i="2"/>
  <c r="H74" i="2"/>
  <c r="H58" i="2"/>
  <c r="H52" i="2"/>
  <c r="K83" i="2"/>
  <c r="J118" i="2"/>
  <c r="K50" i="2"/>
  <c r="I135" i="2"/>
  <c r="J122" i="2"/>
  <c r="H32" i="2"/>
  <c r="F94" i="2"/>
  <c r="K74" i="2"/>
  <c r="I67" i="2"/>
  <c r="H128" i="2"/>
  <c r="F41" i="2"/>
  <c r="F102" i="2"/>
  <c r="F37" i="2"/>
  <c r="I116" i="2"/>
  <c r="F119" i="2"/>
  <c r="F121" i="2"/>
  <c r="G78" i="2"/>
  <c r="I119" i="2"/>
  <c r="H15" i="2"/>
  <c r="F134" i="2"/>
  <c r="I37" i="2"/>
  <c r="H121" i="2"/>
  <c r="I56" i="2"/>
  <c r="F48" i="2"/>
  <c r="H16" i="2"/>
  <c r="G88" i="2"/>
  <c r="H118" i="2"/>
  <c r="H129" i="2"/>
  <c r="K99" i="2"/>
  <c r="F44" i="2"/>
  <c r="G60" i="2"/>
  <c r="H55" i="2"/>
  <c r="G105" i="2"/>
  <c r="G39" i="2"/>
  <c r="F64" i="2"/>
  <c r="G124" i="2"/>
  <c r="M119" i="2"/>
  <c r="N43" i="2"/>
  <c r="N130" i="2"/>
  <c r="F122" i="2"/>
  <c r="I83" i="2"/>
  <c r="F103" i="2"/>
  <c r="M24" i="2"/>
  <c r="I59" i="2"/>
  <c r="G128" i="2"/>
  <c r="F127" i="2"/>
  <c r="L64" i="2"/>
  <c r="F9" i="2"/>
  <c r="L26" i="2"/>
  <c r="L45" i="2"/>
  <c r="L105" i="2"/>
  <c r="G79" i="2"/>
  <c r="G122" i="2"/>
  <c r="N112" i="2"/>
  <c r="K16" i="2"/>
  <c r="G26" i="2"/>
  <c r="M67" i="2"/>
  <c r="L30" i="2"/>
  <c r="N33" i="2"/>
  <c r="N19" i="2"/>
  <c r="N129" i="2"/>
  <c r="N23" i="2"/>
  <c r="M72" i="2"/>
  <c r="L61" i="2"/>
  <c r="H120" i="2"/>
  <c r="G67" i="2"/>
  <c r="N52" i="2"/>
  <c r="M48" i="2"/>
  <c r="M17" i="2"/>
  <c r="M52" i="2"/>
  <c r="L38" i="2"/>
  <c r="N113" i="2"/>
  <c r="L29" i="2"/>
  <c r="L56" i="2"/>
  <c r="M120" i="2"/>
  <c r="N108" i="2"/>
  <c r="N102" i="2"/>
  <c r="L78" i="2"/>
  <c r="E19" i="2"/>
  <c r="E23" i="2"/>
  <c r="D45" i="2"/>
  <c r="E21" i="2"/>
  <c r="D18" i="2"/>
  <c r="D122" i="2"/>
  <c r="E28" i="2"/>
  <c r="D114" i="2"/>
  <c r="E84" i="2"/>
  <c r="D51" i="2"/>
  <c r="J73" i="2"/>
  <c r="K65" i="2"/>
  <c r="J100" i="2"/>
  <c r="K52" i="2"/>
  <c r="K36" i="2"/>
  <c r="K59" i="2"/>
  <c r="J133" i="2"/>
  <c r="J117" i="2"/>
  <c r="K30" i="2"/>
  <c r="J111" i="2"/>
  <c r="H132" i="2"/>
  <c r="K24" i="2"/>
  <c r="J98" i="2"/>
  <c r="K47" i="2"/>
  <c r="J82" i="2"/>
  <c r="K53" i="2"/>
  <c r="J105" i="2"/>
  <c r="H10" i="2"/>
  <c r="K68" i="2"/>
  <c r="H20" i="2"/>
  <c r="K91" i="2"/>
  <c r="J126" i="2"/>
  <c r="J132" i="2"/>
  <c r="K85" i="2"/>
  <c r="J120" i="2"/>
  <c r="K56" i="2"/>
  <c r="K79" i="2"/>
  <c r="J114" i="2"/>
  <c r="K66" i="2"/>
  <c r="J60" i="2"/>
  <c r="J77" i="2"/>
  <c r="J64" i="2"/>
  <c r="I54" i="2"/>
  <c r="G62" i="2"/>
  <c r="I13" i="2"/>
  <c r="H97" i="2"/>
  <c r="G22" i="2"/>
  <c r="I109" i="2"/>
  <c r="F59" i="2"/>
  <c r="J88" i="2"/>
  <c r="G77" i="2"/>
  <c r="I86" i="2"/>
  <c r="F55" i="2"/>
  <c r="I134" i="2"/>
  <c r="H31" i="2"/>
  <c r="I53" i="2"/>
  <c r="I82" i="2"/>
  <c r="F98" i="2"/>
  <c r="H14" i="2"/>
  <c r="I31" i="2"/>
  <c r="I79" i="2"/>
  <c r="H104" i="2"/>
  <c r="F53" i="2"/>
  <c r="I132" i="2"/>
  <c r="G34" i="2"/>
  <c r="I27" i="2"/>
  <c r="F47" i="2"/>
  <c r="I46" i="2"/>
  <c r="J134" i="2"/>
  <c r="F120" i="2"/>
  <c r="I52" i="2"/>
  <c r="I94" i="2"/>
  <c r="H91" i="2"/>
  <c r="I9" i="2"/>
  <c r="L82" i="2"/>
  <c r="H37" i="2"/>
  <c r="F28" i="2"/>
  <c r="G126" i="2"/>
  <c r="M132" i="2"/>
  <c r="I93" i="2"/>
  <c r="L116" i="2"/>
  <c r="F92" i="2"/>
  <c r="M129" i="2"/>
  <c r="N71" i="2"/>
  <c r="G45" i="2"/>
  <c r="I40" i="2"/>
  <c r="F97" i="2"/>
  <c r="G56" i="2"/>
  <c r="N82" i="2"/>
  <c r="M76" i="2"/>
  <c r="N73" i="2"/>
  <c r="N128" i="2"/>
  <c r="N84" i="2"/>
  <c r="L57" i="2"/>
  <c r="L20" i="2"/>
  <c r="M128" i="2"/>
  <c r="M90" i="2"/>
  <c r="M126" i="2"/>
  <c r="F79" i="2"/>
  <c r="M26" i="2"/>
  <c r="N15" i="2"/>
  <c r="M16" i="2"/>
  <c r="L125" i="2"/>
  <c r="G83" i="2"/>
  <c r="N68" i="2"/>
  <c r="M68" i="2"/>
  <c r="G9" i="2"/>
  <c r="L28" i="2"/>
  <c r="N16" i="2"/>
  <c r="L71" i="2"/>
  <c r="N39" i="2"/>
  <c r="L65" i="2"/>
  <c r="M74" i="2"/>
  <c r="N50" i="2"/>
  <c r="L16" i="2"/>
  <c r="M86" i="2"/>
  <c r="M9" i="2"/>
  <c r="M39" i="2"/>
  <c r="D107" i="2"/>
  <c r="E34" i="2"/>
  <c r="D95" i="2"/>
  <c r="E17" i="2"/>
  <c r="D99" i="2"/>
  <c r="D34" i="2"/>
  <c r="E113" i="2"/>
  <c r="E128" i="2"/>
  <c r="E61" i="2"/>
  <c r="D31" i="2"/>
  <c r="E56" i="2"/>
  <c r="E64" i="2"/>
  <c r="D127" i="2"/>
  <c r="D81" i="2"/>
  <c r="D54" i="2"/>
  <c r="E77" i="2"/>
  <c r="E98" i="2"/>
  <c r="E57" i="2"/>
  <c r="J13" i="2"/>
  <c r="H100" i="2"/>
  <c r="J69" i="2"/>
  <c r="J19" i="2"/>
  <c r="J79" i="2"/>
  <c r="J63" i="2"/>
  <c r="H94" i="2"/>
  <c r="J57" i="2"/>
  <c r="J44" i="2"/>
  <c r="J28" i="2"/>
  <c r="J22" i="2"/>
  <c r="J67" i="2"/>
  <c r="K37" i="2"/>
  <c r="J72" i="2"/>
  <c r="J16" i="2"/>
  <c r="H107" i="2"/>
  <c r="K31" i="2"/>
  <c r="J66" i="2"/>
  <c r="K25" i="2"/>
  <c r="J99" i="2"/>
  <c r="J83" i="2"/>
  <c r="H114" i="2"/>
  <c r="J17" i="2"/>
  <c r="K118" i="2"/>
  <c r="H49" i="2"/>
  <c r="I95" i="2"/>
  <c r="K134" i="2"/>
  <c r="F106" i="2"/>
  <c r="I55" i="2"/>
  <c r="F124" i="2"/>
  <c r="H87" i="2"/>
  <c r="I22" i="2"/>
  <c r="F131" i="2"/>
  <c r="I23" i="2"/>
  <c r="G112" i="2"/>
  <c r="I105" i="2"/>
  <c r="F125" i="2"/>
  <c r="I107" i="2"/>
  <c r="F22" i="2"/>
  <c r="G38" i="2"/>
  <c r="F128" i="2"/>
  <c r="H133" i="2"/>
  <c r="I78" i="2"/>
  <c r="F70" i="2"/>
  <c r="F17" i="2"/>
  <c r="G52" i="2"/>
  <c r="I16" i="2"/>
  <c r="K111" i="2"/>
  <c r="F113" i="2"/>
  <c r="H12" i="2"/>
  <c r="F117" i="2"/>
  <c r="M20" i="2"/>
  <c r="L122" i="2"/>
  <c r="G86" i="2"/>
  <c r="N61" i="2"/>
  <c r="G97" i="2"/>
  <c r="F116" i="2"/>
  <c r="N47" i="2"/>
  <c r="G53" i="2"/>
  <c r="M108" i="2"/>
  <c r="F126" i="2"/>
  <c r="N55" i="2"/>
  <c r="M105" i="2"/>
  <c r="I90" i="2"/>
  <c r="G81" i="2"/>
  <c r="G15" i="2"/>
  <c r="G135" i="2"/>
  <c r="N57" i="2"/>
  <c r="G130" i="2"/>
  <c r="L25" i="2"/>
  <c r="N70" i="2"/>
  <c r="F61" i="2"/>
  <c r="L89" i="2"/>
  <c r="N35" i="2"/>
  <c r="N103" i="2"/>
  <c r="L128" i="2"/>
  <c r="N109" i="2"/>
  <c r="L91" i="2"/>
  <c r="H21" i="2"/>
  <c r="M47" i="2"/>
  <c r="L115" i="2"/>
  <c r="G131" i="2"/>
  <c r="N83" i="2"/>
  <c r="L14" i="2"/>
  <c r="M71" i="2"/>
  <c r="M36" i="2"/>
  <c r="M50" i="2"/>
  <c r="M65" i="2"/>
  <c r="L10" i="2"/>
  <c r="N85" i="2"/>
  <c r="M114" i="2"/>
  <c r="G35" i="2"/>
  <c r="L123" i="2"/>
  <c r="L68" i="2"/>
  <c r="N46" i="2"/>
  <c r="N36" i="2"/>
  <c r="L95" i="2"/>
  <c r="N67" i="2"/>
  <c r="N100" i="2"/>
  <c r="L75" i="2"/>
  <c r="M54" i="2"/>
  <c r="E80" i="2"/>
  <c r="D65" i="2"/>
  <c r="D43" i="2"/>
  <c r="E115" i="2"/>
  <c r="E27" i="2"/>
  <c r="E25" i="2"/>
  <c r="E55" i="2"/>
  <c r="E44" i="2"/>
  <c r="D101" i="2"/>
  <c r="D35" i="2"/>
  <c r="D92" i="2"/>
  <c r="D49" i="2"/>
  <c r="D36" i="2"/>
  <c r="E89" i="2"/>
  <c r="E13" i="2"/>
  <c r="E33" i="2"/>
  <c r="E106" i="2"/>
  <c r="D116" i="2"/>
  <c r="D28" i="2"/>
  <c r="E130" i="2"/>
  <c r="E118" i="2"/>
  <c r="D12" i="2"/>
  <c r="E105" i="2"/>
  <c r="D113" i="2"/>
  <c r="D80" i="2"/>
  <c r="D132" i="2"/>
  <c r="E29" i="2"/>
  <c r="E102" i="2"/>
  <c r="D16" i="2"/>
  <c r="D104" i="2"/>
  <c r="E10" i="2"/>
  <c r="D69" i="2"/>
  <c r="D37" i="2"/>
  <c r="E53" i="2"/>
  <c r="D79" i="2"/>
  <c r="E41" i="2"/>
  <c r="D91" i="2"/>
  <c r="D24" i="2"/>
  <c r="D27" i="2"/>
  <c r="E92" i="2"/>
  <c r="D103" i="2"/>
  <c r="E72" i="2"/>
  <c r="E14" i="2"/>
  <c r="E83" i="2"/>
  <c r="E32" i="2"/>
  <c r="D109" i="2"/>
  <c r="D94" i="2"/>
  <c r="E45" i="2"/>
  <c r="E75" i="2"/>
  <c r="D19" i="2"/>
  <c r="D106" i="2"/>
  <c r="D78" i="2"/>
  <c r="D97" i="2"/>
  <c r="E46" i="2"/>
  <c r="E62" i="2"/>
  <c r="E78" i="2"/>
  <c r="D93" i="2"/>
  <c r="E48" i="2"/>
  <c r="D88" i="2"/>
  <c r="D74" i="2"/>
  <c r="D11" i="2"/>
  <c r="E73" i="2"/>
  <c r="D61" i="2"/>
  <c r="D125" i="2"/>
  <c r="E31" i="2"/>
  <c r="E69" i="2"/>
  <c r="E121" i="2"/>
  <c r="E42" i="2"/>
  <c r="E40" i="2"/>
  <c r="D42" i="2"/>
  <c r="D77" i="2"/>
  <c r="D135" i="2"/>
  <c r="D121" i="2"/>
  <c r="D55" i="2"/>
  <c r="D89" i="2"/>
  <c r="D57" i="2"/>
  <c r="E22" i="2"/>
  <c r="E58" i="2"/>
  <c r="E116" i="2"/>
  <c r="E110" i="2"/>
  <c r="E65" i="2"/>
  <c r="D108" i="2"/>
  <c r="E51" i="2"/>
  <c r="R9" i="2" l="1"/>
  <c r="R10" i="2"/>
  <c r="R11" i="2"/>
  <c r="R12" i="2"/>
  <c r="R13" i="2"/>
  <c r="S13" i="2" s="1"/>
  <c r="S10" i="2" l="1"/>
  <c r="S12" i="2"/>
  <c r="S9" i="2"/>
  <c r="S11" i="2"/>
</calcChain>
</file>

<file path=xl/comments1.xml><?xml version="1.0" encoding="utf-8"?>
<comments xmlns="http://schemas.openxmlformats.org/spreadsheetml/2006/main">
  <authors>
    <author>Cui YongQiang</author>
  </authors>
  <commentList>
    <comment ref="A6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<sst xmlns="http://schemas.openxmlformats.org/spreadsheetml/2006/main" count="298" uniqueCount="297">
  <si>
    <t>date</t>
  </si>
  <si>
    <t>最新更新：</t>
    <phoneticPr fontId="4" type="noConversion"/>
  </si>
  <si>
    <t>本周至今</t>
    <phoneticPr fontId="11" type="noConversion"/>
  </si>
  <si>
    <t>本月至今</t>
    <phoneticPr fontId="11" type="noConversion"/>
  </si>
  <si>
    <t>本年至今</t>
    <phoneticPr fontId="11" type="noConversion"/>
  </si>
  <si>
    <t>最新价</t>
    <phoneticPr fontId="11" type="noConversion"/>
  </si>
  <si>
    <t>百分比(%)</t>
    <phoneticPr fontId="11" type="noConversion"/>
  </si>
  <si>
    <t>颜色区间定义</t>
    <phoneticPr fontId="11" type="noConversion"/>
  </si>
  <si>
    <t xml:space="preserve"> </t>
    <phoneticPr fontId="11" type="noConversion"/>
  </si>
  <si>
    <t>近1周</t>
    <phoneticPr fontId="11" type="noConversion"/>
  </si>
  <si>
    <t>近1月</t>
    <phoneticPr fontId="11" type="noConversion"/>
  </si>
  <si>
    <t>近3月</t>
    <phoneticPr fontId="11" type="noConversion"/>
  </si>
  <si>
    <t>近6月</t>
    <phoneticPr fontId="11" type="noConversion"/>
  </si>
  <si>
    <t>近9月</t>
    <phoneticPr fontId="11" type="noConversion"/>
  </si>
  <si>
    <t>近1年</t>
    <phoneticPr fontId="11" type="noConversion"/>
  </si>
  <si>
    <t>数据集名称</t>
    <phoneticPr fontId="1" type="noConversion"/>
  </si>
  <si>
    <t>板块成分</t>
    <phoneticPr fontId="1" type="noConversion"/>
  </si>
  <si>
    <t>日期</t>
    <phoneticPr fontId="1" type="noConversion"/>
  </si>
  <si>
    <t>板块ID</t>
    <phoneticPr fontId="1" type="noConversion"/>
  </si>
  <si>
    <t>最新调整日期</t>
    <phoneticPr fontId="1" type="noConversion"/>
  </si>
  <si>
    <t>wind_code</t>
    <phoneticPr fontId="1" type="noConversion"/>
  </si>
  <si>
    <t>Wind代码</t>
    <phoneticPr fontId="1" type="noConversion"/>
  </si>
  <si>
    <t>sec_name</t>
    <phoneticPr fontId="1" type="noConversion"/>
  </si>
  <si>
    <t>证券名称</t>
    <phoneticPr fontId="1" type="noConversion"/>
  </si>
  <si>
    <t>399001.SZ</t>
  </si>
  <si>
    <t>深证成指</t>
  </si>
  <si>
    <t>AS51.GI</t>
  </si>
  <si>
    <t>澳洲标普200</t>
  </si>
  <si>
    <t>DJI.GI</t>
  </si>
  <si>
    <t>道琼斯工业指数</t>
  </si>
  <si>
    <t>FCHI.GI</t>
  </si>
  <si>
    <t>法国CAC40</t>
  </si>
  <si>
    <t>FTSE.GI</t>
  </si>
  <si>
    <t>英国富时100</t>
  </si>
  <si>
    <t>GDAXI.GI</t>
  </si>
  <si>
    <t>德国DAX</t>
  </si>
  <si>
    <t>HSI.HI</t>
  </si>
  <si>
    <t>恒生指数</t>
  </si>
  <si>
    <t>IBOVESPA.GI</t>
  </si>
  <si>
    <t>巴西IBOVESPA指数</t>
  </si>
  <si>
    <t>IXIC.GI</t>
  </si>
  <si>
    <t>纳斯达克指数</t>
  </si>
  <si>
    <t>KS11.GI</t>
  </si>
  <si>
    <t>韩国综合指数</t>
  </si>
  <si>
    <t>N225.GI</t>
  </si>
  <si>
    <t>日经225</t>
  </si>
  <si>
    <t>SPX.GI</t>
  </si>
  <si>
    <t>标普500</t>
  </si>
  <si>
    <t>TWII.TW</t>
  </si>
  <si>
    <t>台湾加权指数</t>
  </si>
  <si>
    <t>ADX.GI</t>
  </si>
  <si>
    <t>阿联酋ADX综指</t>
  </si>
  <si>
    <t>AEX.GI</t>
  </si>
  <si>
    <t>荷兰AEX</t>
  </si>
  <si>
    <t>AMX.GI</t>
  </si>
  <si>
    <t>荷兰中盘股</t>
  </si>
  <si>
    <t>AORD.GI</t>
  </si>
  <si>
    <t>澳大利亚普通股指数</t>
  </si>
  <si>
    <t>AS52.GI</t>
  </si>
  <si>
    <t>澳大利亚S&amp;P300</t>
  </si>
  <si>
    <t>ASE.GI</t>
  </si>
  <si>
    <t>希腊ASE综指</t>
  </si>
  <si>
    <t>ATX.GI</t>
  </si>
  <si>
    <t>奥地利ATX</t>
  </si>
  <si>
    <t>ATXPRIME.GI</t>
  </si>
  <si>
    <t>奥地利ATX主板</t>
  </si>
  <si>
    <t>BELSTK.GI</t>
  </si>
  <si>
    <t>比利时NR综指</t>
  </si>
  <si>
    <t>BFX.GI</t>
  </si>
  <si>
    <t>比利时BFX</t>
  </si>
  <si>
    <t>BLOM.GI</t>
  </si>
  <si>
    <t>贝鲁特BLOM</t>
  </si>
  <si>
    <t>BTK.GI</t>
  </si>
  <si>
    <t>AMEXBTK制药指数</t>
  </si>
  <si>
    <t>BURCAP.GI</t>
  </si>
  <si>
    <t>阿根廷BURCAP</t>
  </si>
  <si>
    <t>BUX.GI</t>
  </si>
  <si>
    <t>布达佩斯股市指数</t>
  </si>
  <si>
    <t>BVLX.GI</t>
  </si>
  <si>
    <t>葡萄牙PSI</t>
  </si>
  <si>
    <t>CASE.GI</t>
  </si>
  <si>
    <t>开罗CASE30</t>
  </si>
  <si>
    <t>CCSI.GI</t>
  </si>
  <si>
    <t>埃及CMA</t>
  </si>
  <si>
    <t>CDAX.F</t>
  </si>
  <si>
    <t>德国综指</t>
  </si>
  <si>
    <t>CHTX.GI</t>
  </si>
  <si>
    <t>匈牙利蓝筹</t>
  </si>
  <si>
    <t>CN20.GI</t>
  </si>
  <si>
    <t>法国CAC20</t>
  </si>
  <si>
    <t>DFM.GI</t>
  </si>
  <si>
    <t>阿联酋DFM综指</t>
  </si>
  <si>
    <t>DJCH30.GI</t>
  </si>
  <si>
    <t>道琼斯瑞士DJ30</t>
  </si>
  <si>
    <t>DJCOMP.GI</t>
  </si>
  <si>
    <t>道琼斯美国DJ综指</t>
  </si>
  <si>
    <t>DJDWCF.GI</t>
  </si>
  <si>
    <t>道琼斯美国DJ股市</t>
  </si>
  <si>
    <t>DJES30.GI</t>
  </si>
  <si>
    <t>道琼斯西班牙DJ30</t>
  </si>
  <si>
    <t>DJTR20I.GI</t>
  </si>
  <si>
    <t>道琼斯土耳其DJ20</t>
  </si>
  <si>
    <t>FBMEMAS.FI</t>
  </si>
  <si>
    <t>富时马来西亚EMAS</t>
  </si>
  <si>
    <t>FSTAS.FI</t>
  </si>
  <si>
    <t>富时新加坡FTSE全指</t>
  </si>
  <si>
    <t>FSTRE.GI</t>
  </si>
  <si>
    <t>新加坡REITS指数</t>
  </si>
  <si>
    <t>FT350.FI</t>
  </si>
  <si>
    <t>FTSE 350</t>
  </si>
  <si>
    <t>FTASE.FI</t>
  </si>
  <si>
    <t>富时希腊FTSE大盘股</t>
  </si>
  <si>
    <t>FTDUAE.FI</t>
  </si>
  <si>
    <t>富时阿拉伯FTSE20</t>
  </si>
  <si>
    <t>FTITMC.FI</t>
  </si>
  <si>
    <t>富时意大利中盘股</t>
  </si>
  <si>
    <t>FTSEM.FI</t>
  </si>
  <si>
    <t>富时希腊FTSE中盘股</t>
  </si>
  <si>
    <t>FTSEMIB.FI</t>
  </si>
  <si>
    <t>意大利富时MIB</t>
  </si>
  <si>
    <t>GSPTSE.GI</t>
  </si>
  <si>
    <t>加拿大S&amp;P/TSX综合</t>
  </si>
  <si>
    <t>HDAX.F</t>
  </si>
  <si>
    <t>德国HDAX</t>
  </si>
  <si>
    <t>HERMES.GI</t>
  </si>
  <si>
    <t>埃及HERMES</t>
  </si>
  <si>
    <t>HEX.GI</t>
  </si>
  <si>
    <t>芬兰OMX全指</t>
  </si>
  <si>
    <t>HEX25.FIN</t>
  </si>
  <si>
    <t>芬兰OMX25</t>
  </si>
  <si>
    <t>HEXP.FIN</t>
  </si>
  <si>
    <t>芬兰OMX市值</t>
  </si>
  <si>
    <t>IBEX.GI</t>
  </si>
  <si>
    <t>西班牙IBEX35</t>
  </si>
  <si>
    <t>IBOVIEE.GI</t>
  </si>
  <si>
    <t>巴西电力</t>
  </si>
  <si>
    <t>IBVC.GI</t>
  </si>
  <si>
    <t>委内瑞拉IBC</t>
  </si>
  <si>
    <t>IBX.GI</t>
  </si>
  <si>
    <t>巴西IBrX</t>
  </si>
  <si>
    <t>IGPA.GI</t>
  </si>
  <si>
    <t>智利综指</t>
  </si>
  <si>
    <t>IMC30.GI</t>
  </si>
  <si>
    <t>墨西哥IMC30</t>
  </si>
  <si>
    <t>IMOEX.MCX</t>
  </si>
  <si>
    <t>俄罗斯MOEX</t>
  </si>
  <si>
    <t>INMEX.GI</t>
  </si>
  <si>
    <t>墨西哥INMEX</t>
  </si>
  <si>
    <t>INTER10.GI</t>
  </si>
  <si>
    <t>智利INTER10</t>
  </si>
  <si>
    <t>IPSA.GI</t>
  </si>
  <si>
    <t>IPSA智利圣地亚哥</t>
  </si>
  <si>
    <t>ISEQ.GI</t>
  </si>
  <si>
    <t>爱尔兰综指</t>
  </si>
  <si>
    <t>ITLMS.GI</t>
  </si>
  <si>
    <t>意大利指数</t>
  </si>
  <si>
    <t>JALSH.GI</t>
  </si>
  <si>
    <t>南非富时综指</t>
  </si>
  <si>
    <t>JKSE.GI</t>
  </si>
  <si>
    <t>印尼综指</t>
  </si>
  <si>
    <t>JSDA.GI</t>
  </si>
  <si>
    <t>日本纳斯达克股票指数</t>
  </si>
  <si>
    <t>KAX.GI</t>
  </si>
  <si>
    <t>丹麦OMX20</t>
  </si>
  <si>
    <t>KLSE.GI</t>
  </si>
  <si>
    <t>富时马来西亚综指</t>
  </si>
  <si>
    <t>KOSPI200.GI</t>
  </si>
  <si>
    <t>韩国综合股价200</t>
  </si>
  <si>
    <t>KRX100.GI</t>
  </si>
  <si>
    <t>韩国KRX100指数</t>
  </si>
  <si>
    <t>LUXXR.GI</t>
  </si>
  <si>
    <t>卢森堡LUXX回报</t>
  </si>
  <si>
    <t>LUXXX.GI</t>
  </si>
  <si>
    <t>卢森堡LUXX</t>
  </si>
  <si>
    <t>MAR.GI</t>
  </si>
  <si>
    <t>阿根廷MAR</t>
  </si>
  <si>
    <t>MCX10.MCX</t>
  </si>
  <si>
    <t>俄罗斯MICEX10</t>
  </si>
  <si>
    <t>MERV.GI</t>
  </si>
  <si>
    <t>阿根廷MERV</t>
  </si>
  <si>
    <t>MXX.GI</t>
  </si>
  <si>
    <t>墨西哥MXX</t>
  </si>
  <si>
    <t>NBI.GI</t>
  </si>
  <si>
    <t>纳斯达克生物技术</t>
  </si>
  <si>
    <t>NDX.GI</t>
  </si>
  <si>
    <t>纳斯达克100</t>
  </si>
  <si>
    <t>NGSEINDX.GI</t>
  </si>
  <si>
    <t>尼日利亚综指</t>
  </si>
  <si>
    <t>NIFTY.GI</t>
  </si>
  <si>
    <t>印度NIFTY 50</t>
  </si>
  <si>
    <t>NYA.GI</t>
  </si>
  <si>
    <t>纽约证交所综合指数</t>
  </si>
  <si>
    <t>NZ50.GI</t>
  </si>
  <si>
    <t>新西兰标普50</t>
  </si>
  <si>
    <t>NZSE.GI</t>
  </si>
  <si>
    <t>新西兰综合指数</t>
  </si>
  <si>
    <t>NZSE10.GI</t>
  </si>
  <si>
    <t>新西兰S&amp;P10</t>
  </si>
  <si>
    <t>OBX.GI</t>
  </si>
  <si>
    <t>挪威OBX</t>
  </si>
  <si>
    <t>OBXP.GI</t>
  </si>
  <si>
    <t>挪威OBX价格</t>
  </si>
  <si>
    <t>OMXC25.GI</t>
  </si>
  <si>
    <t>丹麦OMX25</t>
  </si>
  <si>
    <t>OMXSPI.GI</t>
  </si>
  <si>
    <t>瑞典OMX全指</t>
  </si>
  <si>
    <t>OSEAX.GI</t>
  </si>
  <si>
    <t>挪威OSEAX</t>
  </si>
  <si>
    <t>PFTS.GI</t>
  </si>
  <si>
    <t>乌克兰PFTS</t>
  </si>
  <si>
    <t>PSI.GI</t>
  </si>
  <si>
    <t>马尼拉综指</t>
  </si>
  <si>
    <t>PSI20.GI</t>
  </si>
  <si>
    <t>葡萄牙PSI20</t>
  </si>
  <si>
    <t>PX.GI</t>
  </si>
  <si>
    <t>布拉格综指</t>
  </si>
  <si>
    <t>RTY.GI</t>
  </si>
  <si>
    <t>罗素2000指数</t>
  </si>
  <si>
    <t>RUI.GI</t>
  </si>
  <si>
    <t>罗素1000指数</t>
  </si>
  <si>
    <t>S50.GI</t>
  </si>
  <si>
    <t>泰国SET50指数</t>
  </si>
  <si>
    <t>SASEIDX.GI</t>
  </si>
  <si>
    <t>沙特全指</t>
  </si>
  <si>
    <t>SBF250.GI</t>
  </si>
  <si>
    <t>法国SBF250</t>
  </si>
  <si>
    <t>SETI.GI</t>
  </si>
  <si>
    <t>泰国SET指数</t>
  </si>
  <si>
    <t>SMSI.GI</t>
  </si>
  <si>
    <t>西班牙马德里SMSI指数</t>
  </si>
  <si>
    <t>SPI.GI</t>
  </si>
  <si>
    <t>瑞士SPI</t>
  </si>
  <si>
    <t>SPTSX60.GI</t>
  </si>
  <si>
    <t>加拿大标普TSX60</t>
  </si>
  <si>
    <t>SSMI.GI</t>
  </si>
  <si>
    <t>瑞士SMI</t>
  </si>
  <si>
    <t>STI.GI</t>
  </si>
  <si>
    <t>富时新加坡海峡指数</t>
  </si>
  <si>
    <t>SWIG80.GI</t>
  </si>
  <si>
    <t>波兰SWIG80</t>
  </si>
  <si>
    <t>SX5E.DF</t>
  </si>
  <si>
    <t>欧元区STOXX50(欧元)</t>
  </si>
  <si>
    <t>SXXE.GI</t>
  </si>
  <si>
    <t>欧元区STOXX</t>
  </si>
  <si>
    <t>SXXP.GI</t>
  </si>
  <si>
    <t>欧洲STOXX600(欧元)</t>
  </si>
  <si>
    <t>TA-35.GI</t>
  </si>
  <si>
    <t>以色列TA35</t>
  </si>
  <si>
    <t>TOP40.FI</t>
  </si>
  <si>
    <t>FTSE/JSE Africa TOP40 Tradeable</t>
  </si>
  <si>
    <t>TPX.GI</t>
  </si>
  <si>
    <t>东证指数</t>
  </si>
  <si>
    <t>TSE2.GI</t>
  </si>
  <si>
    <t>东证二部指数</t>
  </si>
  <si>
    <t>TXEQ.GI</t>
  </si>
  <si>
    <t>加拿大标普TSX</t>
  </si>
  <si>
    <t>UX.GI</t>
  </si>
  <si>
    <t>乌克兰股票指数</t>
  </si>
  <si>
    <t>VHINDEX.GI</t>
  </si>
  <si>
    <t>越南指数</t>
  </si>
  <si>
    <t>VNINDEX.GI</t>
  </si>
  <si>
    <t>胡志明指数</t>
  </si>
  <si>
    <t>WBI.GI</t>
  </si>
  <si>
    <t>奥地利指数</t>
  </si>
  <si>
    <t>WIG.GI</t>
  </si>
  <si>
    <t>华沙WIG</t>
  </si>
  <si>
    <t>WIG20.GI</t>
  </si>
  <si>
    <t>华沙证交所领先20指</t>
  </si>
  <si>
    <t>XAX.GI</t>
  </si>
  <si>
    <t>美国AMEX综合</t>
  </si>
  <si>
    <t>XMI.GI</t>
  </si>
  <si>
    <t>美国ARCA主要市场</t>
  </si>
  <si>
    <t>XU030.GI</t>
  </si>
  <si>
    <t>伊斯坦布尔证交所全国30指数</t>
  </si>
  <si>
    <t>XU100.GI</t>
  </si>
  <si>
    <t>伊斯坦堡ISE100</t>
  </si>
  <si>
    <t>指数名称</t>
    <phoneticPr fontId="11" type="noConversion"/>
  </si>
  <si>
    <t>指数代码</t>
    <phoneticPr fontId="11" type="noConversion"/>
  </si>
  <si>
    <t>全球重要指数</t>
  </si>
  <si>
    <t>全球市场指数</t>
  </si>
  <si>
    <t>a399010108000000</t>
    <phoneticPr fontId="1" type="noConversion"/>
  </si>
  <si>
    <t>a399010109000000</t>
    <phoneticPr fontId="1" type="noConversion"/>
  </si>
  <si>
    <t>亚太市场重要指数</t>
  </si>
  <si>
    <t>a39901010a000000</t>
  </si>
  <si>
    <t>欧非中东重要指数</t>
  </si>
  <si>
    <t>美洲市场重要指数</t>
  </si>
  <si>
    <t>a39901010b000000</t>
    <phoneticPr fontId="1" type="noConversion"/>
  </si>
  <si>
    <t>a39901010c000000</t>
    <phoneticPr fontId="1" type="noConversion"/>
  </si>
  <si>
    <t>美国市场指数</t>
  </si>
  <si>
    <t>1000044466000000</t>
  </si>
  <si>
    <t>英国市场指数</t>
  </si>
  <si>
    <t>1000033763000000</t>
  </si>
  <si>
    <t>指数分类：</t>
    <phoneticPr fontId="11" type="noConversion"/>
  </si>
  <si>
    <t>全球市场指数表现</t>
    <phoneticPr fontId="1" type="noConversion"/>
  </si>
  <si>
    <t>全球市场指数表现</t>
    <phoneticPr fontId="4" type="noConversion"/>
  </si>
  <si>
    <t>000001.SH</t>
    <phoneticPr fontId="1" type="noConversion"/>
  </si>
  <si>
    <t>上证指数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</si>
</sst>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yyyy\-mm\-dd"/>
    <numFmt numFmtId="177" formatCode="0_);[Red]\(0\)"/>
  </numFmts>
  <fonts count="21" x14ac:knownFonts="1">
    <font>
      <sz val="14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0"/>
      <name val="Arial"/>
      <family val="2"/>
    </font>
    <font>
      <sz val="11"/>
      <color theme="1"/>
      <name val="等线"/>
      <family val="2"/>
      <scheme val="minor"/>
    </font>
    <font>
      <sz val="10"/>
      <name val="Arial"/>
      <family val="2"/>
    </font>
    <font>
      <sz val="11"/>
      <color rgb="FF0B2615"/>
      <name val="Arial"/>
      <family val="2"/>
    </font>
    <font>
      <sz val="2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12"/>
      <color rgb="FF212121"/>
      <name val="微软雅黑"/>
      <family val="2"/>
      <charset val="134"/>
    </font>
    <font>
      <sz val="12"/>
      <color theme="1"/>
      <name val="Arial"/>
      <family val="2"/>
    </font>
    <font>
      <sz val="12"/>
      <color theme="1"/>
      <name val="微软雅黑"/>
      <family val="2"/>
      <charset val="134"/>
    </font>
    <font>
      <sz val="12"/>
      <color rgb="FF555555"/>
      <name val="Arial"/>
      <family val="2"/>
    </font>
    <font>
      <sz val="14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4"/>
      <color theme="0"/>
      <name val="微软雅黑"/>
      <family val="2"/>
      <charset val="134"/>
    </font>
    <font>
      <sz val="12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E4C6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2AB60"/>
        <bgColor indexed="64"/>
      </patternFill>
    </fill>
    <fill>
      <patternFill patternType="solid">
        <fgColor rgb="FF4F4F57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3F3"/>
        <bgColor indexed="64"/>
      </patternFill>
    </fill>
    <fill>
      <patternFill patternType="solid">
        <fgColor rgb="FF515159"/>
        <bgColor indexed="64"/>
      </patternFill>
    </fill>
    <fill>
      <patternFill patternType="solid">
        <fgColor rgb="FF63A074"/>
        <bgColor indexed="64"/>
      </patternFill>
    </fill>
    <fill>
      <patternFill patternType="solid">
        <fgColor rgb="FFF68717"/>
        <bgColor indexed="64"/>
      </patternFill>
    </fill>
    <fill>
      <patternFill patternType="solid">
        <fgColor rgb="FF5FBEBF"/>
        <bgColor indexed="64"/>
      </patternFill>
    </fill>
    <fill>
      <patternFill patternType="solid">
        <fgColor rgb="FFE05D5D"/>
        <bgColor indexed="64"/>
      </patternFill>
    </fill>
    <fill>
      <patternFill patternType="solid">
        <fgColor rgb="FFE4C557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7" fillId="0" borderId="0"/>
    <xf numFmtId="0" fontId="7" fillId="0" borderId="0"/>
    <xf numFmtId="0" fontId="7" fillId="0" borderId="0"/>
    <xf numFmtId="0" fontId="8" fillId="4" borderId="2"/>
    <xf numFmtId="43" fontId="16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5" borderId="0" xfId="0" applyFill="1">
      <alignment vertical="center"/>
    </xf>
    <xf numFmtId="0" fontId="3" fillId="5" borderId="1" xfId="0" applyFont="1" applyFill="1" applyBorder="1" applyAlignment="1">
      <alignment vertical="center"/>
    </xf>
    <xf numFmtId="0" fontId="0" fillId="6" borderId="0" xfId="0" applyFill="1">
      <alignment vertical="center"/>
    </xf>
    <xf numFmtId="0" fontId="12" fillId="7" borderId="0" xfId="0" applyFont="1" applyFill="1" applyBorder="1" applyAlignment="1">
      <alignment vertical="center"/>
    </xf>
    <xf numFmtId="0" fontId="12" fillId="7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2" fontId="15" fillId="3" borderId="0" xfId="3" quotePrefix="1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14" fontId="5" fillId="9" borderId="0" xfId="0" applyNumberFormat="1" applyFont="1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0" fontId="18" fillId="10" borderId="4" xfId="0" applyFont="1" applyFill="1" applyBorder="1" applyAlignment="1">
      <alignment horizontal="right"/>
    </xf>
    <xf numFmtId="0" fontId="18" fillId="12" borderId="4" xfId="0" applyFont="1" applyFill="1" applyBorder="1" applyAlignment="1">
      <alignment horizontal="right"/>
    </xf>
    <xf numFmtId="0" fontId="18" fillId="14" borderId="4" xfId="0" applyFont="1" applyFill="1" applyBorder="1" applyAlignment="1">
      <alignment horizontal="right"/>
    </xf>
    <xf numFmtId="0" fontId="18" fillId="11" borderId="4" xfId="0" applyFont="1" applyFill="1" applyBorder="1" applyAlignment="1">
      <alignment horizontal="right"/>
    </xf>
    <xf numFmtId="0" fontId="18" fillId="13" borderId="8" xfId="0" applyFont="1" applyFill="1" applyBorder="1" applyAlignment="1">
      <alignment horizontal="right"/>
    </xf>
    <xf numFmtId="2" fontId="17" fillId="3" borderId="3" xfId="6" applyNumberFormat="1" applyFont="1" applyFill="1" applyBorder="1" applyAlignment="1">
      <alignment horizontal="right"/>
    </xf>
    <xf numFmtId="2" fontId="17" fillId="3" borderId="7" xfId="6" applyNumberFormat="1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3" fillId="8" borderId="0" xfId="0" applyFont="1" applyFill="1" applyAlignment="1">
      <alignment horizontal="right" vertical="center"/>
    </xf>
    <xf numFmtId="0" fontId="0" fillId="15" borderId="0" xfId="0" applyFill="1">
      <alignment vertical="center"/>
    </xf>
    <xf numFmtId="14" fontId="14" fillId="6" borderId="0" xfId="0" applyNumberFormat="1" applyFont="1" applyFill="1">
      <alignment vertical="center"/>
    </xf>
    <xf numFmtId="2" fontId="13" fillId="0" borderId="0" xfId="6" applyNumberFormat="1" applyFont="1" applyAlignment="1">
      <alignment horizontal="right" vertical="center"/>
    </xf>
    <xf numFmtId="0" fontId="12" fillId="7" borderId="0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right" vertical="center"/>
    </xf>
    <xf numFmtId="0" fontId="12" fillId="7" borderId="0" xfId="0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4" fillId="8" borderId="0" xfId="0" applyFont="1" applyFill="1" applyAlignment="1">
      <alignment horizontal="right" vertical="center"/>
    </xf>
    <xf numFmtId="2" fontId="13" fillId="0" borderId="0" xfId="0" applyNumberFormat="1" applyFont="1" applyAlignment="1">
      <alignment horizontal="right" vertical="center"/>
    </xf>
    <xf numFmtId="2" fontId="13" fillId="8" borderId="0" xfId="0" applyNumberFormat="1" applyFont="1" applyFill="1" applyAlignment="1">
      <alignment horizontal="right" vertical="center"/>
    </xf>
    <xf numFmtId="0" fontId="19" fillId="0" borderId="0" xfId="0" applyFont="1" applyAlignment="1">
      <alignment horizontal="left" vertical="center"/>
    </xf>
    <xf numFmtId="177" fontId="19" fillId="0" borderId="0" xfId="0" applyNumberFormat="1" applyFont="1" applyAlignment="1">
      <alignment horizontal="right" vertical="center"/>
    </xf>
    <xf numFmtId="49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176" fontId="19" fillId="0" borderId="0" xfId="0" applyNumberFormat="1" applyFont="1" applyAlignment="1">
      <alignment horizontal="left" vertical="center"/>
    </xf>
    <xf numFmtId="176" fontId="19" fillId="0" borderId="0" xfId="0" applyNumberFormat="1" applyFont="1" applyAlignment="1">
      <alignment horizontal="right" vertical="center"/>
    </xf>
    <xf numFmtId="0" fontId="19" fillId="0" borderId="0" xfId="0" applyFont="1">
      <alignment vertical="center"/>
    </xf>
    <xf numFmtId="0" fontId="9" fillId="5" borderId="0" xfId="0" applyFont="1" applyFill="1" applyAlignment="1">
      <alignment horizontal="center" vertical="center"/>
    </xf>
  </cellXfs>
  <cellStyles count="7">
    <cellStyle name="Green" xfId="5"/>
    <cellStyle name="Normal 2" xfId="3"/>
    <cellStyle name="Normal 2 2" xfId="4"/>
    <cellStyle name="Normal_Technology Trading Comps 090326" xfId="2"/>
    <cellStyle name="常规" xfId="0" builtinId="0"/>
    <cellStyle name="常规 2" xfId="1"/>
    <cellStyle name="千位分隔" xfId="6" builtinId="3"/>
  </cellStyles>
  <dxfs count="6">
    <dxf>
      <fill>
        <patternFill>
          <bgColor rgb="FF63A074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5FBEBF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E4C557"/>
        </patternFill>
      </fill>
      <border>
        <left/>
        <right/>
        <top style="thin">
          <color rgb="FFC2C2C2"/>
        </top>
        <bottom style="thin">
          <color rgb="FFC2C2C2"/>
        </bottom>
      </border>
    </dxf>
    <dxf>
      <fill>
        <patternFill>
          <bgColor rgb="FFF68717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rgb="FFE05D5D"/>
        </patternFill>
      </fill>
      <border>
        <left/>
        <right/>
        <top style="thin">
          <color rgb="FFC2C2C2"/>
        </top>
        <bottom style="thin">
          <color rgb="FFC2C2C2"/>
        </bottom>
        <vertical/>
        <horizontal/>
      </border>
    </dxf>
    <dxf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63A074"/>
      <color rgb="FF5FBEBF"/>
      <color rgb="FFE4C557"/>
      <color rgb="FFF68717"/>
      <color rgb="FFE05D5D"/>
      <color rgb="FF32AB60"/>
      <color rgb="FFF8696B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866775</xdr:colOff>
      <xdr:row>0</xdr:row>
      <xdr:rowOff>95250</xdr:rowOff>
    </xdr:from>
    <xdr:to>
      <xdr:col>2</xdr:col>
      <xdr:colOff>474346</xdr:colOff>
      <xdr:row>0</xdr:row>
      <xdr:rowOff>314850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95250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pq_pctchange"/>
      <definedName name="s_dq_close"/>
      <definedName name="s_info_name"/>
      <definedName name="s_mq_pctchange"/>
      <definedName name="s_wq_pctchange"/>
      <definedName name="s_yq_pctchang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S2402"/>
  <sheetViews>
    <sheetView showGridLines="0" tabSelected="1" zoomScaleNormal="100" workbookViewId="0">
      <selection activeCell="A40" sqref="A40"/>
    </sheetView>
  </sheetViews>
  <sheetFormatPr defaultRowHeight="20.25" x14ac:dyDescent="0.35"/>
  <cols>
    <col min="1" max="1" width="3.6328125" style="12" customWidth="1"/>
    <col min="2" max="2" width="1.54296875" customWidth="1"/>
    <col min="3" max="3" width="10.08984375" bestFit="1" customWidth="1"/>
    <col min="4" max="4" width="15.26953125" customWidth="1"/>
    <col min="6" max="7" width="8.81640625" bestFit="1" customWidth="1"/>
    <col min="8" max="8" width="9" bestFit="1" customWidth="1"/>
    <col min="9" max="9" width="9.81640625" bestFit="1" customWidth="1"/>
    <col min="10" max="11" width="9" bestFit="1" customWidth="1"/>
    <col min="12" max="13" width="8.81640625" bestFit="1" customWidth="1"/>
    <col min="14" max="14" width="9" bestFit="1" customWidth="1"/>
    <col min="15" max="15" width="1.54296875" customWidth="1"/>
    <col min="16" max="16" width="3.6328125" style="12" customWidth="1"/>
    <col min="17" max="17" width="8.7265625" style="12"/>
    <col min="19" max="19" width="13.7265625" bestFit="1" customWidth="1"/>
  </cols>
  <sheetData>
    <row r="1" spans="1:19" ht="27.75" x14ac:dyDescent="0.35">
      <c r="A1" s="13"/>
      <c r="B1" s="5"/>
      <c r="C1" s="5"/>
      <c r="D1" s="46" t="s">
        <v>294</v>
      </c>
      <c r="E1" s="46"/>
      <c r="F1" s="46"/>
      <c r="G1" s="46"/>
      <c r="H1" s="46"/>
      <c r="I1" s="46"/>
      <c r="J1" s="46"/>
      <c r="K1" s="46"/>
      <c r="L1" s="46"/>
      <c r="M1" s="6" t="s">
        <v>1</v>
      </c>
      <c r="N1" s="13">
        <f ca="1">TODAY()-1</f>
        <v>45470</v>
      </c>
      <c r="O1" s="6"/>
      <c r="P1" s="6"/>
      <c r="Q1" s="14"/>
    </row>
    <row r="2" spans="1:19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9" ht="9.9499999999999993" customHeight="1" x14ac:dyDescent="0.35">
      <c r="A3" s="7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7"/>
    </row>
    <row r="4" spans="1:19" x14ac:dyDescent="0.35">
      <c r="A4" s="7"/>
      <c r="B4" s="26"/>
      <c r="C4" s="32" t="s">
        <v>292</v>
      </c>
      <c r="D4" s="33" t="s">
        <v>279</v>
      </c>
      <c r="E4" s="7"/>
      <c r="F4" s="7"/>
      <c r="G4" s="7"/>
      <c r="H4" s="7"/>
      <c r="I4" s="7"/>
      <c r="J4" s="7"/>
      <c r="K4" s="7"/>
      <c r="L4" s="7"/>
      <c r="M4" s="7"/>
      <c r="N4" s="7"/>
      <c r="O4" s="26"/>
      <c r="P4" s="7"/>
    </row>
    <row r="5" spans="1:19" ht="9.9499999999999993" customHeight="1" x14ac:dyDescent="0.35">
      <c r="A5" s="7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7"/>
    </row>
    <row r="6" spans="1:19" x14ac:dyDescent="0.35">
      <c r="A6" s="7"/>
      <c r="B6" s="7"/>
      <c r="C6" s="7"/>
      <c r="D6" s="7"/>
      <c r="E6" s="7"/>
      <c r="F6" s="27">
        <f ca="1">N1-7</f>
        <v>45463</v>
      </c>
      <c r="G6" s="27">
        <f ca="1">DATE(YEAR($N$1),MONTH($N$1)-1,DAY($N$1))</f>
        <v>45439</v>
      </c>
      <c r="H6" s="27">
        <f ca="1">DATE(YEAR($N$1),MONTH($N$1)-3,DAY($N$1))</f>
        <v>45378</v>
      </c>
      <c r="I6" s="27">
        <f ca="1">DATE(YEAR($N$1),MONTH($N$1)-6,DAY($N$1))</f>
        <v>45287</v>
      </c>
      <c r="J6" s="27">
        <f ca="1">DATE(YEAR($N$1),MONTH($N$1)-9,DAY($N$1))</f>
        <v>45196</v>
      </c>
      <c r="K6" s="27">
        <f ca="1">DATE(YEAR($N$1),MONTH($N$1)-12,DAY($N$1))</f>
        <v>45104</v>
      </c>
      <c r="L6" s="7"/>
      <c r="M6" s="7"/>
      <c r="N6" s="7"/>
      <c r="O6" s="7"/>
      <c r="P6" s="7"/>
    </row>
    <row r="7" spans="1:19" ht="9.9499999999999993" customHeight="1" thickBot="1" x14ac:dyDescent="0.4">
      <c r="A7" s="7"/>
      <c r="B7" t="s">
        <v>8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7"/>
    </row>
    <row r="8" spans="1:19" x14ac:dyDescent="0.35">
      <c r="A8" s="7"/>
      <c r="C8" s="29" t="s">
        <v>277</v>
      </c>
      <c r="D8" s="34" t="s">
        <v>276</v>
      </c>
      <c r="E8" s="9" t="s">
        <v>5</v>
      </c>
      <c r="F8" s="8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8" t="s">
        <v>14</v>
      </c>
      <c r="L8" s="8" t="s">
        <v>2</v>
      </c>
      <c r="M8" s="9" t="s">
        <v>3</v>
      </c>
      <c r="N8" s="8" t="s">
        <v>4</v>
      </c>
      <c r="O8" s="10"/>
      <c r="P8" s="7"/>
      <c r="R8" s="15" t="s">
        <v>6</v>
      </c>
      <c r="S8" s="16" t="s">
        <v>7</v>
      </c>
    </row>
    <row r="9" spans="1:19" x14ac:dyDescent="0.2">
      <c r="A9" s="7"/>
      <c r="C9" s="30" t="str">
        <f>IF(指数列表!B6="","",指数列表!B6)</f>
        <v>000001.SH</v>
      </c>
      <c r="D9" s="35" t="str">
        <f>IF(C9="","",[1]!s_info_name(C9))</f>
        <v>上证指数</v>
      </c>
      <c r="E9" s="37">
        <f ca="1">IF(C9="","",[1]!s_dq_close(C9,$N$1))</f>
        <v>2945.8524000000002</v>
      </c>
      <c r="F9" s="28">
        <f ca="1">IF($C9=""," ",[1]!i_pq_pctchange($C9,F$6,$N$1))</f>
        <v>-2.392164527740781</v>
      </c>
      <c r="G9" s="28">
        <f ca="1">IF($C9=""," ",[1]!i_pq_pctchange($C9,G$6,$N$1))</f>
        <v>-4.6301099382444093</v>
      </c>
      <c r="H9" s="28">
        <f ca="1">IF($C9=""," ",[1]!i_pq_pctchange($C9,H$6,$N$1))</f>
        <v>-2.8246425699069988</v>
      </c>
      <c r="I9" s="28">
        <f ca="1">IF($C9=""," ",[1]!i_pq_pctchange($C9,I$6,$N$1))</f>
        <v>1.620409298257286</v>
      </c>
      <c r="J9" s="28">
        <f ca="1">IF($C9=""," ",[1]!i_pq_pctchange($C9,J$6,$N$1))</f>
        <v>-5.0421165438523818</v>
      </c>
      <c r="K9" s="28">
        <f ca="1">IF($C9=""," ",[1]!i_pq_pctchange($C9,K$6,$N$1))</f>
        <v>-6.4992468622593442</v>
      </c>
      <c r="L9" s="28">
        <f ca="1">IF(C9=""," ",[1]!s_wq_pctchange($C9,$N$1))</f>
        <v>-1.0251330350837584</v>
      </c>
      <c r="M9" s="28">
        <f ca="1">IF(C9=""," ",[1]!s_mq_pctchange($C9,$N$1))</f>
        <v>-3.8684100567919044</v>
      </c>
      <c r="N9" s="28">
        <f ca="1">IF(C9=""," ",[1]!s_yq_pctchange($C9,$N$1))</f>
        <v>-0.25318201931686657</v>
      </c>
      <c r="O9" s="10"/>
      <c r="P9" s="7"/>
      <c r="R9" s="22">
        <f ca="1">QUARTILE(F9:N2402,0)</f>
        <v>-44.26657207797966</v>
      </c>
      <c r="S9" s="17" t="str">
        <f ca="1">ROUND(R9,2)&amp;" 至 "&amp;ROUND(R10,2)&amp;""</f>
        <v>-44.27 至 -1.62</v>
      </c>
    </row>
    <row r="10" spans="1:19" x14ac:dyDescent="0.2">
      <c r="A10" s="7"/>
      <c r="C10" s="31" t="str">
        <f>IF(指数列表!B7="","",指数列表!B7)</f>
        <v>399001.SZ</v>
      </c>
      <c r="D10" s="36" t="str">
        <f>IF(C10="","",[1]!s_info_name(C10))</f>
        <v>深证成指</v>
      </c>
      <c r="E10" s="38">
        <f ca="1">IF(C10="","",[1]!s_dq_close(C10,$N$1))</f>
        <v>8849.6972999999998</v>
      </c>
      <c r="F10" s="28">
        <f ca="1">IF($C10=""," ",[1]!i_pq_pctchange($C10,F$6,$N$1))</f>
        <v>-4.0066052222843762</v>
      </c>
      <c r="G10" s="28">
        <f ca="1">IF($C10=""," ",[1]!i_pq_pctchange($C10,G$6,$N$1))</f>
        <v>-6.0997941223272516</v>
      </c>
      <c r="H10" s="28">
        <f ca="1">IF($C10=""," ",[1]!i_pq_pctchange($C10,H$6,$N$1))</f>
        <v>-6.3467526694628411</v>
      </c>
      <c r="I10" s="28">
        <f ca="1">IF($C10=""," ",[1]!i_pq_pctchange($C10,I$6,$N$1))</f>
        <v>-3.3585663101287411</v>
      </c>
      <c r="J10" s="28">
        <f ca="1">IF($C10=""," ",[1]!i_pq_pctchange($C10,J$6,$N$1))</f>
        <v>-12.032164089144114</v>
      </c>
      <c r="K10" s="28">
        <f ca="1">IF($C10=""," ",[1]!i_pq_pctchange($C10,K$6,$N$1))</f>
        <v>-18.603263510050894</v>
      </c>
      <c r="L10" s="28">
        <f ca="1">IF(C10=""," ",[1]!s_wq_pctchange($C10,$N$1))</f>
        <v>-2.384436878438756</v>
      </c>
      <c r="M10" s="28">
        <f ca="1">IF(C10=""," ",[1]!s_mq_pctchange($C10,$N$1))</f>
        <v>-5.5067849054147411</v>
      </c>
      <c r="N10" s="28">
        <f ca="1">IF(C10=""," ",[1]!s_yq_pctchange($C10,$N$1))</f>
        <v>-7.097242382546975</v>
      </c>
      <c r="O10" s="10"/>
      <c r="P10" s="7"/>
      <c r="R10" s="22">
        <f ca="1">PERCENTILE(F9:N2402,0.2)</f>
        <v>-1.6230088518335495</v>
      </c>
      <c r="S10" s="18" t="str">
        <f ca="1">ROUND(R10,2)&amp;" 至 "&amp;ROUND(R11,2)&amp;""</f>
        <v>-1.62 至 0</v>
      </c>
    </row>
    <row r="11" spans="1:19" x14ac:dyDescent="0.2">
      <c r="A11" s="7"/>
      <c r="C11" s="30" t="str">
        <f>IF(指数列表!B8="","",指数列表!B8)</f>
        <v>ADX.GI</v>
      </c>
      <c r="D11" s="35" t="str">
        <f>IF(C11="","",[1]!s_info_name(C11))</f>
        <v>阿联酋ADX综指</v>
      </c>
      <c r="E11" s="24">
        <f ca="1">IF(C11="","",[1]!s_dq_close(C11,$N$1))</f>
        <v>9004.09</v>
      </c>
      <c r="F11" s="28">
        <f ca="1">IF($C11=""," ",[1]!i_pq_pctchange($C11,F$6,$N$1))</f>
        <v>0.38631174298506821</v>
      </c>
      <c r="G11" s="28">
        <f ca="1">IF($C11=""," ",[1]!i_pq_pctchange($C11,G$6,$N$1))</f>
        <v>1.9311711099790685</v>
      </c>
      <c r="H11" s="28">
        <f ca="1">IF($C11=""," ",[1]!i_pq_pctchange($C11,H$6,$N$1))</f>
        <v>-3.3736261141862345</v>
      </c>
      <c r="I11" s="28">
        <f ca="1">IF($C11=""," ",[1]!i_pq_pctchange($C11,I$6,$N$1))</f>
        <v>-5.3887125365007389</v>
      </c>
      <c r="J11" s="28">
        <f ca="1">IF($C11=""," ",[1]!i_pq_pctchange($C11,J$6,$N$1))</f>
        <v>-8.2461473243991996</v>
      </c>
      <c r="K11" s="28">
        <f ca="1">IF($C11=""," ",[1]!i_pq_pctchange($C11,K$6,$N$1))</f>
        <v>-5.7202839671636756</v>
      </c>
      <c r="L11" s="28">
        <f ca="1">IF(C11=""," ",[1]!s_wq_pctchange($C11,$N$1))</f>
        <v>-9.9633088392736546E-2</v>
      </c>
      <c r="M11" s="28">
        <f ca="1">IF(C11=""," ",[1]!s_mq_pctchange($C11,$N$1))</f>
        <v>1.5967133724039684</v>
      </c>
      <c r="N11" s="28">
        <f ca="1">IF(C11=""," ",[1]!s_yq_pctchange($C11,$N$1))</f>
        <v>-5.9904884707945971</v>
      </c>
      <c r="O11" s="10"/>
      <c r="P11" s="7"/>
      <c r="R11" s="22">
        <f ca="1">PERCENTILE(F9:N2402,0.4)</f>
        <v>0</v>
      </c>
      <c r="S11" s="19" t="str">
        <f ca="1">ROUND(R11,2)&amp;" 至 "&amp;ROUND(R12,2)&amp;""</f>
        <v>0 至 2.07</v>
      </c>
    </row>
    <row r="12" spans="1:19" x14ac:dyDescent="0.2">
      <c r="A12" s="7"/>
      <c r="C12" s="31" t="str">
        <f>IF(指数列表!B9="","",指数列表!B9)</f>
        <v>AEX.GI</v>
      </c>
      <c r="D12" s="36" t="str">
        <f>IF(C12="","",[1]!s_info_name(C12))</f>
        <v>荷兰AEX</v>
      </c>
      <c r="E12" s="25">
        <f ca="1">IF(C12="","",[1]!s_dq_close(C12,$N$1))</f>
        <v>925.11</v>
      </c>
      <c r="F12" s="28">
        <f ca="1">IF($C12=""," ",[1]!i_pq_pctchange($C12,F$6,$N$1))</f>
        <v>3.5684162719795687E-2</v>
      </c>
      <c r="G12" s="28">
        <f ca="1">IF($C12=""," ",[1]!i_pq_pctchange($C12,G$6,$N$1))</f>
        <v>1.0817189497492441</v>
      </c>
      <c r="H12" s="28">
        <f ca="1">IF($C12=""," ",[1]!i_pq_pctchange($C12,H$6,$N$1))</f>
        <v>5.3176229508196782</v>
      </c>
      <c r="I12" s="28">
        <f ca="1">IF($C12=""," ",[1]!i_pq_pctchange($C12,I$6,$N$1))</f>
        <v>17.780889935705634</v>
      </c>
      <c r="J12" s="28">
        <f ca="1">IF($C12=""," ",[1]!i_pq_pctchange($C12,J$6,$N$1))</f>
        <v>28.232815380563615</v>
      </c>
      <c r="K12" s="28">
        <f ca="1">IF($C12=""," ",[1]!i_pq_pctchange($C12,K$6,$N$1))</f>
        <v>22.126732673267323</v>
      </c>
      <c r="L12" s="28">
        <f ca="1">IF(C12=""," ",[1]!s_wq_pctchange($C12,$N$1))</f>
        <v>-1.2969748062641173E-2</v>
      </c>
      <c r="M12" s="28">
        <f ca="1">IF(C12=""," ",[1]!s_mq_pctchange($C12,$N$1))</f>
        <v>2.3793450714356901</v>
      </c>
      <c r="N12" s="28">
        <f ca="1">IF(C12=""," ",[1]!s_yq_pctchange($C12,$N$1))</f>
        <v>17.575811494369731</v>
      </c>
      <c r="O12" s="11"/>
      <c r="P12" s="7"/>
      <c r="R12" s="22">
        <f ca="1">PERCENTILE(F9:N2402,0.6)</f>
        <v>2.0722655389692686</v>
      </c>
      <c r="S12" s="20" t="str">
        <f ca="1">ROUND(R12,2)&amp;" 至 "&amp;ROUND(R13,2)&amp;""</f>
        <v>2.07 至 8.58</v>
      </c>
    </row>
    <row r="13" spans="1:19" ht="21" thickBot="1" x14ac:dyDescent="0.25">
      <c r="A13" s="7"/>
      <c r="C13" s="30" t="str">
        <f>IF(指数列表!B10="","",指数列表!B10)</f>
        <v>AMX.GI</v>
      </c>
      <c r="D13" s="35" t="str">
        <f>IF(C13="","",[1]!s_info_name(C13))</f>
        <v>荷兰中盘股</v>
      </c>
      <c r="E13" s="24">
        <f ca="1">IF(C13="","",[1]!s_dq_close(C13,$N$1))</f>
        <v>864.23</v>
      </c>
      <c r="F13" s="28">
        <f ca="1">IF($C13=""," ",[1]!i_pq_pctchange($C13,F$6,$N$1))</f>
        <v>-1.9780643551442045</v>
      </c>
      <c r="G13" s="28">
        <f ca="1">IF($C13=""," ",[1]!i_pq_pctchange($C13,G$6,$N$1))</f>
        <v>-7.8813008303399101</v>
      </c>
      <c r="H13" s="28">
        <f ca="1">IF($C13=""," ",[1]!i_pq_pctchange($C13,H$6,$N$1))</f>
        <v>-7.005046646508772</v>
      </c>
      <c r="I13" s="28">
        <f ca="1">IF($C13=""," ",[1]!i_pq_pctchange($C13,I$6,$N$1))</f>
        <v>-6.0813527641030651</v>
      </c>
      <c r="J13" s="28">
        <f ca="1">IF($C13=""," ",[1]!i_pq_pctchange($C13,J$6,$N$1))</f>
        <v>4.6777534186843717</v>
      </c>
      <c r="K13" s="28">
        <f ca="1">IF($C13=""," ",[1]!i_pq_pctchange($C13,K$6,$N$1))</f>
        <v>-1.7261573100146643</v>
      </c>
      <c r="L13" s="28">
        <f ca="1">IF(C13=""," ",[1]!s_wq_pctchange($C13,$N$1))</f>
        <v>-1.8466989971493097</v>
      </c>
      <c r="M13" s="28">
        <f ca="1">IF(C13=""," ",[1]!s_mq_pctchange($C13,$N$1))</f>
        <v>-6.3256701243239117</v>
      </c>
      <c r="N13" s="28">
        <f ca="1">IF(C13=""," ",[1]!s_yq_pctchange($C13,$N$1))</f>
        <v>-6.6786886662059448</v>
      </c>
      <c r="O13" s="11"/>
      <c r="P13" s="7"/>
      <c r="R13" s="23">
        <f ca="1">PERCENTILE(F9:N2402,0.8)</f>
        <v>8.5841861574929013</v>
      </c>
      <c r="S13" s="21" t="str">
        <f ca="1">ROUND(R13,2)&amp;" 以上"</f>
        <v>8.58 以上</v>
      </c>
    </row>
    <row r="14" spans="1:19" x14ac:dyDescent="0.35">
      <c r="A14" s="7"/>
      <c r="C14" s="31" t="str">
        <f>IF(指数列表!B11="","",指数列表!B11)</f>
        <v>AORD.GI</v>
      </c>
      <c r="D14" s="36" t="str">
        <f>IF(C14="","",[1]!s_info_name(C14))</f>
        <v>澳大利亚普通股指数</v>
      </c>
      <c r="E14" s="25">
        <f ca="1">IF(C14="","",[1]!s_dq_close(C14,$N$1))</f>
        <v>8002.8</v>
      </c>
      <c r="F14" s="28">
        <f ca="1">IF($C14=""," ",[1]!i_pq_pctchange($C14,F$6,$N$1))</f>
        <v>-9.6123837463324424E-2</v>
      </c>
      <c r="G14" s="28">
        <f ca="1">IF($C14=""," ",[1]!i_pq_pctchange($C14,G$6,$N$1))</f>
        <v>4.5004500450041007E-2</v>
      </c>
      <c r="H14" s="28">
        <f ca="1">IF($C14=""," ",[1]!i_pq_pctchange($C14,H$6,$N$1))</f>
        <v>-0.4218149240359792</v>
      </c>
      <c r="I14" s="28">
        <f ca="1">IF($C14=""," ",[1]!i_pq_pctchange($C14,I$6,$N$1))</f>
        <v>3.5264288116737097</v>
      </c>
      <c r="J14" s="28">
        <f ca="1">IF($C14=""," ",[1]!i_pq_pctchange($C14,J$6,$N$1))</f>
        <v>10.500807754442643</v>
      </c>
      <c r="K14" s="28">
        <f ca="1">IF($C14=""," ",[1]!i_pq_pctchange($C14,K$6,$N$1))</f>
        <v>10.169188199501654</v>
      </c>
      <c r="L14" s="28">
        <f ca="1">IF(C14=""," ",[1]!s_wq_pctchange($C14,$N$1))</f>
        <v>-0.32463090336943834</v>
      </c>
      <c r="M14" s="28">
        <f ca="1">IF(C14=""," ",[1]!s_mq_pctchange($C14,$N$1))</f>
        <v>0.53946906207658074</v>
      </c>
      <c r="N14" s="28">
        <f ca="1">IF(C14=""," ",[1]!s_yq_pctchange($C14,$N$1))</f>
        <v>2.3539178747046474</v>
      </c>
      <c r="O14" s="11"/>
      <c r="P14" s="7"/>
    </row>
    <row r="15" spans="1:19" x14ac:dyDescent="0.35">
      <c r="A15" s="7"/>
      <c r="C15" s="30" t="str">
        <f>IF(指数列表!B12="","",指数列表!B12)</f>
        <v>AS51.GI</v>
      </c>
      <c r="D15" s="35" t="str">
        <f>IF(C15="","",[1]!s_info_name(C15))</f>
        <v>澳洲标普200</v>
      </c>
      <c r="E15" s="24">
        <f ca="1">IF(C15="","",[1]!s_dq_close(C15,$N$1))</f>
        <v>7759.6</v>
      </c>
      <c r="F15" s="28">
        <f ca="1">IF($C15=""," ",[1]!i_pq_pctchange($C15,F$6,$N$1))</f>
        <v>-0.12999214898901101</v>
      </c>
      <c r="G15" s="28">
        <f ca="1">IF($C15=""," ",[1]!i_pq_pctchange($C15,G$6,$N$1))</f>
        <v>0.41410010870128744</v>
      </c>
      <c r="H15" s="28">
        <f ca="1">IF($C15=""," ",[1]!i_pq_pctchange($C15,H$6,$N$1))</f>
        <v>-0.26477468445540442</v>
      </c>
      <c r="I15" s="28">
        <f ca="1">IF($C15=""," ",[1]!i_pq_pctchange($C15,I$6,$N$1))</f>
        <v>3.4392662898581561</v>
      </c>
      <c r="J15" s="28">
        <f ca="1">IF($C15=""," ",[1]!i_pq_pctchange($C15,J$6,$N$1))</f>
        <v>10.249779773237488</v>
      </c>
      <c r="K15" s="28">
        <f ca="1">IF($C15=""," ",[1]!i_pq_pctchange($C15,K$6,$N$1))</f>
        <v>9.6189978385861963</v>
      </c>
      <c r="L15" s="28">
        <f ca="1">IF(C15=""," ",[1]!s_wq_pctchange($C15,$N$1))</f>
        <v>-0.36557208825038767</v>
      </c>
      <c r="M15" s="28">
        <f ca="1">IF(C15=""," ",[1]!s_mq_pctchange($C15,$N$1))</f>
        <v>0.85435683031018783</v>
      </c>
      <c r="N15" s="28">
        <f ca="1">IF(C15=""," ",[1]!s_yq_pctchange($C15,$N$1))</f>
        <v>2.3278178848079145</v>
      </c>
      <c r="O15" s="11"/>
      <c r="P15" s="7"/>
    </row>
    <row r="16" spans="1:19" x14ac:dyDescent="0.35">
      <c r="A16" s="7"/>
      <c r="C16" s="31" t="str">
        <f>IF(指数列表!B13="","",指数列表!B13)</f>
        <v>AS52.GI</v>
      </c>
      <c r="D16" s="36" t="str">
        <f>IF(C16="","",[1]!s_info_name(C16))</f>
        <v>澳大利亚S&amp;P300</v>
      </c>
      <c r="E16" s="25">
        <f ca="1">IF(C16="","",[1]!s_dq_close(C16,$N$1))</f>
        <v>7700.6</v>
      </c>
      <c r="F16" s="28">
        <f ca="1">IF($C16=""," ",[1]!i_pq_pctchange($C16,F$6,$N$1))</f>
        <v>-0.13875740795974423</v>
      </c>
      <c r="G16" s="28">
        <f ca="1">IF($C16=""," ",[1]!i_pq_pctchange($C16,G$6,$N$1))</f>
        <v>0.30741174938127003</v>
      </c>
      <c r="H16" s="28">
        <f ca="1">IF($C16=""," ",[1]!i_pq_pctchange($C16,H$6,$N$1))</f>
        <v>-0.41512020380978232</v>
      </c>
      <c r="I16" s="28">
        <f ca="1">IF($C16=""," ",[1]!i_pq_pctchange($C16,I$6,$N$1))</f>
        <v>3.4123413684281179</v>
      </c>
      <c r="J16" s="28">
        <f ca="1">IF($C16=""," ",[1]!i_pq_pctchange($C16,J$6,$N$1))</f>
        <v>10.188020490513129</v>
      </c>
      <c r="K16" s="28">
        <f ca="1">IF($C16=""," ",[1]!i_pq_pctchange($C16,K$6,$N$1))</f>
        <v>9.500177746178462</v>
      </c>
      <c r="L16" s="28">
        <f ca="1">IF(C16=""," ",[1]!s_wq_pctchange($C16,$N$1))</f>
        <v>-0.49104489184089717</v>
      </c>
      <c r="M16" s="28">
        <f ca="1">IF(C16=""," ",[1]!s_mq_pctchange($C16,$N$1))</f>
        <v>0.65354351292710167</v>
      </c>
      <c r="N16" s="28">
        <f ca="1">IF(C16=""," ",[1]!s_yq_pctchange($C16,$N$1))</f>
        <v>2.1855385554479412</v>
      </c>
      <c r="O16" s="11"/>
      <c r="P16" s="7"/>
    </row>
    <row r="17" spans="1:16" x14ac:dyDescent="0.35">
      <c r="A17" s="7"/>
      <c r="C17" s="30" t="str">
        <f>IF(指数列表!B14="","",指数列表!B14)</f>
        <v>ASE.GI</v>
      </c>
      <c r="D17" s="35" t="str">
        <f>IF(C17="","",[1]!s_info_name(C17))</f>
        <v>希腊ASE综指</v>
      </c>
      <c r="E17" s="24">
        <f ca="1">IF(C17="","",[1]!s_dq_close(C17,$N$1))</f>
        <v>1400.43</v>
      </c>
      <c r="F17" s="28">
        <f ca="1">IF($C17=""," ",[1]!i_pq_pctchange($C17,F$6,$N$1))</f>
        <v>-1.8068994530921367</v>
      </c>
      <c r="G17" s="28">
        <f ca="1">IF($C17=""," ",[1]!i_pq_pctchange($C17,G$6,$N$1))</f>
        <v>-5.2284308616827646</v>
      </c>
      <c r="H17" s="28">
        <f ca="1">IF($C17=""," ",[1]!i_pq_pctchange($C17,H$6,$N$1))</f>
        <v>-1.5521859248792569</v>
      </c>
      <c r="I17" s="28">
        <f ca="1">IF($C17=""," ",[1]!i_pq_pctchange($C17,I$6,$N$1))</f>
        <v>8.4856184492869247</v>
      </c>
      <c r="J17" s="28">
        <f ca="1">IF($C17=""," ",[1]!i_pq_pctchange($C17,J$6,$N$1))</f>
        <v>14.829817066671058</v>
      </c>
      <c r="K17" s="28">
        <f ca="1">IF($C17=""," ",[1]!i_pq_pctchange($C17,K$6,$N$1))</f>
        <v>13.510950443367321</v>
      </c>
      <c r="L17" s="28">
        <f ca="1">IF(C17=""," ",[1]!s_wq_pctchange($C17,$N$1))</f>
        <v>-1.657959046094204</v>
      </c>
      <c r="M17" s="28">
        <f ca="1">IF(C17=""," ",[1]!s_mq_pctchange($C17,$N$1))</f>
        <v>-2.193680858196434</v>
      </c>
      <c r="N17" s="28">
        <f ca="1">IF(C17=""," ",[1]!s_yq_pctchange($C17,$N$1))</f>
        <v>8.2968588087910078</v>
      </c>
      <c r="O17" s="11"/>
      <c r="P17" s="7"/>
    </row>
    <row r="18" spans="1:16" x14ac:dyDescent="0.35">
      <c r="A18" s="7"/>
      <c r="C18" s="31" t="str">
        <f>IF(指数列表!B15="","",指数列表!B15)</f>
        <v>ATX.GI</v>
      </c>
      <c r="D18" s="36" t="str">
        <f>IF(C18="","",[1]!s_info_name(C18))</f>
        <v>奥地利ATX</v>
      </c>
      <c r="E18" s="25">
        <f ca="1">IF(C18="","",[1]!s_dq_close(C18,$N$1))</f>
        <v>3601.18</v>
      </c>
      <c r="F18" s="28">
        <f ca="1">IF($C18=""," ",[1]!i_pq_pctchange($C18,F$6,$N$1))</f>
        <v>0.1468338941572167</v>
      </c>
      <c r="G18" s="28">
        <f ca="1">IF($C18=""," ",[1]!i_pq_pctchange($C18,G$6,$N$1))</f>
        <v>-3.8947244817353122</v>
      </c>
      <c r="H18" s="28">
        <f ca="1">IF($C18=""," ",[1]!i_pq_pctchange($C18,H$6,$N$1))</f>
        <v>2.9167333500994541</v>
      </c>
      <c r="I18" s="28">
        <f ca="1">IF($C18=""," ",[1]!i_pq_pctchange($C18,I$6,$N$1))</f>
        <v>5.678970319808907</v>
      </c>
      <c r="J18" s="28">
        <f ca="1">IF($C18=""," ",[1]!i_pq_pctchange($C18,J$6,$N$1))</f>
        <v>15.553544727030012</v>
      </c>
      <c r="K18" s="28">
        <f ca="1">IF($C18=""," ",[1]!i_pq_pctchange($C18,K$6,$N$1))</f>
        <v>17.047596760144046</v>
      </c>
      <c r="L18" s="28">
        <f ca="1">IF(C18=""," ",[1]!s_wq_pctchange($C18,$N$1))</f>
        <v>0.26673348925270179</v>
      </c>
      <c r="M18" s="28">
        <f ca="1">IF(C18=""," ",[1]!s_mq_pctchange($C18,$N$1))</f>
        <v>-2.363916852159631</v>
      </c>
      <c r="N18" s="28">
        <f ca="1">IF(C18=""," ",[1]!s_yq_pctchange($C18,$N$1))</f>
        <v>4.8387613283376485</v>
      </c>
      <c r="O18" s="11"/>
      <c r="P18" s="7"/>
    </row>
    <row r="19" spans="1:16" x14ac:dyDescent="0.35">
      <c r="A19" s="7"/>
      <c r="C19" s="30" t="str">
        <f>IF(指数列表!B16="","",指数列表!B16)</f>
        <v>ATXPRIME.GI</v>
      </c>
      <c r="D19" s="35" t="str">
        <f>IF(C19="","",[1]!s_info_name(C19))</f>
        <v>奥地利ATX主板</v>
      </c>
      <c r="E19" s="24">
        <f ca="1">IF(C19="","",[1]!s_dq_close(C19,$N$1))</f>
        <v>1804.92</v>
      </c>
      <c r="F19" s="28">
        <f ca="1">IF($C19=""," ",[1]!i_pq_pctchange($C19,F$6,$N$1))</f>
        <v>0.22990037650352235</v>
      </c>
      <c r="G19" s="28">
        <f ca="1">IF($C19=""," ",[1]!i_pq_pctchange($C19,G$6,$N$1))</f>
        <v>-3.7724985072080552</v>
      </c>
      <c r="H19" s="28">
        <f ca="1">IF($C19=""," ",[1]!i_pq_pctchange($C19,H$6,$N$1))</f>
        <v>2.6245764061042953</v>
      </c>
      <c r="I19" s="28">
        <f ca="1">IF($C19=""," ",[1]!i_pq_pctchange($C19,I$6,$N$1))</f>
        <v>5.6064595401088324</v>
      </c>
      <c r="J19" s="28">
        <f ca="1">IF($C19=""," ",[1]!i_pq_pctchange($C19,J$6,$N$1))</f>
        <v>14.710985414217159</v>
      </c>
      <c r="K19" s="28">
        <f ca="1">IF($C19=""," ",[1]!i_pq_pctchange($C19,K$6,$N$1))</f>
        <v>15.606625417931674</v>
      </c>
      <c r="L19" s="28">
        <f ca="1">IF(C19=""," ",[1]!s_wq_pctchange($C19,$N$1))</f>
        <v>0.23490995118538027</v>
      </c>
      <c r="M19" s="28">
        <f ca="1">IF(C19=""," ",[1]!s_mq_pctchange($C19,$N$1))</f>
        <v>-2.2650602409638565</v>
      </c>
      <c r="N19" s="28">
        <f ca="1">IF(C19=""," ",[1]!s_yq_pctchange($C19,$N$1))</f>
        <v>4.7137793197073785</v>
      </c>
      <c r="O19" s="11"/>
      <c r="P19" s="7"/>
    </row>
    <row r="20" spans="1:16" x14ac:dyDescent="0.35">
      <c r="A20" s="7"/>
      <c r="C20" s="31" t="str">
        <f>IF(指数列表!B17="","",指数列表!B17)</f>
        <v>BELSTK.GI</v>
      </c>
      <c r="D20" s="36" t="str">
        <f>IF(C20="","",[1]!s_info_name(C20))</f>
        <v>比利时NR综指</v>
      </c>
      <c r="E20" s="25">
        <f ca="1">IF(C20="","",[1]!s_dq_close(C20,$N$1))</f>
        <v>56601.56</v>
      </c>
      <c r="F20" s="28">
        <f ca="1">IF($C20=""," ",[1]!i_pq_pctchange($C20,F$6,$N$1))</f>
        <v>0.58788980065132002</v>
      </c>
      <c r="G20" s="28">
        <f ca="1">IF($C20=""," ",[1]!i_pq_pctchange($C20,G$6,$N$1))</f>
        <v>-4.3371592908029726</v>
      </c>
      <c r="H20" s="28">
        <f ca="1">IF($C20=""," ",[1]!i_pq_pctchange($C20,H$6,$N$1))</f>
        <v>2.2933685723673047</v>
      </c>
      <c r="I20" s="28">
        <f ca="1">IF($C20=""," ",[1]!i_pq_pctchange($C20,I$6,$N$1))</f>
        <v>5.0380306988380807</v>
      </c>
      <c r="J20" s="28">
        <f ca="1">IF($C20=""," ",[1]!i_pq_pctchange($C20,J$6,$N$1))</f>
        <v>10.945772925743636</v>
      </c>
      <c r="K20" s="28">
        <f ca="1">IF($C20=""," ",[1]!i_pq_pctchange($C20,K$6,$N$1))</f>
        <v>16.21308539701689</v>
      </c>
      <c r="L20" s="28">
        <f ca="1">IF(C20=""," ",[1]!s_wq_pctchange($C20,$N$1))</f>
        <v>0.29142182915526949</v>
      </c>
      <c r="M20" s="28">
        <f ca="1">IF(C20=""," ",[1]!s_mq_pctchange($C20,$N$1))</f>
        <v>-3.8227042509023201</v>
      </c>
      <c r="N20" s="28">
        <f ca="1">IF(C20=""," ",[1]!s_yq_pctchange($C20,$N$1))</f>
        <v>5.1864015199945213</v>
      </c>
      <c r="O20" s="11"/>
      <c r="P20" s="7"/>
    </row>
    <row r="21" spans="1:16" x14ac:dyDescent="0.35">
      <c r="A21" s="7"/>
      <c r="C21" s="30" t="str">
        <f>IF(指数列表!B18="","",指数列表!B18)</f>
        <v>BFX.GI</v>
      </c>
      <c r="D21" s="35" t="str">
        <f>IF(C21="","",[1]!s_info_name(C21))</f>
        <v>比利时BFX</v>
      </c>
      <c r="E21" s="24">
        <f ca="1">IF(C21="","",[1]!s_dq_close(C21,$N$1))</f>
        <v>3919.21</v>
      </c>
      <c r="F21" s="28">
        <f ca="1">IF($C21=""," ",[1]!i_pq_pctchange($C21,F$6,$N$1))</f>
        <v>1.4976510988299552</v>
      </c>
      <c r="G21" s="28">
        <f ca="1">IF($C21=""," ",[1]!i_pq_pctchange($C21,G$6,$N$1))</f>
        <v>-1.2773557149766246</v>
      </c>
      <c r="H21" s="28">
        <f ca="1">IF($C21=""," ",[1]!i_pq_pctchange($C21,H$6,$N$1))</f>
        <v>2.9347572009759793</v>
      </c>
      <c r="I21" s="28">
        <f ca="1">IF($C21=""," ",[1]!i_pq_pctchange($C21,I$6,$N$1))</f>
        <v>6.509243985227009</v>
      </c>
      <c r="J21" s="28">
        <f ca="1">IF($C21=""," ",[1]!i_pq_pctchange($C21,J$6,$N$1))</f>
        <v>10.718089388978512</v>
      </c>
      <c r="K21" s="28">
        <f ca="1">IF($C21=""," ",[1]!i_pq_pctchange($C21,K$6,$N$1))</f>
        <v>11.776550142743481</v>
      </c>
      <c r="L21" s="28">
        <f ca="1">IF(C21=""," ",[1]!s_wq_pctchange($C21,$N$1))</f>
        <v>0.64611394306697267</v>
      </c>
      <c r="M21" s="28">
        <f ca="1">IF(C21=""," ",[1]!s_mq_pctchange($C21,$N$1))</f>
        <v>2.8585356640609128E-2</v>
      </c>
      <c r="N21" s="28">
        <f ca="1">IF(C21=""," ",[1]!s_yq_pctchange($C21,$N$1))</f>
        <v>5.7026190944961641</v>
      </c>
      <c r="O21" s="11"/>
      <c r="P21" s="7"/>
    </row>
    <row r="22" spans="1:16" x14ac:dyDescent="0.35">
      <c r="A22" s="7"/>
      <c r="C22" s="31" t="str">
        <f>IF(指数列表!B19="","",指数列表!B19)</f>
        <v>BLOM.GI</v>
      </c>
      <c r="D22" s="36" t="str">
        <f>IF(C22="","",[1]!s_info_name(C22))</f>
        <v>贝鲁特BLOM</v>
      </c>
      <c r="E22" s="25">
        <f ca="1">IF(C22="","",[1]!s_dq_close(C22,$N$1))</f>
        <v>1742.2691</v>
      </c>
      <c r="F22" s="28">
        <f ca="1">IF($C22=""," ",[1]!i_pq_pctchange($C22,F$6,$N$1))</f>
        <v>0</v>
      </c>
      <c r="G22" s="28">
        <f ca="1">IF($C22=""," ",[1]!i_pq_pctchange($C22,G$6,$N$1))</f>
        <v>0</v>
      </c>
      <c r="H22" s="28">
        <f ca="1">IF($C22=""," ",[1]!i_pq_pctchange($C22,H$6,$N$1))</f>
        <v>2.0033716801698631</v>
      </c>
      <c r="I22" s="28">
        <f ca="1">IF($C22=""," ",[1]!i_pq_pctchange($C22,I$6,$N$1))</f>
        <v>-12.515835225978321</v>
      </c>
      <c r="J22" s="28">
        <f ca="1">IF($C22=""," ",[1]!i_pq_pctchange($C22,J$6,$N$1))</f>
        <v>-2.3753802961861137</v>
      </c>
      <c r="K22" s="28">
        <f ca="1">IF($C22=""," ",[1]!i_pq_pctchange($C22,K$6,$N$1))</f>
        <v>2.3753464182741935</v>
      </c>
      <c r="L22" s="28">
        <f ca="1">IF(C22=""," ",[1]!s_wq_pctchange($C22,$N$1))</f>
        <v>0</v>
      </c>
      <c r="M22" s="28">
        <f ca="1">IF(C22=""," ",[1]!s_mq_pctchange($C22,$N$1))</f>
        <v>0</v>
      </c>
      <c r="N22" s="28">
        <f ca="1">IF(C22=""," ",[1]!s_yq_pctchange($C22,$N$1))</f>
        <v>-12.678405246746149</v>
      </c>
      <c r="O22" s="11"/>
      <c r="P22" s="7"/>
    </row>
    <row r="23" spans="1:16" x14ac:dyDescent="0.35">
      <c r="A23" s="7"/>
      <c r="C23" s="30" t="str">
        <f>IF(指数列表!B20="","",指数列表!B20)</f>
        <v>BTK.GI</v>
      </c>
      <c r="D23" s="35" t="str">
        <f>IF(C23="","",[1]!s_info_name(C23))</f>
        <v>AMEXBTK制药指数</v>
      </c>
      <c r="E23" s="24">
        <f ca="1">IF(C23="","",[1]!s_dq_close(C23,$N$1))</f>
        <v>5321.12</v>
      </c>
      <c r="F23" s="28">
        <f ca="1">IF($C23=""," ",[1]!i_pq_pctchange($C23,F$6,$N$1))</f>
        <v>3.4100648120257038</v>
      </c>
      <c r="G23" s="28">
        <f ca="1">IF($C23=""," ",[1]!i_pq_pctchange($C23,G$6,$N$1))</f>
        <v>2.110478705235308</v>
      </c>
      <c r="H23" s="28">
        <f ca="1">IF($C23=""," ",[1]!i_pq_pctchange($C23,H$6,$N$1))</f>
        <v>1.3455938230291675</v>
      </c>
      <c r="I23" s="28">
        <f ca="1">IF($C23=""," ",[1]!i_pq_pctchange($C23,I$6,$N$1))</f>
        <v>-1.2388940341916177</v>
      </c>
      <c r="J23" s="28">
        <f ca="1">IF($C23=""," ",[1]!i_pq_pctchange($C23,J$6,$N$1))</f>
        <v>5.7832575578355527</v>
      </c>
      <c r="K23" s="28">
        <f ca="1">IF($C23=""," ",[1]!i_pq_pctchange($C23,K$6,$N$1))</f>
        <v>1.8936354775641817</v>
      </c>
      <c r="L23" s="28">
        <f ca="1">IF(C23=""," ",[1]!s_wq_pctchange($C23,$N$1))</f>
        <v>1.3807359987806356</v>
      </c>
      <c r="M23" s="28">
        <f ca="1">IF(C23=""," ",[1]!s_mq_pctchange($C23,$N$1))</f>
        <v>3.7010763543101843</v>
      </c>
      <c r="N23" s="28">
        <f ca="1">IF(C23=""," ",[1]!s_yq_pctchange($C23,$N$1))</f>
        <v>-1.8026131246770549</v>
      </c>
      <c r="O23" s="11"/>
      <c r="P23" s="7"/>
    </row>
    <row r="24" spans="1:16" x14ac:dyDescent="0.35">
      <c r="A24" s="7"/>
      <c r="C24" s="31" t="str">
        <f>IF(指数列表!B21="","",指数列表!B21)</f>
        <v>BURCAP.GI</v>
      </c>
      <c r="D24" s="36" t="str">
        <f>IF(C24="","",[1]!s_info_name(C24))</f>
        <v>阿根廷BURCAP</v>
      </c>
      <c r="E24" s="25">
        <f ca="1">IF(C24="","",[1]!s_dq_close(C24,$N$1))</f>
        <v>98469.13</v>
      </c>
      <c r="F24" s="28">
        <f ca="1">IF($C24=""," ",[1]!i_pq_pctchange($C24,F$6,$N$1))</f>
        <v>0</v>
      </c>
      <c r="G24" s="28">
        <f ca="1">IF($C24=""," ",[1]!i_pq_pctchange($C24,G$6,$N$1))</f>
        <v>0</v>
      </c>
      <c r="H24" s="28">
        <f ca="1">IF($C24=""," ",[1]!i_pq_pctchange($C24,H$6,$N$1))</f>
        <v>0</v>
      </c>
      <c r="I24" s="28">
        <f ca="1">IF($C24=""," ",[1]!i_pq_pctchange($C24,I$6,$N$1))</f>
        <v>0</v>
      </c>
      <c r="J24" s="28">
        <f ca="1">IF($C24=""," ",[1]!i_pq_pctchange($C24,J$6,$N$1))</f>
        <v>0</v>
      </c>
      <c r="K24" s="28">
        <f ca="1">IF($C24=""," ",[1]!i_pq_pctchange($C24,K$6,$N$1))</f>
        <v>0</v>
      </c>
      <c r="L24" s="28">
        <f ca="1">IF(C24=""," ",[1]!s_wq_pctchange($C24,$N$1))</f>
        <v>0</v>
      </c>
      <c r="M24" s="28">
        <f ca="1">IF(C24=""," ",[1]!s_mq_pctchange($C24,$N$1))</f>
        <v>0</v>
      </c>
      <c r="N24" s="28">
        <f ca="1">IF(C24=""," ",[1]!s_yq_pctchange($C24,$N$1))</f>
        <v>0</v>
      </c>
      <c r="O24" s="11"/>
      <c r="P24" s="7"/>
    </row>
    <row r="25" spans="1:16" x14ac:dyDescent="0.35">
      <c r="A25" s="7"/>
      <c r="C25" s="30" t="str">
        <f>IF(指数列表!B22="","",指数列表!B22)</f>
        <v>BUX.GI</v>
      </c>
      <c r="D25" s="35" t="str">
        <f>IF(C25="","",[1]!s_info_name(C25))</f>
        <v>布达佩斯股市指数</v>
      </c>
      <c r="E25" s="24">
        <f ca="1">IF(C25="","",[1]!s_dq_close(C25,$N$1))</f>
        <v>71492.81</v>
      </c>
      <c r="F25" s="28">
        <f ca="1">IF($C25=""," ",[1]!i_pq_pctchange($C25,F$6,$N$1))</f>
        <v>2.6292968497101832</v>
      </c>
      <c r="G25" s="28">
        <f ca="1">IF($C25=""," ",[1]!i_pq_pctchange($C25,G$6,$N$1))</f>
        <v>3.8443409963639041</v>
      </c>
      <c r="H25" s="28">
        <f ca="1">IF($C25=""," ",[1]!i_pq_pctchange($C25,H$6,$N$1))</f>
        <v>9.9798355151527574</v>
      </c>
      <c r="I25" s="28">
        <f ca="1">IF($C25=""," ",[1]!i_pq_pctchange($C25,I$6,$N$1))</f>
        <v>18.572885707462049</v>
      </c>
      <c r="J25" s="28">
        <f ca="1">IF($C25=""," ",[1]!i_pq_pctchange($C25,J$6,$N$1))</f>
        <v>28.649579804411385</v>
      </c>
      <c r="K25" s="28">
        <f ca="1">IF($C25=""," ",[1]!i_pq_pctchange($C25,K$6,$N$1))</f>
        <v>42.736088769612948</v>
      </c>
      <c r="L25" s="28">
        <f ca="1">IF(C25=""," ",[1]!s_wq_pctchange($C25,$N$1))</f>
        <v>1.5827040255803837</v>
      </c>
      <c r="M25" s="28">
        <f ca="1">IF(C25=""," ",[1]!s_mq_pctchange($C25,$N$1))</f>
        <v>5.2812315049028502</v>
      </c>
      <c r="N25" s="28">
        <f ca="1">IF(C25=""," ",[1]!s_yq_pctchange($C25,$N$1))</f>
        <v>17.935991762455995</v>
      </c>
      <c r="O25" s="11"/>
      <c r="P25" s="7"/>
    </row>
    <row r="26" spans="1:16" x14ac:dyDescent="0.35">
      <c r="A26" s="7"/>
      <c r="C26" s="31" t="str">
        <f>IF(指数列表!B23="","",指数列表!B23)</f>
        <v>BVLX.GI</v>
      </c>
      <c r="D26" s="36" t="str">
        <f>IF(C26="","",[1]!s_info_name(C26))</f>
        <v>葡萄牙PSI</v>
      </c>
      <c r="E26" s="25">
        <f ca="1">IF(C26="","",[1]!s_dq_close(C26,$N$1))</f>
        <v>4512.33</v>
      </c>
      <c r="F26" s="28">
        <f ca="1">IF($C26=""," ",[1]!i_pq_pctchange($C26,F$6,$N$1))</f>
        <v>-0.56216173333568653</v>
      </c>
      <c r="G26" s="28">
        <f ca="1">IF($C26=""," ",[1]!i_pq_pctchange($C26,G$6,$N$1))</f>
        <v>-4.5163106040086776</v>
      </c>
      <c r="H26" s="28">
        <f ca="1">IF($C26=""," ",[1]!i_pq_pctchange($C26,H$6,$N$1))</f>
        <v>9.1223691751851845</v>
      </c>
      <c r="I26" s="28">
        <f ca="1">IF($C26=""," ",[1]!i_pq_pctchange($C26,I$6,$N$1))</f>
        <v>-4.8047712274898347</v>
      </c>
      <c r="J26" s="28">
        <f ca="1">IF($C26=""," ",[1]!i_pq_pctchange($C26,J$6,$N$1))</f>
        <v>3.0118254040726988</v>
      </c>
      <c r="K26" s="28">
        <f ca="1">IF($C26=""," ",[1]!i_pq_pctchange($C26,K$6,$N$1))</f>
        <v>-1.1002667379721331</v>
      </c>
      <c r="L26" s="28">
        <f ca="1">IF(C26=""," ",[1]!s_wq_pctchange($C26,$N$1))</f>
        <v>-0.87801770533576518</v>
      </c>
      <c r="M26" s="28">
        <f ca="1">IF(C26=""," ",[1]!s_mq_pctchange($C26,$N$1))</f>
        <v>-4.7641861859073265</v>
      </c>
      <c r="N26" s="28">
        <f ca="1">IF(C26=""," ",[1]!s_yq_pctchange($C26,$N$1))</f>
        <v>-4.6478652996018832</v>
      </c>
      <c r="O26" s="11"/>
      <c r="P26" s="7"/>
    </row>
    <row r="27" spans="1:16" x14ac:dyDescent="0.35">
      <c r="A27" s="7"/>
      <c r="C27" s="30" t="str">
        <f>IF(指数列表!B24="","",指数列表!B24)</f>
        <v>CASE.GI</v>
      </c>
      <c r="D27" s="35" t="str">
        <f>IF(C27="","",[1]!s_info_name(C27))</f>
        <v>开罗CASE30</v>
      </c>
      <c r="E27" s="24">
        <f ca="1">IF(C27="","",[1]!s_dq_close(C27,$N$1))</f>
        <v>27766.27</v>
      </c>
      <c r="F27" s="28">
        <f ca="1">IF($C27=""," ",[1]!i_pq_pctchange($C27,F$6,$N$1))</f>
        <v>5.1051950215008191</v>
      </c>
      <c r="G27" s="28">
        <f ca="1">IF($C27=""," ",[1]!i_pq_pctchange($C27,G$6,$N$1))</f>
        <v>0.82449714425358867</v>
      </c>
      <c r="H27" s="28">
        <f ca="1">IF($C27=""," ",[1]!i_pq_pctchange($C27,H$6,$N$1))</f>
        <v>-4.4437064441194218</v>
      </c>
      <c r="I27" s="28">
        <f ca="1">IF($C27=""," ",[1]!i_pq_pctchange($C27,I$6,$N$1))</f>
        <v>15.719117765958423</v>
      </c>
      <c r="J27" s="28">
        <f ca="1">IF($C27=""," ",[1]!i_pq_pctchange($C27,J$6,$N$1))</f>
        <v>36.411009459166024</v>
      </c>
      <c r="K27" s="28">
        <f ca="1">IF($C27=""," ",[1]!i_pq_pctchange($C27,K$6,$N$1))</f>
        <v>57.179814200615994</v>
      </c>
      <c r="L27" s="28">
        <f ca="1">IF(C27=""," ",[1]!s_wq_pctchange($C27,$N$1))</f>
        <v>2.6010286608305178</v>
      </c>
      <c r="M27" s="28">
        <f ca="1">IF(C27=""," ",[1]!s_mq_pctchange($C27,$N$1))</f>
        <v>3.133074023614224</v>
      </c>
      <c r="N27" s="28">
        <f ca="1">IF(C27=""," ",[1]!s_yq_pctchange($C27,$N$1))</f>
        <v>11.81328981009322</v>
      </c>
      <c r="O27" s="11"/>
      <c r="P27" s="7"/>
    </row>
    <row r="28" spans="1:16" x14ac:dyDescent="0.35">
      <c r="A28" s="7"/>
      <c r="C28" s="31" t="str">
        <f>IF(指数列表!B25="","",指数列表!B25)</f>
        <v>CCSI.GI</v>
      </c>
      <c r="D28" s="36" t="str">
        <f>IF(C28="","",[1]!s_info_name(C28))</f>
        <v>埃及CMA</v>
      </c>
      <c r="E28" s="25">
        <f ca="1">IF(C28="","",[1]!s_dq_close(C28,$N$1))</f>
        <v>538.04</v>
      </c>
      <c r="F28" s="28">
        <f ca="1">IF($C28=""," ",[1]!i_pq_pctchange($C28,F$6,$N$1))</f>
        <v>0</v>
      </c>
      <c r="G28" s="28">
        <f ca="1">IF($C28=""," ",[1]!i_pq_pctchange($C28,G$6,$N$1))</f>
        <v>0</v>
      </c>
      <c r="H28" s="28">
        <f ca="1">IF($C28=""," ",[1]!i_pq_pctchange($C28,H$6,$N$1))</f>
        <v>0</v>
      </c>
      <c r="I28" s="28">
        <f ca="1">IF($C28=""," ",[1]!i_pq_pctchange($C28,I$6,$N$1))</f>
        <v>0</v>
      </c>
      <c r="J28" s="28">
        <f ca="1">IF($C28=""," ",[1]!i_pq_pctchange($C28,J$6,$N$1))</f>
        <v>0</v>
      </c>
      <c r="K28" s="28">
        <f ca="1">IF($C28=""," ",[1]!i_pq_pctchange($C28,K$6,$N$1))</f>
        <v>0</v>
      </c>
      <c r="L28" s="28">
        <f ca="1">IF(C28=""," ",[1]!s_wq_pctchange($C28,$N$1))</f>
        <v>0</v>
      </c>
      <c r="M28" s="28">
        <f ca="1">IF(C28=""," ",[1]!s_mq_pctchange($C28,$N$1))</f>
        <v>0</v>
      </c>
      <c r="N28" s="28">
        <f ca="1">IF(C28=""," ",[1]!s_yq_pctchange($C28,$N$1))</f>
        <v>0</v>
      </c>
      <c r="O28" s="11"/>
      <c r="P28" s="7"/>
    </row>
    <row r="29" spans="1:16" x14ac:dyDescent="0.35">
      <c r="A29" s="7"/>
      <c r="C29" s="30" t="str">
        <f>IF(指数列表!B26="","",指数列表!B26)</f>
        <v>CDAX.F</v>
      </c>
      <c r="D29" s="35" t="str">
        <f>IF(C29="","",[1]!s_info_name(C29))</f>
        <v>德国综指</v>
      </c>
      <c r="E29" s="24">
        <f ca="1">IF(C29="","",[1]!s_dq_close(C29,$N$1))</f>
        <v>1581.72</v>
      </c>
      <c r="F29" s="28">
        <f ca="1">IF($C29=""," ",[1]!i_pq_pctchange($C29,F$6,$N$1))</f>
        <v>1.3981575860145812</v>
      </c>
      <c r="G29" s="28">
        <f ca="1">IF($C29=""," ",[1]!i_pq_pctchange($C29,G$6,$N$1))</f>
        <v>-2.0606811145510773</v>
      </c>
      <c r="H29" s="28">
        <f ca="1">IF($C29=""," ",[1]!i_pq_pctchange($C29,H$6,$N$1))</f>
        <v>8.8589652728576773E-2</v>
      </c>
      <c r="I29" s="28">
        <f ca="1">IF($C29=""," ",[1]!i_pq_pctchange($C29,I$6,$N$1))</f>
        <v>8.4885730747071175</v>
      </c>
      <c r="J29" s="28">
        <f ca="1">IF($C29=""," ",[1]!i_pq_pctchange($C29,J$6,$N$1))</f>
        <v>17.843572588696333</v>
      </c>
      <c r="K29" s="28">
        <f ca="1">IF($C29=""," ",[1]!i_pq_pctchange($C29,K$6,$N$1))</f>
        <v>13.378444246924914</v>
      </c>
      <c r="L29" s="28">
        <f ca="1">IF(C29=""," ",[1]!s_wq_pctchange($C29,$N$1))</f>
        <v>1.0038314176245233</v>
      </c>
      <c r="M29" s="28">
        <f ca="1">IF(C29=""," ",[1]!s_mq_pctchange($C29,$N$1))</f>
        <v>-1.0639695258111148</v>
      </c>
      <c r="N29" s="28">
        <f ca="1">IF(C29=""," ",[1]!s_yq_pctchange($C29,$N$1))</f>
        <v>8.1126155991332993</v>
      </c>
      <c r="O29" s="11"/>
      <c r="P29" s="7"/>
    </row>
    <row r="30" spans="1:16" x14ac:dyDescent="0.35">
      <c r="A30" s="7"/>
      <c r="C30" s="31" t="str">
        <f>IF(指数列表!B27="","",指数列表!B27)</f>
        <v>CHTX.GI</v>
      </c>
      <c r="D30" s="36" t="str">
        <f>IF(C30="","",[1]!s_info_name(C30))</f>
        <v>匈牙利蓝筹</v>
      </c>
      <c r="E30" s="25">
        <f ca="1">IF(C30="","",[1]!s_dq_close(C30,$N$1))</f>
        <v>6043.99</v>
      </c>
      <c r="F30" s="28">
        <f ca="1">IF($C30=""," ",[1]!i_pq_pctchange($C30,F$6,$N$1))</f>
        <v>1.4681341852820662</v>
      </c>
      <c r="G30" s="28">
        <f ca="1">IF($C30=""," ",[1]!i_pq_pctchange($C30,G$6,$N$1))</f>
        <v>-1.0019393431130452</v>
      </c>
      <c r="H30" s="28">
        <f ca="1">IF($C30=""," ",[1]!i_pq_pctchange($C30,H$6,$N$1))</f>
        <v>5.0997092537977684</v>
      </c>
      <c r="I30" s="28">
        <f ca="1">IF($C30=""," ",[1]!i_pq_pctchange($C30,I$6,$N$1))</f>
        <v>9.0673677980048772</v>
      </c>
      <c r="J30" s="28">
        <f ca="1">IF($C30=""," ",[1]!i_pq_pctchange($C30,J$6,$N$1))</f>
        <v>24.318959701173238</v>
      </c>
      <c r="K30" s="28">
        <f ca="1">IF($C30=""," ",[1]!i_pq_pctchange($C30,K$6,$N$1))</f>
        <v>33.558804421325242</v>
      </c>
      <c r="L30" s="28">
        <f ca="1">IF(C30=""," ",[1]!s_wq_pctchange($C30,$N$1))</f>
        <v>1.4994877995532896</v>
      </c>
      <c r="M30" s="28">
        <f ca="1">IF(C30=""," ",[1]!s_mq_pctchange($C30,$N$1))</f>
        <v>1.3371359972100372</v>
      </c>
      <c r="N30" s="28">
        <f ca="1">IF(C30=""," ",[1]!s_yq_pctchange($C30,$N$1))</f>
        <v>8.0287052262815415</v>
      </c>
      <c r="O30" s="11"/>
      <c r="P30" s="7"/>
    </row>
    <row r="31" spans="1:16" x14ac:dyDescent="0.35">
      <c r="A31" s="7"/>
      <c r="C31" s="30" t="str">
        <f>IF(指数列表!B28="","",指数列表!B28)</f>
        <v>CN20.GI</v>
      </c>
      <c r="D31" s="35" t="str">
        <f>IF(C31="","",[1]!s_info_name(C31))</f>
        <v>法国CAC20</v>
      </c>
      <c r="E31" s="24">
        <f ca="1">IF(C31="","",[1]!s_dq_close(C31,$N$1))</f>
        <v>10506.37</v>
      </c>
      <c r="F31" s="28">
        <f ca="1">IF($C31=""," ",[1]!i_pq_pctchange($C31,F$6,$N$1))</f>
        <v>-1.5413954839586297</v>
      </c>
      <c r="G31" s="28">
        <f ca="1">IF($C31=""," ",[1]!i_pq_pctchange($C31,G$6,$N$1))</f>
        <v>-9.1709395280962784</v>
      </c>
      <c r="H31" s="28">
        <f ca="1">IF($C31=""," ",[1]!i_pq_pctchange($C31,H$6,$N$1))</f>
        <v>-7.5884567921323587</v>
      </c>
      <c r="I31" s="28">
        <f ca="1">IF($C31=""," ",[1]!i_pq_pctchange($C31,I$6,$N$1))</f>
        <v>-8.3181786449788788</v>
      </c>
      <c r="J31" s="28">
        <f ca="1">IF($C31=""," ",[1]!i_pq_pctchange($C31,J$6,$N$1))</f>
        <v>-0.90452327661906251</v>
      </c>
      <c r="K31" s="28">
        <f ca="1">IF($C31=""," ",[1]!i_pq_pctchange($C31,K$6,$N$1))</f>
        <v>-3.8484875385402351</v>
      </c>
      <c r="L31" s="28">
        <f ca="1">IF(C31=""," ",[1]!s_wq_pctchange($C31,$N$1))</f>
        <v>-1.5044741418506868</v>
      </c>
      <c r="M31" s="28">
        <f ca="1">IF(C31=""," ",[1]!s_mq_pctchange($C31,$N$1))</f>
        <v>-8.9340475509443458</v>
      </c>
      <c r="N31" s="28">
        <f ca="1">IF(C31=""," ",[1]!s_yq_pctchange($C31,$N$1))</f>
        <v>-8.3762250520194712</v>
      </c>
      <c r="O31" s="11"/>
      <c r="P31" s="7"/>
    </row>
    <row r="32" spans="1:16" x14ac:dyDescent="0.35">
      <c r="A32" s="7"/>
      <c r="C32" s="31" t="str">
        <f>IF(指数列表!B29="","",指数列表!B29)</f>
        <v>DFM.GI</v>
      </c>
      <c r="D32" s="36" t="str">
        <f>IF(C32="","",[1]!s_info_name(C32))</f>
        <v>阿联酋DFM综指</v>
      </c>
      <c r="E32" s="25">
        <f ca="1">IF(C32="","",[1]!s_dq_close(C32,$N$1))</f>
        <v>4008.96</v>
      </c>
      <c r="F32" s="28">
        <f ca="1">IF($C32=""," ",[1]!i_pq_pctchange($C32,F$6,$N$1))</f>
        <v>0.52003149274615357</v>
      </c>
      <c r="G32" s="28">
        <f ca="1">IF($C32=""," ",[1]!i_pq_pctchange($C32,G$6,$N$1))</f>
        <v>-9.1959179096112731E-2</v>
      </c>
      <c r="H32" s="28">
        <f ca="1">IF($C32=""," ",[1]!i_pq_pctchange($C32,H$6,$N$1))</f>
        <v>-5.5877802191591002</v>
      </c>
      <c r="I32" s="28">
        <f ca="1">IF($C32=""," ",[1]!i_pq_pctchange($C32,I$6,$N$1))</f>
        <v>-0.49443021385595642</v>
      </c>
      <c r="J32" s="28">
        <f ca="1">IF($C32=""," ",[1]!i_pq_pctchange($C32,J$6,$N$1))</f>
        <v>-3.4941299098964596</v>
      </c>
      <c r="K32" s="28">
        <f ca="1">IF($C32=""," ",[1]!i_pq_pctchange($C32,K$6,$N$1))</f>
        <v>5.7217977895511307</v>
      </c>
      <c r="L32" s="28">
        <f ca="1">IF(C32=""," ",[1]!s_wq_pctchange($C32,$N$1))</f>
        <v>-8.0504662042424346E-2</v>
      </c>
      <c r="M32" s="28">
        <f ca="1">IF(C32=""," ",[1]!s_mq_pctchange($C32,$N$1))</f>
        <v>0.78005394765618963</v>
      </c>
      <c r="N32" s="28">
        <f ca="1">IF(C32=""," ",[1]!s_yq_pctchange($C32,$N$1))</f>
        <v>-1.2522784373614537</v>
      </c>
      <c r="O32" s="11"/>
      <c r="P32" s="7"/>
    </row>
    <row r="33" spans="1:16" x14ac:dyDescent="0.35">
      <c r="A33" s="7"/>
      <c r="C33" s="30" t="str">
        <f>IF(指数列表!B30="","",指数列表!B30)</f>
        <v>DJCH30.GI</v>
      </c>
      <c r="D33" s="35" t="str">
        <f>IF(C33="","",[1]!s_info_name(C33))</f>
        <v>道琼斯瑞士DJ30</v>
      </c>
      <c r="E33" s="24">
        <f ca="1">IF(C33="","",[1]!s_dq_close(C33,$N$1))</f>
        <v>684.05</v>
      </c>
      <c r="F33" s="28">
        <f ca="1">IF($C33=""," ",[1]!i_pq_pctchange($C33,F$6,$N$1))</f>
        <v>0</v>
      </c>
      <c r="G33" s="28">
        <f ca="1">IF($C33=""," ",[1]!i_pq_pctchange($C33,G$6,$N$1))</f>
        <v>0</v>
      </c>
      <c r="H33" s="28">
        <f ca="1">IF($C33=""," ",[1]!i_pq_pctchange($C33,H$6,$N$1))</f>
        <v>0</v>
      </c>
      <c r="I33" s="28">
        <f ca="1">IF($C33=""," ",[1]!i_pq_pctchange($C33,I$6,$N$1))</f>
        <v>0</v>
      </c>
      <c r="J33" s="28">
        <f ca="1">IF($C33=""," ",[1]!i_pq_pctchange($C33,J$6,$N$1))</f>
        <v>0</v>
      </c>
      <c r="K33" s="28">
        <f ca="1">IF($C33=""," ",[1]!i_pq_pctchange($C33,K$6,$N$1))</f>
        <v>0</v>
      </c>
      <c r="L33" s="28">
        <f ca="1">IF(C33=""," ",[1]!s_wq_pctchange($C33,$N$1))</f>
        <v>0</v>
      </c>
      <c r="M33" s="28">
        <f ca="1">IF(C33=""," ",[1]!s_mq_pctchange($C33,$N$1))</f>
        <v>0</v>
      </c>
      <c r="N33" s="28">
        <f ca="1">IF(C33=""," ",[1]!s_yq_pctchange($C33,$N$1))</f>
        <v>0</v>
      </c>
      <c r="O33" s="11"/>
      <c r="P33" s="7"/>
    </row>
    <row r="34" spans="1:16" x14ac:dyDescent="0.35">
      <c r="A34" s="7"/>
      <c r="C34" s="31" t="str">
        <f>IF(指数列表!B31="","",指数列表!B31)</f>
        <v>DJCOMP.GI</v>
      </c>
      <c r="D34" s="36" t="str">
        <f>IF(C34="","",[1]!s_info_name(C34))</f>
        <v>道琼斯美国DJ综指</v>
      </c>
      <c r="E34" s="25">
        <f ca="1">IF(C34="","",[1]!s_dq_close(C34,$N$1))</f>
        <v>12461.2</v>
      </c>
      <c r="F34" s="28">
        <f ca="1">IF($C34=""," ",[1]!i_pq_pctchange($C34,F$6,$N$1))</f>
        <v>1.2011402304825003</v>
      </c>
      <c r="G34" s="28">
        <f ca="1">IF($C34=""," ",[1]!i_pq_pctchange($C34,G$6,$N$1))</f>
        <v>0.28085592654290004</v>
      </c>
      <c r="H34" s="28">
        <f ca="1">IF($C34=""," ",[1]!i_pq_pctchange($C34,H$6,$N$1))</f>
        <v>-0.37495702784595686</v>
      </c>
      <c r="I34" s="28">
        <f ca="1">IF($C34=""," ",[1]!i_pq_pctchange($C34,I$6,$N$1))</f>
        <v>1.6344773587368078</v>
      </c>
      <c r="J34" s="28">
        <f ca="1">IF($C34=""," ",[1]!i_pq_pctchange($C34,J$6,$N$1))</f>
        <v>11.713553152959321</v>
      </c>
      <c r="K34" s="28">
        <f ca="1">IF($C34=""," ",[1]!i_pq_pctchange($C34,K$6,$N$1))</f>
        <v>10.336644884804059</v>
      </c>
      <c r="L34" s="28">
        <f ca="1">IF(C34=""," ",[1]!s_wq_pctchange($C34,$N$1))</f>
        <v>0.31233900051521601</v>
      </c>
      <c r="M34" s="28">
        <f ca="1">IF(C34=""," ",[1]!s_mq_pctchange($C34,$N$1))</f>
        <v>0.38830258599855672</v>
      </c>
      <c r="N34" s="28">
        <f ca="1">IF(C34=""," ",[1]!s_yq_pctchange($C34,$N$1))</f>
        <v>1.7240816326530739</v>
      </c>
      <c r="O34" s="11"/>
      <c r="P34" s="7"/>
    </row>
    <row r="35" spans="1:16" x14ac:dyDescent="0.35">
      <c r="A35" s="7"/>
      <c r="C35" s="30" t="str">
        <f>IF(指数列表!B32="","",指数列表!B32)</f>
        <v>DJDWCF.GI</v>
      </c>
      <c r="D35" s="35" t="str">
        <f>IF(C35="","",[1]!s_info_name(C35))</f>
        <v>道琼斯美国DJ股市</v>
      </c>
      <c r="E35" s="24">
        <f ca="1">IF(C35="","",[1]!s_dq_close(C35,$N$1))</f>
        <v>39800.89</v>
      </c>
      <c r="F35" s="28">
        <f ca="1">IF($C35=""," ",[1]!i_pq_pctchange($C35,F$6,$N$1))</f>
        <v>0</v>
      </c>
      <c r="G35" s="28">
        <f ca="1">IF($C35=""," ",[1]!i_pq_pctchange($C35,G$6,$N$1))</f>
        <v>0</v>
      </c>
      <c r="H35" s="28">
        <f ca="1">IF($C35=""," ",[1]!i_pq_pctchange($C35,H$6,$N$1))</f>
        <v>0</v>
      </c>
      <c r="I35" s="28">
        <f ca="1">IF($C35=""," ",[1]!i_pq_pctchange($C35,I$6,$N$1))</f>
        <v>0</v>
      </c>
      <c r="J35" s="28">
        <f ca="1">IF($C35=""," ",[1]!i_pq_pctchange($C35,J$6,$N$1))</f>
        <v>0</v>
      </c>
      <c r="K35" s="28">
        <f ca="1">IF($C35=""," ",[1]!i_pq_pctchange($C35,K$6,$N$1))</f>
        <v>0</v>
      </c>
      <c r="L35" s="28">
        <f ca="1">IF(C35=""," ",[1]!s_wq_pctchange($C35,$N$1))</f>
        <v>0</v>
      </c>
      <c r="M35" s="28">
        <f ca="1">IF(C35=""," ",[1]!s_mq_pctchange($C35,$N$1))</f>
        <v>0</v>
      </c>
      <c r="N35" s="28">
        <f ca="1">IF(C35=""," ",[1]!s_yq_pctchange($C35,$N$1))</f>
        <v>0</v>
      </c>
      <c r="O35" s="11"/>
      <c r="P35" s="7"/>
    </row>
    <row r="36" spans="1:16" x14ac:dyDescent="0.35">
      <c r="A36" s="7"/>
      <c r="C36" s="31" t="str">
        <f>IF(指数列表!B33="","",指数列表!B33)</f>
        <v>DJES30.GI</v>
      </c>
      <c r="D36" s="36" t="str">
        <f>IF(C36="","",[1]!s_info_name(C36))</f>
        <v>道琼斯西班牙DJ30</v>
      </c>
      <c r="E36" s="25">
        <f ca="1">IF(C36="","",[1]!s_dq_close(C36,$N$1))</f>
        <v>646.97</v>
      </c>
      <c r="F36" s="28">
        <f ca="1">IF($C36=""," ",[1]!i_pq_pctchange($C36,F$6,$N$1))</f>
        <v>-0.9037021152756286</v>
      </c>
      <c r="G36" s="28">
        <f ca="1">IF($C36=""," ",[1]!i_pq_pctchange($C36,G$6,$N$1))</f>
        <v>-2.9957268161031614</v>
      </c>
      <c r="H36" s="28">
        <f ca="1">IF($C36=""," ",[1]!i_pq_pctchange($C36,H$6,$N$1))</f>
        <v>-0.10807973196225173</v>
      </c>
      <c r="I36" s="28">
        <f ca="1">IF($C36=""," ",[1]!i_pq_pctchange($C36,I$6,$N$1))</f>
        <v>7.7816279612168193</v>
      </c>
      <c r="J36" s="28">
        <f ca="1">IF($C36=""," ",[1]!i_pq_pctchange($C36,J$6,$N$1))</f>
        <v>14.869855473882311</v>
      </c>
      <c r="K36" s="28">
        <f ca="1">IF($C36=""," ",[1]!i_pq_pctchange($C36,K$6,$N$1))</f>
        <v>16.600583931081726</v>
      </c>
      <c r="L36" s="28">
        <f ca="1">IF(C36=""," ",[1]!s_wq_pctchange($C36,$N$1))</f>
        <v>-0.80038025728699225</v>
      </c>
      <c r="M36" s="28">
        <f ca="1">IF(C36=""," ",[1]!s_mq_pctchange($C36,$N$1))</f>
        <v>-3.8806103195709318</v>
      </c>
      <c r="N36" s="28">
        <f ca="1">IF(C36=""," ",[1]!s_yq_pctchange($C36,$N$1))</f>
        <v>7.9542799933255637</v>
      </c>
      <c r="O36" s="11"/>
      <c r="P36" s="7"/>
    </row>
    <row r="37" spans="1:16" x14ac:dyDescent="0.35">
      <c r="A37" s="7"/>
      <c r="C37" s="30" t="str">
        <f>IF(指数列表!B34="","",指数列表!B34)</f>
        <v>DJI.GI</v>
      </c>
      <c r="D37" s="35" t="str">
        <f>IF(C37="","",[1]!s_info_name(C37))</f>
        <v>道琼斯工业指数</v>
      </c>
      <c r="E37" s="24">
        <f ca="1">IF(C37="","",[1]!s_dq_close(C37,$N$1))</f>
        <v>39164.06</v>
      </c>
      <c r="F37" s="28">
        <f ca="1">IF($C37=""," ",[1]!i_pq_pctchange($C37,F$6,$N$1))</f>
        <v>0.84769199631464787</v>
      </c>
      <c r="G37" s="28">
        <f ca="1">IF($C37=""," ",[1]!i_pq_pctchange($C37,G$6,$N$1))</f>
        <v>0.24179931245760233</v>
      </c>
      <c r="H37" s="28">
        <f ca="1">IF($C37=""," ",[1]!i_pq_pctchange($C37,H$6,$N$1))</f>
        <v>-0.30107684549263158</v>
      </c>
      <c r="I37" s="28">
        <f ca="1">IF($C37=""," ",[1]!i_pq_pctchange($C37,I$6,$N$1))</f>
        <v>4.3114017109451286</v>
      </c>
      <c r="J37" s="28">
        <f ca="1">IF($C37=""," ",[1]!i_pq_pctchange($C37,J$6,$N$1))</f>
        <v>16.494243710676869</v>
      </c>
      <c r="K37" s="28">
        <f ca="1">IF($C37=""," ",[1]!i_pq_pctchange($C37,K$6,$N$1))</f>
        <v>16.163122862394474</v>
      </c>
      <c r="L37" s="28">
        <f ca="1">IF(C37=""," ",[1]!s_wq_pctchange($C37,$N$1))</f>
        <v>3.5069947047694505E-2</v>
      </c>
      <c r="M37" s="28">
        <f ca="1">IF(C37=""," ",[1]!s_mq_pctchange($C37,$N$1))</f>
        <v>1.2349068094354765</v>
      </c>
      <c r="N37" s="28">
        <f ca="1">IF(C37=""," ",[1]!s_yq_pctchange($C37,$N$1))</f>
        <v>3.9122791098007426</v>
      </c>
      <c r="O37" s="11"/>
      <c r="P37" s="7"/>
    </row>
    <row r="38" spans="1:16" x14ac:dyDescent="0.35">
      <c r="A38" s="7"/>
      <c r="C38" s="31" t="str">
        <f>IF(指数列表!B35="","",指数列表!B35)</f>
        <v>DJTR20I.GI</v>
      </c>
      <c r="D38" s="36" t="str">
        <f>IF(C38="","",[1]!s_info_name(C38))</f>
        <v>道琼斯土耳其DJ20</v>
      </c>
      <c r="E38" s="25">
        <f ca="1">IF(C38="","",[1]!s_dq_close(C38,$N$1))</f>
        <v>10699.14</v>
      </c>
      <c r="F38" s="28">
        <f ca="1">IF($C38=""," ",[1]!i_pq_pctchange($C38,F$6,$N$1))</f>
        <v>2.1854155364879002</v>
      </c>
      <c r="G38" s="28">
        <f ca="1">IF($C38=""," ",[1]!i_pq_pctchange($C38,G$6,$N$1))</f>
        <v>7.3892270681419348E-2</v>
      </c>
      <c r="H38" s="28">
        <f ca="1">IF($C38=""," ",[1]!i_pq_pctchange($C38,H$6,$N$1))</f>
        <v>25.463666554092068</v>
      </c>
      <c r="I38" s="28">
        <f ca="1">IF($C38=""," ",[1]!i_pq_pctchange($C38,I$6,$N$1))</f>
        <v>51.174807448571698</v>
      </c>
      <c r="J38" s="28">
        <f ca="1">IF($C38=""," ",[1]!i_pq_pctchange($C38,J$6,$N$1))</f>
        <v>46.74266810586618</v>
      </c>
      <c r="K38" s="28">
        <f ca="1">IF($C38=""," ",[1]!i_pq_pctchange($C38,K$6,$N$1))</f>
        <v>100.83757879285034</v>
      </c>
      <c r="L38" s="28">
        <f ca="1">IF(C38=""," ",[1]!s_wq_pctchange($C38,$N$1))</f>
        <v>-0.85291877255314619</v>
      </c>
      <c r="M38" s="28">
        <f ca="1">IF(C38=""," ",[1]!s_mq_pctchange($C38,$N$1))</f>
        <v>1.8308178147824483</v>
      </c>
      <c r="N38" s="28">
        <f ca="1">IF(C38=""," ",[1]!s_yq_pctchange($C38,$N$1))</f>
        <v>50.179176755447941</v>
      </c>
      <c r="O38" s="11"/>
      <c r="P38" s="7"/>
    </row>
    <row r="39" spans="1:16" x14ac:dyDescent="0.35">
      <c r="A39" s="7"/>
      <c r="C39" s="30" t="str">
        <f>IF(指数列表!B36="","",指数列表!B36)</f>
        <v>FBMEMAS.FI</v>
      </c>
      <c r="D39" s="35" t="str">
        <f>IF(C39="","",[1]!s_info_name(C39))</f>
        <v>富时马来西亚EMAS</v>
      </c>
      <c r="E39" s="24">
        <f ca="1">IF(C39="","",[1]!s_dq_close(C39,$N$1))</f>
        <v>12160.84</v>
      </c>
      <c r="F39" s="28">
        <f ca="1">IF($C39=""," ",[1]!i_pq_pctchange($C39,F$6,$N$1))</f>
        <v>-1.0673574117884499</v>
      </c>
      <c r="G39" s="28">
        <f ca="1">IF($C39=""," ",[1]!i_pq_pctchange($C39,G$6,$N$1))</f>
        <v>-1.5621875968829135</v>
      </c>
      <c r="H39" s="28">
        <f ca="1">IF($C39=""," ",[1]!i_pq_pctchange($C39,H$6,$N$1))</f>
        <v>5.1830196512593352</v>
      </c>
      <c r="I39" s="28">
        <f ca="1">IF($C39=""," ",[1]!i_pq_pctchange($C39,I$6,$N$1))</f>
        <v>12.546702266974542</v>
      </c>
      <c r="J39" s="28">
        <f ca="1">IF($C39=""," ",[1]!i_pq_pctchange($C39,J$6,$N$1))</f>
        <v>13.550408790584934</v>
      </c>
      <c r="K39" s="28">
        <f ca="1">IF($C39=""," ",[1]!i_pq_pctchange($C39,K$6,$N$1))</f>
        <v>19.11064967628824</v>
      </c>
      <c r="L39" s="28">
        <f ca="1">IF(C39=""," ",[1]!s_wq_pctchange($C39,$N$1))</f>
        <v>-0.68592214020121167</v>
      </c>
      <c r="M39" s="28">
        <f ca="1">IF(C39=""," ",[1]!s_mq_pctchange($C39,$N$1))</f>
        <v>-5.591406337368543E-3</v>
      </c>
      <c r="N39" s="28">
        <f ca="1">IF(C39=""," ",[1]!s_yq_pctchange($C39,$N$1))</f>
        <v>12.353816162680031</v>
      </c>
      <c r="O39" s="11"/>
      <c r="P39" s="7"/>
    </row>
    <row r="40" spans="1:16" x14ac:dyDescent="0.35">
      <c r="A40" s="7"/>
      <c r="C40" s="31" t="str">
        <f>IF(指数列表!B37="","",指数列表!B37)</f>
        <v>FCHI.GI</v>
      </c>
      <c r="D40" s="36" t="str">
        <f>IF(C40="","",[1]!s_info_name(C40))</f>
        <v>法国CAC40</v>
      </c>
      <c r="E40" s="25">
        <f ca="1">IF(C40="","",[1]!s_dq_close(C40,$N$1))</f>
        <v>7530.72</v>
      </c>
      <c r="F40" s="28">
        <f ca="1">IF($C40=""," ",[1]!i_pq_pctchange($C40,F$6,$N$1))</f>
        <v>-0.52151858603470824</v>
      </c>
      <c r="G40" s="28">
        <f ca="1">IF($C40=""," ",[1]!i_pq_pctchange($C40,G$6,$N$1))</f>
        <v>-6.9703779013387308</v>
      </c>
      <c r="H40" s="28">
        <f ca="1">IF($C40=""," ",[1]!i_pq_pctchange($C40,H$6,$N$1))</f>
        <v>-7.9908366168789495</v>
      </c>
      <c r="I40" s="28">
        <f ca="1">IF($C40=""," ",[1]!i_pq_pctchange($C40,I$6,$N$1))</f>
        <v>-0.50338097616272615</v>
      </c>
      <c r="J40" s="28">
        <f ca="1">IF($C40=""," ",[1]!i_pq_pctchange($C40,J$6,$N$1))</f>
        <v>6.4560179360533265</v>
      </c>
      <c r="K40" s="28">
        <f ca="1">IF($C40=""," ",[1]!i_pq_pctchange($C40,K$6,$N$1))</f>
        <v>4.8211738013877348</v>
      </c>
      <c r="L40" s="28">
        <f ca="1">IF(C40=""," ",[1]!s_wq_pctchange($C40,$N$1))</f>
        <v>-1.2826781428236123</v>
      </c>
      <c r="M40" s="28">
        <f ca="1">IF(C40=""," ",[1]!s_mq_pctchange($C40,$N$1))</f>
        <v>-5.7820282326623502</v>
      </c>
      <c r="N40" s="28">
        <f ca="1">IF(C40=""," ",[1]!s_yq_pctchange($C40,$N$1))</f>
        <v>-0.16518232363539331</v>
      </c>
      <c r="O40" s="11"/>
      <c r="P40" s="7"/>
    </row>
    <row r="41" spans="1:16" x14ac:dyDescent="0.35">
      <c r="A41" s="7"/>
      <c r="C41" s="30" t="str">
        <f>IF(指数列表!B38="","",指数列表!B38)</f>
        <v>FSTAS.FI</v>
      </c>
      <c r="D41" s="35" t="str">
        <f>IF(C41="","",[1]!s_info_name(C41))</f>
        <v>富时新加坡FTSE全指</v>
      </c>
      <c r="E41" s="24">
        <f ca="1">IF(C41="","",[1]!s_dq_close(C41,$N$1))</f>
        <v>774.87</v>
      </c>
      <c r="F41" s="28">
        <f ca="1">IF($C41=""," ",[1]!i_pq_pctchange($C41,F$6,$N$1))</f>
        <v>0.96946952816543419</v>
      </c>
      <c r="G41" s="28">
        <f ca="1">IF($C41=""," ",[1]!i_pq_pctchange($C41,G$6,$N$1))</f>
        <v>0.52802283341983891</v>
      </c>
      <c r="H41" s="28">
        <f ca="1">IF($C41=""," ",[1]!i_pq_pctchange($C41,H$6,$N$1))</f>
        <v>2.7515514772184835</v>
      </c>
      <c r="I41" s="28">
        <f ca="1">IF($C41=""," ",[1]!i_pq_pctchange($C41,I$6,$N$1))</f>
        <v>4.651351241845969</v>
      </c>
      <c r="J41" s="28">
        <f ca="1">IF($C41=""," ",[1]!i_pq_pctchange($C41,J$6,$N$1))</f>
        <v>2.9371911366172565</v>
      </c>
      <c r="K41" s="28">
        <f ca="1">IF($C41=""," ",[1]!i_pq_pctchange($C41,K$6,$N$1))</f>
        <v>2.9809685822125287</v>
      </c>
      <c r="L41" s="28">
        <f ca="1">IF(C41=""," ",[1]!s_wq_pctchange($C41,$N$1))</f>
        <v>0.85907298215470718</v>
      </c>
      <c r="M41" s="28">
        <f ca="1">IF(C41=""," ",[1]!s_mq_pctchange($C41,$N$1))</f>
        <v>3.8731166970062958E-2</v>
      </c>
      <c r="N41" s="28">
        <f ca="1">IF(C41=""," ",[1]!s_yq_pctchange($C41,$N$1))</f>
        <v>1.6356243441762786</v>
      </c>
      <c r="O41" s="11"/>
      <c r="P41" s="7"/>
    </row>
    <row r="42" spans="1:16" x14ac:dyDescent="0.35">
      <c r="A42" s="7"/>
      <c r="C42" s="31" t="str">
        <f>IF(指数列表!B39="","",指数列表!B39)</f>
        <v>FSTRE.GI</v>
      </c>
      <c r="D42" s="36" t="str">
        <f>IF(C42="","",[1]!s_info_name(C42))</f>
        <v>新加坡REITS指数</v>
      </c>
      <c r="E42" s="25">
        <f ca="1">IF(C42="","",[1]!s_dq_close(C42,$N$1))</f>
        <v>598.83000000000004</v>
      </c>
      <c r="F42" s="28">
        <f ca="1">IF($C42=""," ",[1]!i_pq_pctchange($C42,F$6,$N$1))</f>
        <v>-0.46871104462726798</v>
      </c>
      <c r="G42" s="28">
        <f ca="1">IF($C42=""," ",[1]!i_pq_pctchange($C42,G$6,$N$1))</f>
        <v>-3.0705730009711774</v>
      </c>
      <c r="H42" s="28">
        <f ca="1">IF($C42=""," ",[1]!i_pq_pctchange($C42,H$6,$N$1))</f>
        <v>-4.4760643813109073</v>
      </c>
      <c r="I42" s="28">
        <f ca="1">IF($C42=""," ",[1]!i_pq_pctchange($C42,I$6,$N$1))</f>
        <v>-11.350111028867504</v>
      </c>
      <c r="J42" s="28">
        <f ca="1">IF($C42=""," ",[1]!i_pq_pctchange($C42,J$6,$N$1))</f>
        <v>-8.8261266747868277</v>
      </c>
      <c r="K42" s="28">
        <f ca="1">IF($C42=""," ",[1]!i_pq_pctchange($C42,K$6,$N$1))</f>
        <v>-12.362066442265462</v>
      </c>
      <c r="L42" s="28">
        <f ca="1">IF(C42=""," ",[1]!s_wq_pctchange($C42,$N$1))</f>
        <v>-0.28308327643913334</v>
      </c>
      <c r="M42" s="28">
        <f ca="1">IF(C42=""," ",[1]!s_mq_pctchange($C42,$N$1))</f>
        <v>-2.225451458054406</v>
      </c>
      <c r="N42" s="28">
        <f ca="1">IF(C42=""," ",[1]!s_yq_pctchange($C42,$N$1))</f>
        <v>-13.725687941218844</v>
      </c>
      <c r="O42" s="11"/>
      <c r="P42" s="7"/>
    </row>
    <row r="43" spans="1:16" x14ac:dyDescent="0.35">
      <c r="A43" s="7"/>
      <c r="C43" s="30" t="str">
        <f>IF(指数列表!B40="","",指数列表!B40)</f>
        <v>FT350.FI</v>
      </c>
      <c r="D43" s="35" t="str">
        <f>IF(C43="","",[1]!s_info_name(C43))</f>
        <v>FTSE 350</v>
      </c>
      <c r="E43" s="24">
        <f ca="1">IF(C43="","",[1]!s_dq_close(C43,$N$1))</f>
        <v>4504.6400000000003</v>
      </c>
      <c r="F43" s="28">
        <f ca="1">IF($C43=""," ",[1]!i_pq_pctchange($C43,F$6,$N$1))</f>
        <v>-0.30034017896467535</v>
      </c>
      <c r="G43" s="28">
        <f ca="1">IF($C43=""," ",[1]!i_pq_pctchange($C43,G$6,$N$1))</f>
        <v>-1.720948092295882</v>
      </c>
      <c r="H43" s="28">
        <f ca="1">IF($C43=""," ",[1]!i_pq_pctchange($C43,H$6,$N$1))</f>
        <v>3.0894993637919921</v>
      </c>
      <c r="I43" s="28">
        <f ca="1">IF($C43=""," ",[1]!i_pq_pctchange($C43,I$6,$N$1))</f>
        <v>5.879421788694339</v>
      </c>
      <c r="J43" s="28">
        <f ca="1">IF($C43=""," ",[1]!i_pq_pctchange($C43,J$6,$N$1))</f>
        <v>7.7626400966472664</v>
      </c>
      <c r="K43" s="28">
        <f ca="1">IF($C43=""," ",[1]!i_pq_pctchange($C43,K$6,$N$1))</f>
        <v>10.207686530100979</v>
      </c>
      <c r="L43" s="28">
        <f ca="1">IF(C43=""," ",[1]!s_wq_pctchange($C43,$N$1))</f>
        <v>-0.68194295314589759</v>
      </c>
      <c r="M43" s="28">
        <f ca="1">IF(C43=""," ",[1]!s_mq_pctchange($C43,$N$1))</f>
        <v>-1.2627541235136097</v>
      </c>
      <c r="N43" s="28">
        <f ca="1">IF(C43=""," ",[1]!s_yq_pctchange($C43,$N$1))</f>
        <v>5.4150948694667411</v>
      </c>
      <c r="O43" s="11"/>
      <c r="P43" s="7"/>
    </row>
    <row r="44" spans="1:16" x14ac:dyDescent="0.35">
      <c r="A44" s="7"/>
      <c r="C44" s="31" t="str">
        <f>IF(指数列表!B41="","",指数列表!B41)</f>
        <v>FTASE.FI</v>
      </c>
      <c r="D44" s="36" t="str">
        <f>IF(C44="","",[1]!s_info_name(C44))</f>
        <v>富时希腊FTSE大盘股</v>
      </c>
      <c r="E44" s="25">
        <f ca="1">IF(C44="","",[1]!s_dq_close(C44,$N$1))</f>
        <v>3391.18</v>
      </c>
      <c r="F44" s="28">
        <f ca="1">IF($C44=""," ",[1]!i_pq_pctchange($C44,F$6,$N$1))</f>
        <v>-1.8596763364434166</v>
      </c>
      <c r="G44" s="28">
        <f ca="1">IF($C44=""," ",[1]!i_pq_pctchange($C44,G$6,$N$1))</f>
        <v>-5.3041916936832916</v>
      </c>
      <c r="H44" s="28">
        <f ca="1">IF($C44=""," ",[1]!i_pq_pctchange($C44,H$6,$N$1))</f>
        <v>-0.88065682443274618</v>
      </c>
      <c r="I44" s="28">
        <f ca="1">IF($C44=""," ",[1]!i_pq_pctchange($C44,I$6,$N$1))</f>
        <v>8.8982941992498574</v>
      </c>
      <c r="J44" s="28">
        <f ca="1">IF($C44=""," ",[1]!i_pq_pctchange($C44,J$6,$N$1))</f>
        <v>13.803333042491928</v>
      </c>
      <c r="K44" s="28">
        <f ca="1">IF($C44=""," ",[1]!i_pq_pctchange($C44,K$6,$N$1))</f>
        <v>13.799514087437403</v>
      </c>
      <c r="L44" s="28">
        <f ca="1">IF(C44=""," ",[1]!s_wq_pctchange($C44,$N$1))</f>
        <v>-1.7965840577779613</v>
      </c>
      <c r="M44" s="28">
        <f ca="1">IF(C44=""," ",[1]!s_mq_pctchange($C44,$N$1))</f>
        <v>-1.8150654193701543</v>
      </c>
      <c r="N44" s="28">
        <f ca="1">IF(C44=""," ",[1]!s_yq_pctchange($C44,$N$1))</f>
        <v>8.5945580714681391</v>
      </c>
      <c r="O44" s="11"/>
      <c r="P44" s="7"/>
    </row>
    <row r="45" spans="1:16" x14ac:dyDescent="0.35">
      <c r="A45" s="7"/>
      <c r="C45" s="30" t="str">
        <f>IF(指数列表!B42="","",指数列表!B42)</f>
        <v>FTDUAE.FI</v>
      </c>
      <c r="D45" s="35" t="str">
        <f>IF(C45="","",[1]!s_info_name(C45))</f>
        <v>富时阿拉伯FTSE20</v>
      </c>
      <c r="E45" s="24">
        <f ca="1">IF(C45="","",[1]!s_dq_close(C45,$N$1))</f>
        <v>3459.37</v>
      </c>
      <c r="F45" s="28">
        <f ca="1">IF($C45=""," ",[1]!i_pq_pctchange($C45,F$6,$N$1))</f>
        <v>1.6293027723999876</v>
      </c>
      <c r="G45" s="28">
        <f ca="1">IF($C45=""," ",[1]!i_pq_pctchange($C45,G$6,$N$1))</f>
        <v>2.0794358051285045</v>
      </c>
      <c r="H45" s="28">
        <f ca="1">IF($C45=""," ",[1]!i_pq_pctchange($C45,H$6,$N$1))</f>
        <v>-7.7242961362514855</v>
      </c>
      <c r="I45" s="28">
        <f ca="1">IF($C45=""," ",[1]!i_pq_pctchange($C45,I$6,$N$1))</f>
        <v>-8.5538837312580718</v>
      </c>
      <c r="J45" s="28">
        <f ca="1">IF($C45=""," ",[1]!i_pq_pctchange($C45,J$6,$N$1))</f>
        <v>-11.867675532456945</v>
      </c>
      <c r="K45" s="28">
        <f ca="1">IF($C45=""," ",[1]!i_pq_pctchange($C45,K$6,$N$1))</f>
        <v>-9.1294274636714245</v>
      </c>
      <c r="L45" s="28">
        <f ca="1">IF(C45=""," ",[1]!s_wq_pctchange($C45,$N$1))</f>
        <v>1.2998611997727672</v>
      </c>
      <c r="M45" s="28">
        <f ca="1">IF(C45=""," ",[1]!s_mq_pctchange($C45,$N$1))</f>
        <v>3.401203976590006</v>
      </c>
      <c r="N45" s="28">
        <f ca="1">IF(C45=""," ",[1]!s_yq_pctchange($C45,$N$1))</f>
        <v>-9.7161543560754353</v>
      </c>
      <c r="O45" s="11"/>
      <c r="P45" s="7"/>
    </row>
    <row r="46" spans="1:16" x14ac:dyDescent="0.35">
      <c r="A46" s="7"/>
      <c r="C46" s="31" t="str">
        <f>IF(指数列表!B43="","",指数列表!B43)</f>
        <v>FTITMC.FI</v>
      </c>
      <c r="D46" s="36" t="str">
        <f>IF(C46="","",[1]!s_info_name(C46))</f>
        <v>富时意大利中盘股</v>
      </c>
      <c r="E46" s="25">
        <f ca="1">IF(C46="","",[1]!s_dq_close(C46,$N$1))</f>
        <v>46914.11</v>
      </c>
      <c r="F46" s="28">
        <f ca="1">IF($C46=""," ",[1]!i_pq_pctchange($C46,F$6,$N$1))</f>
        <v>0.15069320153566768</v>
      </c>
      <c r="G46" s="28">
        <f ca="1">IF($C46=""," ",[1]!i_pq_pctchange($C46,G$6,$N$1))</f>
        <v>-1.6603089997983433</v>
      </c>
      <c r="H46" s="28">
        <f ca="1">IF($C46=""," ",[1]!i_pq_pctchange($C46,H$6,$N$1))</f>
        <v>-2.2945543410031632</v>
      </c>
      <c r="I46" s="28">
        <f ca="1">IF($C46=""," ",[1]!i_pq_pctchange($C46,I$6,$N$1))</f>
        <v>5.5102280404569548</v>
      </c>
      <c r="J46" s="28">
        <f ca="1">IF($C46=""," ",[1]!i_pq_pctchange($C46,J$6,$N$1))</f>
        <v>20.488058447640569</v>
      </c>
      <c r="K46" s="28">
        <f ca="1">IF($C46=""," ",[1]!i_pq_pctchange($C46,K$6,$N$1))</f>
        <v>11.944888138890164</v>
      </c>
      <c r="L46" s="28">
        <f ca="1">IF(C46=""," ",[1]!s_wq_pctchange($C46,$N$1))</f>
        <v>-0.51974990256412612</v>
      </c>
      <c r="M46" s="28">
        <f ca="1">IF(C46=""," ",[1]!s_mq_pctchange($C46,$N$1))</f>
        <v>-1.6986559815140079</v>
      </c>
      <c r="N46" s="28">
        <f ca="1">IF(C46=""," ",[1]!s_yq_pctchange($C46,$N$1))</f>
        <v>5.320994353214914</v>
      </c>
      <c r="O46" s="11"/>
      <c r="P46" s="7"/>
    </row>
    <row r="47" spans="1:16" x14ac:dyDescent="0.35">
      <c r="A47" s="7"/>
      <c r="C47" s="30" t="str">
        <f>IF(指数列表!B44="","",指数列表!B44)</f>
        <v>FTSE.GI</v>
      </c>
      <c r="D47" s="35" t="str">
        <f>IF(C47="","",[1]!s_info_name(C47))</f>
        <v>英国富时100</v>
      </c>
      <c r="E47" s="24">
        <f ca="1">IF(C47="","",[1]!s_dq_close(C47,$N$1))</f>
        <v>8179.68</v>
      </c>
      <c r="F47" s="28">
        <f ca="1">IF($C47=""," ",[1]!i_pq_pctchange($C47,F$6,$N$1))</f>
        <v>-0.30992881265455852</v>
      </c>
      <c r="G47" s="28">
        <f ca="1">IF($C47=""," ",[1]!i_pq_pctchange($C47,G$6,$N$1))</f>
        <v>-1.6580523925800561</v>
      </c>
      <c r="H47" s="28">
        <f ca="1">IF($C47=""," ",[1]!i_pq_pctchange($C47,H$6,$N$1))</f>
        <v>3.1360642343423839</v>
      </c>
      <c r="I47" s="28">
        <f ca="1">IF($C47=""," ",[1]!i_pq_pctchange($C47,I$6,$N$1))</f>
        <v>6.2639736746038732</v>
      </c>
      <c r="J47" s="28">
        <f ca="1">IF($C47=""," ",[1]!i_pq_pctchange($C47,J$6,$N$1))</f>
        <v>7.2643632338979192</v>
      </c>
      <c r="K47" s="28">
        <f ca="1">IF($C47=""," ",[1]!i_pq_pctchange($C47,K$6,$N$1))</f>
        <v>9.7416275132218288</v>
      </c>
      <c r="L47" s="28">
        <f ca="1">IF(C47=""," ",[1]!s_wq_pctchange($C47,$N$1))</f>
        <v>-0.70456388418153049</v>
      </c>
      <c r="M47" s="28">
        <f ca="1">IF(C47=""," ",[1]!s_mq_pctchange($C47,$N$1))</f>
        <v>-1.1564423627676179</v>
      </c>
      <c r="N47" s="28">
        <f ca="1">IF(C47=""," ",[1]!s_yq_pctchange($C47,$N$1))</f>
        <v>5.7730007086292501</v>
      </c>
      <c r="O47" s="11"/>
      <c r="P47" s="7"/>
    </row>
    <row r="48" spans="1:16" x14ac:dyDescent="0.35">
      <c r="A48" s="7"/>
      <c r="C48" s="31" t="str">
        <f>IF(指数列表!B45="","",指数列表!B45)</f>
        <v>FTSEM.FI</v>
      </c>
      <c r="D48" s="36" t="str">
        <f>IF(C48="","",[1]!s_info_name(C48))</f>
        <v>富时希腊FTSE中盘股</v>
      </c>
      <c r="E48" s="25">
        <f ca="1">IF(C48="","",[1]!s_dq_close(C48,$N$1))</f>
        <v>2231.29</v>
      </c>
      <c r="F48" s="28">
        <f ca="1">IF($C48=""," ",[1]!i_pq_pctchange($C48,F$6,$N$1))</f>
        <v>-1.9256296426530706</v>
      </c>
      <c r="G48" s="28">
        <f ca="1">IF($C48=""," ",[1]!i_pq_pctchange($C48,G$6,$N$1))</f>
        <v>-5.7342143285650344</v>
      </c>
      <c r="H48" s="28">
        <f ca="1">IF($C48=""," ",[1]!i_pq_pctchange($C48,H$6,$N$1))</f>
        <v>-6.3227101167560136</v>
      </c>
      <c r="I48" s="28">
        <f ca="1">IF($C48=""," ",[1]!i_pq_pctchange($C48,I$6,$N$1))</f>
        <v>-0.40617928128584557</v>
      </c>
      <c r="J48" s="28">
        <f ca="1">IF($C48=""," ",[1]!i_pq_pctchange($C48,J$6,$N$1))</f>
        <v>12.858421806005849</v>
      </c>
      <c r="K48" s="28">
        <f ca="1">IF($C48=""," ",[1]!i_pq_pctchange($C48,K$6,$N$1))</f>
        <v>16.757890991292701</v>
      </c>
      <c r="L48" s="28">
        <f ca="1">IF(C48=""," ",[1]!s_wq_pctchange($C48,$N$1))</f>
        <v>-1.8168777336771358</v>
      </c>
      <c r="M48" s="28">
        <f ca="1">IF(C48=""," ",[1]!s_mq_pctchange($C48,$N$1))</f>
        <v>-4.8490405117270763</v>
      </c>
      <c r="N48" s="28">
        <f ca="1">IF(C48=""," ",[1]!s_yq_pctchange($C48,$N$1))</f>
        <v>-0.86724334795029723</v>
      </c>
      <c r="O48" s="11"/>
      <c r="P48" s="7"/>
    </row>
    <row r="49" spans="1:16" x14ac:dyDescent="0.35">
      <c r="A49" s="7"/>
      <c r="C49" s="30" t="str">
        <f>IF(指数列表!B46="","",指数列表!B46)</f>
        <v>FTSEMIB.FI</v>
      </c>
      <c r="D49" s="35" t="str">
        <f>IF(C49="","",[1]!s_info_name(C49))</f>
        <v>意大利富时MIB</v>
      </c>
      <c r="E49" s="24">
        <f ca="1">IF(C49="","",[1]!s_dq_close(C49,$N$1))</f>
        <v>33186.89</v>
      </c>
      <c r="F49" s="28">
        <f ca="1">IF($C49=""," ",[1]!i_pq_pctchange($C49,F$6,$N$1))</f>
        <v>-0.10060110817748935</v>
      </c>
      <c r="G49" s="28">
        <f ca="1">IF($C49=""," ",[1]!i_pq_pctchange($C49,G$6,$N$1))</f>
        <v>-3.7802063222241555</v>
      </c>
      <c r="H49" s="28">
        <f ca="1">IF($C49=""," ",[1]!i_pq_pctchange($C49,H$6,$N$1))</f>
        <v>-4.3279308190659727</v>
      </c>
      <c r="I49" s="28">
        <f ca="1">IF($C49=""," ",[1]!i_pq_pctchange($C49,I$6,$N$1))</f>
        <v>9.3353965912756021</v>
      </c>
      <c r="J49" s="28">
        <f ca="1">IF($C49=""," ",[1]!i_pq_pctchange($C49,J$6,$N$1))</f>
        <v>18.107518876197194</v>
      </c>
      <c r="K49" s="28">
        <f ca="1">IF($C49=""," ",[1]!i_pq_pctchange($C49,K$6,$N$1))</f>
        <v>21.818447441921585</v>
      </c>
      <c r="L49" s="28">
        <f ca="1">IF(C49=""," ",[1]!s_wq_pctchange($C49,$N$1))</f>
        <v>-0.36590963881283356</v>
      </c>
      <c r="M49" s="28">
        <f ca="1">IF(C49=""," ",[1]!s_mq_pctchange($C49,$N$1))</f>
        <v>-3.784948630727758</v>
      </c>
      <c r="N49" s="28">
        <f ca="1">IF(C49=""," ",[1]!s_yq_pctchange($C49,$N$1))</f>
        <v>9.3414124188428751</v>
      </c>
      <c r="O49" s="11"/>
      <c r="P49" s="7"/>
    </row>
    <row r="50" spans="1:16" x14ac:dyDescent="0.35">
      <c r="A50" s="7"/>
      <c r="C50" s="31" t="str">
        <f>IF(指数列表!B47="","",指数列表!B47)</f>
        <v>GDAXI.GI</v>
      </c>
      <c r="D50" s="36" t="str">
        <f>IF(C50="","",[1]!s_info_name(C50))</f>
        <v>德国DAX</v>
      </c>
      <c r="E50" s="25">
        <f ca="1">IF(C50="","",[1]!s_dq_close(C50,$N$1))</f>
        <v>18210.55</v>
      </c>
      <c r="F50" s="28">
        <f ca="1">IF($C50=""," ",[1]!i_pq_pctchange($C50,F$6,$N$1))</f>
        <v>0.78946596479614328</v>
      </c>
      <c r="G50" s="28">
        <f ca="1">IF($C50=""," ",[1]!i_pq_pctchange($C50,G$6,$N$1))</f>
        <v>-2.5828408681794701</v>
      </c>
      <c r="H50" s="28">
        <f ca="1">IF($C50=""," ",[1]!i_pq_pctchange($C50,H$6,$N$1))</f>
        <v>-0.94536929507977874</v>
      </c>
      <c r="I50" s="28">
        <f ca="1">IF($C50=""," ",[1]!i_pq_pctchange($C50,I$6,$N$1))</f>
        <v>9.0048712512375673</v>
      </c>
      <c r="J50" s="28">
        <f ca="1">IF($C50=""," ",[1]!i_pq_pctchange($C50,J$6,$N$1))</f>
        <v>19.367495921242117</v>
      </c>
      <c r="K50" s="28">
        <f ca="1">IF($C50=""," ",[1]!i_pq_pctchange($C50,K$6,$N$1))</f>
        <v>15.161455151627834</v>
      </c>
      <c r="L50" s="28">
        <f ca="1">IF(C50=""," ",[1]!s_wq_pctchange($C50,$N$1))</f>
        <v>0.2589255827064374</v>
      </c>
      <c r="M50" s="28">
        <f ca="1">IF(C50=""," ",[1]!s_mq_pctchange($C50,$N$1))</f>
        <v>-1.5536324585332162</v>
      </c>
      <c r="N50" s="28">
        <f ca="1">IF(C50=""," ",[1]!s_yq_pctchange($C50,$N$1))</f>
        <v>8.709057740018288</v>
      </c>
      <c r="O50" s="11"/>
      <c r="P50" s="7"/>
    </row>
    <row r="51" spans="1:16" x14ac:dyDescent="0.35">
      <c r="A51" s="7"/>
      <c r="C51" s="30" t="str">
        <f>IF(指数列表!B48="","",指数列表!B48)</f>
        <v>GSPTSE.GI</v>
      </c>
      <c r="D51" s="35" t="str">
        <f>IF(C51="","",[1]!s_info_name(C51))</f>
        <v>加拿大S&amp;P/TSX综合</v>
      </c>
      <c r="E51" s="24">
        <f ca="1">IF(C51="","",[1]!s_dq_close(C51,$N$1))</f>
        <v>21942.16</v>
      </c>
      <c r="F51" s="28">
        <f ca="1">IF($C51=""," ",[1]!i_pq_pctchange($C51,F$6,$N$1))</f>
        <v>1.9763999460888915</v>
      </c>
      <c r="G51" s="28">
        <f ca="1">IF($C51=""," ",[1]!i_pq_pctchange($C51,G$6,$N$1))</f>
        <v>-1.6966632573013452</v>
      </c>
      <c r="H51" s="28">
        <f ca="1">IF($C51=""," ",[1]!i_pq_pctchange($C51,H$6,$N$1))</f>
        <v>0.13526513609571911</v>
      </c>
      <c r="I51" s="28">
        <f ca="1">IF($C51=""," ",[1]!i_pq_pctchange($C51,I$6,$N$1))</f>
        <v>5.0809843691858703</v>
      </c>
      <c r="J51" s="28">
        <f ca="1">IF($C51=""," ",[1]!i_pq_pctchange($C51,J$6,$N$1))</f>
        <v>12.200816622903776</v>
      </c>
      <c r="K51" s="28">
        <f ca="1">IF($C51=""," ",[1]!i_pq_pctchange($C51,K$6,$N$1))</f>
        <v>12.022267466912261</v>
      </c>
      <c r="L51" s="28">
        <f ca="1">IF(C51=""," ",[1]!s_wq_pctchange($C51,$N$1))</f>
        <v>1.7968105568767267</v>
      </c>
      <c r="M51" s="28">
        <f ca="1">IF(C51=""," ",[1]!s_mq_pctchange($C51,$N$1))</f>
        <v>-1.4682214654193726</v>
      </c>
      <c r="N51" s="28">
        <f ca="1">IF(C51=""," ",[1]!s_yq_pctchange($C51,$N$1))</f>
        <v>4.6936699487175604</v>
      </c>
      <c r="O51" s="11"/>
      <c r="P51" s="7"/>
    </row>
    <row r="52" spans="1:16" x14ac:dyDescent="0.35">
      <c r="A52" s="7"/>
      <c r="C52" s="31" t="str">
        <f>IF(指数列表!B49="","",指数列表!B49)</f>
        <v>HDAX.F</v>
      </c>
      <c r="D52" s="36" t="str">
        <f>IF(C52="","",[1]!s_info_name(C52))</f>
        <v>德国HDAX</v>
      </c>
      <c r="E52" s="25">
        <f ca="1">IF(C52="","",[1]!s_dq_close(C52,$N$1))</f>
        <v>9648.7000000000007</v>
      </c>
      <c r="F52" s="28">
        <f ca="1">IF($C52=""," ",[1]!i_pq_pctchange($C52,F$6,$N$1))</f>
        <v>0.52865400564288123</v>
      </c>
      <c r="G52" s="28">
        <f ca="1">IF($C52=""," ",[1]!i_pq_pctchange($C52,G$6,$N$1))</f>
        <v>-3.1394086993533965</v>
      </c>
      <c r="H52" s="28">
        <f ca="1">IF($C52=""," ",[1]!i_pq_pctchange($C52,H$6,$N$1))</f>
        <v>-1.495630512904278</v>
      </c>
      <c r="I52" s="28">
        <f ca="1">IF($C52=""," ",[1]!i_pq_pctchange($C52,I$6,$N$1))</f>
        <v>7.4098275979147532</v>
      </c>
      <c r="J52" s="28">
        <f ca="1">IF($C52=""," ",[1]!i_pq_pctchange($C52,J$6,$N$1))</f>
        <v>17.145063339703313</v>
      </c>
      <c r="K52" s="28">
        <f ca="1">IF($C52=""," ",[1]!i_pq_pctchange($C52,K$6,$N$1))</f>
        <v>12.956907865084366</v>
      </c>
      <c r="L52" s="28">
        <f ca="1">IF(C52=""," ",[1]!s_wq_pctchange($C52,$N$1))</f>
        <v>0.1690125638209361</v>
      </c>
      <c r="M52" s="28">
        <f ca="1">IF(C52=""," ",[1]!s_mq_pctchange($C52,$N$1))</f>
        <v>-2.2443268741730082</v>
      </c>
      <c r="N52" s="28">
        <f ca="1">IF(C52=""," ",[1]!s_yq_pctchange($C52,$N$1))</f>
        <v>7.051957706005707</v>
      </c>
      <c r="O52" s="11"/>
      <c r="P52" s="7"/>
    </row>
    <row r="53" spans="1:16" x14ac:dyDescent="0.35">
      <c r="A53" s="7"/>
      <c r="C53" s="30" t="str">
        <f>IF(指数列表!B50="","",指数列表!B50)</f>
        <v>HERMES.GI</v>
      </c>
      <c r="D53" s="35" t="str">
        <f>IF(C53="","",[1]!s_info_name(C53))</f>
        <v>埃及HERMES</v>
      </c>
      <c r="E53" s="24">
        <f ca="1">IF(C53="","",[1]!s_dq_close(C53,$N$1))</f>
        <v>3183.3</v>
      </c>
      <c r="F53" s="28">
        <f ca="1">IF($C53=""," ",[1]!i_pq_pctchange($C53,F$6,$N$1))</f>
        <v>4.7451704293061336</v>
      </c>
      <c r="G53" s="28">
        <f ca="1">IF($C53=""," ",[1]!i_pq_pctchange($C53,G$6,$N$1))</f>
        <v>0.64847808422310305</v>
      </c>
      <c r="H53" s="28">
        <f ca="1">IF($C53=""," ",[1]!i_pq_pctchange($C53,H$6,$N$1))</f>
        <v>-3.79378813659208</v>
      </c>
      <c r="I53" s="28">
        <f ca="1">IF($C53=""," ",[1]!i_pq_pctchange($C53,I$6,$N$1))</f>
        <v>10.480613052350996</v>
      </c>
      <c r="J53" s="28">
        <f ca="1">IF($C53=""," ",[1]!i_pq_pctchange($C53,J$6,$N$1))</f>
        <v>36.375320235453401</v>
      </c>
      <c r="K53" s="28">
        <f ca="1">IF($C53=""," ",[1]!i_pq_pctchange($C53,K$6,$N$1))</f>
        <v>58.719790986283485</v>
      </c>
      <c r="L53" s="28">
        <f ca="1">IF(C53=""," ",[1]!s_wq_pctchange($C53,$N$1))</f>
        <v>2.0779220779220786</v>
      </c>
      <c r="M53" s="28">
        <f ca="1">IF(C53=""," ",[1]!s_mq_pctchange($C53,$N$1))</f>
        <v>2.8958758254652217</v>
      </c>
      <c r="N53" s="28">
        <f ca="1">IF(C53=""," ",[1]!s_yq_pctchange($C53,$N$1))</f>
        <v>6.5329357549471334</v>
      </c>
      <c r="O53" s="11"/>
      <c r="P53" s="7"/>
    </row>
    <row r="54" spans="1:16" x14ac:dyDescent="0.35">
      <c r="A54" s="7"/>
      <c r="C54" s="31" t="str">
        <f>IF(指数列表!B51="","",指数列表!B51)</f>
        <v>HEX.GI</v>
      </c>
      <c r="D54" s="36" t="str">
        <f>IF(C54="","",[1]!s_info_name(C54))</f>
        <v>芬兰OMX全指</v>
      </c>
      <c r="E54" s="25">
        <f ca="1">IF(C54="","",[1]!s_dq_close(C54,$N$1))</f>
        <v>9974.9940000000006</v>
      </c>
      <c r="F54" s="28">
        <f ca="1">IF($C54=""," ",[1]!i_pq_pctchange($C54,F$6,$N$1))</f>
        <v>-0.19180195480101858</v>
      </c>
      <c r="G54" s="28">
        <f ca="1">IF($C54=""," ",[1]!i_pq_pctchange($C54,G$6,$N$1))</f>
        <v>-3.3383700775338032</v>
      </c>
      <c r="H54" s="28">
        <f ca="1">IF($C54=""," ",[1]!i_pq_pctchange($C54,H$6,$N$1))</f>
        <v>1.9192921330520196</v>
      </c>
      <c r="I54" s="28">
        <f ca="1">IF($C54=""," ",[1]!i_pq_pctchange($C54,I$6,$N$1))</f>
        <v>-1.1460915965505358</v>
      </c>
      <c r="J54" s="28">
        <f ca="1">IF($C54=""," ",[1]!i_pq_pctchange($C54,J$6,$N$1))</f>
        <v>4.7529184338153341</v>
      </c>
      <c r="K54" s="28">
        <f ca="1">IF($C54=""," ",[1]!i_pq_pctchange($C54,K$6,$N$1))</f>
        <v>1.4701120749506025</v>
      </c>
      <c r="L54" s="28">
        <f ca="1">IF(C54=""," ",[1]!s_wq_pctchange($C54,$N$1))</f>
        <v>-1.2047090172373376</v>
      </c>
      <c r="M54" s="28">
        <f ca="1">IF(C54=""," ",[1]!s_mq_pctchange($C54,$N$1))</f>
        <v>-2.6307004268438239</v>
      </c>
      <c r="N54" s="28">
        <f ca="1">IF(C54=""," ",[1]!s_yq_pctchange($C54,$N$1))</f>
        <v>-1.3686382733420155</v>
      </c>
      <c r="O54" s="11"/>
      <c r="P54" s="7"/>
    </row>
    <row r="55" spans="1:16" x14ac:dyDescent="0.35">
      <c r="A55" s="7"/>
      <c r="C55" s="30" t="str">
        <f>IF(指数列表!B52="","",指数列表!B52)</f>
        <v>HEX25.FIN</v>
      </c>
      <c r="D55" s="35" t="str">
        <f>IF(C55="","",[1]!s_info_name(C55))</f>
        <v>芬兰OMX25</v>
      </c>
      <c r="E55" s="24">
        <f ca="1">IF(C55="","",[1]!s_dq_close(C55,$N$1))</f>
        <v>4504.82</v>
      </c>
      <c r="F55" s="28">
        <f ca="1">IF($C55=""," ",[1]!i_pq_pctchange($C55,F$6,$N$1))</f>
        <v>-5.5687069728649341E-2</v>
      </c>
      <c r="G55" s="28">
        <f ca="1">IF($C55=""," ",[1]!i_pq_pctchange($C55,G$6,$N$1))</f>
        <v>-3.7160053690357242</v>
      </c>
      <c r="H55" s="28">
        <f ca="1">IF($C55=""," ",[1]!i_pq_pctchange($C55,H$6,$N$1))</f>
        <v>2.0138635699711527</v>
      </c>
      <c r="I55" s="28">
        <f ca="1">IF($C55=""," ",[1]!i_pq_pctchange($C55,I$6,$N$1))</f>
        <v>-0.36625985871571176</v>
      </c>
      <c r="J55" s="28">
        <f ca="1">IF($C55=""," ",[1]!i_pq_pctchange($C55,J$6,$N$1))</f>
        <v>6.422204740406845</v>
      </c>
      <c r="K55" s="28">
        <f ca="1">IF($C55=""," ",[1]!i_pq_pctchange($C55,K$6,$N$1))</f>
        <v>3.0544689222885557</v>
      </c>
      <c r="L55" s="28">
        <f ca="1">IF(C55=""," ",[1]!s_wq_pctchange($C55,$N$1))</f>
        <v>-1.0721093454906572</v>
      </c>
      <c r="M55" s="28">
        <f ca="1">IF(C55=""," ",[1]!s_mq_pctchange($C55,$N$1))</f>
        <v>-2.6353271735019224</v>
      </c>
      <c r="N55" s="28">
        <f ca="1">IF(C55=""," ",[1]!s_yq_pctchange($C55,$N$1))</f>
        <v>-0.24690155160465022</v>
      </c>
      <c r="O55" s="11"/>
      <c r="P55" s="7"/>
    </row>
    <row r="56" spans="1:16" x14ac:dyDescent="0.35">
      <c r="A56" s="7"/>
      <c r="C56" s="31" t="str">
        <f>IF(指数列表!B53="","",指数列表!B53)</f>
        <v>HEXP.FIN</v>
      </c>
      <c r="D56" s="36" t="str">
        <f>IF(C56="","",[1]!s_info_name(C56))</f>
        <v>芬兰OMX市值</v>
      </c>
      <c r="E56" s="25">
        <f ca="1">IF(C56="","",[1]!s_dq_close(C56,$N$1))</f>
        <v>7373.88</v>
      </c>
      <c r="F56" s="28">
        <f ca="1">IF($C56=""," ",[1]!i_pq_pctchange($C56,F$6,$N$1))</f>
        <v>-3.6060266737525382E-2</v>
      </c>
      <c r="G56" s="28">
        <f ca="1">IF($C56=""," ",[1]!i_pq_pctchange($C56,G$6,$N$1))</f>
        <v>-3.193587094368755</v>
      </c>
      <c r="H56" s="28">
        <f ca="1">IF($C56=""," ",[1]!i_pq_pctchange($C56,H$6,$N$1))</f>
        <v>2.0710771760706237</v>
      </c>
      <c r="I56" s="28">
        <f ca="1">IF($C56=""," ",[1]!i_pq_pctchange($C56,I$6,$N$1))</f>
        <v>0.68888485313576275</v>
      </c>
      <c r="J56" s="28">
        <f ca="1">IF($C56=""," ",[1]!i_pq_pctchange($C56,J$6,$N$1))</f>
        <v>7.7814692955210152</v>
      </c>
      <c r="K56" s="28">
        <f ca="1">IF($C56=""," ",[1]!i_pq_pctchange($C56,K$6,$N$1))</f>
        <v>2.865178022149717</v>
      </c>
      <c r="L56" s="28">
        <f ca="1">IF(C56=""," ",[1]!s_wq_pctchange($C56,$N$1))</f>
        <v>-1.0878634147911792</v>
      </c>
      <c r="M56" s="28">
        <f ca="1">IF(C56=""," ",[1]!s_mq_pctchange($C56,$N$1))</f>
        <v>-2.4999504161735797</v>
      </c>
      <c r="N56" s="28">
        <f ca="1">IF(C56=""," ",[1]!s_yq_pctchange($C56,$N$1))</f>
        <v>0.68462288393635884</v>
      </c>
      <c r="O56" s="11"/>
      <c r="P56" s="7"/>
    </row>
    <row r="57" spans="1:16" x14ac:dyDescent="0.35">
      <c r="A57" s="7"/>
      <c r="C57" s="30" t="str">
        <f>IF(指数列表!B54="","",指数列表!B54)</f>
        <v>HSI.HI</v>
      </c>
      <c r="D57" s="35" t="str">
        <f>IF(C57="","",[1]!s_info_name(C57))</f>
        <v>恒生指数</v>
      </c>
      <c r="E57" s="24">
        <f ca="1">IF(C57="","",[1]!s_dq_close(C57,$N$1))</f>
        <v>17716.47</v>
      </c>
      <c r="F57" s="28">
        <f ca="1">IF($C57=""," ",[1]!i_pq_pctchange($C57,F$6,$N$1))</f>
        <v>-3.8736022406471005</v>
      </c>
      <c r="G57" s="28">
        <f ca="1">IF($C57=""," ",[1]!i_pq_pctchange($C57,G$6,$N$1))</f>
        <v>-4.795920670387444</v>
      </c>
      <c r="H57" s="28">
        <f ca="1">IF($C57=""," ",[1]!i_pq_pctchange($C57,H$6,$N$1))</f>
        <v>6.6080686856433202</v>
      </c>
      <c r="I57" s="28">
        <f ca="1">IF($C57=""," ",[1]!i_pq_pctchange($C57,I$6,$N$1))</f>
        <v>8.4212085253674971</v>
      </c>
      <c r="J57" s="28">
        <f ca="1">IF($C57=""," ",[1]!i_pq_pctchange($C57,J$6,$N$1))</f>
        <v>1.4288167906153948</v>
      </c>
      <c r="K57" s="28">
        <f ca="1">IF($C57=""," ",[1]!i_pq_pctchange($C57,K$6,$N$1))</f>
        <v>-5.7340244001717551</v>
      </c>
      <c r="L57" s="28">
        <f ca="1">IF(C57=""," ",[1]!s_wq_pctchange($C57,$N$1))</f>
        <v>-1.7189985644966987</v>
      </c>
      <c r="M57" s="28">
        <f ca="1">IF(C57=""," ",[1]!s_mq_pctchange($C57,$N$1))</f>
        <v>-1.9967244868666967</v>
      </c>
      <c r="N57" s="28">
        <f ca="1">IF(C57=""," ",[1]!s_yq_pctchange($C57,$N$1))</f>
        <v>3.937376923974889</v>
      </c>
      <c r="O57" s="11"/>
      <c r="P57" s="7"/>
    </row>
    <row r="58" spans="1:16" x14ac:dyDescent="0.35">
      <c r="A58" s="7"/>
      <c r="C58" s="31" t="str">
        <f>IF(指数列表!B55="","",指数列表!B55)</f>
        <v>IBEX.GI</v>
      </c>
      <c r="D58" s="36" t="str">
        <f>IF(C58="","",[1]!s_info_name(C58))</f>
        <v>西班牙IBEX35</v>
      </c>
      <c r="E58" s="25">
        <f ca="1">IF(C58="","",[1]!s_dq_close(C58,$N$1))</f>
        <v>10951.5</v>
      </c>
      <c r="F58" s="28">
        <f ca="1">IF($C58=""," ",[1]!i_pq_pctchange($C58,F$6,$N$1))</f>
        <v>-0.94877175210736908</v>
      </c>
      <c r="G58" s="28">
        <f ca="1">IF($C58=""," ",[1]!i_pq_pctchange($C58,G$6,$N$1))</f>
        <v>-2.6187088742664066</v>
      </c>
      <c r="H58" s="28">
        <f ca="1">IF($C58=""," ",[1]!i_pq_pctchange($C58,H$6,$N$1))</f>
        <v>-0.36391757266979186</v>
      </c>
      <c r="I58" s="28">
        <f ca="1">IF($C58=""," ",[1]!i_pq_pctchange($C58,I$6,$N$1))</f>
        <v>8.3030884403524574</v>
      </c>
      <c r="J58" s="28">
        <f ca="1">IF($C58=""," ",[1]!i_pq_pctchange($C58,J$6,$N$1))</f>
        <v>16.917016302084996</v>
      </c>
      <c r="K58" s="28">
        <f ca="1">IF($C58=""," ",[1]!i_pq_pctchange($C58,K$6,$N$1))</f>
        <v>18.088203579900796</v>
      </c>
      <c r="L58" s="28">
        <f ca="1">IF(C58=""," ",[1]!s_wq_pctchange($C58,$N$1))</f>
        <v>-0.73239487686157512</v>
      </c>
      <c r="M58" s="28">
        <f ca="1">IF(C58=""," ",[1]!s_mq_pctchange($C58,$N$1))</f>
        <v>-3.272390037095918</v>
      </c>
      <c r="N58" s="28">
        <f ca="1">IF(C58=""," ",[1]!s_yq_pctchange($C58,$N$1))</f>
        <v>8.4081527603171669</v>
      </c>
      <c r="O58" s="11"/>
      <c r="P58" s="7"/>
    </row>
    <row r="59" spans="1:16" x14ac:dyDescent="0.35">
      <c r="A59" s="7"/>
      <c r="C59" s="30" t="str">
        <f>IF(指数列表!B56="","",指数列表!B56)</f>
        <v>IBOVESPA.GI</v>
      </c>
      <c r="D59" s="35" t="str">
        <f>IF(C59="","",[1]!s_info_name(C59))</f>
        <v>巴西IBOVESPA指数</v>
      </c>
      <c r="E59" s="24">
        <f ca="1">IF(C59="","",[1]!s_dq_close(C59,$N$1))</f>
        <v>124307.83</v>
      </c>
      <c r="F59" s="28">
        <f ca="1">IF($C59=""," ",[1]!i_pq_pctchange($C59,F$6,$N$1))</f>
        <v>3.3647471415169772</v>
      </c>
      <c r="G59" s="28">
        <f ca="1">IF($C59=""," ",[1]!i_pq_pctchange($C59,G$6,$N$1))</f>
        <v>1.8181003473838331E-3</v>
      </c>
      <c r="H59" s="28">
        <f ca="1">IF($C59=""," ",[1]!i_pq_pctchange($C59,H$6,$N$1))</f>
        <v>-2.0141330389265577</v>
      </c>
      <c r="I59" s="28">
        <f ca="1">IF($C59=""," ",[1]!i_pq_pctchange($C59,I$6,$N$1))</f>
        <v>-6.9084762019732793</v>
      </c>
      <c r="J59" s="28">
        <f ca="1">IF($C59=""," ",[1]!i_pq_pctchange($C59,J$6,$N$1))</f>
        <v>8.8572521203715624</v>
      </c>
      <c r="K59" s="28">
        <f ca="1">IF($C59=""," ",[1]!i_pq_pctchange($C59,K$6,$N$1))</f>
        <v>5.1291683774804309</v>
      </c>
      <c r="L59" s="28">
        <f ca="1">IF(C59=""," ",[1]!s_wq_pctchange($C59,$N$1))</f>
        <v>2.4449253109807056</v>
      </c>
      <c r="M59" s="28">
        <f ca="1">IF(C59=""," ",[1]!s_mq_pctchange($C59,$N$1))</f>
        <v>1.8098071804399263</v>
      </c>
      <c r="N59" s="28">
        <f ca="1">IF(C59=""," ",[1]!s_yq_pctchange($C59,$N$1))</f>
        <v>-7.3610256985045419</v>
      </c>
      <c r="O59" s="11"/>
      <c r="P59" s="7"/>
    </row>
    <row r="60" spans="1:16" x14ac:dyDescent="0.35">
      <c r="A60" s="7"/>
      <c r="C60" s="31" t="str">
        <f>IF(指数列表!B57="","",指数列表!B57)</f>
        <v>IBOVIEE.GI</v>
      </c>
      <c r="D60" s="36" t="str">
        <f>IF(C60="","",[1]!s_info_name(C60))</f>
        <v>巴西电力</v>
      </c>
      <c r="E60" s="25">
        <f ca="1">IF(C60="","",[1]!s_dq_close(C60,$N$1))</f>
        <v>79990.31</v>
      </c>
      <c r="F60" s="28">
        <f ca="1">IF($C60=""," ",[1]!i_pq_pctchange($C60,F$6,$N$1))</f>
        <v>0</v>
      </c>
      <c r="G60" s="28">
        <f ca="1">IF($C60=""," ",[1]!i_pq_pctchange($C60,G$6,$N$1))</f>
        <v>0</v>
      </c>
      <c r="H60" s="28">
        <f ca="1">IF($C60=""," ",[1]!i_pq_pctchange($C60,H$6,$N$1))</f>
        <v>0</v>
      </c>
      <c r="I60" s="28">
        <f ca="1">IF($C60=""," ",[1]!i_pq_pctchange($C60,I$6,$N$1))</f>
        <v>0</v>
      </c>
      <c r="J60" s="28">
        <f ca="1">IF($C60=""," ",[1]!i_pq_pctchange($C60,J$6,$N$1))</f>
        <v>0</v>
      </c>
      <c r="K60" s="28">
        <f ca="1">IF($C60=""," ",[1]!i_pq_pctchange($C60,K$6,$N$1))</f>
        <v>0</v>
      </c>
      <c r="L60" s="28">
        <f ca="1">IF(C60=""," ",[1]!s_wq_pctchange($C60,$N$1))</f>
        <v>0</v>
      </c>
      <c r="M60" s="28">
        <f ca="1">IF(C60=""," ",[1]!s_mq_pctchange($C60,$N$1))</f>
        <v>0</v>
      </c>
      <c r="N60" s="28">
        <f ca="1">IF(C60=""," ",[1]!s_yq_pctchange($C60,$N$1))</f>
        <v>0</v>
      </c>
      <c r="O60" s="11"/>
      <c r="P60" s="7"/>
    </row>
    <row r="61" spans="1:16" x14ac:dyDescent="0.35">
      <c r="A61" s="7"/>
      <c r="C61" s="30" t="str">
        <f>IF(指数列表!B58="","",指数列表!B58)</f>
        <v>IBVC.GI</v>
      </c>
      <c r="D61" s="35" t="str">
        <f>IF(C61="","",[1]!s_info_name(C61))</f>
        <v>委内瑞拉IBC</v>
      </c>
      <c r="E61" s="24">
        <f ca="1">IF(C61="","",[1]!s_dq_close(C61,$N$1))</f>
        <v>77421.72</v>
      </c>
      <c r="F61" s="28">
        <f ca="1">IF($C61=""," ",[1]!i_pq_pctchange($C61,F$6,$N$1))</f>
        <v>1.1805132908538019</v>
      </c>
      <c r="G61" s="28">
        <f ca="1">IF($C61=""," ",[1]!i_pq_pctchange($C61,G$6,$N$1))</f>
        <v>17.747922537519358</v>
      </c>
      <c r="H61" s="28">
        <f ca="1">IF($C61=""," ",[1]!i_pq_pctchange($C61,H$6,$N$1))</f>
        <v>41.143977331417169</v>
      </c>
      <c r="I61" s="28">
        <f ca="1">IF($C61=""," ",[1]!i_pq_pctchange($C61,I$6,$N$1))</f>
        <v>36.974536429693487</v>
      </c>
      <c r="J61" s="28">
        <f ca="1">IF($C61=""," ",[1]!i_pq_pctchange($C61,J$6,$N$1))</f>
        <v>96.566085562996221</v>
      </c>
      <c r="K61" s="28">
        <f ca="1">IF($C61=""," ",[1]!i_pq_pctchange($C61,K$6,$N$1))</f>
        <v>128.92335968761617</v>
      </c>
      <c r="L61" s="28">
        <f ca="1">IF(C61=""," ",[1]!s_wq_pctchange($C61,$N$1))</f>
        <v>1.253384955457082</v>
      </c>
      <c r="M61" s="28">
        <f ca="1">IF(C61=""," ",[1]!s_mq_pctchange($C61,$N$1))</f>
        <v>11.864625714797207</v>
      </c>
      <c r="N61" s="28">
        <f ca="1">IF(C61=""," ",[1]!s_yq_pctchange($C61,$N$1))</f>
        <v>33.872430811347122</v>
      </c>
      <c r="O61" s="11"/>
      <c r="P61" s="7"/>
    </row>
    <row r="62" spans="1:16" x14ac:dyDescent="0.35">
      <c r="A62" s="7"/>
      <c r="C62" s="31" t="str">
        <f>IF(指数列表!B59="","",指数列表!B59)</f>
        <v>IBX.GI</v>
      </c>
      <c r="D62" s="36" t="str">
        <f>IF(C62="","",[1]!s_info_name(C62))</f>
        <v>巴西IBrX</v>
      </c>
      <c r="E62" s="25">
        <f ca="1">IF(C62="","",[1]!s_dq_close(C62,$N$1))</f>
        <v>52546.27</v>
      </c>
      <c r="F62" s="28">
        <f ca="1">IF($C62=""," ",[1]!i_pq_pctchange($C62,F$6,$N$1))</f>
        <v>3.4797868263539034</v>
      </c>
      <c r="G62" s="28">
        <f ca="1">IF($C62=""," ",[1]!i_pq_pctchange($C62,G$6,$N$1))</f>
        <v>0.22348276052801541</v>
      </c>
      <c r="H62" s="28">
        <f ca="1">IF($C62=""," ",[1]!i_pq_pctchange($C62,H$6,$N$1))</f>
        <v>-1.7335764205181348</v>
      </c>
      <c r="I62" s="28">
        <f ca="1">IF($C62=""," ",[1]!i_pq_pctchange($C62,I$6,$N$1))</f>
        <v>-6.4694952322756016</v>
      </c>
      <c r="J62" s="28">
        <f ca="1">IF($C62=""," ",[1]!i_pq_pctchange($C62,J$6,$N$1))</f>
        <v>9.2577059700735376</v>
      </c>
      <c r="K62" s="28">
        <f ca="1">IF($C62=""," ",[1]!i_pq_pctchange($C62,K$6,$N$1))</f>
        <v>5.7025281494448077</v>
      </c>
      <c r="L62" s="28">
        <f ca="1">IF(C62=""," ",[1]!s_wq_pctchange($C62,$N$1))</f>
        <v>2.5214656752107878</v>
      </c>
      <c r="M62" s="28">
        <f ca="1">IF(C62=""," ",[1]!s_mq_pctchange($C62,$N$1))</f>
        <v>1.8116987330082823</v>
      </c>
      <c r="N62" s="28">
        <f ca="1">IF(C62=""," ",[1]!s_yq_pctchange($C62,$N$1))</f>
        <v>-6.914749824710964</v>
      </c>
      <c r="O62" s="11"/>
      <c r="P62" s="7"/>
    </row>
    <row r="63" spans="1:16" x14ac:dyDescent="0.35">
      <c r="A63" s="7"/>
      <c r="C63" s="30" t="str">
        <f>IF(指数列表!B60="","",指数列表!B60)</f>
        <v>IGPA.GI</v>
      </c>
      <c r="D63" s="35" t="str">
        <f>IF(C63="","",[1]!s_info_name(C63))</f>
        <v>智利综指</v>
      </c>
      <c r="E63" s="24">
        <f ca="1">IF(C63="","",[1]!s_dq_close(C63,$N$1))</f>
        <v>32963.96</v>
      </c>
      <c r="F63" s="28">
        <f ca="1">IF($C63=""," ",[1]!i_pq_pctchange($C63,F$6,$N$1))</f>
        <v>-1.3364964117557054</v>
      </c>
      <c r="G63" s="28">
        <f ca="1">IF($C63=""," ",[1]!i_pq_pctchange($C63,G$6,$N$1))</f>
        <v>-3.9046017927684806</v>
      </c>
      <c r="H63" s="28">
        <f ca="1">IF($C63=""," ",[1]!i_pq_pctchange($C63,H$6,$N$1))</f>
        <v>-0.1282180239639219</v>
      </c>
      <c r="I63" s="28">
        <f ca="1">IF($C63=""," ",[1]!i_pq_pctchange($C63,I$6,$N$1))</f>
        <v>4.5929709021519605</v>
      </c>
      <c r="J63" s="28">
        <f ca="1">IF($C63=""," ",[1]!i_pq_pctchange($C63,J$6,$N$1))</f>
        <v>12.569374153952895</v>
      </c>
      <c r="K63" s="28">
        <f ca="1">IF($C63=""," ",[1]!i_pq_pctchange($C63,K$6,$N$1))</f>
        <v>13.083134935609353</v>
      </c>
      <c r="L63" s="28">
        <f ca="1">IF(C63=""," ",[1]!s_wq_pctchange($C63,$N$1))</f>
        <v>0.13508714746188755</v>
      </c>
      <c r="M63" s="28">
        <f ca="1">IF(C63=""," ",[1]!s_mq_pctchange($C63,$N$1))</f>
        <v>-2.1527373757762036</v>
      </c>
      <c r="N63" s="28">
        <f ca="1">IF(C63=""," ",[1]!s_yq_pctchange($C63,$N$1))</f>
        <v>4.8571064124059982</v>
      </c>
      <c r="O63" s="11"/>
      <c r="P63" s="7"/>
    </row>
    <row r="64" spans="1:16" x14ac:dyDescent="0.35">
      <c r="A64" s="7"/>
      <c r="C64" s="31" t="str">
        <f>IF(指数列表!B61="","",指数列表!B61)</f>
        <v>IMC30.GI</v>
      </c>
      <c r="D64" s="36" t="str">
        <f>IF(C64="","",[1]!s_info_name(C64))</f>
        <v>墨西哥IMC30</v>
      </c>
      <c r="E64" s="25">
        <f ca="1">IF(C64="","",[1]!s_dq_close(C64,$N$1))</f>
        <v>737</v>
      </c>
      <c r="F64" s="28">
        <f ca="1">IF($C64=""," ",[1]!i_pq_pctchange($C64,F$6,$N$1))</f>
        <v>0</v>
      </c>
      <c r="G64" s="28">
        <f ca="1">IF($C64=""," ",[1]!i_pq_pctchange($C64,G$6,$N$1))</f>
        <v>0</v>
      </c>
      <c r="H64" s="28">
        <f ca="1">IF($C64=""," ",[1]!i_pq_pctchange($C64,H$6,$N$1))</f>
        <v>0</v>
      </c>
      <c r="I64" s="28">
        <f ca="1">IF($C64=""," ",[1]!i_pq_pctchange($C64,I$6,$N$1))</f>
        <v>0</v>
      </c>
      <c r="J64" s="28">
        <f ca="1">IF($C64=""," ",[1]!i_pq_pctchange($C64,J$6,$N$1))</f>
        <v>0</v>
      </c>
      <c r="K64" s="28">
        <f ca="1">IF($C64=""," ",[1]!i_pq_pctchange($C64,K$6,$N$1))</f>
        <v>0</v>
      </c>
      <c r="L64" s="28">
        <f ca="1">IF(C64=""," ",[1]!s_wq_pctchange($C64,$N$1))</f>
        <v>0</v>
      </c>
      <c r="M64" s="28">
        <f ca="1">IF(C64=""," ",[1]!s_mq_pctchange($C64,$N$1))</f>
        <v>0</v>
      </c>
      <c r="N64" s="28">
        <f ca="1">IF(C64=""," ",[1]!s_yq_pctchange($C64,$N$1))</f>
        <v>0</v>
      </c>
      <c r="O64" s="11"/>
      <c r="P64" s="7"/>
    </row>
    <row r="65" spans="1:16" x14ac:dyDescent="0.35">
      <c r="A65" s="7"/>
      <c r="C65" s="30" t="str">
        <f>IF(指数列表!B62="","",指数列表!B62)</f>
        <v>IMOEX.MCX</v>
      </c>
      <c r="D65" s="35" t="str">
        <f>IF(C65="","",[1]!s_info_name(C65))</f>
        <v>俄罗斯MOEX</v>
      </c>
      <c r="E65" s="24">
        <f ca="1">IF(C65="","",[1]!s_dq_close(C65,$N$1))</f>
        <v>3150.32</v>
      </c>
      <c r="F65" s="28">
        <f ca="1">IF($C65=""," ",[1]!i_pq_pctchange($C65,F$6,$N$1))</f>
        <v>4.0578436780546179</v>
      </c>
      <c r="G65" s="28">
        <f ca="1">IF($C65=""," ",[1]!i_pq_pctchange($C65,G$6,$N$1))</f>
        <v>-7.2480494626821717</v>
      </c>
      <c r="H65" s="28">
        <f ca="1">IF($C65=""," ",[1]!i_pq_pctchange($C65,H$6,$N$1))</f>
        <v>-4.1156096105967261</v>
      </c>
      <c r="I65" s="28">
        <f ca="1">IF($C65=""," ",[1]!i_pq_pctchange($C65,I$6,$N$1))</f>
        <v>1.7966084169165564</v>
      </c>
      <c r="J65" s="28">
        <f ca="1">IF($C65=""," ",[1]!i_pq_pctchange($C65,J$6,$N$1))</f>
        <v>3.224538076155592</v>
      </c>
      <c r="K65" s="28">
        <f ca="1">IF($C65=""," ",[1]!i_pq_pctchange($C65,K$6,$N$1))</f>
        <v>14.260843703416226</v>
      </c>
      <c r="L65" s="28">
        <f ca="1">IF(C65=""," ",[1]!s_wq_pctchange($C65,$N$1))</f>
        <v>1.1549761587490215</v>
      </c>
      <c r="M65" s="28">
        <f ca="1">IF(C65=""," ",[1]!s_mq_pctchange($C65,$N$1))</f>
        <v>-2.0785219399538035</v>
      </c>
      <c r="N65" s="28">
        <f ca="1">IF(C65=""," ",[1]!s_yq_pctchange($C65,$N$1))</f>
        <v>1.6524098854187264</v>
      </c>
      <c r="O65" s="11"/>
      <c r="P65" s="7"/>
    </row>
    <row r="66" spans="1:16" x14ac:dyDescent="0.35">
      <c r="A66" s="7"/>
      <c r="C66" s="31" t="str">
        <f>IF(指数列表!B63="","",指数列表!B63)</f>
        <v>INMEX.GI</v>
      </c>
      <c r="D66" s="36" t="str">
        <f>IF(C66="","",[1]!s_info_name(C66))</f>
        <v>墨西哥INMEX</v>
      </c>
      <c r="E66" s="25">
        <f ca="1">IF(C66="","",[1]!s_dq_close(C66,$N$1))</f>
        <v>3244.51</v>
      </c>
      <c r="F66" s="28">
        <f ca="1">IF($C66=""," ",[1]!i_pq_pctchange($C66,F$6,$N$1))</f>
        <v>-2.0971572204066979</v>
      </c>
      <c r="G66" s="28">
        <f ca="1">IF($C66=""," ",[1]!i_pq_pctchange($C66,G$6,$N$1))</f>
        <v>-5.5053967625249722</v>
      </c>
      <c r="H66" s="28">
        <f ca="1">IF($C66=""," ",[1]!i_pq_pctchange($C66,H$6,$N$1))</f>
        <v>-7.6882150264742872</v>
      </c>
      <c r="I66" s="28">
        <f ca="1">IF($C66=""," ",[1]!i_pq_pctchange($C66,I$6,$N$1))</f>
        <v>-8.5659453229138034</v>
      </c>
      <c r="J66" s="28">
        <f ca="1">IF($C66=""," ",[1]!i_pq_pctchange($C66,J$6,$N$1))</f>
        <v>2.4820510876740975</v>
      </c>
      <c r="K66" s="28">
        <f ca="1">IF($C66=""," ",[1]!i_pq_pctchange($C66,K$6,$N$1))</f>
        <v>-2.2714402756692897</v>
      </c>
      <c r="L66" s="28">
        <f ca="1">IF(C66=""," ",[1]!s_wq_pctchange($C66,$N$1))</f>
        <v>-0.84167417979553738</v>
      </c>
      <c r="M66" s="28">
        <f ca="1">IF(C66=""," ",[1]!s_mq_pctchange($C66,$N$1))</f>
        <v>-5.148481854166775</v>
      </c>
      <c r="N66" s="28">
        <f ca="1">IF(C66=""," ",[1]!s_yq_pctchange($C66,$N$1))</f>
        <v>-7.8682985006815027</v>
      </c>
      <c r="O66" s="11"/>
      <c r="P66" s="7"/>
    </row>
    <row r="67" spans="1:16" x14ac:dyDescent="0.35">
      <c r="A67" s="7"/>
      <c r="C67" s="30" t="str">
        <f>IF(指数列表!B64="","",指数列表!B64)</f>
        <v>INTER10.GI</v>
      </c>
      <c r="D67" s="35" t="str">
        <f>IF(C67="","",[1]!s_info_name(C67))</f>
        <v>智利INTER10</v>
      </c>
      <c r="E67" s="24">
        <f ca="1">IF(C67="","",[1]!s_dq_close(C67,$N$1))</f>
        <v>7679</v>
      </c>
      <c r="F67" s="28">
        <f ca="1">IF($C67=""," ",[1]!i_pq_pctchange($C67,F$6,$N$1))</f>
        <v>0.13209247255463463</v>
      </c>
      <c r="G67" s="28">
        <f ca="1">IF($C67=""," ",[1]!i_pq_pctchange($C67,G$6,$N$1))</f>
        <v>-4.8823509010102573</v>
      </c>
      <c r="H67" s="28">
        <f ca="1">IF($C67=""," ",[1]!i_pq_pctchange($C67,H$6,$N$1))</f>
        <v>-4.6571369329123531</v>
      </c>
      <c r="I67" s="28">
        <f ca="1">IF($C67=""," ",[1]!i_pq_pctchange($C67,I$6,$N$1))</f>
        <v>-5.9172061612651872</v>
      </c>
      <c r="J67" s="28">
        <f ca="1">IF($C67=""," ",[1]!i_pq_pctchange($C67,J$6,$N$1))</f>
        <v>3.2284603513450971</v>
      </c>
      <c r="K67" s="28">
        <f ca="1">IF($C67=""," ",[1]!i_pq_pctchange($C67,K$6,$N$1))</f>
        <v>1.9530264607867887</v>
      </c>
      <c r="L67" s="28">
        <f ca="1">IF(C67=""," ",[1]!s_wq_pctchange($C67,$N$1))</f>
        <v>1.9397627467847567</v>
      </c>
      <c r="M67" s="28">
        <f ca="1">IF(C67=""," ",[1]!s_mq_pctchange($C67,$N$1))</f>
        <v>-2.7763006629291431</v>
      </c>
      <c r="N67" s="28">
        <f ca="1">IF(C67=""," ",[1]!s_yq_pctchange($C67,$N$1))</f>
        <v>-4.4435789046663228</v>
      </c>
      <c r="O67" s="11"/>
      <c r="P67" s="7"/>
    </row>
    <row r="68" spans="1:16" x14ac:dyDescent="0.35">
      <c r="A68" s="7"/>
      <c r="C68" s="31" t="str">
        <f>IF(指数列表!B65="","",指数列表!B65)</f>
        <v>IPSA.GI</v>
      </c>
      <c r="D68" s="36" t="str">
        <f>IF(C68="","",[1]!s_info_name(C68))</f>
        <v>IPSA智利圣地亚哥</v>
      </c>
      <c r="E68" s="25">
        <f ca="1">IF(C68="","",[1]!s_dq_close(C68,$N$1))</f>
        <v>6504.53</v>
      </c>
      <c r="F68" s="28">
        <f ca="1">IF($C68=""," ",[1]!i_pq_pctchange($C68,F$6,$N$1))</f>
        <v>-1.2867792124225286</v>
      </c>
      <c r="G68" s="28">
        <f ca="1">IF($C68=""," ",[1]!i_pq_pctchange($C68,G$6,$N$1))</f>
        <v>-4.0046458910134248</v>
      </c>
      <c r="H68" s="28">
        <f ca="1">IF($C68=""," ",[1]!i_pq_pctchange($C68,H$6,$N$1))</f>
        <v>-0.24323698429082885</v>
      </c>
      <c r="I68" s="28">
        <f ca="1">IF($C68=""," ",[1]!i_pq_pctchange($C68,I$6,$N$1))</f>
        <v>4.6072321708574115</v>
      </c>
      <c r="J68" s="28">
        <f ca="1">IF($C68=""," ",[1]!i_pq_pctchange($C68,J$6,$N$1))</f>
        <v>12.875309323254513</v>
      </c>
      <c r="K68" s="28">
        <f ca="1">IF($C68=""," ",[1]!i_pq_pctchange($C68,K$6,$N$1))</f>
        <v>14.525244913338353</v>
      </c>
      <c r="L68" s="28">
        <f ca="1">IF(C68=""," ",[1]!s_wq_pctchange($C68,$N$1))</f>
        <v>0.24319013677518431</v>
      </c>
      <c r="M68" s="28">
        <f ca="1">IF(C68=""," ",[1]!s_mq_pctchange($C68,$N$1))</f>
        <v>-1.9338740803280685</v>
      </c>
      <c r="N68" s="28">
        <f ca="1">IF(C68=""," ",[1]!s_yq_pctchange($C68,$N$1))</f>
        <v>4.9495221668438782</v>
      </c>
      <c r="O68" s="11"/>
      <c r="P68" s="7"/>
    </row>
    <row r="69" spans="1:16" x14ac:dyDescent="0.35">
      <c r="A69" s="7"/>
      <c r="C69" s="30" t="str">
        <f>IF(指数列表!B66="","",指数列表!B66)</f>
        <v>ISEQ.GI</v>
      </c>
      <c r="D69" s="35" t="str">
        <f>IF(C69="","",[1]!s_info_name(C69))</f>
        <v>爱尔兰综指</v>
      </c>
      <c r="E69" s="24">
        <f ca="1">IF(C69="","",[1]!s_dq_close(C69,$N$1))</f>
        <v>9364.8799999999992</v>
      </c>
      <c r="F69" s="28">
        <f ca="1">IF($C69=""," ",[1]!i_pq_pctchange($C69,F$6,$N$1))</f>
        <v>-2.2972184866672962</v>
      </c>
      <c r="G69" s="28">
        <f ca="1">IF($C69=""," ",[1]!i_pq_pctchange($C69,G$6,$N$1))</f>
        <v>-7.0191742521723999</v>
      </c>
      <c r="H69" s="28">
        <f ca="1">IF($C69=""," ",[1]!i_pq_pctchange($C69,H$6,$N$1))</f>
        <v>-5.3641480643107808</v>
      </c>
      <c r="I69" s="28">
        <f ca="1">IF($C69=""," ",[1]!i_pq_pctchange($C69,I$6,$N$1))</f>
        <v>6.4388062788902856</v>
      </c>
      <c r="J69" s="28">
        <f ca="1">IF($C69=""," ",[1]!i_pq_pctchange($C69,J$6,$N$1))</f>
        <v>11.882918670290611</v>
      </c>
      <c r="K69" s="28">
        <f ca="1">IF($C69=""," ",[1]!i_pq_pctchange($C69,K$6,$N$1))</f>
        <v>11.128937325561505</v>
      </c>
      <c r="L69" s="28">
        <f ca="1">IF(C69=""," ",[1]!s_wq_pctchange($C69,$N$1))</f>
        <v>-0.53044030581572699</v>
      </c>
      <c r="M69" s="28">
        <f ca="1">IF(C69=""," ",[1]!s_mq_pctchange($C69,$N$1))</f>
        <v>-5.788948444315678</v>
      </c>
      <c r="N69" s="28">
        <f ca="1">IF(C69=""," ",[1]!s_yq_pctchange($C69,$N$1))</f>
        <v>6.9006296544890766</v>
      </c>
      <c r="O69" s="11"/>
      <c r="P69" s="7"/>
    </row>
    <row r="70" spans="1:16" x14ac:dyDescent="0.35">
      <c r="A70" s="7"/>
      <c r="C70" s="31" t="str">
        <f>IF(指数列表!B67="","",指数列表!B67)</f>
        <v>ITLMS.GI</v>
      </c>
      <c r="D70" s="36" t="str">
        <f>IF(C70="","",[1]!s_info_name(C70))</f>
        <v>意大利指数</v>
      </c>
      <c r="E70" s="25">
        <f ca="1">IF(C70="","",[1]!s_dq_close(C70,$N$1))</f>
        <v>35378.17</v>
      </c>
      <c r="F70" s="28">
        <f ca="1">IF($C70=""," ",[1]!i_pq_pctchange($C70,F$6,$N$1))</f>
        <v>-7.5554470960537135E-2</v>
      </c>
      <c r="G70" s="28">
        <f ca="1">IF($C70=""," ",[1]!i_pq_pctchange($C70,G$6,$N$1))</f>
        <v>-3.5864796071313654</v>
      </c>
      <c r="H70" s="28">
        <f ca="1">IF($C70=""," ",[1]!i_pq_pctchange($C70,H$6,$N$1))</f>
        <v>-4.095065194602487</v>
      </c>
      <c r="I70" s="28">
        <f ca="1">IF($C70=""," ",[1]!i_pq_pctchange($C70,I$6,$N$1))</f>
        <v>8.9563486832784811</v>
      </c>
      <c r="J70" s="28">
        <f ca="1">IF($C70=""," ",[1]!i_pq_pctchange($C70,J$6,$N$1))</f>
        <v>18.249542168771349</v>
      </c>
      <c r="K70" s="28">
        <f ca="1">IF($C70=""," ",[1]!i_pq_pctchange($C70,K$6,$N$1))</f>
        <v>20.800967550389537</v>
      </c>
      <c r="L70" s="28">
        <f ca="1">IF(C70=""," ",[1]!s_wq_pctchange($C70,$N$1))</f>
        <v>-0.37475447921433425</v>
      </c>
      <c r="M70" s="28">
        <f ca="1">IF(C70=""," ",[1]!s_mq_pctchange($C70,$N$1))</f>
        <v>-3.6116443592458358</v>
      </c>
      <c r="N70" s="28">
        <f ca="1">IF(C70=""," ",[1]!s_yq_pctchange($C70,$N$1))</f>
        <v>8.9259219233531972</v>
      </c>
      <c r="O70" s="11"/>
      <c r="P70" s="7"/>
    </row>
    <row r="71" spans="1:16" x14ac:dyDescent="0.35">
      <c r="A71" s="7"/>
      <c r="C71" s="30" t="str">
        <f>IF(指数列表!B68="","",指数列表!B68)</f>
        <v>IXIC.GI</v>
      </c>
      <c r="D71" s="35" t="str">
        <f>IF(C71="","",[1]!s_info_name(C71))</f>
        <v>纳斯达克指数</v>
      </c>
      <c r="E71" s="24">
        <f ca="1">IF(C71="","",[1]!s_dq_close(C71,$N$1))</f>
        <v>17858.68</v>
      </c>
      <c r="F71" s="28">
        <f ca="1">IF($C71=""," ",[1]!i_pq_pctchange($C71,F$6,$N$1))</f>
        <v>-1.9874338198533348E-2</v>
      </c>
      <c r="G71" s="28">
        <f ca="1">IF($C71=""," ",[1]!i_pq_pctchange($C71,G$6,$N$1))</f>
        <v>5.5428263101190867</v>
      </c>
      <c r="H71" s="28">
        <f ca="1">IF($C71=""," ",[1]!i_pq_pctchange($C71,H$6,$N$1))</f>
        <v>9.4570260546590124</v>
      </c>
      <c r="I71" s="28">
        <f ca="1">IF($C71=""," ",[1]!i_pq_pctchange($C71,I$6,$N$1))</f>
        <v>18.468918184730974</v>
      </c>
      <c r="J71" s="28">
        <f ca="1">IF($C71=""," ",[1]!i_pq_pctchange($C71,J$6,$N$1))</f>
        <v>36.705550762767714</v>
      </c>
      <c r="K71" s="28">
        <f ca="1">IF($C71=""," ",[1]!i_pq_pctchange($C71,K$6,$N$1))</f>
        <v>33.915526500887069</v>
      </c>
      <c r="L71" s="28">
        <f ca="1">IF(C71=""," ",[1]!s_wq_pctchange($C71,$N$1))</f>
        <v>0.95718556239456909</v>
      </c>
      <c r="M71" s="28">
        <f ca="1">IF(C71=""," ",[1]!s_mq_pctchange($C71,$N$1))</f>
        <v>6.7144228091750024</v>
      </c>
      <c r="N71" s="28">
        <f ca="1">IF(C71=""," ",[1]!s_yq_pctchange($C71,$N$1))</f>
        <v>18.967847661935799</v>
      </c>
      <c r="O71" s="11"/>
      <c r="P71" s="7"/>
    </row>
    <row r="72" spans="1:16" x14ac:dyDescent="0.35">
      <c r="A72" s="7"/>
      <c r="C72" s="31" t="str">
        <f>IF(指数列表!B69="","",指数列表!B69)</f>
        <v>JALSH.GI</v>
      </c>
      <c r="D72" s="36" t="str">
        <f>IF(C72="","",[1]!s_info_name(C72))</f>
        <v>南非富时综指</v>
      </c>
      <c r="E72" s="25">
        <f ca="1">IF(C72="","",[1]!s_dq_close(C72,$N$1))</f>
        <v>78969.33</v>
      </c>
      <c r="F72" s="28">
        <f ca="1">IF($C72=""," ",[1]!i_pq_pctchange($C72,F$6,$N$1))</f>
        <v>-2.1612062980122859</v>
      </c>
      <c r="G72" s="28">
        <f ca="1">IF($C72=""," ",[1]!i_pq_pctchange($C72,G$6,$N$1))</f>
        <v>-0.22932163448927678</v>
      </c>
      <c r="H72" s="28">
        <f ca="1">IF($C72=""," ",[1]!i_pq_pctchange($C72,H$6,$N$1))</f>
        <v>7.2835220377330812</v>
      </c>
      <c r="I72" s="28">
        <f ca="1">IF($C72=""," ",[1]!i_pq_pctchange($C72,I$6,$N$1))</f>
        <v>6.1707267197161686</v>
      </c>
      <c r="J72" s="28">
        <f ca="1">IF($C72=""," ",[1]!i_pq_pctchange($C72,J$6,$N$1))</f>
        <v>8.6951788041914835</v>
      </c>
      <c r="K72" s="28">
        <f ca="1">IF($C72=""," ",[1]!i_pq_pctchange($C72,K$6,$N$1))</f>
        <v>6.334461006147718</v>
      </c>
      <c r="L72" s="28">
        <f ca="1">IF(C72=""," ",[1]!s_wq_pctchange($C72,$N$1))</f>
        <v>-1.0006950193788056</v>
      </c>
      <c r="M72" s="28">
        <f ca="1">IF(C72=""," ",[1]!s_mq_pctchange($C72,$N$1))</f>
        <v>2.9529911376499962</v>
      </c>
      <c r="N72" s="28">
        <f ca="1">IF(C72=""," ",[1]!s_yq_pctchange($C72,$N$1))</f>
        <v>2.7000844678622293</v>
      </c>
      <c r="O72" s="11"/>
      <c r="P72" s="7"/>
    </row>
    <row r="73" spans="1:16" x14ac:dyDescent="0.35">
      <c r="A73" s="7"/>
      <c r="C73" s="30" t="str">
        <f>IF(指数列表!B70="","",指数列表!B70)</f>
        <v>JKSE.GI</v>
      </c>
      <c r="D73" s="35" t="str">
        <f>IF(C73="","",[1]!s_info_name(C73))</f>
        <v>印尼综指</v>
      </c>
      <c r="E73" s="24">
        <f ca="1">IF(C73="","",[1]!s_dq_close(C73,$N$1))</f>
        <v>6967.95</v>
      </c>
      <c r="F73" s="28">
        <f ca="1">IF($C73=""," ",[1]!i_pq_pctchange($C73,F$6,$N$1))</f>
        <v>3.5830816455497683</v>
      </c>
      <c r="G73" s="28">
        <f ca="1">IF($C73=""," ",[1]!i_pq_pctchange($C73,G$6,$N$1))</f>
        <v>-3.5228266796189955</v>
      </c>
      <c r="H73" s="28">
        <f ca="1">IF($C73=""," ",[1]!i_pq_pctchange($C73,H$6,$N$1))</f>
        <v>-5.3995675067448072</v>
      </c>
      <c r="I73" s="28">
        <f ca="1">IF($C73=""," ",[1]!i_pq_pctchange($C73,I$6,$N$1))</f>
        <v>-3.7246050753027449</v>
      </c>
      <c r="J73" s="28">
        <f ca="1">IF($C73=""," ",[1]!i_pq_pctchange($C73,J$6,$N$1))</f>
        <v>0.61745598315714467</v>
      </c>
      <c r="K73" s="28">
        <f ca="1">IF($C73=""," ",[1]!i_pq_pctchange($C73,K$6,$N$1))</f>
        <v>4.5449157768232107</v>
      </c>
      <c r="L73" s="28">
        <f ca="1">IF(C73=""," ",[1]!s_wq_pctchange($C73,$N$1))</f>
        <v>1.2786668794580347</v>
      </c>
      <c r="M73" s="28">
        <f ca="1">IF(C73=""," ",[1]!s_mq_pctchange($C73,$N$1))</f>
        <v>-4.0024445037400991E-2</v>
      </c>
      <c r="N73" s="28">
        <f ca="1">IF(C73=""," ",[1]!s_yq_pctchange($C73,$N$1))</f>
        <v>-4.1916455835441679</v>
      </c>
      <c r="O73" s="11"/>
      <c r="P73" s="7"/>
    </row>
    <row r="74" spans="1:16" x14ac:dyDescent="0.35">
      <c r="A74" s="7"/>
      <c r="C74" s="31" t="str">
        <f>IF(指数列表!B71="","",指数列表!B71)</f>
        <v>JSDA.GI</v>
      </c>
      <c r="D74" s="36" t="str">
        <f>IF(C74="","",[1]!s_info_name(C74))</f>
        <v>日本纳斯达克股票指数</v>
      </c>
      <c r="E74" s="25">
        <f ca="1">IF(C74="","",[1]!s_dq_close(C74,$N$1))</f>
        <v>164.28</v>
      </c>
      <c r="F74" s="28">
        <f ca="1">IF($C74=""," ",[1]!i_pq_pctchange($C74,F$6,$N$1))</f>
        <v>0</v>
      </c>
      <c r="G74" s="28">
        <f ca="1">IF($C74=""," ",[1]!i_pq_pctchange($C74,G$6,$N$1))</f>
        <v>0</v>
      </c>
      <c r="H74" s="28">
        <f ca="1">IF($C74=""," ",[1]!i_pq_pctchange($C74,H$6,$N$1))</f>
        <v>0</v>
      </c>
      <c r="I74" s="28">
        <f ca="1">IF($C74=""," ",[1]!i_pq_pctchange($C74,I$6,$N$1))</f>
        <v>0</v>
      </c>
      <c r="J74" s="28">
        <f ca="1">IF($C74=""," ",[1]!i_pq_pctchange($C74,J$6,$N$1))</f>
        <v>0</v>
      </c>
      <c r="K74" s="28">
        <f ca="1">IF($C74=""," ",[1]!i_pq_pctchange($C74,K$6,$N$1))</f>
        <v>0</v>
      </c>
      <c r="L74" s="28">
        <f ca="1">IF(C74=""," ",[1]!s_wq_pctchange($C74,$N$1))</f>
        <v>0</v>
      </c>
      <c r="M74" s="28">
        <f ca="1">IF(C74=""," ",[1]!s_mq_pctchange($C74,$N$1))</f>
        <v>0</v>
      </c>
      <c r="N74" s="28">
        <f ca="1">IF(C74=""," ",[1]!s_yq_pctchange($C74,$N$1))</f>
        <v>0</v>
      </c>
      <c r="O74" s="11"/>
      <c r="P74" s="7"/>
    </row>
    <row r="75" spans="1:16" x14ac:dyDescent="0.35">
      <c r="A75" s="7"/>
      <c r="C75" s="30" t="str">
        <f>IF(指数列表!B72="","",指数列表!B72)</f>
        <v>KAX.GI</v>
      </c>
      <c r="D75" s="35" t="str">
        <f>IF(C75="","",[1]!s_info_name(C75))</f>
        <v>丹麦OMX20</v>
      </c>
      <c r="E75" s="24">
        <f ca="1">IF(C75="","",[1]!s_dq_close(C75,$N$1))</f>
        <v>2889.6468</v>
      </c>
      <c r="F75" s="28">
        <f ca="1">IF($C75=""," ",[1]!i_pq_pctchange($C75,F$6,$N$1))</f>
        <v>1.0608312629360128</v>
      </c>
      <c r="G75" s="28">
        <f ca="1">IF($C75=""," ",[1]!i_pq_pctchange($C75,G$6,$N$1))</f>
        <v>4.4239387135075026</v>
      </c>
      <c r="H75" s="28">
        <f ca="1">IF($C75=""," ",[1]!i_pq_pctchange($C75,H$6,$N$1))</f>
        <v>7.52054916749203</v>
      </c>
      <c r="I75" s="28">
        <f ca="1">IF($C75=""," ",[1]!i_pq_pctchange($C75,I$6,$N$1))</f>
        <v>27.423730221662378</v>
      </c>
      <c r="J75" s="28">
        <f ca="1">IF($C75=""," ",[1]!i_pq_pctchange($C75,J$6,$N$1))</f>
        <v>35.602383984198752</v>
      </c>
      <c r="K75" s="28">
        <f ca="1">IF($C75=""," ",[1]!i_pq_pctchange($C75,K$6,$N$1))</f>
        <v>44.73350328492549</v>
      </c>
      <c r="L75" s="28">
        <f ca="1">IF(C75=""," ",[1]!s_wq_pctchange($C75,$N$1))</f>
        <v>0.79978534346858421</v>
      </c>
      <c r="M75" s="28">
        <f ca="1">IF(C75=""," ",[1]!s_mq_pctchange($C75,$N$1))</f>
        <v>4.3469537798436209</v>
      </c>
      <c r="N75" s="28">
        <f ca="1">IF(C75=""," ",[1]!s_yq_pctchange($C75,$N$1))</f>
        <v>26.542858758149279</v>
      </c>
      <c r="O75" s="11"/>
      <c r="P75" s="7"/>
    </row>
    <row r="76" spans="1:16" x14ac:dyDescent="0.35">
      <c r="A76" s="7"/>
      <c r="C76" s="31" t="str">
        <f>IF(指数列表!B73="","",指数列表!B73)</f>
        <v>KLSE.GI</v>
      </c>
      <c r="D76" s="36" t="str">
        <f>IF(C76="","",[1]!s_info_name(C76))</f>
        <v>富时马来西亚综指</v>
      </c>
      <c r="E76" s="25">
        <f ca="1">IF(C76="","",[1]!s_dq_close(C76,$N$1))</f>
        <v>1584.94</v>
      </c>
      <c r="F76" s="28">
        <f ca="1">IF($C76=""," ",[1]!i_pq_pctchange($C76,F$6,$N$1))</f>
        <v>-0.92824683239675077</v>
      </c>
      <c r="G76" s="28">
        <f ca="1">IF($C76=""," ",[1]!i_pq_pctchange($C76,G$6,$N$1))</f>
        <v>-2.1279486229467737</v>
      </c>
      <c r="H76" s="28">
        <f ca="1">IF($C76=""," ",[1]!i_pq_pctchange($C76,H$6,$N$1))</f>
        <v>3.0238816448044048</v>
      </c>
      <c r="I76" s="28">
        <f ca="1">IF($C76=""," ",[1]!i_pq_pctchange($C76,I$6,$N$1))</f>
        <v>9.2474393085099074</v>
      </c>
      <c r="J76" s="28">
        <f ca="1">IF($C76=""," ",[1]!i_pq_pctchange($C76,J$6,$N$1))</f>
        <v>9.6426965514855958</v>
      </c>
      <c r="K76" s="28">
        <f ca="1">IF($C76=""," ",[1]!i_pq_pctchange($C76,K$6,$N$1))</f>
        <v>14.034305119866453</v>
      </c>
      <c r="L76" s="28">
        <f ca="1">IF(C76=""," ",[1]!s_wq_pctchange($C76,$N$1))</f>
        <v>-0.34142998170235694</v>
      </c>
      <c r="M76" s="28">
        <f ca="1">IF(C76=""," ",[1]!s_mq_pctchange($C76,$N$1))</f>
        <v>-0.73527569707142471</v>
      </c>
      <c r="N76" s="28">
        <f ca="1">IF(C76=""," ",[1]!s_yq_pctchange($C76,$N$1))</f>
        <v>8.9560447114789721</v>
      </c>
      <c r="O76" s="11"/>
      <c r="P76" s="7"/>
    </row>
    <row r="77" spans="1:16" x14ac:dyDescent="0.35">
      <c r="A77" s="7"/>
      <c r="C77" s="30" t="str">
        <f>IF(指数列表!B74="","",指数列表!B74)</f>
        <v>KOSPI200.GI</v>
      </c>
      <c r="D77" s="35" t="str">
        <f>IF(C77="","",[1]!s_info_name(C77))</f>
        <v>韩国综合股价200</v>
      </c>
      <c r="E77" s="24">
        <f ca="1">IF(C77="","",[1]!s_dq_close(C77,$N$1))</f>
        <v>382.27</v>
      </c>
      <c r="F77" s="28">
        <f ca="1">IF($C77=""," ",[1]!i_pq_pctchange($C77,F$6,$N$1))</f>
        <v>-0.19320644369599238</v>
      </c>
      <c r="G77" s="28">
        <f ca="1">IF($C77=""," ",[1]!i_pq_pctchange($C77,G$6,$N$1))</f>
        <v>4.4225305944056048</v>
      </c>
      <c r="H77" s="28">
        <f ca="1">IF($C77=""," ",[1]!i_pq_pctchange($C77,H$6,$N$1))</f>
        <v>2.0475173518419432</v>
      </c>
      <c r="I77" s="28">
        <f ca="1">IF($C77=""," ",[1]!i_pq_pctchange($C77,I$6,$N$1))</f>
        <v>9.0859800816140091</v>
      </c>
      <c r="J77" s="28">
        <f ca="1">IF($C77=""," ",[1]!i_pq_pctchange($C77,J$6,$N$1))</f>
        <v>16.937901498929332</v>
      </c>
      <c r="K77" s="28">
        <f ca="1">IF($C77=""," ",[1]!i_pq_pctchange($C77,K$6,$N$1))</f>
        <v>12.306833538985828</v>
      </c>
      <c r="L77" s="28">
        <f ca="1">IF(C77=""," ",[1]!s_wq_pctchange($C77,$N$1))</f>
        <v>0.81653014072673447</v>
      </c>
      <c r="M77" s="28">
        <f ca="1">IF(C77=""," ",[1]!s_mq_pctchange($C77,$N$1))</f>
        <v>7.196895675720949</v>
      </c>
      <c r="N77" s="28">
        <f ca="1">IF(C77=""," ",[1]!s_yq_pctchange($C77,$N$1))</f>
        <v>7.2627727031481237</v>
      </c>
      <c r="O77" s="11"/>
      <c r="P77" s="7"/>
    </row>
    <row r="78" spans="1:16" x14ac:dyDescent="0.35">
      <c r="A78" s="7"/>
      <c r="C78" s="31" t="str">
        <f>IF(指数列表!B75="","",指数列表!B75)</f>
        <v>KRX100.GI</v>
      </c>
      <c r="D78" s="36" t="str">
        <f>IF(C78="","",[1]!s_info_name(C78))</f>
        <v>韩国KRX100指数</v>
      </c>
      <c r="E78" s="25">
        <f ca="1">IF(C78="","",[1]!s_dq_close(C78,$N$1))</f>
        <v>5942.91</v>
      </c>
      <c r="F78" s="28">
        <f ca="1">IF($C78=""," ",[1]!i_pq_pctchange($C78,F$6,$N$1))</f>
        <v>-0.25528186743469794</v>
      </c>
      <c r="G78" s="28">
        <f ca="1">IF($C78=""," ",[1]!i_pq_pctchange($C78,G$6,$N$1))</f>
        <v>4.9396362814466022</v>
      </c>
      <c r="H78" s="28">
        <f ca="1">IF($C78=""," ",[1]!i_pq_pctchange($C78,H$6,$N$1))</f>
        <v>0.57335975616978896</v>
      </c>
      <c r="I78" s="28">
        <f ca="1">IF($C78=""," ",[1]!i_pq_pctchange($C78,I$6,$N$1))</f>
        <v>9.4787201314575178</v>
      </c>
      <c r="J78" s="28">
        <f ca="1">IF($C78=""," ",[1]!i_pq_pctchange($C78,J$6,$N$1))</f>
        <v>16.692618387956305</v>
      </c>
      <c r="K78" s="28">
        <f ca="1">IF($C78=""," ",[1]!i_pq_pctchange($C78,K$6,$N$1))</f>
        <v>11.545709469985631</v>
      </c>
      <c r="L78" s="28">
        <f ca="1">IF(C78=""," ",[1]!s_wq_pctchange($C78,$N$1))</f>
        <v>0.35325963063093102</v>
      </c>
      <c r="M78" s="28">
        <f ca="1">IF(C78=""," ",[1]!s_mq_pctchange($C78,$N$1))</f>
        <v>7.2338375426965973</v>
      </c>
      <c r="N78" s="28">
        <f ca="1">IF(C78=""," ",[1]!s_yq_pctchange($C78,$N$1))</f>
        <v>6.8461306120687793</v>
      </c>
      <c r="O78" s="11"/>
      <c r="P78" s="7"/>
    </row>
    <row r="79" spans="1:16" x14ac:dyDescent="0.35">
      <c r="A79" s="7"/>
      <c r="C79" s="30" t="str">
        <f>IF(指数列表!B76="","",指数列表!B76)</f>
        <v>KS11.GI</v>
      </c>
      <c r="D79" s="35" t="str">
        <f>IF(C79="","",[1]!s_info_name(C79))</f>
        <v>韩国综合指数</v>
      </c>
      <c r="E79" s="24">
        <f ca="1">IF(C79="","",[1]!s_dq_close(C79,$N$1))</f>
        <v>2784.06</v>
      </c>
      <c r="F79" s="28">
        <f ca="1">IF($C79=""," ",[1]!i_pq_pctchange($C79,F$6,$N$1))</f>
        <v>-0.46050326428168642</v>
      </c>
      <c r="G79" s="28">
        <f ca="1">IF($C79=""," ",[1]!i_pq_pctchange($C79,G$6,$N$1))</f>
        <v>3.5890757553207253</v>
      </c>
      <c r="H79" s="28">
        <f ca="1">IF($C79=""," ",[1]!i_pq_pctchange($C79,H$6,$N$1))</f>
        <v>0.97820528165564191</v>
      </c>
      <c r="I79" s="28">
        <f ca="1">IF($C79=""," ",[1]!i_pq_pctchange($C79,I$6,$N$1))</f>
        <v>6.9726695330420752</v>
      </c>
      <c r="J79" s="28">
        <f ca="1">IF($C79=""," ",[1]!i_pq_pctchange($C79,J$6,$N$1))</f>
        <v>13.036699594392154</v>
      </c>
      <c r="K79" s="28">
        <f ca="1">IF($C79=""," ",[1]!i_pq_pctchange($C79,K$6,$N$1))</f>
        <v>7.8173650375648718</v>
      </c>
      <c r="L79" s="28">
        <f ca="1">IF(C79=""," ",[1]!s_wq_pctchange($C79,$N$1))</f>
        <v>0.48558683456285667</v>
      </c>
      <c r="M79" s="28">
        <f ca="1">IF(C79=""," ",[1]!s_mq_pctchange($C79,$N$1))</f>
        <v>6.1163958551423869</v>
      </c>
      <c r="N79" s="28">
        <f ca="1">IF(C79=""," ",[1]!s_yq_pctchange($C79,$N$1))</f>
        <v>5.366665662378356</v>
      </c>
      <c r="O79" s="11"/>
      <c r="P79" s="7"/>
    </row>
    <row r="80" spans="1:16" x14ac:dyDescent="0.35">
      <c r="A80" s="7"/>
      <c r="C80" s="31" t="str">
        <f>IF(指数列表!B77="","",指数列表!B77)</f>
        <v>LUXXR.GI</v>
      </c>
      <c r="D80" s="36" t="str">
        <f>IF(C80="","",[1]!s_info_name(C80))</f>
        <v>卢森堡LUXX回报</v>
      </c>
      <c r="E80" s="25">
        <f ca="1">IF(C80="","",[1]!s_dq_close(C80,$N$1))</f>
        <v>2715.9719</v>
      </c>
      <c r="F80" s="28">
        <f ca="1">IF($C80=""," ",[1]!i_pq_pctchange($C80,F$6,$N$1))</f>
        <v>-2.7791073003658795</v>
      </c>
      <c r="G80" s="28">
        <f ca="1">IF($C80=""," ",[1]!i_pq_pctchange($C80,G$6,$N$1))</f>
        <v>-4.8058973567030039</v>
      </c>
      <c r="H80" s="28">
        <f ca="1">IF($C80=""," ",[1]!i_pq_pctchange($C80,H$6,$N$1))</f>
        <v>-4.7865282060558627</v>
      </c>
      <c r="I80" s="28">
        <f ca="1">IF($C80=""," ",[1]!i_pq_pctchange($C80,I$6,$N$1))</f>
        <v>-7.5037381170788064</v>
      </c>
      <c r="J80" s="28">
        <f ca="1">IF($C80=""," ",[1]!i_pq_pctchange($C80,J$6,$N$1))</f>
        <v>1.6692610814277309</v>
      </c>
      <c r="K80" s="28">
        <f ca="1">IF($C80=""," ",[1]!i_pq_pctchange($C80,K$6,$N$1))</f>
        <v>-2.3202911230703949</v>
      </c>
      <c r="L80" s="28">
        <f ca="1">IF(C80=""," ",[1]!s_wq_pctchange($C80,$N$1))</f>
        <v>-2.2098251770106825</v>
      </c>
      <c r="M80" s="28">
        <f ca="1">IF(C80=""," ",[1]!s_mq_pctchange($C80,$N$1))</f>
        <v>-6.1674888957955032</v>
      </c>
      <c r="N80" s="28">
        <f ca="1">IF(C80=""," ",[1]!s_yq_pctchange($C80,$N$1))</f>
        <v>-7.600065129700095</v>
      </c>
      <c r="O80" s="11"/>
      <c r="P80" s="7"/>
    </row>
    <row r="81" spans="1:16" x14ac:dyDescent="0.35">
      <c r="A81" s="7"/>
      <c r="C81" s="30" t="str">
        <f>IF(指数列表!B78="","",指数列表!B78)</f>
        <v>LUXXX.GI</v>
      </c>
      <c r="D81" s="35" t="str">
        <f>IF(C81="","",[1]!s_info_name(C81))</f>
        <v>卢森堡LUXX</v>
      </c>
      <c r="E81" s="24">
        <f ca="1">IF(C81="","",[1]!s_dq_close(C81,$N$1))</f>
        <v>1367.0829000000001</v>
      </c>
      <c r="F81" s="28">
        <f ca="1">IF($C81=""," ",[1]!i_pq_pctchange($C81,F$6,$N$1))</f>
        <v>-2.7791113923811173</v>
      </c>
      <c r="G81" s="28">
        <f ca="1">IF($C81=""," ",[1]!i_pq_pctchange($C81,G$6,$N$1))</f>
        <v>-4.8685755910768513</v>
      </c>
      <c r="H81" s="28">
        <f ca="1">IF($C81=""," ",[1]!i_pq_pctchange($C81,H$6,$N$1))</f>
        <v>-7.4200340784676966</v>
      </c>
      <c r="I81" s="28">
        <f ca="1">IF($C81=""," ",[1]!i_pq_pctchange($C81,I$6,$N$1))</f>
        <v>-10.234356855692972</v>
      </c>
      <c r="J81" s="28">
        <f ca="1">IF($C81=""," ",[1]!i_pq_pctchange($C81,J$6,$N$1))</f>
        <v>-1.7626887136054314</v>
      </c>
      <c r="K81" s="28">
        <f ca="1">IF($C81=""," ",[1]!i_pq_pctchange($C81,K$6,$N$1))</f>
        <v>-6.0882000212404979</v>
      </c>
      <c r="L81" s="28">
        <f ca="1">IF(C81=""," ",[1]!s_wq_pctchange($C81,$N$1))</f>
        <v>-2.2098308139525624</v>
      </c>
      <c r="M81" s="28">
        <f ca="1">IF(C81=""," ",[1]!s_mq_pctchange($C81,$N$1))</f>
        <v>-6.2292642571403878</v>
      </c>
      <c r="N81" s="28">
        <f ca="1">IF(C81=""," ",[1]!s_yq_pctchange($C81,$N$1))</f>
        <v>-10.327835851249779</v>
      </c>
      <c r="O81" s="11"/>
      <c r="P81" s="7"/>
    </row>
    <row r="82" spans="1:16" x14ac:dyDescent="0.35">
      <c r="A82" s="7"/>
      <c r="C82" s="31" t="str">
        <f>IF(指数列表!B79="","",指数列表!B79)</f>
        <v>MAR.GI</v>
      </c>
      <c r="D82" s="36" t="str">
        <f>IF(C82="","",[1]!s_info_name(C82))</f>
        <v>阿根廷MAR</v>
      </c>
      <c r="E82" s="25">
        <f ca="1">IF(C82="","",[1]!s_dq_close(C82,$N$1))</f>
        <v>33784.639999999999</v>
      </c>
      <c r="F82" s="28">
        <f ca="1">IF($C82=""," ",[1]!i_pq_pctchange($C82,F$6,$N$1))</f>
        <v>0</v>
      </c>
      <c r="G82" s="28">
        <f ca="1">IF($C82=""," ",[1]!i_pq_pctchange($C82,G$6,$N$1))</f>
        <v>0</v>
      </c>
      <c r="H82" s="28">
        <f ca="1">IF($C82=""," ",[1]!i_pq_pctchange($C82,H$6,$N$1))</f>
        <v>0</v>
      </c>
      <c r="I82" s="28">
        <f ca="1">IF($C82=""," ",[1]!i_pq_pctchange($C82,I$6,$N$1))</f>
        <v>0</v>
      </c>
      <c r="J82" s="28">
        <f ca="1">IF($C82=""," ",[1]!i_pq_pctchange($C82,J$6,$N$1))</f>
        <v>0</v>
      </c>
      <c r="K82" s="28">
        <f ca="1">IF($C82=""," ",[1]!i_pq_pctchange($C82,K$6,$N$1))</f>
        <v>0</v>
      </c>
      <c r="L82" s="28">
        <f ca="1">IF(C82=""," ",[1]!s_wq_pctchange($C82,$N$1))</f>
        <v>0</v>
      </c>
      <c r="M82" s="28">
        <f ca="1">IF(C82=""," ",[1]!s_mq_pctchange($C82,$N$1))</f>
        <v>0</v>
      </c>
      <c r="N82" s="28">
        <f ca="1">IF(C82=""," ",[1]!s_yq_pctchange($C82,$N$1))</f>
        <v>0</v>
      </c>
      <c r="O82" s="11"/>
      <c r="P82" s="7"/>
    </row>
    <row r="83" spans="1:16" x14ac:dyDescent="0.35">
      <c r="A83" s="7"/>
      <c r="C83" s="30" t="str">
        <f>IF(指数列表!B80="","",指数列表!B80)</f>
        <v>MCX10.MCX</v>
      </c>
      <c r="D83" s="35" t="str">
        <f>IF(C83="","",[1]!s_info_name(C83))</f>
        <v>俄罗斯MICEX10</v>
      </c>
      <c r="E83" s="24">
        <f ca="1">IF(C83="","",[1]!s_dq_close(C83,$N$1))</f>
        <v>5911.52</v>
      </c>
      <c r="F83" s="28">
        <f ca="1">IF($C83=""," ",[1]!i_pq_pctchange($C83,F$6,$N$1))</f>
        <v>0</v>
      </c>
      <c r="G83" s="28">
        <f ca="1">IF($C83=""," ",[1]!i_pq_pctchange($C83,G$6,$N$1))</f>
        <v>-6.338211155403739</v>
      </c>
      <c r="H83" s="28">
        <f ca="1">IF($C83=""," ",[1]!i_pq_pctchange($C83,H$6,$N$1))</f>
        <v>-8.0451474010378448</v>
      </c>
      <c r="I83" s="28">
        <f ca="1">IF($C83=""," ",[1]!i_pq_pctchange($C83,I$6,$N$1))</f>
        <v>-0.21268981722178948</v>
      </c>
      <c r="J83" s="28">
        <f ca="1">IF($C83=""," ",[1]!i_pq_pctchange($C83,J$6,$N$1))</f>
        <v>4.7835296411510964</v>
      </c>
      <c r="K83" s="28">
        <f ca="1">IF($C83=""," ",[1]!i_pq_pctchange($C83,K$6,$N$1))</f>
        <v>17.29439076172148</v>
      </c>
      <c r="L83" s="28">
        <f ca="1">IF(C83=""," ",[1]!s_wq_pctchange($C83,$N$1))</f>
        <v>0</v>
      </c>
      <c r="M83" s="28">
        <f ca="1">IF(C83=""," ",[1]!s_mq_pctchange($C83,$N$1))</f>
        <v>-0.6832779195556471</v>
      </c>
      <c r="N83" s="28">
        <f ca="1">IF(C83=""," ",[1]!s_yq_pctchange($C83,$N$1))</f>
        <v>-0.3173511130896367</v>
      </c>
      <c r="O83" s="11"/>
      <c r="P83" s="7"/>
    </row>
    <row r="84" spans="1:16" x14ac:dyDescent="0.35">
      <c r="A84" s="7"/>
      <c r="C84" s="31" t="str">
        <f>IF(指数列表!B81="","",指数列表!B81)</f>
        <v>MERV.GI</v>
      </c>
      <c r="D84" s="36" t="str">
        <f>IF(C84="","",[1]!s_info_name(C84))</f>
        <v>阿根廷MERV</v>
      </c>
      <c r="E84" s="25">
        <f ca="1">IF(C84="","",[1]!s_dq_close(C84,$N$1))</f>
        <v>1635667.43</v>
      </c>
      <c r="F84" s="28">
        <f ca="1">IF($C84=""," ",[1]!i_pq_pctchange($C84,F$6,$N$1))</f>
        <v>3.7555644287278422</v>
      </c>
      <c r="G84" s="28">
        <f ca="1">IF($C84=""," ",[1]!i_pq_pctchange($C84,G$6,$N$1))</f>
        <v>7.5524672778729984</v>
      </c>
      <c r="H84" s="28">
        <f ca="1">IF($C84=""," ",[1]!i_pq_pctchange($C84,H$6,$N$1))</f>
        <v>34.660981039558834</v>
      </c>
      <c r="I84" s="28">
        <f ca="1">IF($C84=""," ",[1]!i_pq_pctchange($C84,I$6,$N$1))</f>
        <v>79.128518734804658</v>
      </c>
      <c r="J84" s="28">
        <f ca="1">IF($C84=""," ",[1]!i_pq_pctchange($C84,J$6,$N$1))</f>
        <v>201.08808963322588</v>
      </c>
      <c r="K84" s="28">
        <f ca="1">IF($C84=""," ",[1]!i_pq_pctchange($C84,K$6,$N$1))</f>
        <v>278.27106629861458</v>
      </c>
      <c r="L84" s="28">
        <f ca="1">IF(C84=""," ",[1]!s_wq_pctchange($C84,$N$1))</f>
        <v>3.7555644287278422</v>
      </c>
      <c r="M84" s="28">
        <f ca="1">IF(C84=""," ",[1]!s_mq_pctchange($C84,$N$1))</f>
        <v>-0.95372015988230974</v>
      </c>
      <c r="N84" s="28">
        <f ca="1">IF(C84=""," ",[1]!s_yq_pctchange($C84,$N$1))</f>
        <v>75.93417859071927</v>
      </c>
      <c r="O84" s="11"/>
      <c r="P84" s="7"/>
    </row>
    <row r="85" spans="1:16" x14ac:dyDescent="0.35">
      <c r="A85" s="7"/>
      <c r="C85" s="30" t="str">
        <f>IF(指数列表!B82="","",指数列表!B82)</f>
        <v>MXX.GI</v>
      </c>
      <c r="D85" s="35" t="str">
        <f>IF(C85="","",[1]!s_info_name(C85))</f>
        <v>墨西哥MXX</v>
      </c>
      <c r="E85" s="24">
        <f ca="1">IF(C85="","",[1]!s_dq_close(C85,$N$1))</f>
        <v>52310.96</v>
      </c>
      <c r="F85" s="28">
        <f ca="1">IF($C85=""," ",[1]!i_pq_pctchange($C85,F$6,$N$1))</f>
        <v>-1.8986234365907517</v>
      </c>
      <c r="G85" s="28">
        <f ca="1">IF($C85=""," ",[1]!i_pq_pctchange($C85,G$6,$N$1))</f>
        <v>-5.5982409941905509</v>
      </c>
      <c r="H85" s="28">
        <f ca="1">IF($C85=""," ",[1]!i_pq_pctchange($C85,H$6,$N$1))</f>
        <v>-8.5627786896278035</v>
      </c>
      <c r="I85" s="28">
        <f ca="1">IF($C85=""," ",[1]!i_pq_pctchange($C85,I$6,$N$1))</f>
        <v>-9.4116471521127352</v>
      </c>
      <c r="J85" s="28">
        <f ca="1">IF($C85=""," ",[1]!i_pq_pctchange($C85,J$6,$N$1))</f>
        <v>2.3541612043562754</v>
      </c>
      <c r="K85" s="28">
        <f ca="1">IF($C85=""," ",[1]!i_pq_pctchange($C85,K$6,$N$1))</f>
        <v>-1.9213757979171131</v>
      </c>
      <c r="L85" s="28">
        <f ca="1">IF(C85=""," ",[1]!s_wq_pctchange($C85,$N$1))</f>
        <v>-0.90462884908645291</v>
      </c>
      <c r="M85" s="28">
        <f ca="1">IF(C85=""," ",[1]!s_mq_pctchange($C85,$N$1))</f>
        <v>-5.198114363300399</v>
      </c>
      <c r="N85" s="28">
        <f ca="1">IF(C85=""," ",[1]!s_yq_pctchange($C85,$N$1))</f>
        <v>-8.8440872160142963</v>
      </c>
      <c r="O85" s="11"/>
      <c r="P85" s="7"/>
    </row>
    <row r="86" spans="1:16" x14ac:dyDescent="0.35">
      <c r="A86" s="7"/>
      <c r="C86" s="31" t="str">
        <f>IF(指数列表!B83="","",指数列表!B83)</f>
        <v>N225.GI</v>
      </c>
      <c r="D86" s="36" t="str">
        <f>IF(C86="","",[1]!s_info_name(C86))</f>
        <v>日经225</v>
      </c>
      <c r="E86" s="25">
        <f ca="1">IF(C86="","",[1]!s_dq_close(C86,$N$1))</f>
        <v>39341.54</v>
      </c>
      <c r="F86" s="28">
        <f ca="1">IF($C86=""," ",[1]!i_pq_pctchange($C86,F$6,$N$1))</f>
        <v>1.9983531566398982</v>
      </c>
      <c r="G86" s="28">
        <f ca="1">IF($C86=""," ",[1]!i_pq_pctchange($C86,G$6,$N$1))</f>
        <v>1.7994825352409372</v>
      </c>
      <c r="H86" s="28">
        <f ca="1">IF($C86=""," ",[1]!i_pq_pctchange($C86,H$6,$N$1))</f>
        <v>-2.6152017808789174</v>
      </c>
      <c r="I86" s="28">
        <f ca="1">IF($C86=""," ",[1]!i_pq_pctchange($C86,I$6,$N$1))</f>
        <v>18.122011598563013</v>
      </c>
      <c r="J86" s="28">
        <f ca="1">IF($C86=""," ",[1]!i_pq_pctchange($C86,J$6,$N$1))</f>
        <v>21.74370765324516</v>
      </c>
      <c r="K86" s="28">
        <f ca="1">IF($C86=""," ",[1]!i_pq_pctchange($C86,K$6,$N$1))</f>
        <v>20.314898309754991</v>
      </c>
      <c r="L86" s="28">
        <f ca="1">IF(C86=""," ",[1]!s_wq_pctchange($C86,$N$1))</f>
        <v>2.5562182241018361</v>
      </c>
      <c r="M86" s="28">
        <f ca="1">IF(C86=""," ",[1]!s_mq_pctchange($C86,$N$1))</f>
        <v>2.8455176821806427</v>
      </c>
      <c r="N86" s="28">
        <f ca="1">IF(C86=""," ",[1]!s_yq_pctchange($C86,$N$1))</f>
        <v>18.28495970466324</v>
      </c>
      <c r="O86" s="11"/>
      <c r="P86" s="7"/>
    </row>
    <row r="87" spans="1:16" x14ac:dyDescent="0.35">
      <c r="A87" s="7"/>
      <c r="C87" s="30" t="str">
        <f>IF(指数列表!B84="","",指数列表!B84)</f>
        <v>NBI.GI</v>
      </c>
      <c r="D87" s="35" t="str">
        <f>IF(C87="","",[1]!s_info_name(C87))</f>
        <v>纳斯达克生物技术</v>
      </c>
      <c r="E87" s="24">
        <f ca="1">IF(C87="","",[1]!s_dq_close(C87,$N$1))</f>
        <v>4563.0200000000004</v>
      </c>
      <c r="F87" s="28">
        <f ca="1">IF($C87=""," ",[1]!i_pq_pctchange($C87,F$6,$N$1))</f>
        <v>3.0394587685901531</v>
      </c>
      <c r="G87" s="28">
        <f ca="1">IF($C87=""," ",[1]!i_pq_pctchange($C87,G$6,$N$1))</f>
        <v>3.2341116769644129</v>
      </c>
      <c r="H87" s="28">
        <f ca="1">IF($C87=""," ",[1]!i_pq_pctchange($C87,H$6,$N$1))</f>
        <v>4.200901563349202</v>
      </c>
      <c r="I87" s="28">
        <f ca="1">IF($C87=""," ",[1]!i_pq_pctchange($C87,I$6,$N$1))</f>
        <v>5.0895548856180417</v>
      </c>
      <c r="J87" s="28">
        <f ca="1">IF($C87=""," ",[1]!i_pq_pctchange($C87,J$6,$N$1))</f>
        <v>15.159728847095399</v>
      </c>
      <c r="K87" s="28">
        <f ca="1">IF($C87=""," ",[1]!i_pq_pctchange($C87,K$6,$N$1))</f>
        <v>11.581650119821996</v>
      </c>
      <c r="L87" s="28">
        <f ca="1">IF(C87=""," ",[1]!s_wq_pctchange($C87,$N$1))</f>
        <v>0.51457598146118499</v>
      </c>
      <c r="M87" s="28">
        <f ca="1">IF(C87=""," ",[1]!s_mq_pctchange($C87,$N$1))</f>
        <v>3.6790802299425218</v>
      </c>
      <c r="N87" s="28">
        <f ca="1">IF(C87=""," ",[1]!s_yq_pctchange($C87,$N$1))</f>
        <v>4.403076937157091</v>
      </c>
      <c r="O87" s="11"/>
      <c r="P87" s="7"/>
    </row>
    <row r="88" spans="1:16" x14ac:dyDescent="0.35">
      <c r="A88" s="7"/>
      <c r="C88" s="31" t="str">
        <f>IF(指数列表!B85="","",指数列表!B85)</f>
        <v>NDX.GI</v>
      </c>
      <c r="D88" s="36" t="str">
        <f>IF(C88="","",[1]!s_info_name(C88))</f>
        <v>纳斯达克100</v>
      </c>
      <c r="E88" s="25">
        <f ca="1">IF(C88="","",[1]!s_dq_close(C88,$N$1))</f>
        <v>19789.03</v>
      </c>
      <c r="F88" s="28">
        <f ca="1">IF($C88=""," ",[1]!i_pq_pctchange($C88,F$6,$N$1))</f>
        <v>-0.60189282560629831</v>
      </c>
      <c r="G88" s="28">
        <f ca="1">IF($C88=""," ",[1]!i_pq_pctchange($C88,G$6,$N$1))</f>
        <v>5.2140671563428054</v>
      </c>
      <c r="H88" s="28">
        <f ca="1">IF($C88=""," ",[1]!i_pq_pctchange($C88,H$6,$N$1))</f>
        <v>8.6680021569925927</v>
      </c>
      <c r="I88" s="28">
        <f ca="1">IF($C88=""," ",[1]!i_pq_pctchange($C88,I$6,$N$1))</f>
        <v>17.24428650481147</v>
      </c>
      <c r="J88" s="28">
        <f ca="1">IF($C88=""," ",[1]!i_pq_pctchange($C88,J$6,$N$1))</f>
        <v>36.046069560829451</v>
      </c>
      <c r="K88" s="28">
        <f ca="1">IF($C88=""," ",[1]!i_pq_pctchange($C88,K$6,$N$1))</f>
        <v>34.719879202288496</v>
      </c>
      <c r="L88" s="28">
        <f ca="1">IF(C88=""," ",[1]!s_wq_pctchange($C88,$N$1))</f>
        <v>0.44973637631258168</v>
      </c>
      <c r="M88" s="28">
        <f ca="1">IF(C88=""," ",[1]!s_mq_pctchange($C88,$N$1))</f>
        <v>6.7562369683842327</v>
      </c>
      <c r="N88" s="28">
        <f ca="1">IF(C88=""," ",[1]!s_yq_pctchange($C88,$N$1))</f>
        <v>17.610319310730517</v>
      </c>
      <c r="O88" s="11"/>
      <c r="P88" s="7"/>
    </row>
    <row r="89" spans="1:16" x14ac:dyDescent="0.35">
      <c r="A89" s="7"/>
      <c r="C89" s="30" t="str">
        <f>IF(指数列表!B86="","",指数列表!B86)</f>
        <v>NGSEINDX.GI</v>
      </c>
      <c r="D89" s="35" t="str">
        <f>IF(C89="","",[1]!s_info_name(C89))</f>
        <v>尼日利亚综指</v>
      </c>
      <c r="E89" s="24">
        <f ca="1">IF(C89="","",[1]!s_dq_close(C89,$N$1))</f>
        <v>99396.23</v>
      </c>
      <c r="F89" s="28">
        <f ca="1">IF($C89=""," ",[1]!i_pq_pctchange($C89,F$6,$N$1))</f>
        <v>-0.44666488185005626</v>
      </c>
      <c r="G89" s="28">
        <f ca="1">IF($C89=""," ",[1]!i_pq_pctchange($C89,G$6,$N$1))</f>
        <v>1.8273477446691944</v>
      </c>
      <c r="H89" s="28">
        <f ca="1">IF($C89=""," ",[1]!i_pq_pctchange($C89,H$6,$N$1))</f>
        <v>-4.3830031167128691</v>
      </c>
      <c r="I89" s="28">
        <f ca="1">IF($C89=""," ",[1]!i_pq_pctchange($C89,I$6,$N$1))</f>
        <v>34.277005055302197</v>
      </c>
      <c r="J89" s="28">
        <f ca="1">IF($C89=""," ",[1]!i_pq_pctchange($C89,J$6,$N$1))</f>
        <v>49.126772616705509</v>
      </c>
      <c r="K89" s="28">
        <f ca="1">IF($C89=""," ",[1]!i_pq_pctchange($C89,K$6,$N$1))</f>
        <v>67.506415705350079</v>
      </c>
      <c r="L89" s="28">
        <f ca="1">IF(C89=""," ",[1]!s_wq_pctchange($C89,$N$1))</f>
        <v>-0.34771344970903062</v>
      </c>
      <c r="M89" s="28">
        <f ca="1">IF(C89=""," ",[1]!s_mq_pctchange($C89,$N$1))</f>
        <v>9.6283386750251054E-2</v>
      </c>
      <c r="N89" s="28">
        <f ca="1">IF(C89=""," ",[1]!s_yq_pctchange($C89,$N$1))</f>
        <v>32.92913231029295</v>
      </c>
      <c r="O89" s="11"/>
      <c r="P89" s="7"/>
    </row>
    <row r="90" spans="1:16" x14ac:dyDescent="0.35">
      <c r="A90" s="7"/>
      <c r="C90" s="31" t="str">
        <f>IF(指数列表!B87="","",指数列表!B87)</f>
        <v>NIFTY.GI</v>
      </c>
      <c r="D90" s="36" t="str">
        <f>IF(C90="","",[1]!s_info_name(C90))</f>
        <v>印度NIFTY 50</v>
      </c>
      <c r="E90" s="25">
        <f ca="1">IF(C90="","",[1]!s_dq_close(C90,$N$1))</f>
        <v>24044.5</v>
      </c>
      <c r="F90" s="28">
        <f ca="1">IF($C90=""," ",[1]!i_pq_pctchange($C90,F$6,$N$1))</f>
        <v>2.2474060214322078</v>
      </c>
      <c r="G90" s="28">
        <f ca="1">IF($C90=""," ",[1]!i_pq_pctchange($C90,G$6,$N$1))</f>
        <v>4.7366609894106793</v>
      </c>
      <c r="H90" s="28">
        <f ca="1">IF($C90=""," ",[1]!i_pq_pctchange($C90,H$6,$N$1))</f>
        <v>9.2698378073775132</v>
      </c>
      <c r="I90" s="28">
        <f ca="1">IF($C90=""," ",[1]!i_pq_pctchange($C90,I$6,$N$1))</f>
        <v>12.140793373551585</v>
      </c>
      <c r="J90" s="28">
        <f ca="1">IF($C90=""," ",[1]!i_pq_pctchange($C90,J$6,$N$1))</f>
        <v>22.27239673119854</v>
      </c>
      <c r="K90" s="28">
        <f ca="1">IF($C90=""," ",[1]!i_pq_pctchange($C90,K$6,$N$1))</f>
        <v>28.640750727615139</v>
      </c>
      <c r="L90" s="28">
        <f ca="1">IF(C90=""," ",[1]!s_wq_pctchange($C90,$N$1))</f>
        <v>2.3122321933866985</v>
      </c>
      <c r="M90" s="28">
        <f ca="1">IF(C90=""," ",[1]!s_mq_pctchange($C90,$N$1))</f>
        <v>6.7188325262863557</v>
      </c>
      <c r="N90" s="28">
        <f ca="1">IF(C90=""," ",[1]!s_yq_pctchange($C90,$N$1))</f>
        <v>10.644045022409966</v>
      </c>
      <c r="O90" s="11"/>
      <c r="P90" s="7"/>
    </row>
    <row r="91" spans="1:16" x14ac:dyDescent="0.35">
      <c r="A91" s="7"/>
      <c r="C91" s="30" t="str">
        <f>IF(指数列表!B88="","",指数列表!B88)</f>
        <v>NYA.GI</v>
      </c>
      <c r="D91" s="35" t="str">
        <f>IF(C91="","",[1]!s_info_name(C91))</f>
        <v>纽约证交所综合指数</v>
      </c>
      <c r="E91" s="24">
        <f ca="1">IF(C91="","",[1]!s_dq_close(C91,$N$1))</f>
        <v>18009.09</v>
      </c>
      <c r="F91" s="28">
        <f ca="1">IF($C91=""," ",[1]!i_pq_pctchange($C91,F$6,$N$1))</f>
        <v>0.22952106122882121</v>
      </c>
      <c r="G91" s="28">
        <f ca="1">IF($C91=""," ",[1]!i_pq_pctchange($C91,G$6,$N$1))</f>
        <v>-0.56050048038164269</v>
      </c>
      <c r="H91" s="28">
        <f ca="1">IF($C91=""," ",[1]!i_pq_pctchange($C91,H$6,$N$1))</f>
        <v>-0.27742108034745083</v>
      </c>
      <c r="I91" s="28">
        <f ca="1">IF($C91=""," ",[1]!i_pq_pctchange($C91,I$6,$N$1))</f>
        <v>6.8187115980376634</v>
      </c>
      <c r="J91" s="28">
        <f ca="1">IF($C91=""," ",[1]!i_pq_pctchange($C91,J$6,$N$1))</f>
        <v>17.082185315162679</v>
      </c>
      <c r="K91" s="28">
        <f ca="1">IF($C91=""," ",[1]!i_pq_pctchange($C91,K$6,$N$1))</f>
        <v>16.047372402656414</v>
      </c>
      <c r="L91" s="28">
        <f ca="1">IF(C91=""," ",[1]!s_wq_pctchange($C91,$N$1))</f>
        <v>7.4462274022280006E-2</v>
      </c>
      <c r="M91" s="28">
        <f ca="1">IF(C91=""," ",[1]!s_mq_pctchange($C91,$N$1))</f>
        <v>-0.41252642574606257</v>
      </c>
      <c r="N91" s="28">
        <f ca="1">IF(C91=""," ",[1]!s_yq_pctchange($C91,$N$1))</f>
        <v>6.8605443932761689</v>
      </c>
      <c r="O91" s="11"/>
      <c r="P91" s="7"/>
    </row>
    <row r="92" spans="1:16" x14ac:dyDescent="0.35">
      <c r="A92" s="7"/>
      <c r="C92" s="31" t="str">
        <f>IF(指数列表!B89="","",指数列表!B89)</f>
        <v>NZ50.GI</v>
      </c>
      <c r="D92" s="36" t="str">
        <f>IF(C92="","",[1]!s_info_name(C92))</f>
        <v>新西兰标普50</v>
      </c>
      <c r="E92" s="25">
        <f ca="1">IF(C92="","",[1]!s_dq_close(C92,$N$1))</f>
        <v>11717.43</v>
      </c>
      <c r="F92" s="28">
        <f ca="1">IF($C92=""," ",[1]!i_pq_pctchange($C92,F$6,$N$1))</f>
        <v>0.39618924891120511</v>
      </c>
      <c r="G92" s="28">
        <f ca="1">IF($C92=""," ",[1]!i_pq_pctchange($C92,G$6,$N$1))</f>
        <v>-0.55977099968683719</v>
      </c>
      <c r="H92" s="28">
        <f ca="1">IF($C92=""," ",[1]!i_pq_pctchange($C92,H$6,$N$1))</f>
        <v>-2.612906952486771</v>
      </c>
      <c r="I92" s="28">
        <f ca="1">IF($C92=""," ",[1]!i_pq_pctchange($C92,I$6,$N$1))</f>
        <v>0.71339979698188394</v>
      </c>
      <c r="J92" s="28">
        <f ca="1">IF($C92=""," ",[1]!i_pq_pctchange($C92,J$6,$N$1))</f>
        <v>3.3021625038460289</v>
      </c>
      <c r="K92" s="28">
        <f ca="1">IF($C92=""," ",[1]!i_pq_pctchange($C92,K$6,$N$1))</f>
        <v>0.67662312220972964</v>
      </c>
      <c r="L92" s="28">
        <f ca="1">IF(C92=""," ",[1]!s_wq_pctchange($C92,$N$1))</f>
        <v>0.29993862557233797</v>
      </c>
      <c r="M92" s="28">
        <f ca="1">IF(C92=""," ",[1]!s_mq_pctchange($C92,$N$1))</f>
        <v>-1.2627988361285536</v>
      </c>
      <c r="N92" s="28">
        <f ca="1">IF(C92=""," ",[1]!s_yq_pctchange($C92,$N$1))</f>
        <v>-0.45078836989793647</v>
      </c>
      <c r="O92" s="11"/>
      <c r="P92" s="7"/>
    </row>
    <row r="93" spans="1:16" x14ac:dyDescent="0.35">
      <c r="A93" s="7"/>
      <c r="C93" s="30" t="str">
        <f>IF(指数列表!B90="","",指数列表!B90)</f>
        <v>NZSE.GI</v>
      </c>
      <c r="D93" s="35" t="str">
        <f>IF(C93="","",[1]!s_info_name(C93))</f>
        <v>新西兰综合指数</v>
      </c>
      <c r="E93" s="24">
        <f ca="1">IF(C93="","",[1]!s_dq_close(C93,$N$1))</f>
        <v>1735.02</v>
      </c>
      <c r="F93" s="28">
        <f ca="1">IF($C93=""," ",[1]!i_pq_pctchange($C93,F$6,$N$1))</f>
        <v>0.25598206392039025</v>
      </c>
      <c r="G93" s="28">
        <f ca="1">IF($C93=""," ",[1]!i_pq_pctchange($C93,G$6,$N$1))</f>
        <v>-0.93864547291974132</v>
      </c>
      <c r="H93" s="28">
        <f ca="1">IF($C93=""," ",[1]!i_pq_pctchange($C93,H$6,$N$1))</f>
        <v>-3.267675050038199</v>
      </c>
      <c r="I93" s="28">
        <f ca="1">IF($C93=""," ",[1]!i_pq_pctchange($C93,I$6,$N$1))</f>
        <v>-1.2352566145999333</v>
      </c>
      <c r="J93" s="28">
        <f ca="1">IF($C93=""," ",[1]!i_pq_pctchange($C93,J$6,$N$1))</f>
        <v>0.8738422897807574</v>
      </c>
      <c r="K93" s="28">
        <f ca="1">IF($C93=""," ",[1]!i_pq_pctchange($C93,K$6,$N$1))</f>
        <v>-3.1515841650478937</v>
      </c>
      <c r="L93" s="28">
        <f ca="1">IF(C93=""," ",[1]!s_wq_pctchange($C93,$N$1))</f>
        <v>0.18882633174535091</v>
      </c>
      <c r="M93" s="28">
        <f ca="1">IF(C93=""," ",[1]!s_mq_pctchange($C93,$N$1))</f>
        <v>-1.5976724005921095</v>
      </c>
      <c r="N93" s="28">
        <f ca="1">IF(C93=""," ",[1]!s_yq_pctchange($C93,$N$1))</f>
        <v>-2.4030510648351266</v>
      </c>
      <c r="O93" s="11"/>
      <c r="P93" s="7"/>
    </row>
    <row r="94" spans="1:16" x14ac:dyDescent="0.35">
      <c r="A94" s="7"/>
      <c r="C94" s="31" t="str">
        <f>IF(指数列表!B91="","",指数列表!B91)</f>
        <v>NZSE10.GI</v>
      </c>
      <c r="D94" s="36" t="str">
        <f>IF(C94="","",[1]!s_info_name(C94))</f>
        <v>新西兰S&amp;P10</v>
      </c>
      <c r="E94" s="25">
        <f ca="1">IF(C94="","",[1]!s_dq_close(C94,$N$1))</f>
        <v>1895.8</v>
      </c>
      <c r="F94" s="28">
        <f ca="1">IF($C94=""," ",[1]!i_pq_pctchange($C94,F$6,$N$1))</f>
        <v>1.3716407989283752E-2</v>
      </c>
      <c r="G94" s="28">
        <f ca="1">IF($C94=""," ",[1]!i_pq_pctchange($C94,G$6,$N$1))</f>
        <v>0.30740903391022201</v>
      </c>
      <c r="H94" s="28">
        <f ca="1">IF($C94=""," ",[1]!i_pq_pctchange($C94,H$6,$N$1))</f>
        <v>-0.66388258657459343</v>
      </c>
      <c r="I94" s="28">
        <f ca="1">IF($C94=""," ",[1]!i_pq_pctchange($C94,I$6,$N$1))</f>
        <v>0.16907957307408239</v>
      </c>
      <c r="J94" s="28">
        <f ca="1">IF($C94=""," ",[1]!i_pq_pctchange($C94,J$6,$N$1))</f>
        <v>4.285737860926675</v>
      </c>
      <c r="K94" s="28">
        <f ca="1">IF($C94=""," ",[1]!i_pq_pctchange($C94,K$6,$N$1))</f>
        <v>-4.4288847646367646E-2</v>
      </c>
      <c r="L94" s="28">
        <f ca="1">IF(C94=""," ",[1]!s_wq_pctchange($C94,$N$1))</f>
        <v>0.63647607773607007</v>
      </c>
      <c r="M94" s="28">
        <f ca="1">IF(C94=""," ",[1]!s_mq_pctchange($C94,$N$1))</f>
        <v>-0.91361431677537963</v>
      </c>
      <c r="N94" s="28">
        <f ca="1">IF(C94=""," ",[1]!s_yq_pctchange($C94,$N$1))</f>
        <v>-0.66023894361769697</v>
      </c>
      <c r="O94" s="11"/>
      <c r="P94" s="7"/>
    </row>
    <row r="95" spans="1:16" x14ac:dyDescent="0.35">
      <c r="A95" s="7"/>
      <c r="C95" s="30" t="str">
        <f>IF(指数列表!B92="","",指数列表!B92)</f>
        <v>OBX.GI</v>
      </c>
      <c r="D95" s="35" t="str">
        <f>IF(C95="","",[1]!s_info_name(C95))</f>
        <v>挪威OBX</v>
      </c>
      <c r="E95" s="24">
        <f ca="1">IF(C95="","",[1]!s_dq_close(C95,$N$1))</f>
        <v>1317.43</v>
      </c>
      <c r="F95" s="28">
        <f ca="1">IF($C95=""," ",[1]!i_pq_pctchange($C95,F$6,$N$1))</f>
        <v>0.73249990442330049</v>
      </c>
      <c r="G95" s="28">
        <f ca="1">IF($C95=""," ",[1]!i_pq_pctchange($C95,G$6,$N$1))</f>
        <v>-1.2487913109310411</v>
      </c>
      <c r="H95" s="28">
        <f ca="1">IF($C95=""," ",[1]!i_pq_pctchange($C95,H$6,$N$1))</f>
        <v>7.3542593588552529</v>
      </c>
      <c r="I95" s="28">
        <f ca="1">IF($C95=""," ",[1]!i_pq_pctchange($C95,I$6,$N$1))</f>
        <v>11.171774792412069</v>
      </c>
      <c r="J95" s="28">
        <f ca="1">IF($C95=""," ",[1]!i_pq_pctchange($C95,J$6,$N$1))</f>
        <v>11.570968834688355</v>
      </c>
      <c r="K95" s="28">
        <f ca="1">IF($C95=""," ",[1]!i_pq_pctchange($C95,K$6,$N$1))</f>
        <v>21.337127910403787</v>
      </c>
      <c r="L95" s="28">
        <f ca="1">IF(C95=""," ",[1]!s_wq_pctchange($C95,$N$1))</f>
        <v>0.47973519227542116</v>
      </c>
      <c r="M95" s="28">
        <f ca="1">IF(C95=""," ",[1]!s_mq_pctchange($C95,$N$1))</f>
        <v>-2.3416999006686257</v>
      </c>
      <c r="N95" s="28">
        <f ca="1">IF(C95=""," ",[1]!s_yq_pctchange($C95,$N$1))</f>
        <v>10.353232872352013</v>
      </c>
      <c r="O95" s="11"/>
      <c r="P95" s="7"/>
    </row>
    <row r="96" spans="1:16" x14ac:dyDescent="0.35">
      <c r="A96" s="7"/>
      <c r="C96" s="31" t="str">
        <f>IF(指数列表!B93="","",指数列表!B93)</f>
        <v>OBXP.GI</v>
      </c>
      <c r="D96" s="36" t="str">
        <f>IF(C96="","",[1]!s_info_name(C96))</f>
        <v>挪威OBX价格</v>
      </c>
      <c r="E96" s="25">
        <f ca="1">IF(C96="","",[1]!s_dq_close(C96,$N$1))</f>
        <v>608.6</v>
      </c>
      <c r="F96" s="28">
        <f ca="1">IF($C96=""," ",[1]!i_pq_pctchange($C96,F$6,$N$1))</f>
        <v>0.68657457192489169</v>
      </c>
      <c r="G96" s="28">
        <f ca="1">IF($C96=""," ",[1]!i_pq_pctchange($C96,G$6,$N$1))</f>
        <v>-1.7229964312819868</v>
      </c>
      <c r="H96" s="28">
        <f ca="1">IF($C96=""," ",[1]!i_pq_pctchange($C96,H$6,$N$1))</f>
        <v>4.2783955588300948</v>
      </c>
      <c r="I96" s="28">
        <f ca="1">IF($C96=""," ",[1]!i_pq_pctchange($C96,I$6,$N$1))</f>
        <v>7.1233696513121947</v>
      </c>
      <c r="J96" s="28">
        <f ca="1">IF($C96=""," ",[1]!i_pq_pctchange($C96,J$6,$N$1))</f>
        <v>6.6372301654050947</v>
      </c>
      <c r="K96" s="28">
        <f ca="1">IF($C96=""," ",[1]!i_pq_pctchange($C96,K$6,$N$1))</f>
        <v>15.258602730905446</v>
      </c>
      <c r="L96" s="28">
        <f ca="1">IF(C96=""," ",[1]!s_wq_pctchange($C96,$N$1))</f>
        <v>0.47878487700181438</v>
      </c>
      <c r="M96" s="28">
        <f ca="1">IF(C96=""," ",[1]!s_mq_pctchange($C96,$N$1))</f>
        <v>-2.7438196142352544</v>
      </c>
      <c r="N96" s="28">
        <f ca="1">IF(C96=""," ",[1]!s_yq_pctchange($C96,$N$1))</f>
        <v>6.3353950449033691</v>
      </c>
      <c r="O96" s="11"/>
      <c r="P96" s="7"/>
    </row>
    <row r="97" spans="1:16" x14ac:dyDescent="0.35">
      <c r="A97" s="7"/>
      <c r="C97" s="30" t="str">
        <f>IF(指数列表!B94="","",指数列表!B94)</f>
        <v>OMXC25.GI</v>
      </c>
      <c r="D97" s="35" t="str">
        <f>IF(C97="","",[1]!s_info_name(C97))</f>
        <v>丹麦OMX25</v>
      </c>
      <c r="E97" s="24">
        <f ca="1">IF(C97="","",[1]!s_dq_close(C97,$N$1))</f>
        <v>1967.72</v>
      </c>
      <c r="F97" s="28">
        <f ca="1">IF($C97=""," ",[1]!i_pq_pctchange($C97,F$6,$N$1))</f>
        <v>0.17563776873852355</v>
      </c>
      <c r="G97" s="28">
        <f ca="1">IF($C97=""," ",[1]!i_pq_pctchange($C97,G$6,$N$1))</f>
        <v>-0.26002990597358</v>
      </c>
      <c r="H97" s="28">
        <f ca="1">IF($C97=""," ",[1]!i_pq_pctchange($C97,H$6,$N$1))</f>
        <v>0.71400420725060698</v>
      </c>
      <c r="I97" s="28">
        <f ca="1">IF($C97=""," ",[1]!i_pq_pctchange($C97,I$6,$N$1))</f>
        <v>9.0892963071788522</v>
      </c>
      <c r="J97" s="28">
        <f ca="1">IF($C97=""," ",[1]!i_pq_pctchange($C97,J$6,$N$1))</f>
        <v>16.26939576218107</v>
      </c>
      <c r="K97" s="28">
        <f ca="1">IF($C97=""," ",[1]!i_pq_pctchange($C97,K$6,$N$1))</f>
        <v>10.618155651997929</v>
      </c>
      <c r="L97" s="28">
        <f ca="1">IF(C97=""," ",[1]!s_wq_pctchange($C97,$N$1))</f>
        <v>-0.20033778472057229</v>
      </c>
      <c r="M97" s="28">
        <f ca="1">IF(C97=""," ",[1]!s_mq_pctchange($C97,$N$1))</f>
        <v>-0.73050146302088281</v>
      </c>
      <c r="N97" s="28">
        <f ca="1">IF(C97=""," ",[1]!s_yq_pctchange($C97,$N$1))</f>
        <v>8.0452448934768217</v>
      </c>
      <c r="O97" s="11"/>
      <c r="P97" s="7"/>
    </row>
    <row r="98" spans="1:16" x14ac:dyDescent="0.35">
      <c r="A98" s="7"/>
      <c r="C98" s="31" t="str">
        <f>IF(指数列表!B95="","",指数列表!B95)</f>
        <v>OMXSPI.GI</v>
      </c>
      <c r="D98" s="36" t="str">
        <f>IF(C98="","",[1]!s_info_name(C98))</f>
        <v>瑞典OMX全指</v>
      </c>
      <c r="E98" s="25">
        <f ca="1">IF(C98="","",[1]!s_dq_close(C98,$N$1))</f>
        <v>971.1798</v>
      </c>
      <c r="F98" s="28">
        <f ca="1">IF($C98=""," ",[1]!i_pq_pctchange($C98,F$6,$N$1))</f>
        <v>0.38432533136198987</v>
      </c>
      <c r="G98" s="28">
        <f ca="1">IF($C98=""," ",[1]!i_pq_pctchange($C98,G$6,$N$1))</f>
        <v>-2.8179673222621049</v>
      </c>
      <c r="H98" s="28">
        <f ca="1">IF($C98=""," ",[1]!i_pq_pctchange($C98,H$6,$N$1))</f>
        <v>-3.4513102266753304E-2</v>
      </c>
      <c r="I98" s="28">
        <f ca="1">IF($C98=""," ",[1]!i_pq_pctchange($C98,I$6,$N$1))</f>
        <v>8.4042620995435691</v>
      </c>
      <c r="J98" s="28">
        <f ca="1">IF($C98=""," ",[1]!i_pq_pctchange($C98,J$6,$N$1))</f>
        <v>23.567961693135132</v>
      </c>
      <c r="K98" s="28">
        <f ca="1">IF($C98=""," ",[1]!i_pq_pctchange($C98,K$6,$N$1))</f>
        <v>17.874085962241871</v>
      </c>
      <c r="L98" s="28">
        <f ca="1">IF(C98=""," ",[1]!s_wq_pctchange($C98,$N$1))</f>
        <v>-0.70992043235431623</v>
      </c>
      <c r="M98" s="28">
        <f ca="1">IF(C98=""," ",[1]!s_mq_pctchange($C98,$N$1))</f>
        <v>-1.9845216695717705</v>
      </c>
      <c r="N98" s="28">
        <f ca="1">IF(C98=""," ",[1]!s_yq_pctchange($C98,$N$1))</f>
        <v>7.5646597554492212</v>
      </c>
      <c r="O98" s="11"/>
      <c r="P98" s="7"/>
    </row>
    <row r="99" spans="1:16" x14ac:dyDescent="0.35">
      <c r="A99" s="7"/>
      <c r="C99" s="30" t="str">
        <f>IF(指数列表!B96="","",指数列表!B96)</f>
        <v>OSEAX.GI</v>
      </c>
      <c r="D99" s="35" t="str">
        <f>IF(C99="","",[1]!s_info_name(C99))</f>
        <v>挪威OSEAX</v>
      </c>
      <c r="E99" s="24">
        <f ca="1">IF(C99="","",[1]!s_dq_close(C99,$N$1))</f>
        <v>1645.14</v>
      </c>
      <c r="F99" s="28">
        <f ca="1">IF($C99=""," ",[1]!i_pq_pctchange($C99,F$6,$N$1))</f>
        <v>1.3553975627487391</v>
      </c>
      <c r="G99" s="28">
        <f ca="1">IF($C99=""," ",[1]!i_pq_pctchange($C99,G$6,$N$1))</f>
        <v>-0.40500535769418811</v>
      </c>
      <c r="H99" s="28">
        <f ca="1">IF($C99=""," ",[1]!i_pq_pctchange($C99,H$6,$N$1))</f>
        <v>7.1236016513211986</v>
      </c>
      <c r="I99" s="28">
        <f ca="1">IF($C99=""," ",[1]!i_pq_pctchange($C99,I$6,$N$1))</f>
        <v>8.977815462271721</v>
      </c>
      <c r="J99" s="28">
        <f ca="1">IF($C99=""," ",[1]!i_pq_pctchange($C99,J$6,$N$1))</f>
        <v>11.002854116202343</v>
      </c>
      <c r="K99" s="28">
        <f ca="1">IF($C99=""," ",[1]!i_pq_pctchange($C99,K$6,$N$1))</f>
        <v>20.186730176356281</v>
      </c>
      <c r="L99" s="28">
        <f ca="1">IF(C99=""," ",[1]!s_wq_pctchange($C99,$N$1))</f>
        <v>1.0975369942480828</v>
      </c>
      <c r="M99" s="28">
        <f ca="1">IF(C99=""," ",[1]!s_mq_pctchange($C99,$N$1))</f>
        <v>-1.4166037464494963</v>
      </c>
      <c r="N99" s="28">
        <f ca="1">IF(C99=""," ",[1]!s_yq_pctchange($C99,$N$1))</f>
        <v>8.2813363873311943</v>
      </c>
      <c r="O99" s="11"/>
      <c r="P99" s="7"/>
    </row>
    <row r="100" spans="1:16" x14ac:dyDescent="0.35">
      <c r="A100" s="7"/>
      <c r="C100" s="31" t="str">
        <f>IF(指数列表!B97="","",指数列表!B97)</f>
        <v>PFTS.GI</v>
      </c>
      <c r="D100" s="36" t="str">
        <f>IF(C100="","",[1]!s_info_name(C100))</f>
        <v>乌克兰PFTS</v>
      </c>
      <c r="E100" s="25">
        <f ca="1">IF(C100="","",[1]!s_dq_close(C100,$N$1))</f>
        <v>507.02699999999999</v>
      </c>
      <c r="F100" s="28">
        <f ca="1">IF($C100=""," ",[1]!i_pq_pctchange($C100,F$6,$N$1))</f>
        <v>0</v>
      </c>
      <c r="G100" s="28">
        <f ca="1">IF($C100=""," ",[1]!i_pq_pctchange($C100,G$6,$N$1))</f>
        <v>0</v>
      </c>
      <c r="H100" s="28">
        <f ca="1">IF($C100=""," ",[1]!i_pq_pctchange($C100,H$6,$N$1))</f>
        <v>0</v>
      </c>
      <c r="I100" s="28">
        <f ca="1">IF($C100=""," ",[1]!i_pq_pctchange($C100,I$6,$N$1))</f>
        <v>0</v>
      </c>
      <c r="J100" s="28">
        <f ca="1">IF($C100=""," ",[1]!i_pq_pctchange($C100,J$6,$N$1))</f>
        <v>0</v>
      </c>
      <c r="K100" s="28">
        <f ca="1">IF($C100=""," ",[1]!i_pq_pctchange($C100,K$6,$N$1))</f>
        <v>-5.9168096562256522E-4</v>
      </c>
      <c r="L100" s="28">
        <f ca="1">IF(C100=""," ",[1]!s_wq_pctchange($C100,$N$1))</f>
        <v>0</v>
      </c>
      <c r="M100" s="28">
        <f ca="1">IF(C100=""," ",[1]!s_mq_pctchange($C100,$N$1))</f>
        <v>0</v>
      </c>
      <c r="N100" s="28">
        <f ca="1">IF(C100=""," ",[1]!s_yq_pctchange($C100,$N$1))</f>
        <v>0</v>
      </c>
      <c r="O100" s="11"/>
      <c r="P100" s="7"/>
    </row>
    <row r="101" spans="1:16" x14ac:dyDescent="0.35">
      <c r="A101" s="7"/>
      <c r="C101" s="30" t="str">
        <f>IF(指数列表!B98="","",指数列表!B98)</f>
        <v>PSI.GI</v>
      </c>
      <c r="D101" s="35" t="str">
        <f>IF(C101="","",[1]!s_info_name(C101))</f>
        <v>马尼拉综指</v>
      </c>
      <c r="E101" s="24">
        <f ca="1">IF(C101="","",[1]!s_dq_close(C101,$N$1))</f>
        <v>6390.58</v>
      </c>
      <c r="F101" s="28">
        <f ca="1">IF($C101=""," ",[1]!i_pq_pctchange($C101,F$6,$N$1))</f>
        <v>0.38564065830666294</v>
      </c>
      <c r="G101" s="28">
        <f ca="1">IF($C101=""," ",[1]!i_pq_pctchange($C101,G$6,$N$1))</f>
        <v>-3.4639548391287578</v>
      </c>
      <c r="H101" s="28">
        <f ca="1">IF($C101=""," ",[1]!i_pq_pctchange($C101,H$6,$N$1))</f>
        <v>-7.3583283682483902</v>
      </c>
      <c r="I101" s="28">
        <f ca="1">IF($C101=""," ",[1]!i_pq_pctchange($C101,I$6,$N$1))</f>
        <v>-1.6985079218581722</v>
      </c>
      <c r="J101" s="28">
        <f ca="1">IF($C101=""," ",[1]!i_pq_pctchange($C101,J$6,$N$1))</f>
        <v>2.0217307317758504</v>
      </c>
      <c r="K101" s="28">
        <f ca="1">IF($C101=""," ",[1]!i_pq_pctchange($C101,K$6,$N$1))</f>
        <v>-2.0313992295062699</v>
      </c>
      <c r="L101" s="28">
        <f ca="1">IF(C101=""," ",[1]!s_wq_pctchange($C101,$N$1))</f>
        <v>4.1765175822605638</v>
      </c>
      <c r="M101" s="28">
        <f ca="1">IF(C101=""," ",[1]!s_mq_pctchange($C101,$N$1))</f>
        <v>-0.27063157731110898</v>
      </c>
      <c r="N101" s="28">
        <f ca="1">IF(C101=""," ",[1]!s_yq_pctchange($C101,$N$1))</f>
        <v>-0.53255483686923677</v>
      </c>
      <c r="O101" s="11"/>
      <c r="P101" s="7"/>
    </row>
    <row r="102" spans="1:16" x14ac:dyDescent="0.35">
      <c r="A102" s="7"/>
      <c r="C102" s="31" t="str">
        <f>IF(指数列表!B99="","",指数列表!B99)</f>
        <v>PSI20.GI</v>
      </c>
      <c r="D102" s="36" t="str">
        <f>IF(C102="","",[1]!s_info_name(C102))</f>
        <v>葡萄牙PSI20</v>
      </c>
      <c r="E102" s="25">
        <f ca="1">IF(C102="","",[1]!s_dq_close(C102,$N$1))</f>
        <v>6522.65</v>
      </c>
      <c r="F102" s="28">
        <f ca="1">IF($C102=""," ",[1]!i_pq_pctchange($C102,F$6,$N$1))</f>
        <v>-0.29273288697301281</v>
      </c>
      <c r="G102" s="28">
        <f ca="1">IF($C102=""," ",[1]!i_pq_pctchange($C102,G$6,$N$1))</f>
        <v>-5.4734984073248611</v>
      </c>
      <c r="H102" s="28">
        <f ca="1">IF($C102=""," ",[1]!i_pq_pctchange($C102,H$6,$N$1))</f>
        <v>4.8315421172832718</v>
      </c>
      <c r="I102" s="28">
        <f ca="1">IF($C102=""," ",[1]!i_pq_pctchange($C102,I$6,$N$1))</f>
        <v>1.5629987527774336</v>
      </c>
      <c r="J102" s="28">
        <f ca="1">IF($C102=""," ",[1]!i_pq_pctchange($C102,J$6,$N$1))</f>
        <v>6.9009994132667174</v>
      </c>
      <c r="K102" s="28">
        <f ca="1">IF($C102=""," ",[1]!i_pq_pctchange($C102,K$6,$N$1))</f>
        <v>10.394160287449793</v>
      </c>
      <c r="L102" s="28">
        <f ca="1">IF(C102=""," ",[1]!s_wq_pctchange($C102,$N$1))</f>
        <v>-0.72780181630842655</v>
      </c>
      <c r="M102" s="28">
        <f ca="1">IF(C102=""," ",[1]!s_mq_pctchange($C102,$N$1))</f>
        <v>-5.0672337031587356</v>
      </c>
      <c r="N102" s="28">
        <f ca="1">IF(C102=""," ",[1]!s_yq_pctchange($C102,$N$1))</f>
        <v>1.97249112011606</v>
      </c>
      <c r="O102" s="11"/>
      <c r="P102" s="7"/>
    </row>
    <row r="103" spans="1:16" x14ac:dyDescent="0.35">
      <c r="A103" s="7"/>
      <c r="C103" s="30" t="str">
        <f>IF(指数列表!B100="","",指数列表!B100)</f>
        <v>PX.GI</v>
      </c>
      <c r="D103" s="35" t="str">
        <f>IF(C103="","",[1]!s_info_name(C103))</f>
        <v>布拉格综指</v>
      </c>
      <c r="E103" s="24">
        <f ca="1">IF(C103="","",[1]!s_dq_close(C103,$N$1))</f>
        <v>1524.86</v>
      </c>
      <c r="F103" s="28">
        <f ca="1">IF($C103=""," ",[1]!i_pq_pctchange($C103,F$6,$N$1))</f>
        <v>-0.61785523417234867</v>
      </c>
      <c r="G103" s="28">
        <f ca="1">IF($C103=""," ",[1]!i_pq_pctchange($C103,G$6,$N$1))</f>
        <v>-2.3902189220330383</v>
      </c>
      <c r="H103" s="28">
        <f ca="1">IF($C103=""," ",[1]!i_pq_pctchange($C103,H$6,$N$1))</f>
        <v>2.3478400945042388</v>
      </c>
      <c r="I103" s="28">
        <f ca="1">IF($C103=""," ",[1]!i_pq_pctchange($C103,I$6,$N$1))</f>
        <v>8.9870775916290224</v>
      </c>
      <c r="J103" s="28">
        <f ca="1">IF($C103=""," ",[1]!i_pq_pctchange($C103,J$6,$N$1))</f>
        <v>13.914537576572528</v>
      </c>
      <c r="K103" s="28">
        <f ca="1">IF($C103=""," ",[1]!i_pq_pctchange($C103,K$6,$N$1))</f>
        <v>17.086167974568855</v>
      </c>
      <c r="L103" s="28">
        <f ca="1">IF(C103=""," ",[1]!s_wq_pctchange($C103,$N$1))</f>
        <v>-0.43746245658021765</v>
      </c>
      <c r="M103" s="28">
        <f ca="1">IF(C103=""," ",[1]!s_mq_pctchange($C103,$N$1))</f>
        <v>-1.8486334788037961</v>
      </c>
      <c r="N103" s="28">
        <f ca="1">IF(C103=""," ",[1]!s_yq_pctchange($C103,$N$1))</f>
        <v>7.8386444321862481</v>
      </c>
      <c r="O103" s="11"/>
      <c r="P103" s="7"/>
    </row>
    <row r="104" spans="1:16" x14ac:dyDescent="0.35">
      <c r="A104" s="7"/>
      <c r="C104" s="31" t="str">
        <f>IF(指数列表!B101="","",指数列表!B101)</f>
        <v>RTY.GI</v>
      </c>
      <c r="D104" s="36" t="str">
        <f>IF(C104="","",[1]!s_info_name(C104))</f>
        <v>罗素2000指数</v>
      </c>
      <c r="E104" s="25">
        <f ca="1">IF(C104="","",[1]!s_dq_close(C104,$N$1))</f>
        <v>2038.3418999999999</v>
      </c>
      <c r="F104" s="28">
        <f ca="1">IF($C104=""," ",[1]!i_pq_pctchange($C104,F$6,$N$1))</f>
        <v>0.64743763892867179</v>
      </c>
      <c r="G104" s="28">
        <f ca="1">IF($C104=""," ",[1]!i_pq_pctchange($C104,G$6,$N$1))</f>
        <v>-1.5135618879089763</v>
      </c>
      <c r="H104" s="28">
        <f ca="1">IF($C104=""," ",[1]!i_pq_pctchange($C104,H$6,$N$1))</f>
        <v>-1.5371396805817117</v>
      </c>
      <c r="I104" s="28">
        <f ca="1">IF($C104=""," ",[1]!i_pq_pctchange($C104,I$6,$N$1))</f>
        <v>-1.0126100339768906</v>
      </c>
      <c r="J104" s="28">
        <f ca="1">IF($C104=""," ",[1]!i_pq_pctchange($C104,J$6,$N$1))</f>
        <v>15.709072624158328</v>
      </c>
      <c r="K104" s="28">
        <f ca="1">IF($C104=""," ",[1]!i_pq_pctchange($C104,K$6,$N$1))</f>
        <v>11.796519926992332</v>
      </c>
      <c r="L104" s="28">
        <f ca="1">IF(C104=""," ",[1]!s_wq_pctchange($C104,$N$1))</f>
        <v>0.8065196536279462</v>
      </c>
      <c r="M104" s="28">
        <f ca="1">IF(C104=""," ",[1]!s_mq_pctchange($C104,$N$1))</f>
        <v>-1.5353607978800032</v>
      </c>
      <c r="N104" s="28">
        <f ca="1">IF(C104=""," ",[1]!s_yq_pctchange($C104,$N$1))</f>
        <v>0.55587018530156573</v>
      </c>
      <c r="O104" s="11"/>
      <c r="P104" s="7"/>
    </row>
    <row r="105" spans="1:16" x14ac:dyDescent="0.35">
      <c r="A105" s="7"/>
      <c r="C105" s="30" t="str">
        <f>IF(指数列表!B102="","",指数列表!B102)</f>
        <v>RUI.GI</v>
      </c>
      <c r="D105" s="35" t="str">
        <f>IF(C105="","",[1]!s_info_name(C105))</f>
        <v>罗素1000指数</v>
      </c>
      <c r="E105" s="24">
        <f ca="1">IF(C105="","",[1]!s_dq_close(C105,$N$1))</f>
        <v>2985.2460999999998</v>
      </c>
      <c r="F105" s="28">
        <f ca="1">IF($C105=""," ",[1]!i_pq_pctchange($C105,F$6,$N$1))</f>
        <v>-1.7050229843218467E-3</v>
      </c>
      <c r="G105" s="28">
        <f ca="1">IF($C105=""," ",[1]!i_pq_pctchange($C105,G$6,$N$1))</f>
        <v>2.9442703252998248</v>
      </c>
      <c r="H105" s="28">
        <f ca="1">IF($C105=""," ",[1]!i_pq_pctchange($C105,H$6,$N$1))</f>
        <v>4.6187086847116587</v>
      </c>
      <c r="I105" s="28">
        <f ca="1">IF($C105=""," ",[1]!i_pq_pctchange($C105,I$6,$N$1))</f>
        <v>13.665935977428001</v>
      </c>
      <c r="J105" s="28">
        <f ca="1">IF($C105=""," ",[1]!i_pq_pctchange($C105,J$6,$N$1))</f>
        <v>27.551731208575013</v>
      </c>
      <c r="K105" s="28">
        <f ca="1">IF($C105=""," ",[1]!i_pq_pctchange($C105,K$6,$N$1))</f>
        <v>26.027438956560257</v>
      </c>
      <c r="L105" s="28">
        <f ca="1">IF(C105=""," ",[1]!s_wq_pctchange($C105,$N$1))</f>
        <v>0.34541523627413806</v>
      </c>
      <c r="M105" s="28">
        <f ca="1">IF(C105=""," ",[1]!s_mq_pctchange($C105,$N$1))</f>
        <v>3.555482985970615</v>
      </c>
      <c r="N105" s="28">
        <f ca="1">IF(C105=""," ",[1]!s_yq_pctchange($C105,$N$1))</f>
        <v>13.847844012098975</v>
      </c>
      <c r="O105" s="11"/>
      <c r="P105" s="7"/>
    </row>
    <row r="106" spans="1:16" x14ac:dyDescent="0.35">
      <c r="A106" s="7"/>
      <c r="C106" s="31" t="str">
        <f>IF(指数列表!B103="","",指数列表!B103)</f>
        <v>S50.GI</v>
      </c>
      <c r="D106" s="36" t="str">
        <f>IF(C106="","",[1]!s_info_name(C106))</f>
        <v>泰国SET50指数</v>
      </c>
      <c r="E106" s="25">
        <f ca="1">IF(C106="","",[1]!s_dq_close(C106,$N$1))</f>
        <v>811.5</v>
      </c>
      <c r="F106" s="28">
        <f ca="1">IF($C106=""," ",[1]!i_pq_pctchange($C106,F$6,$N$1))</f>
        <v>5.0549260871179946E-2</v>
      </c>
      <c r="G106" s="28">
        <f ca="1">IF($C106=""," ",[1]!i_pq_pctchange($C106,G$6,$N$1))</f>
        <v>-3.4078059347958045</v>
      </c>
      <c r="H106" s="28">
        <f ca="1">IF($C106=""," ",[1]!i_pq_pctchange($C106,H$6,$N$1))</f>
        <v>-3.8621016467243252</v>
      </c>
      <c r="I106" s="28">
        <f ca="1">IF($C106=""," ",[1]!i_pq_pctchange($C106,I$6,$N$1))</f>
        <v>-7.4960673004582423</v>
      </c>
      <c r="J106" s="28">
        <f ca="1">IF($C106=""," ",[1]!i_pq_pctchange($C106,J$6,$N$1))</f>
        <v>-11.542528259518846</v>
      </c>
      <c r="K106" s="28">
        <f ca="1">IF($C106=""," ",[1]!i_pq_pctchange($C106,K$6,$N$1))</f>
        <v>-10.657271826489046</v>
      </c>
      <c r="L106" s="28">
        <f ca="1">IF(C106=""," ",[1]!s_wq_pctchange($C106,$N$1))</f>
        <v>0.34127160768602227</v>
      </c>
      <c r="M106" s="28">
        <f ca="1">IF(C106=""," ",[1]!s_mq_pctchange($C106,$N$1))</f>
        <v>-1.7506901060584057</v>
      </c>
      <c r="N106" s="28">
        <f ca="1">IF(C106=""," ",[1]!s_yq_pctchange($C106,$N$1))</f>
        <v>-7.2836332476435288</v>
      </c>
      <c r="O106" s="11"/>
      <c r="P106" s="7"/>
    </row>
    <row r="107" spans="1:16" x14ac:dyDescent="0.35">
      <c r="A107" s="7"/>
      <c r="C107" s="30" t="str">
        <f>IF(指数列表!B104="","",指数列表!B104)</f>
        <v>SASEIDX.GI</v>
      </c>
      <c r="D107" s="35" t="str">
        <f>IF(C107="","",[1]!s_info_name(C107))</f>
        <v>沙特全指</v>
      </c>
      <c r="E107" s="24">
        <f ca="1">IF(C107="","",[1]!s_dq_close(C107,$N$1))</f>
        <v>11729.62</v>
      </c>
      <c r="F107" s="28">
        <f ca="1">IF($C107=""," ",[1]!i_pq_pctchange($C107,F$6,$N$1))</f>
        <v>2.006186662585141</v>
      </c>
      <c r="G107" s="28">
        <f ca="1">IF($C107=""," ",[1]!i_pq_pctchange($C107,G$6,$N$1))</f>
        <v>-1.0212106687908729</v>
      </c>
      <c r="H107" s="28">
        <f ca="1">IF($C107=""," ",[1]!i_pq_pctchange($C107,H$6,$N$1))</f>
        <v>-6.8008206243037606</v>
      </c>
      <c r="I107" s="28">
        <f ca="1">IF($C107=""," ",[1]!i_pq_pctchange($C107,I$6,$N$1))</f>
        <v>-1.2045351366967383</v>
      </c>
      <c r="J107" s="28">
        <f ca="1">IF($C107=""," ",[1]!i_pq_pctchange($C107,J$6,$N$1))</f>
        <v>7.4314175178417097</v>
      </c>
      <c r="K107" s="28">
        <f ca="1">IF($C107=""," ",[1]!i_pq_pctchange($C107,K$6,$N$1))</f>
        <v>2.3618157986138533</v>
      </c>
      <c r="L107" s="28">
        <f ca="1">IF(C107=""," ",[1]!s_wq_pctchange($C107,$N$1))</f>
        <v>-2.983809847756369E-3</v>
      </c>
      <c r="M107" s="28">
        <f ca="1">IF(C107=""," ",[1]!s_mq_pctchange($C107,$N$1))</f>
        <v>1.9657512633122654</v>
      </c>
      <c r="N107" s="28">
        <f ca="1">IF(C107=""," ",[1]!s_yq_pctchange($C107,$N$1))</f>
        <v>-1.9868158387083446</v>
      </c>
      <c r="O107" s="11"/>
      <c r="P107" s="7"/>
    </row>
    <row r="108" spans="1:16" x14ac:dyDescent="0.35">
      <c r="A108" s="7"/>
      <c r="C108" s="31" t="str">
        <f>IF(指数列表!B105="","",指数列表!B105)</f>
        <v>SBF250.GI</v>
      </c>
      <c r="D108" s="36" t="str">
        <f>IF(C108="","",[1]!s_info_name(C108))</f>
        <v>法国SBF250</v>
      </c>
      <c r="E108" s="25">
        <f ca="1">IF(C108="","",[1]!s_dq_close(C108,$N$1))</f>
        <v>5010.38</v>
      </c>
      <c r="F108" s="28">
        <f ca="1">IF($C108=""," ",[1]!i_pq_pctchange($C108,F$6,$N$1))</f>
        <v>0</v>
      </c>
      <c r="G108" s="28">
        <f ca="1">IF($C108=""," ",[1]!i_pq_pctchange($C108,G$6,$N$1))</f>
        <v>0</v>
      </c>
      <c r="H108" s="28">
        <f ca="1">IF($C108=""," ",[1]!i_pq_pctchange($C108,H$6,$N$1))</f>
        <v>0</v>
      </c>
      <c r="I108" s="28">
        <f ca="1">IF($C108=""," ",[1]!i_pq_pctchange($C108,I$6,$N$1))</f>
        <v>0</v>
      </c>
      <c r="J108" s="28">
        <f ca="1">IF($C108=""," ",[1]!i_pq_pctchange($C108,J$6,$N$1))</f>
        <v>0</v>
      </c>
      <c r="K108" s="28">
        <f ca="1">IF($C108=""," ",[1]!i_pq_pctchange($C108,K$6,$N$1))</f>
        <v>0</v>
      </c>
      <c r="L108" s="28">
        <f ca="1">IF(C108=""," ",[1]!s_wq_pctchange($C108,$N$1))</f>
        <v>0</v>
      </c>
      <c r="M108" s="28">
        <f ca="1">IF(C108=""," ",[1]!s_mq_pctchange($C108,$N$1))</f>
        <v>0</v>
      </c>
      <c r="N108" s="28">
        <f ca="1">IF(C108=""," ",[1]!s_yq_pctchange($C108,$N$1))</f>
        <v>0</v>
      </c>
      <c r="O108" s="11"/>
      <c r="P108" s="7"/>
    </row>
    <row r="109" spans="1:16" x14ac:dyDescent="0.35">
      <c r="A109" s="7"/>
      <c r="C109" s="30" t="str">
        <f>IF(指数列表!B106="","",指数列表!B106)</f>
        <v>SETI.GI</v>
      </c>
      <c r="D109" s="35" t="str">
        <f>IF(C109="","",[1]!s_info_name(C109))</f>
        <v>泰国SET指数</v>
      </c>
      <c r="E109" s="24">
        <f ca="1">IF(C109="","",[1]!s_dq_close(C109,$N$1))</f>
        <v>1309.46</v>
      </c>
      <c r="F109" s="28">
        <f ca="1">IF($C109=""," ",[1]!i_pq_pctchange($C109,F$6,$N$1))</f>
        <v>0.43257504870304331</v>
      </c>
      <c r="G109" s="28">
        <f ca="1">IF($C109=""," ",[1]!i_pq_pctchange($C109,G$6,$N$1))</f>
        <v>-4.0323053470919357</v>
      </c>
      <c r="H109" s="28">
        <f ca="1">IF($C109=""," ",[1]!i_pq_pctchange($C109,H$6,$N$1))</f>
        <v>-4.920746716234758</v>
      </c>
      <c r="I109" s="28">
        <f ca="1">IF($C109=""," ",[1]!i_pq_pctchange($C109,I$6,$N$1))</f>
        <v>-7.357175704835683</v>
      </c>
      <c r="J109" s="28">
        <f ca="1">IF($C109=""," ",[1]!i_pq_pctchange($C109,J$6,$N$1))</f>
        <v>-12.599534116924637</v>
      </c>
      <c r="K109" s="28">
        <f ca="1">IF($C109=""," ",[1]!i_pq_pctchange($C109,K$6,$N$1))</f>
        <v>-12.206339841235781</v>
      </c>
      <c r="L109" s="28">
        <f ca="1">IF(C109=""," ",[1]!s_wq_pctchange($C109,$N$1))</f>
        <v>0.23346422639141107</v>
      </c>
      <c r="M109" s="28">
        <f ca="1">IF(C109=""," ",[1]!s_mq_pctchange($C109,$N$1))</f>
        <v>-2.6901297504570265</v>
      </c>
      <c r="N109" s="28">
        <f ca="1">IF(C109=""," ",[1]!s_yq_pctchange($C109,$N$1))</f>
        <v>-7.5142140763498899</v>
      </c>
      <c r="O109" s="11"/>
      <c r="P109" s="7"/>
    </row>
    <row r="110" spans="1:16" x14ac:dyDescent="0.35">
      <c r="A110" s="7"/>
      <c r="C110" s="31" t="str">
        <f>IF(指数列表!B107="","",指数列表!B107)</f>
        <v>SMSI.GI</v>
      </c>
      <c r="D110" s="36" t="str">
        <f>IF(C110="","",[1]!s_info_name(C110))</f>
        <v>西班牙马德里SMSI指数</v>
      </c>
      <c r="E110" s="25">
        <f ca="1">IF(C110="","",[1]!s_dq_close(C110,$N$1))</f>
        <v>1080.43</v>
      </c>
      <c r="F110" s="28">
        <f ca="1">IF($C110=""," ",[1]!i_pq_pctchange($C110,F$6,$N$1))</f>
        <v>-0.96702047700232274</v>
      </c>
      <c r="G110" s="28">
        <f ca="1">IF($C110=""," ",[1]!i_pq_pctchange($C110,G$6,$N$1))</f>
        <v>-3.1065314285201762</v>
      </c>
      <c r="H110" s="28">
        <f ca="1">IF($C110=""," ",[1]!i_pq_pctchange($C110,H$6,$N$1))</f>
        <v>-0.40283923303834346</v>
      </c>
      <c r="I110" s="28">
        <f ca="1">IF($C110=""," ",[1]!i_pq_pctchange($C110,I$6,$N$1))</f>
        <v>8.2020570238250379</v>
      </c>
      <c r="J110" s="28">
        <f ca="1">IF($C110=""," ",[1]!i_pq_pctchange($C110,J$6,$N$1))</f>
        <v>16.197758705986097</v>
      </c>
      <c r="K110" s="28">
        <f ca="1">IF($C110=""," ",[1]!i_pq_pctchange($C110,K$6,$N$1))</f>
        <v>17.742638564983327</v>
      </c>
      <c r="L110" s="28">
        <f ca="1">IF(C110=""," ",[1]!s_wq_pctchange($C110,$N$1))</f>
        <v>-0.77967160121955592</v>
      </c>
      <c r="M110" s="28">
        <f ca="1">IF(C110=""," ",[1]!s_mq_pctchange($C110,$N$1))</f>
        <v>-3.8232833057380455</v>
      </c>
      <c r="N110" s="28">
        <f ca="1">IF(C110=""," ",[1]!s_yq_pctchange($C110,$N$1))</f>
        <v>8.3648435854487992</v>
      </c>
      <c r="O110" s="11"/>
      <c r="P110" s="7"/>
    </row>
    <row r="111" spans="1:16" x14ac:dyDescent="0.35">
      <c r="A111" s="7"/>
      <c r="C111" s="30" t="str">
        <f>IF(指数列表!B108="","",指数列表!B108)</f>
        <v>SPI.GI</v>
      </c>
      <c r="D111" s="35" t="str">
        <f>IF(C111="","",[1]!s_info_name(C111))</f>
        <v>瑞士SPI</v>
      </c>
      <c r="E111" s="24">
        <f ca="1">IF(C111="","",[1]!s_dq_close(C111,$N$1))</f>
        <v>15941.95</v>
      </c>
      <c r="F111" s="28">
        <f ca="1">IF($C111=""," ",[1]!i_pq_pctchange($C111,F$6,$N$1))</f>
        <v>-0.47689086384731239</v>
      </c>
      <c r="G111" s="28">
        <f ca="1">IF($C111=""," ",[1]!i_pq_pctchange($C111,G$6,$N$1))</f>
        <v>3.5139790478999622E-2</v>
      </c>
      <c r="H111" s="28">
        <f ca="1">IF($C111=""," ",[1]!i_pq_pctchange($C111,H$6,$N$1))</f>
        <v>3.7948862855807342</v>
      </c>
      <c r="I111" s="28">
        <f ca="1">IF($C111=""," ",[1]!i_pq_pctchange($C111,I$6,$N$1))</f>
        <v>9.3304977632509214</v>
      </c>
      <c r="J111" s="28">
        <f ca="1">IF($C111=""," ",[1]!i_pq_pctchange($C111,J$6,$N$1))</f>
        <v>11.099225118455337</v>
      </c>
      <c r="K111" s="28">
        <f ca="1">IF($C111=""," ",[1]!i_pq_pctchange($C111,K$6,$N$1))</f>
        <v>8.7653167044183142</v>
      </c>
      <c r="L111" s="28">
        <f ca="1">IF(C111=""," ",[1]!s_wq_pctchange($C111,$N$1))</f>
        <v>-0.1738915898337523</v>
      </c>
      <c r="M111" s="28">
        <f ca="1">IF(C111=""," ",[1]!s_mq_pctchange($C111,$N$1))</f>
        <v>-0.31465201625535677</v>
      </c>
      <c r="N111" s="28">
        <f ca="1">IF(C111=""," ",[1]!s_yq_pctchange($C111,$N$1))</f>
        <v>9.4070301546266286</v>
      </c>
      <c r="O111" s="11"/>
      <c r="P111" s="7"/>
    </row>
    <row r="112" spans="1:16" x14ac:dyDescent="0.35">
      <c r="A112" s="7"/>
      <c r="C112" s="31" t="str">
        <f>IF(指数列表!B109="","",指数列表!B109)</f>
        <v>SPTSX60.GI</v>
      </c>
      <c r="D112" s="36" t="str">
        <f>IF(C112="","",[1]!s_info_name(C112))</f>
        <v>加拿大标普TSX60</v>
      </c>
      <c r="E112" s="25">
        <f ca="1">IF(C112="","",[1]!s_dq_close(C112,$N$1))</f>
        <v>1309.67</v>
      </c>
      <c r="F112" s="28">
        <f ca="1">IF($C112=""," ",[1]!i_pq_pctchange($C112,F$6,$N$1))</f>
        <v>2.0572443834890652</v>
      </c>
      <c r="G112" s="28">
        <f ca="1">IF($C112=""," ",[1]!i_pq_pctchange($C112,G$6,$N$1))</f>
        <v>-1.9216223705001645</v>
      </c>
      <c r="H112" s="28">
        <f ca="1">IF($C112=""," ",[1]!i_pq_pctchange($C112,H$6,$N$1))</f>
        <v>-0.71337598932588175</v>
      </c>
      <c r="I112" s="28">
        <f ca="1">IF($C112=""," ",[1]!i_pq_pctchange($C112,I$6,$N$1))</f>
        <v>4.026275238685284</v>
      </c>
      <c r="J112" s="28">
        <f ca="1">IF($C112=""," ",[1]!i_pq_pctchange($C112,J$6,$N$1))</f>
        <v>11.58473204396353</v>
      </c>
      <c r="K112" s="28">
        <f ca="1">IF($C112=""," ",[1]!i_pq_pctchange($C112,K$6,$N$1))</f>
        <v>10.918484014397634</v>
      </c>
      <c r="L112" s="28">
        <f ca="1">IF(C112=""," ",[1]!s_wq_pctchange($C112,$N$1))</f>
        <v>1.7353747679305309</v>
      </c>
      <c r="M112" s="28">
        <f ca="1">IF(C112=""," ",[1]!s_mq_pctchange($C112,$N$1))</f>
        <v>-1.7612421707984827</v>
      </c>
      <c r="N112" s="28">
        <f ca="1">IF(C112=""," ",[1]!s_yq_pctchange($C112,$N$1))</f>
        <v>3.5451404536578135</v>
      </c>
      <c r="O112" s="11"/>
      <c r="P112" s="7"/>
    </row>
    <row r="113" spans="1:16" x14ac:dyDescent="0.35">
      <c r="A113" s="7"/>
      <c r="C113" s="30" t="str">
        <f>IF(指数列表!B110="","",指数列表!B110)</f>
        <v>SPX.GI</v>
      </c>
      <c r="D113" s="35" t="str">
        <f>IF(C113="","",[1]!s_info_name(C113))</f>
        <v>标普500</v>
      </c>
      <c r="E113" s="24">
        <f ca="1">IF(C113="","",[1]!s_dq_close(C113,$N$1))</f>
        <v>5482.87</v>
      </c>
      <c r="F113" s="28">
        <f ca="1">IF($C113=""," ",[1]!i_pq_pctchange($C113,F$6,$N$1))</f>
        <v>-7.5815149543556615E-2</v>
      </c>
      <c r="G113" s="28">
        <f ca="1">IF($C113=""," ",[1]!i_pq_pctchange($C113,G$6,$N$1))</f>
        <v>3.3583299401287903</v>
      </c>
      <c r="H113" s="28">
        <f ca="1">IF($C113=""," ",[1]!i_pq_pctchange($C113,H$6,$N$1))</f>
        <v>5.3672663819908539</v>
      </c>
      <c r="I113" s="28">
        <f ca="1">IF($C113=""," ",[1]!i_pq_pctchange($C113,I$6,$N$1))</f>
        <v>14.830514686632812</v>
      </c>
      <c r="J113" s="28">
        <f ca="1">IF($C113=""," ",[1]!i_pq_pctchange($C113,J$6,$N$1))</f>
        <v>28.298385643718426</v>
      </c>
      <c r="K113" s="28">
        <f ca="1">IF($C113=""," ",[1]!i_pq_pctchange($C113,K$6,$N$1))</f>
        <v>26.65969016960743</v>
      </c>
      <c r="L113" s="28">
        <f ca="1">IF(C113=""," ",[1]!s_wq_pctchange($C113,$N$1))</f>
        <v>0.33396649721297855</v>
      </c>
      <c r="M113" s="28">
        <f ca="1">IF(C113=""," ",[1]!s_mq_pctchange($C113,$N$1))</f>
        <v>3.8912290076191125</v>
      </c>
      <c r="N113" s="28">
        <f ca="1">IF(C113=""," ",[1]!s_yq_pctchange($C113,$N$1))</f>
        <v>14.948960445131165</v>
      </c>
      <c r="O113" s="11"/>
      <c r="P113" s="7"/>
    </row>
    <row r="114" spans="1:16" x14ac:dyDescent="0.35">
      <c r="A114" s="7"/>
      <c r="C114" s="31" t="str">
        <f>IF(指数列表!B111="","",指数列表!B111)</f>
        <v>SSMI.GI</v>
      </c>
      <c r="D114" s="36" t="str">
        <f>IF(C114="","",[1]!s_info_name(C114))</f>
        <v>瑞士SMI</v>
      </c>
      <c r="E114" s="25">
        <f ca="1">IF(C114="","",[1]!s_dq_close(C114,$N$1))</f>
        <v>12004.31</v>
      </c>
      <c r="F114" s="28">
        <f ca="1">IF($C114=""," ",[1]!i_pq_pctchange($C114,F$6,$N$1))</f>
        <v>-0.46375528181860082</v>
      </c>
      <c r="G114" s="28">
        <f ca="1">IF($C114=""," ",[1]!i_pq_pctchange($C114,G$6,$N$1))</f>
        <v>0.60854697989387585</v>
      </c>
      <c r="H114" s="28">
        <f ca="1">IF($C114=""," ",[1]!i_pq_pctchange($C114,H$6,$N$1))</f>
        <v>2.7734590372214374</v>
      </c>
      <c r="I114" s="28">
        <f ca="1">IF($C114=""," ",[1]!i_pq_pctchange($C114,I$6,$N$1))</f>
        <v>7.6321449930019325</v>
      </c>
      <c r="J114" s="28">
        <f ca="1">IF($C114=""," ",[1]!i_pq_pctchange($C114,J$6,$N$1))</f>
        <v>9.591370952280954</v>
      </c>
      <c r="K114" s="28">
        <f ca="1">IF($C114=""," ",[1]!i_pq_pctchange($C114,K$6,$N$1))</f>
        <v>7.7402417899999021</v>
      </c>
      <c r="L114" s="28">
        <f ca="1">IF(C114=""," ",[1]!s_wq_pctchange($C114,$N$1))</f>
        <v>-7.1256910297046172E-2</v>
      </c>
      <c r="M114" s="28">
        <f ca="1">IF(C114=""," ",[1]!s_mq_pctchange($C114,$N$1))</f>
        <v>2.8747939730977556E-2</v>
      </c>
      <c r="N114" s="28">
        <f ca="1">IF(C114=""," ",[1]!s_yq_pctchange($C114,$N$1))</f>
        <v>7.7799994433365827</v>
      </c>
      <c r="O114" s="11"/>
      <c r="P114" s="7"/>
    </row>
    <row r="115" spans="1:16" x14ac:dyDescent="0.35">
      <c r="A115" s="7"/>
      <c r="C115" s="30" t="str">
        <f>IF(指数列表!B112="","",指数列表!B112)</f>
        <v>STI.GI</v>
      </c>
      <c r="D115" s="35" t="str">
        <f>IF(C115="","",[1]!s_info_name(C115))</f>
        <v>富时新加坡海峡指数</v>
      </c>
      <c r="E115" s="24">
        <f ca="1">IF(C115="","",[1]!s_dq_close(C115,$N$1))</f>
        <v>3343.35</v>
      </c>
      <c r="F115" s="28">
        <f ca="1">IF($C115=""," ",[1]!i_pq_pctchange($C115,F$6,$N$1))</f>
        <v>1.1909806295399505</v>
      </c>
      <c r="G115" s="28">
        <f ca="1">IF($C115=""," ",[1]!i_pq_pctchange($C115,G$6,$N$1))</f>
        <v>0.80776467182863687</v>
      </c>
      <c r="H115" s="28">
        <f ca="1">IF($C115=""," ",[1]!i_pq_pctchange($C115,H$6,$N$1))</f>
        <v>3.4026839202927039</v>
      </c>
      <c r="I115" s="28">
        <f ca="1">IF($C115=""," ",[1]!i_pq_pctchange($C115,I$6,$N$1))</f>
        <v>6.4767928458143054</v>
      </c>
      <c r="J115" s="28">
        <f ca="1">IF($C115=""," ",[1]!i_pq_pctchange($C115,J$6,$N$1))</f>
        <v>3.9899597831462463</v>
      </c>
      <c r="K115" s="28">
        <f ca="1">IF($C115=""," ",[1]!i_pq_pctchange($C115,K$6,$N$1))</f>
        <v>4.8177246620350722</v>
      </c>
      <c r="L115" s="28">
        <f ca="1">IF(C115=""," ",[1]!s_wq_pctchange($C115,$N$1))</f>
        <v>1.1291522737309601</v>
      </c>
      <c r="M115" s="28">
        <f ca="1">IF(C115=""," ",[1]!s_mq_pctchange($C115,$N$1))</f>
        <v>0.20260205778952489</v>
      </c>
      <c r="N115" s="28">
        <f ca="1">IF(C115=""," ",[1]!s_yq_pctchange($C115,$N$1))</f>
        <v>3.1812163801164806</v>
      </c>
      <c r="O115" s="11"/>
      <c r="P115" s="7"/>
    </row>
    <row r="116" spans="1:16" x14ac:dyDescent="0.35">
      <c r="A116" s="7"/>
      <c r="C116" s="31" t="str">
        <f>IF(指数列表!B113="","",指数列表!B113)</f>
        <v>SWIG80.GI</v>
      </c>
      <c r="D116" s="36" t="str">
        <f>IF(C116="","",[1]!s_info_name(C116))</f>
        <v>波兰SWIG80</v>
      </c>
      <c r="E116" s="25">
        <f ca="1">IF(C116="","",[1]!s_dq_close(C116,$N$1))</f>
        <v>25227.61</v>
      </c>
      <c r="F116" s="28">
        <f ca="1">IF($C116=""," ",[1]!i_pq_pctchange($C116,F$6,$N$1))</f>
        <v>2.426308393703458</v>
      </c>
      <c r="G116" s="28">
        <f ca="1">IF($C116=""," ",[1]!i_pq_pctchange($C116,G$6,$N$1))</f>
        <v>0.93636045736544826</v>
      </c>
      <c r="H116" s="28">
        <f ca="1">IF($C116=""," ",[1]!i_pq_pctchange($C116,H$6,$N$1))</f>
        <v>5.0309731252609957</v>
      </c>
      <c r="I116" s="28">
        <f ca="1">IF($C116=""," ",[1]!i_pq_pctchange($C116,I$6,$N$1))</f>
        <v>11.260957905149759</v>
      </c>
      <c r="J116" s="28">
        <f ca="1">IF($C116=""," ",[1]!i_pq_pctchange($C116,J$6,$N$1))</f>
        <v>21.426518925896822</v>
      </c>
      <c r="K116" s="28">
        <f ca="1">IF($C116=""," ",[1]!i_pq_pctchange($C116,K$6,$N$1))</f>
        <v>17.93932117924313</v>
      </c>
      <c r="L116" s="28">
        <f ca="1">IF(C116=""," ",[1]!s_wq_pctchange($C116,$N$1))</f>
        <v>0.33440014190531109</v>
      </c>
      <c r="M116" s="28">
        <f ca="1">IF(C116=""," ",[1]!s_mq_pctchange($C116,$N$1))</f>
        <v>2.3202078233906853</v>
      </c>
      <c r="N116" s="28">
        <f ca="1">IF(C116=""," ",[1]!s_yq_pctchange($C116,$N$1))</f>
        <v>10.142640154834259</v>
      </c>
      <c r="O116" s="11"/>
      <c r="P116" s="7"/>
    </row>
    <row r="117" spans="1:16" x14ac:dyDescent="0.35">
      <c r="A117" s="7"/>
      <c r="C117" s="30" t="str">
        <f>IF(指数列表!B114="","",指数列表!B114)</f>
        <v>SX5E.DF</v>
      </c>
      <c r="D117" s="35" t="str">
        <f>IF(C117="","",[1]!s_info_name(C117))</f>
        <v>欧元区STOXX50(欧元)</v>
      </c>
      <c r="E117" s="24">
        <f ca="1">IF(C117="","",[1]!s_dq_close(C117,$N$1))</f>
        <v>4902.6000000000004</v>
      </c>
      <c r="F117" s="28">
        <f ca="1">IF($C117=""," ",[1]!i_pq_pctchange($C117,F$6,$N$1))</f>
        <v>0.35104238094751938</v>
      </c>
      <c r="G117" s="28">
        <f ca="1">IF($C117=""," ",[1]!i_pq_pctchange($C117,G$6,$N$1))</f>
        <v>-2.637521075741589</v>
      </c>
      <c r="H117" s="28">
        <f ca="1">IF($C117=""," ",[1]!i_pq_pctchange($C117,H$6,$N$1))</f>
        <v>-3.1906448822909161</v>
      </c>
      <c r="I117" s="28">
        <f ca="1">IF($C117=""," ",[1]!i_pq_pctchange($C117,I$6,$N$1))</f>
        <v>8.4293382461898538</v>
      </c>
      <c r="J117" s="28">
        <f ca="1">IF($C117=""," ",[1]!i_pq_pctchange($C117,J$6,$N$1))</f>
        <v>18.730595420882601</v>
      </c>
      <c r="K117" s="28">
        <f ca="1">IF($C117=""," ",[1]!i_pq_pctchange($C117,K$6,$N$1))</f>
        <v>14.531475948296624</v>
      </c>
      <c r="L117" s="28">
        <f ca="1">IF(C117=""," ",[1]!s_wq_pctchange($C117,$N$1))</f>
        <v>-9.5775681128107415E-2</v>
      </c>
      <c r="M117" s="28">
        <f ca="1">IF(C117=""," ",[1]!s_mq_pctchange($C117,$N$1))</f>
        <v>-1.6267128441489809</v>
      </c>
      <c r="N117" s="28">
        <f ca="1">IF(C117=""," ",[1]!s_yq_pctchange($C117,$N$1))</f>
        <v>8.425021839372814</v>
      </c>
      <c r="O117" s="11"/>
      <c r="P117" s="7"/>
    </row>
    <row r="118" spans="1:16" x14ac:dyDescent="0.35">
      <c r="A118" s="7"/>
      <c r="C118" s="31" t="str">
        <f>IF(指数列表!B115="","",指数列表!B115)</f>
        <v>SXXE.GI</v>
      </c>
      <c r="D118" s="36" t="str">
        <f>IF(C118="","",[1]!s_info_name(C118))</f>
        <v>欧元区STOXX</v>
      </c>
      <c r="E118" s="25">
        <f ca="1">IF(C118="","",[1]!s_dq_close(C118,$N$1))</f>
        <v>503.01</v>
      </c>
      <c r="F118" s="28">
        <f ca="1">IF($C118=""," ",[1]!i_pq_pctchange($C118,F$6,$N$1))</f>
        <v>6.7638808761216751E-2</v>
      </c>
      <c r="G118" s="28">
        <f ca="1">IF($C118=""," ",[1]!i_pq_pctchange($C118,G$6,$N$1))</f>
        <v>-3.5954539356421344</v>
      </c>
      <c r="H118" s="28">
        <f ca="1">IF($C118=""," ",[1]!i_pq_pctchange($C118,H$6,$N$1))</f>
        <v>-2.9406657018813287</v>
      </c>
      <c r="I118" s="28">
        <f ca="1">IF($C118=""," ",[1]!i_pq_pctchange($C118,I$6,$N$1))</f>
        <v>6.0777325544612903</v>
      </c>
      <c r="J118" s="28">
        <f ca="1">IF($C118=""," ",[1]!i_pq_pctchange($C118,J$6,$N$1))</f>
        <v>15.099995423550405</v>
      </c>
      <c r="K118" s="28">
        <f ca="1">IF($C118=""," ",[1]!i_pq_pctchange($C118,K$6,$N$1))</f>
        <v>12.001514105675671</v>
      </c>
      <c r="L118" s="28">
        <f ca="1">IF(C118=""," ",[1]!s_wq_pctchange($C118,$N$1))</f>
        <v>-0.31510107015458866</v>
      </c>
      <c r="M118" s="28">
        <f ca="1">IF(C118=""," ",[1]!s_mq_pctchange($C118,$N$1))</f>
        <v>-2.5797455115914358</v>
      </c>
      <c r="N118" s="28">
        <f ca="1">IF(C118=""," ",[1]!s_yq_pctchange($C118,$N$1))</f>
        <v>6.0822068034671162</v>
      </c>
      <c r="O118" s="11"/>
      <c r="P118" s="7"/>
    </row>
    <row r="119" spans="1:16" x14ac:dyDescent="0.35">
      <c r="A119" s="7"/>
      <c r="C119" s="30" t="str">
        <f>IF(指数列表!B116="","",指数列表!B116)</f>
        <v>SXXP.GI</v>
      </c>
      <c r="D119" s="35" t="str">
        <f>IF(C119="","",[1]!s_info_name(C119))</f>
        <v>欧洲STOXX600(欧元)</v>
      </c>
      <c r="E119" s="24">
        <f ca="1">IF(C119="","",[1]!s_dq_close(C119,$N$1))</f>
        <v>512.59</v>
      </c>
      <c r="F119" s="28">
        <f ca="1">IF($C119=""," ",[1]!i_pq_pctchange($C119,F$6,$N$1))</f>
        <v>-0.2995351370275956</v>
      </c>
      <c r="G119" s="28">
        <f ca="1">IF($C119=""," ",[1]!i_pq_pctchange($C119,G$6,$N$1))</f>
        <v>-1.5329350519622809</v>
      </c>
      <c r="H119" s="28">
        <f ca="1">IF($C119=""," ",[1]!i_pq_pctchange($C119,H$6,$N$1))</f>
        <v>0.29349038329844479</v>
      </c>
      <c r="I119" s="28">
        <f ca="1">IF($C119=""," ",[1]!i_pq_pctchange($C119,I$6,$N$1))</f>
        <v>7.326214405360143</v>
      </c>
      <c r="J119" s="28">
        <f ca="1">IF($C119=""," ",[1]!i_pq_pctchange($C119,J$6,$N$1))</f>
        <v>14.49408085771724</v>
      </c>
      <c r="K119" s="28">
        <f ca="1">IF($C119=""," ",[1]!i_pq_pctchange($C119,K$6,$N$1))</f>
        <v>13.234514447291691</v>
      </c>
      <c r="L119" s="28">
        <f ca="1">IF(C119=""," ",[1]!s_wq_pctchange($C119,$N$1))</f>
        <v>-0.48921589563394319</v>
      </c>
      <c r="M119" s="28">
        <f ca="1">IF(C119=""," ",[1]!s_mq_pctchange($C119,$N$1))</f>
        <v>-1.0768666653800718</v>
      </c>
      <c r="N119" s="28">
        <f ca="1">IF(C119=""," ",[1]!s_yq_pctchange($C119,$N$1))</f>
        <v>7.0080581186589441</v>
      </c>
      <c r="O119" s="11"/>
      <c r="P119" s="7"/>
    </row>
    <row r="120" spans="1:16" x14ac:dyDescent="0.35">
      <c r="A120" s="7"/>
      <c r="C120" s="31" t="str">
        <f>IF(指数列表!B117="","",指数列表!B117)</f>
        <v>TA-35.GI</v>
      </c>
      <c r="D120" s="36" t="str">
        <f>IF(C120="","",[1]!s_info_name(C120))</f>
        <v>以色列TA35</v>
      </c>
      <c r="E120" s="25">
        <f ca="1">IF(C120="","",[1]!s_dq_close(C120,$N$1))</f>
        <v>1976.43</v>
      </c>
      <c r="F120" s="28">
        <f ca="1">IF($C120=""," ",[1]!i_pq_pctchange($C120,F$6,$N$1))</f>
        <v>-1.3663970136889136</v>
      </c>
      <c r="G120" s="28">
        <f ca="1">IF($C120=""," ",[1]!i_pq_pctchange($C120,G$6,$N$1))</f>
        <v>-9.9070456280103691E-2</v>
      </c>
      <c r="H120" s="28">
        <f ca="1">IF($C120=""," ",[1]!i_pq_pctchange($C120,H$6,$N$1))</f>
        <v>-1.439193333632538</v>
      </c>
      <c r="I120" s="28">
        <f ca="1">IF($C120=""," ",[1]!i_pq_pctchange($C120,I$6,$N$1))</f>
        <v>7.4830190936628238</v>
      </c>
      <c r="J120" s="28">
        <f ca="1">IF($C120=""," ",[1]!i_pq_pctchange($C120,J$6,$N$1))</f>
        <v>7.7190974493132725</v>
      </c>
      <c r="K120" s="28">
        <f ca="1">IF($C120=""," ",[1]!i_pq_pctchange($C120,K$6,$N$1))</f>
        <v>11.796615154874758</v>
      </c>
      <c r="L120" s="28">
        <f ca="1">IF(C120=""," ",[1]!s_wq_pctchange($C120,$N$1))</f>
        <v>0.60881560929919587</v>
      </c>
      <c r="M120" s="28">
        <f ca="1">IF(C120=""," ",[1]!s_mq_pctchange($C120,$N$1))</f>
        <v>-1.1750411264394245</v>
      </c>
      <c r="N120" s="28">
        <f ca="1">IF(C120=""," ",[1]!s_yq_pctchange($C120,$N$1))</f>
        <v>5.9571867410779022</v>
      </c>
      <c r="O120" s="11"/>
      <c r="P120" s="7"/>
    </row>
    <row r="121" spans="1:16" x14ac:dyDescent="0.35">
      <c r="A121" s="7"/>
      <c r="C121" s="30" t="str">
        <f>IF(指数列表!B118="","",指数列表!B118)</f>
        <v>TOP40.FI</v>
      </c>
      <c r="D121" s="35" t="str">
        <f>IF(C121="","",[1]!s_info_name(C121))</f>
        <v>FTSE/JSE Africa TOP40 Tradeable</v>
      </c>
      <c r="E121" s="24">
        <f ca="1">IF(C121="","",[1]!s_dq_close(C121,$N$1))</f>
        <v>72287.12</v>
      </c>
      <c r="F121" s="28">
        <f ca="1">IF($C121=""," ",[1]!i_pq_pctchange($C121,F$6,$N$1))</f>
        <v>-2.0452742584129546</v>
      </c>
      <c r="G121" s="28">
        <f ca="1">IF($C121=""," ",[1]!i_pq_pctchange($C121,G$6,$N$1))</f>
        <v>-0.63087952804592451</v>
      </c>
      <c r="H121" s="28">
        <f ca="1">IF($C121=""," ",[1]!i_pq_pctchange($C121,H$6,$N$1))</f>
        <v>7.2358527666809946</v>
      </c>
      <c r="I121" s="28">
        <f ca="1">IF($C121=""," ",[1]!i_pq_pctchange($C121,I$6,$N$1))</f>
        <v>6.3563744052434812</v>
      </c>
      <c r="J121" s="28">
        <f ca="1">IF($C121=""," ",[1]!i_pq_pctchange($C121,J$6,$N$1))</f>
        <v>8.1206494437525034</v>
      </c>
      <c r="K121" s="28">
        <f ca="1">IF($C121=""," ",[1]!i_pq_pctchange($C121,K$6,$N$1))</f>
        <v>4.7935272160893883</v>
      </c>
      <c r="L121" s="28">
        <f ca="1">IF(C121=""," ",[1]!s_wq_pctchange($C121,$N$1))</f>
        <v>-0.78295237995892331</v>
      </c>
      <c r="M121" s="28">
        <f ca="1">IF(C121=""," ",[1]!s_mq_pctchange($C121,$N$1))</f>
        <v>2.5999019237005871</v>
      </c>
      <c r="N121" s="28">
        <f ca="1">IF(C121=""," ",[1]!s_yq_pctchange($C121,$N$1))</f>
        <v>2.5424854031786737</v>
      </c>
      <c r="O121" s="11"/>
      <c r="P121" s="7"/>
    </row>
    <row r="122" spans="1:16" x14ac:dyDescent="0.35">
      <c r="A122" s="7"/>
      <c r="C122" s="31" t="str">
        <f>IF(指数列表!B119="","",指数列表!B119)</f>
        <v>TPX.GI</v>
      </c>
      <c r="D122" s="36" t="str">
        <f>IF(C122="","",[1]!s_info_name(C122))</f>
        <v>东证指数</v>
      </c>
      <c r="E122" s="25">
        <f ca="1">IF(C122="","",[1]!s_dq_close(C122,$N$1))</f>
        <v>2793.7</v>
      </c>
      <c r="F122" s="28">
        <f ca="1">IF($C122=""," ",[1]!i_pq_pctchange($C122,F$6,$N$1))</f>
        <v>2.384337985223417</v>
      </c>
      <c r="G122" s="28">
        <f ca="1">IF($C122=""," ",[1]!i_pq_pctchange($C122,G$6,$N$1))</f>
        <v>1.8654240229859953</v>
      </c>
      <c r="H122" s="28">
        <f ca="1">IF($C122=""," ",[1]!i_pq_pctchange($C122,H$6,$N$1))</f>
        <v>0.46389528193324647</v>
      </c>
      <c r="I122" s="28">
        <f ca="1">IF($C122=""," ",[1]!i_pq_pctchange($C122,I$6,$N$1))</f>
        <v>19.447081056583105</v>
      </c>
      <c r="J122" s="28">
        <f ca="1">IF($C122=""," ",[1]!i_pq_pctchange($C122,J$6,$N$1))</f>
        <v>17.781225494742682</v>
      </c>
      <c r="K122" s="28">
        <f ca="1">IF($C122=""," ",[1]!i_pq_pctchange($C122,K$6,$N$1))</f>
        <v>23.605746470398238</v>
      </c>
      <c r="L122" s="28">
        <f ca="1">IF(C122=""," ",[1]!s_wq_pctchange($C122,$N$1))</f>
        <v>3.117418862329302</v>
      </c>
      <c r="M122" s="28">
        <f ca="1">IF(C122=""," ",[1]!s_mq_pctchange($C122,$N$1))</f>
        <v>1.3395900436070196</v>
      </c>
      <c r="N122" s="28">
        <f ca="1">IF(C122=""," ",[1]!s_yq_pctchange($C122,$N$1))</f>
        <v>18.730640342462589</v>
      </c>
      <c r="O122" s="11"/>
      <c r="P122" s="7"/>
    </row>
    <row r="123" spans="1:16" x14ac:dyDescent="0.35">
      <c r="A123" s="7"/>
      <c r="C123" s="30" t="str">
        <f>IF(指数列表!B120="","",指数列表!B120)</f>
        <v>TSE2.GI</v>
      </c>
      <c r="D123" s="35" t="str">
        <f>IF(C123="","",[1]!s_info_name(C123))</f>
        <v>东证二部指数</v>
      </c>
      <c r="E123" s="24">
        <f ca="1">IF(C123="","",[1]!s_dq_close(C123,$N$1))</f>
        <v>7228.27</v>
      </c>
      <c r="F123" s="28">
        <f ca="1">IF($C123=""," ",[1]!i_pq_pctchange($C123,F$6,$N$1))</f>
        <v>0</v>
      </c>
      <c r="G123" s="28">
        <f ca="1">IF($C123=""," ",[1]!i_pq_pctchange($C123,G$6,$N$1))</f>
        <v>0</v>
      </c>
      <c r="H123" s="28">
        <f ca="1">IF($C123=""," ",[1]!i_pq_pctchange($C123,H$6,$N$1))</f>
        <v>0</v>
      </c>
      <c r="I123" s="28">
        <f ca="1">IF($C123=""," ",[1]!i_pq_pctchange($C123,I$6,$N$1))</f>
        <v>0</v>
      </c>
      <c r="J123" s="28">
        <f ca="1">IF($C123=""," ",[1]!i_pq_pctchange($C123,J$6,$N$1))</f>
        <v>0</v>
      </c>
      <c r="K123" s="28">
        <f ca="1">IF($C123=""," ",[1]!i_pq_pctchange($C123,K$6,$N$1))</f>
        <v>0</v>
      </c>
      <c r="L123" s="28">
        <f ca="1">IF(C123=""," ",[1]!s_wq_pctchange($C123,$N$1))</f>
        <v>0</v>
      </c>
      <c r="M123" s="28">
        <f ca="1">IF(C123=""," ",[1]!s_mq_pctchange($C123,$N$1))</f>
        <v>0</v>
      </c>
      <c r="N123" s="28">
        <f ca="1">IF(C123=""," ",[1]!s_yq_pctchange($C123,$N$1))</f>
        <v>0</v>
      </c>
      <c r="O123" s="11"/>
      <c r="P123" s="7"/>
    </row>
    <row r="124" spans="1:16" x14ac:dyDescent="0.35">
      <c r="A124" s="7"/>
      <c r="C124" s="31" t="str">
        <f>IF(指数列表!B121="","",指数列表!B121)</f>
        <v>TWII.TW</v>
      </c>
      <c r="D124" s="36" t="str">
        <f>IF(C124="","",[1]!s_info_name(C124))</f>
        <v>台湾加权指数</v>
      </c>
      <c r="E124" s="25">
        <f ca="1">IF(C124="","",[1]!s_dq_close(C124,$N$1))</f>
        <v>22905.98</v>
      </c>
      <c r="F124" s="28">
        <f ca="1">IF($C124=""," ",[1]!i_pq_pctchange($C124,F$6,$N$1))</f>
        <v>-1.307910454063288</v>
      </c>
      <c r="G124" s="28">
        <f ca="1">IF($C124=""," ",[1]!i_pq_pctchange($C124,G$6,$N$1))</f>
        <v>6.216642074736578</v>
      </c>
      <c r="H124" s="28">
        <f ca="1">IF($C124=""," ",[1]!i_pq_pctchange($C124,H$6,$N$1))</f>
        <v>13.810107972130247</v>
      </c>
      <c r="I124" s="28">
        <f ca="1">IF($C124=""," ",[1]!i_pq_pctchange($C124,I$6,$N$1))</f>
        <v>29.035198259549922</v>
      </c>
      <c r="J124" s="28">
        <f ca="1">IF($C124=""," ",[1]!i_pq_pctchange($C124,J$6,$N$1))</f>
        <v>40.734096130085447</v>
      </c>
      <c r="K124" s="28">
        <f ca="1">IF($C124=""," ",[1]!i_pq_pctchange($C124,K$6,$N$1))</f>
        <v>34.273156365699741</v>
      </c>
      <c r="L124" s="28">
        <f ca="1">IF(C124=""," ",[1]!s_wq_pctchange($C124,$N$1))</f>
        <v>-0.95100112284702831</v>
      </c>
      <c r="M124" s="28">
        <f ca="1">IF(C124=""," ",[1]!s_mq_pctchange($C124,$N$1))</f>
        <v>8.7749631391380589</v>
      </c>
      <c r="N124" s="28">
        <f ca="1">IF(C124=""," ",[1]!s_yq_pctchange($C124,$N$1))</f>
        <v>28.450694642350214</v>
      </c>
      <c r="O124" s="11"/>
      <c r="P124" s="7"/>
    </row>
    <row r="125" spans="1:16" x14ac:dyDescent="0.35">
      <c r="A125" s="7"/>
      <c r="C125" s="30" t="str">
        <f>IF(指数列表!B122="","",指数列表!B122)</f>
        <v>TXEQ.GI</v>
      </c>
      <c r="D125" s="35" t="str">
        <f>IF(C125="","",[1]!s_info_name(C125))</f>
        <v>加拿大标普TSX</v>
      </c>
      <c r="E125" s="24">
        <f ca="1">IF(C125="","",[1]!s_dq_close(C125,$N$1))</f>
        <v>21007.57</v>
      </c>
      <c r="F125" s="28">
        <f ca="1">IF($C125=""," ",[1]!i_pq_pctchange($C125,F$6,$N$1))</f>
        <v>0</v>
      </c>
      <c r="G125" s="28">
        <f ca="1">IF($C125=""," ",[1]!i_pq_pctchange($C125,G$6,$N$1))</f>
        <v>0</v>
      </c>
      <c r="H125" s="28">
        <f ca="1">IF($C125=""," ",[1]!i_pq_pctchange($C125,H$6,$N$1))</f>
        <v>0</v>
      </c>
      <c r="I125" s="28">
        <f ca="1">IF($C125=""," ",[1]!i_pq_pctchange($C125,I$6,$N$1))</f>
        <v>0</v>
      </c>
      <c r="J125" s="28">
        <f ca="1">IF($C125=""," ",[1]!i_pq_pctchange($C125,J$6,$N$1))</f>
        <v>0</v>
      </c>
      <c r="K125" s="28">
        <f ca="1">IF($C125=""," ",[1]!i_pq_pctchange($C125,K$6,$N$1))</f>
        <v>0</v>
      </c>
      <c r="L125" s="28">
        <f ca="1">IF(C125=""," ",[1]!s_wq_pctchange($C125,$N$1))</f>
        <v>0</v>
      </c>
      <c r="M125" s="28">
        <f ca="1">IF(C125=""," ",[1]!s_mq_pctchange($C125,$N$1))</f>
        <v>0</v>
      </c>
      <c r="N125" s="28">
        <f ca="1">IF(C125=""," ",[1]!s_yq_pctchange($C125,$N$1))</f>
        <v>0</v>
      </c>
      <c r="O125" s="11"/>
      <c r="P125" s="7"/>
    </row>
    <row r="126" spans="1:16" x14ac:dyDescent="0.35">
      <c r="A126" s="7"/>
      <c r="C126" s="31" t="str">
        <f>IF(指数列表!B123="","",指数列表!B123)</f>
        <v>UX.GI</v>
      </c>
      <c r="D126" s="36" t="str">
        <f>IF(C126="","",[1]!s_info_name(C126))</f>
        <v>乌克兰股票指数</v>
      </c>
      <c r="E126" s="25">
        <f ca="1">IF(C126="","",[1]!s_dq_close(C126,$N$1))</f>
        <v>1194.1500000000001</v>
      </c>
      <c r="F126" s="28">
        <f ca="1">IF($C126=""," ",[1]!i_pq_pctchange($C126,F$6,$N$1))</f>
        <v>0</v>
      </c>
      <c r="G126" s="28">
        <f ca="1">IF($C126=""," ",[1]!i_pq_pctchange($C126,G$6,$N$1))</f>
        <v>-9.5052971399990795</v>
      </c>
      <c r="H126" s="28">
        <f ca="1">IF($C126=""," ",[1]!i_pq_pctchange($C126,H$6,$N$1))</f>
        <v>-13.751137561933923</v>
      </c>
      <c r="I126" s="28">
        <f ca="1">IF($C126=""," ",[1]!i_pq_pctchange($C126,I$6,$N$1))</f>
        <v>-30.692753253084771</v>
      </c>
      <c r="J126" s="28">
        <f ca="1">IF($C126=""," ",[1]!i_pq_pctchange($C126,J$6,$N$1))</f>
        <v>-44.26657207797966</v>
      </c>
      <c r="K126" s="28">
        <f ca="1">IF($C126=""," ",[1]!i_pq_pctchange($C126,K$6,$N$1))</f>
        <v>-21.145947516475395</v>
      </c>
      <c r="L126" s="28">
        <f ca="1">IF(C126=""," ",[1]!s_wq_pctchange($C126,$N$1))</f>
        <v>0</v>
      </c>
      <c r="M126" s="28">
        <f ca="1">IF(C126=""," ",[1]!s_mq_pctchange($C126,$N$1))</f>
        <v>3.6984612178262655</v>
      </c>
      <c r="N126" s="28">
        <f ca="1">IF(C126=""," ",[1]!s_yq_pctchange($C126,$N$1))</f>
        <v>-29.161253581534407</v>
      </c>
      <c r="O126" s="11"/>
      <c r="P126" s="7"/>
    </row>
    <row r="127" spans="1:16" x14ac:dyDescent="0.35">
      <c r="A127" s="7"/>
      <c r="C127" s="30" t="str">
        <f>IF(指数列表!B124="","",指数列表!B124)</f>
        <v>VHINDEX.GI</v>
      </c>
      <c r="D127" s="35" t="str">
        <f>IF(C127="","",[1]!s_info_name(C127))</f>
        <v>越南指数</v>
      </c>
      <c r="E127" s="24">
        <f ca="1">IF(C127="","",[1]!s_dq_close(C127,$N$1))</f>
        <v>240.07</v>
      </c>
      <c r="F127" s="28">
        <f ca="1">IF($C127=""," ",[1]!i_pq_pctchange($C127,F$6,$N$1))</f>
        <v>-1.436958574537095</v>
      </c>
      <c r="G127" s="28">
        <f ca="1">IF($C127=""," ",[1]!i_pq_pctchange($C127,G$6,$N$1))</f>
        <v>-0.68260797617077928</v>
      </c>
      <c r="H127" s="28">
        <f ca="1">IF($C127=""," ",[1]!i_pq_pctchange($C127,H$6,$N$1))</f>
        <v>-0.80981696483907184</v>
      </c>
      <c r="I127" s="28">
        <f ca="1">IF($C127=""," ",[1]!i_pq_pctchange($C127,I$6,$N$1))</f>
        <v>3.8095649917841312</v>
      </c>
      <c r="J127" s="28">
        <f ca="1">IF($C127=""," ",[1]!i_pq_pctchange($C127,J$6,$N$1))</f>
        <v>4.4918389553862959</v>
      </c>
      <c r="K127" s="28">
        <f ca="1">IF($C127=""," ",[1]!i_pq_pctchange($C127,K$6,$N$1))</f>
        <v>3.9219081425046598</v>
      </c>
      <c r="L127" s="28">
        <f ca="1">IF(C127=""," ",[1]!s_wq_pctchange($C127,$N$1))</f>
        <v>-1.7556064822393247</v>
      </c>
      <c r="M127" s="28">
        <f ca="1">IF(C127=""," ",[1]!s_mq_pctchange($C127,$N$1))</f>
        <v>-1.2423382286396056</v>
      </c>
      <c r="N127" s="28">
        <f ca="1">IF(C127=""," ",[1]!s_yq_pctchange($C127,$N$1))</f>
        <v>3.9084141274238204</v>
      </c>
      <c r="O127" s="11"/>
      <c r="P127" s="7"/>
    </row>
    <row r="128" spans="1:16" x14ac:dyDescent="0.35">
      <c r="A128" s="7"/>
      <c r="C128" s="31" t="str">
        <f>IF(指数列表!B125="","",指数列表!B125)</f>
        <v>VNINDEX.GI</v>
      </c>
      <c r="D128" s="36" t="str">
        <f>IF(C128="","",[1]!s_info_name(C128))</f>
        <v>胡志明指数</v>
      </c>
      <c r="E128" s="25">
        <f ca="1">IF(C128="","",[1]!s_dq_close(C128,$N$1))</f>
        <v>1259.0899999999999</v>
      </c>
      <c r="F128" s="28">
        <f ca="1">IF($C128=""," ",[1]!i_pq_pctchange($C128,F$6,$N$1))</f>
        <v>-1.6174528633604024</v>
      </c>
      <c r="G128" s="28">
        <f ca="1">IF($C128=""," ",[1]!i_pq_pctchange($C128,G$6,$N$1))</f>
        <v>-0.22505210273153775</v>
      </c>
      <c r="H128" s="28">
        <f ca="1">IF($C128=""," ",[1]!i_pq_pctchange($C128,H$6,$N$1))</f>
        <v>-1.8031367716676794</v>
      </c>
      <c r="I128" s="28">
        <f ca="1">IF($C128=""," ",[1]!i_pq_pctchange($C128,I$6,$N$1))</f>
        <v>12.193361550456672</v>
      </c>
      <c r="J128" s="28">
        <f ca="1">IF($C128=""," ",[1]!i_pq_pctchange($C128,J$6,$N$1))</f>
        <v>10.150823228876881</v>
      </c>
      <c r="K128" s="28">
        <f ca="1">IF($C128=""," ",[1]!i_pq_pctchange($C128,K$6,$N$1))</f>
        <v>11.22408416738072</v>
      </c>
      <c r="L128" s="28">
        <f ca="1">IF(C128=""," ",[1]!s_wq_pctchange($C128,$N$1))</f>
        <v>-2.8626698491443281</v>
      </c>
      <c r="M128" s="28">
        <f ca="1">IF(C128=""," ",[1]!s_mq_pctchange($C128,$N$1))</f>
        <v>-1.2998129537456826</v>
      </c>
      <c r="N128" s="28">
        <f ca="1">IF(C128=""," ",[1]!s_yq_pctchange($C128,$N$1))</f>
        <v>10.212137035037561</v>
      </c>
      <c r="O128" s="11"/>
      <c r="P128" s="7"/>
    </row>
    <row r="129" spans="1:16" x14ac:dyDescent="0.35">
      <c r="A129" s="7"/>
      <c r="C129" s="30" t="str">
        <f>IF(指数列表!B126="","",指数列表!B126)</f>
        <v>WBI.GI</v>
      </c>
      <c r="D129" s="35" t="str">
        <f>IF(C129="","",[1]!s_info_name(C129))</f>
        <v>奥地利指数</v>
      </c>
      <c r="E129" s="24">
        <f ca="1">IF(C129="","",[1]!s_dq_close(C129,$N$1))</f>
        <v>1433.91</v>
      </c>
      <c r="F129" s="28">
        <f ca="1">IF($C129=""," ",[1]!i_pq_pctchange($C129,F$6,$N$1))</f>
        <v>0.49197905935285391</v>
      </c>
      <c r="G129" s="28">
        <f ca="1">IF($C129=""," ",[1]!i_pq_pctchange($C129,G$6,$N$1))</f>
        <v>-2.6564112311953436</v>
      </c>
      <c r="H129" s="28">
        <f ca="1">IF($C129=""," ",[1]!i_pq_pctchange($C129,H$6,$N$1))</f>
        <v>3.0144760946873017</v>
      </c>
      <c r="I129" s="28">
        <f ca="1">IF($C129=""," ",[1]!i_pq_pctchange($C129,I$6,$N$1))</f>
        <v>4.87394589217931</v>
      </c>
      <c r="J129" s="28">
        <f ca="1">IF($C129=""," ",[1]!i_pq_pctchange($C129,J$6,$N$1))</f>
        <v>12.035597365357443</v>
      </c>
      <c r="K129" s="28">
        <f ca="1">IF($C129=""," ",[1]!i_pq_pctchange($C129,K$6,$N$1))</f>
        <v>14.96019433821585</v>
      </c>
      <c r="L129" s="28">
        <f ca="1">IF(C129=""," ",[1]!s_wq_pctchange($C129,$N$1))</f>
        <v>0.31481520347556025</v>
      </c>
      <c r="M129" s="28">
        <f ca="1">IF(C129=""," ",[1]!s_mq_pctchange($C129,$N$1))</f>
        <v>-1.5935434724424047</v>
      </c>
      <c r="N129" s="28">
        <f ca="1">IF(C129=""," ",[1]!s_yq_pctchange($C129,$N$1))</f>
        <v>4.1964597139867443</v>
      </c>
      <c r="O129" s="11"/>
      <c r="P129" s="7"/>
    </row>
    <row r="130" spans="1:16" x14ac:dyDescent="0.35">
      <c r="A130" s="7"/>
      <c r="C130" s="31" t="str">
        <f>IF(指数列表!B127="","",指数列表!B127)</f>
        <v>WIG.GI</v>
      </c>
      <c r="D130" s="36" t="str">
        <f>IF(C130="","",[1]!s_info_name(C130))</f>
        <v>华沙WIG</v>
      </c>
      <c r="E130" s="25">
        <f ca="1">IF(C130="","",[1]!s_dq_close(C130,$N$1))</f>
        <v>88135.13</v>
      </c>
      <c r="F130" s="28">
        <f ca="1">IF($C130=""," ",[1]!i_pq_pctchange($C130,F$6,$N$1))</f>
        <v>2.0250085054478451</v>
      </c>
      <c r="G130" s="28">
        <f ca="1">IF($C130=""," ",[1]!i_pq_pctchange($C130,G$6,$N$1))</f>
        <v>0.50756043587614208</v>
      </c>
      <c r="H130" s="28">
        <f ca="1">IF($C130=""," ",[1]!i_pq_pctchange($C130,H$6,$N$1))</f>
        <v>8.4255516088748585</v>
      </c>
      <c r="I130" s="28">
        <f ca="1">IF($C130=""," ",[1]!i_pq_pctchange($C130,I$6,$N$1))</f>
        <v>12.034582387531167</v>
      </c>
      <c r="J130" s="28">
        <f ca="1">IF($C130=""," ",[1]!i_pq_pctchange($C130,J$6,$N$1))</f>
        <v>34.025277949783515</v>
      </c>
      <c r="K130" s="28">
        <f ca="1">IF($C130=""," ",[1]!i_pq_pctchange($C130,K$6,$N$1))</f>
        <v>31.310668799179965</v>
      </c>
      <c r="L130" s="28">
        <f ca="1">IF(C130=""," ",[1]!s_wq_pctchange($C130,$N$1))</f>
        <v>1.9898256808000392</v>
      </c>
      <c r="M130" s="28">
        <f ca="1">IF(C130=""," ",[1]!s_mq_pctchange($C130,$N$1))</f>
        <v>2.1083989088372279</v>
      </c>
      <c r="N130" s="28">
        <f ca="1">IF(C130=""," ",[1]!s_yq_pctchange($C130,$N$1))</f>
        <v>12.331418682483841</v>
      </c>
      <c r="O130" s="11"/>
      <c r="P130" s="7"/>
    </row>
    <row r="131" spans="1:16" x14ac:dyDescent="0.35">
      <c r="A131" s="7"/>
      <c r="C131" s="30" t="str">
        <f>IF(指数列表!B128="","",指数列表!B128)</f>
        <v>WIG20.GI</v>
      </c>
      <c r="D131" s="35" t="str">
        <f>IF(C131="","",[1]!s_info_name(C131))</f>
        <v>华沙证交所领先20指</v>
      </c>
      <c r="E131" s="24">
        <f ca="1">IF(C131="","",[1]!s_dq_close(C131,$N$1))</f>
        <v>2547.7800000000002</v>
      </c>
      <c r="F131" s="28">
        <f ca="1">IF($C131=""," ",[1]!i_pq_pctchange($C131,F$6,$N$1))</f>
        <v>2.2490307977558022</v>
      </c>
      <c r="G131" s="28">
        <f ca="1">IF($C131=""," ",[1]!i_pq_pctchange($C131,G$6,$N$1))</f>
        <v>0.75055362227143263</v>
      </c>
      <c r="H131" s="28">
        <f ca="1">IF($C131=""," ",[1]!i_pq_pctchange($C131,H$6,$N$1))</f>
        <v>6.7070412625019005</v>
      </c>
      <c r="I131" s="28">
        <f ca="1">IF($C131=""," ",[1]!i_pq_pctchange($C131,I$6,$N$1))</f>
        <v>8.5686282865300445</v>
      </c>
      <c r="J131" s="28">
        <f ca="1">IF($C131=""," ",[1]!i_pq_pctchange($C131,J$6,$N$1))</f>
        <v>32.117484780286468</v>
      </c>
      <c r="K131" s="28">
        <f ca="1">IF($C131=""," ",[1]!i_pq_pctchange($C131,K$6,$N$1))</f>
        <v>23.171008803523364</v>
      </c>
      <c r="L131" s="28">
        <f ca="1">IF(C131=""," ",[1]!s_wq_pctchange($C131,$N$1))</f>
        <v>2.3241803920623694</v>
      </c>
      <c r="M131" s="28">
        <f ca="1">IF(C131=""," ",[1]!s_mq_pctchange($C131,$N$1))</f>
        <v>2.5044960229810176</v>
      </c>
      <c r="N131" s="28">
        <f ca="1">IF(C131=""," ",[1]!s_yq_pctchange($C131,$N$1))</f>
        <v>8.7405409327398154</v>
      </c>
      <c r="O131" s="11"/>
      <c r="P131" s="7"/>
    </row>
    <row r="132" spans="1:16" x14ac:dyDescent="0.35">
      <c r="A132" s="7"/>
      <c r="C132" s="31" t="str">
        <f>IF(指数列表!B129="","",指数列表!B129)</f>
        <v>XAX.GI</v>
      </c>
      <c r="D132" s="36" t="str">
        <f>IF(C132="","",[1]!s_info_name(C132))</f>
        <v>美国AMEX综合</v>
      </c>
      <c r="E132" s="25">
        <f ca="1">IF(C132="","",[1]!s_dq_close(C132,$N$1))</f>
        <v>4852.5</v>
      </c>
      <c r="F132" s="28">
        <f ca="1">IF($C132=""," ",[1]!i_pq_pctchange($C132,F$6,$N$1))</f>
        <v>3.9560053472269763</v>
      </c>
      <c r="G132" s="28">
        <f ca="1">IF($C132=""," ",[1]!i_pq_pctchange($C132,G$6,$N$1))</f>
        <v>-0.93178226837126177</v>
      </c>
      <c r="H132" s="28">
        <f ca="1">IF($C132=""," ",[1]!i_pq_pctchange($C132,H$6,$N$1))</f>
        <v>0.87162228176702605</v>
      </c>
      <c r="I132" s="28">
        <f ca="1">IF($C132=""," ",[1]!i_pq_pctchange($C132,I$6,$N$1))</f>
        <v>4.7427246707160808</v>
      </c>
      <c r="J132" s="28">
        <f ca="1">IF($C132=""," ",[1]!i_pq_pctchange($C132,J$6,$N$1))</f>
        <v>7.208190462724029</v>
      </c>
      <c r="K132" s="28">
        <f ca="1">IF($C132=""," ",[1]!i_pq_pctchange($C132,K$6,$N$1))</f>
        <v>18.709787900286234</v>
      </c>
      <c r="L132" s="28">
        <f ca="1">IF(C132=""," ",[1]!s_wq_pctchange($C132,$N$1))</f>
        <v>3.4822496753184495</v>
      </c>
      <c r="M132" s="28">
        <f ca="1">IF(C132=""," ",[1]!s_mq_pctchange($C132,$N$1))</f>
        <v>-2.4727014006547976</v>
      </c>
      <c r="N132" s="28">
        <f ca="1">IF(C132=""," ",[1]!s_yq_pctchange($C132,$N$1))</f>
        <v>5.6195476153163115</v>
      </c>
      <c r="O132" s="11"/>
      <c r="P132" s="7"/>
    </row>
    <row r="133" spans="1:16" x14ac:dyDescent="0.35">
      <c r="A133" s="7"/>
      <c r="C133" s="30" t="str">
        <f>IF(指数列表!B130="","",指数列表!B130)</f>
        <v>XMI.GI</v>
      </c>
      <c r="D133" s="35" t="str">
        <f>IF(C133="","",[1]!s_info_name(C133))</f>
        <v>美国ARCA主要市场</v>
      </c>
      <c r="E133" s="24">
        <f ca="1">IF(C133="","",[1]!s_dq_close(C133,$N$1))</f>
        <v>3650.67</v>
      </c>
      <c r="F133" s="28">
        <f ca="1">IF($C133=""," ",[1]!i_pq_pctchange($C133,F$6,$N$1))</f>
        <v>0.64844299243207448</v>
      </c>
      <c r="G133" s="28">
        <f ca="1">IF($C133=""," ",[1]!i_pq_pctchange($C133,G$6,$N$1))</f>
        <v>0.3673044090275468</v>
      </c>
      <c r="H133" s="28">
        <f ca="1">IF($C133=""," ",[1]!i_pq_pctchange($C133,H$6,$N$1))</f>
        <v>0.8544812610850494</v>
      </c>
      <c r="I133" s="28">
        <f ca="1">IF($C133=""," ",[1]!i_pq_pctchange($C133,I$6,$N$1))</f>
        <v>7.9853048619964451</v>
      </c>
      <c r="J133" s="28">
        <f ca="1">IF($C133=""," ",[1]!i_pq_pctchange($C133,J$6,$N$1))</f>
        <v>19.03569437243835</v>
      </c>
      <c r="K133" s="28">
        <f ca="1">IF($C133=""," ",[1]!i_pq_pctchange($C133,K$6,$N$1))</f>
        <v>17.583001584663549</v>
      </c>
      <c r="L133" s="28">
        <f ca="1">IF(C133=""," ",[1]!s_wq_pctchange($C133,$N$1))</f>
        <v>-0.19056003324547932</v>
      </c>
      <c r="M133" s="28">
        <f ca="1">IF(C133=""," ",[1]!s_mq_pctchange($C133,$N$1))</f>
        <v>0.49246031964500503</v>
      </c>
      <c r="N133" s="28">
        <f ca="1">IF(C133=""," ",[1]!s_yq_pctchange($C133,$N$1))</f>
        <v>7.7500892833425317</v>
      </c>
      <c r="O133" s="11"/>
      <c r="P133" s="7"/>
    </row>
    <row r="134" spans="1:16" x14ac:dyDescent="0.35">
      <c r="A134" s="7"/>
      <c r="C134" s="31" t="str">
        <f>IF(指数列表!B131="","",指数列表!B131)</f>
        <v>XU030.GI</v>
      </c>
      <c r="D134" s="36" t="str">
        <f>IF(C134="","",[1]!s_info_name(C134))</f>
        <v>伊斯坦布尔证交所全国30指数</v>
      </c>
      <c r="E134" s="25">
        <f ca="1">IF(C134="","",[1]!s_dq_close(C134,$N$1))</f>
        <v>11649.55</v>
      </c>
      <c r="F134" s="28">
        <f ca="1">IF($C134=""," ",[1]!i_pq_pctchange($C134,F$6,$N$1))</f>
        <v>2.0770189905638503</v>
      </c>
      <c r="G134" s="28">
        <f ca="1">IF($C134=""," ",[1]!i_pq_pctchange($C134,G$6,$N$1))</f>
        <v>-0.16274529632671619</v>
      </c>
      <c r="H134" s="28">
        <f ca="1">IF($C134=""," ",[1]!i_pq_pctchange($C134,H$6,$N$1))</f>
        <v>22.39326422311947</v>
      </c>
      <c r="I134" s="28">
        <f ca="1">IF($C134=""," ",[1]!i_pq_pctchange($C134,I$6,$N$1))</f>
        <v>46.430232411981343</v>
      </c>
      <c r="J134" s="28">
        <f ca="1">IF($C134=""," ",[1]!i_pq_pctchange($C134,J$6,$N$1))</f>
        <v>34.712698174080955</v>
      </c>
      <c r="K134" s="28">
        <f ca="1">IF($C134=""," ",[1]!i_pq_pctchange($C134,K$6,$N$1))</f>
        <v>82.087095700233988</v>
      </c>
      <c r="L134" s="28">
        <f ca="1">IF(C134=""," ",[1]!s_wq_pctchange($C134,$N$1))</f>
        <v>-0.85514675281681551</v>
      </c>
      <c r="M134" s="28">
        <f ca="1">IF(C134=""," ",[1]!s_mq_pctchange($C134,$N$1))</f>
        <v>2.1049328667001488</v>
      </c>
      <c r="N134" s="28">
        <f ca="1">IF(C134=""," ",[1]!s_yq_pctchange($C134,$N$1))</f>
        <v>45.242470788304345</v>
      </c>
      <c r="O134" s="11"/>
      <c r="P134" s="7"/>
    </row>
    <row r="135" spans="1:16" x14ac:dyDescent="0.35">
      <c r="A135" s="7"/>
      <c r="C135" s="30" t="str">
        <f>IF(指数列表!B132="","",指数列表!B132)</f>
        <v>XU100.GI</v>
      </c>
      <c r="D135" s="35" t="str">
        <f>IF(C135="","",[1]!s_info_name(C135))</f>
        <v>伊斯坦堡ISE100</v>
      </c>
      <c r="E135" s="24">
        <f ca="1">IF(C135="","",[1]!s_dq_close(C135,$N$1))</f>
        <v>10680.91</v>
      </c>
      <c r="F135" s="28">
        <f ca="1">IF($C135=""," ",[1]!i_pq_pctchange($C135,F$6,$N$1))</f>
        <v>2.0015623627202661</v>
      </c>
      <c r="G135" s="28">
        <f ca="1">IF($C135=""," ",[1]!i_pq_pctchange($C135,G$6,$N$1))</f>
        <v>3.9900155947791838E-2</v>
      </c>
      <c r="H135" s="28">
        <f ca="1">IF($C135=""," ",[1]!i_pq_pctchange($C135,H$6,$N$1))</f>
        <v>21.272273933905428</v>
      </c>
      <c r="I135" s="28">
        <f ca="1">IF($C135=""," ",[1]!i_pq_pctchange($C135,I$6,$N$1))</f>
        <v>46.327265653148999</v>
      </c>
      <c r="J135" s="28">
        <f ca="1">IF($C135=""," ",[1]!i_pq_pctchange($C135,J$6,$N$1))</f>
        <v>29.587152067515454</v>
      </c>
      <c r="K135" s="28">
        <f ca="1">IF($C135=""," ",[1]!i_pq_pctchange($C135,K$6,$N$1))</f>
        <v>86.310323294132445</v>
      </c>
      <c r="L135" s="28">
        <f ca="1">IF(C135=""," ",[1]!s_wq_pctchange($C135,$N$1))</f>
        <v>-0.83972683115224322</v>
      </c>
      <c r="M135" s="28">
        <f ca="1">IF(C135=""," ",[1]!s_mq_pctchange($C135,$N$1))</f>
        <v>2.6963178622525064</v>
      </c>
      <c r="N135" s="28">
        <f ca="1">IF(C135=""," ",[1]!s_yq_pctchange($C135,$N$1))</f>
        <v>42.980624295532351</v>
      </c>
      <c r="O135" s="11"/>
      <c r="P135" s="7"/>
    </row>
    <row r="136" spans="1:16" x14ac:dyDescent="0.35">
      <c r="A136" s="7"/>
      <c r="C136" s="31" t="str">
        <f>IF(指数列表!B133="","",指数列表!B133)</f>
        <v/>
      </c>
      <c r="D136" s="36" t="str">
        <f>IF(C136="","",[1]!s_info_name(C136))</f>
        <v/>
      </c>
      <c r="E136" s="25" t="str">
        <f>IF(C136="","",[1]!s_dq_close(C136,$N$1))</f>
        <v/>
      </c>
      <c r="F136" s="28" t="str">
        <f>IF($C136=""," ",[1]!i_pq_pctchange($C136,F$6,$N$1))</f>
        <v xml:space="preserve"> </v>
      </c>
      <c r="G136" s="28" t="str">
        <f>IF($C136=""," ",[1]!i_pq_pctchange($C136,G$6,$N$1))</f>
        <v xml:space="preserve"> </v>
      </c>
      <c r="H136" s="28" t="str">
        <f>IF($C136=""," ",[1]!i_pq_pctchange($C136,H$6,$N$1))</f>
        <v xml:space="preserve"> </v>
      </c>
      <c r="I136" s="28" t="str">
        <f>IF($C136=""," ",[1]!i_pq_pctchange($C136,I$6,$N$1))</f>
        <v xml:space="preserve"> </v>
      </c>
      <c r="J136" s="28" t="str">
        <f>IF($C136=""," ",[1]!i_pq_pctchange($C136,J$6,$N$1))</f>
        <v xml:space="preserve"> </v>
      </c>
      <c r="K136" s="28" t="str">
        <f>IF($C136=""," ",[1]!i_pq_pctchange($C136,K$6,$N$1))</f>
        <v xml:space="preserve"> </v>
      </c>
      <c r="L136" s="28" t="str">
        <f>IF(C136=""," ",[1]!s_wq_pctchange($C136,$N$1))</f>
        <v xml:space="preserve"> </v>
      </c>
      <c r="M136" s="28" t="str">
        <f>IF(C136=""," ",[1]!s_mq_pctchange($C136,$N$1))</f>
        <v xml:space="preserve"> </v>
      </c>
      <c r="N136" s="28" t="str">
        <f>IF(C136=""," ",[1]!s_yq_pctchange($C136,$N$1))</f>
        <v xml:space="preserve"> </v>
      </c>
      <c r="O136" s="11"/>
      <c r="P136" s="7"/>
    </row>
    <row r="137" spans="1:16" x14ac:dyDescent="0.35">
      <c r="A137" s="7"/>
      <c r="C137" s="30" t="str">
        <f>IF(指数列表!B134="","",指数列表!B134)</f>
        <v/>
      </c>
      <c r="D137" s="35" t="str">
        <f>IF(C137="","",[1]!s_info_name(C137))</f>
        <v/>
      </c>
      <c r="E137" s="24" t="str">
        <f>IF(C137="","",[1]!s_dq_close(C137,$N$1))</f>
        <v/>
      </c>
      <c r="F137" s="28" t="str">
        <f>IF($C137=""," ",[1]!i_pq_pctchange($C137,F$6,$N$1))</f>
        <v xml:space="preserve"> </v>
      </c>
      <c r="G137" s="28" t="str">
        <f>IF($C137=""," ",[1]!i_pq_pctchange($C137,G$6,$N$1))</f>
        <v xml:space="preserve"> </v>
      </c>
      <c r="H137" s="28" t="str">
        <f>IF($C137=""," ",[1]!i_pq_pctchange($C137,H$6,$N$1))</f>
        <v xml:space="preserve"> </v>
      </c>
      <c r="I137" s="28" t="str">
        <f>IF($C137=""," ",[1]!i_pq_pctchange($C137,I$6,$N$1))</f>
        <v xml:space="preserve"> </v>
      </c>
      <c r="J137" s="28" t="str">
        <f>IF($C137=""," ",[1]!i_pq_pctchange($C137,J$6,$N$1))</f>
        <v xml:space="preserve"> </v>
      </c>
      <c r="K137" s="28" t="str">
        <f>IF($C137=""," ",[1]!i_pq_pctchange($C137,K$6,$N$1))</f>
        <v xml:space="preserve"> </v>
      </c>
      <c r="L137" s="28" t="str">
        <f>IF(C137=""," ",[1]!s_wq_pctchange($C137,$N$1))</f>
        <v xml:space="preserve"> </v>
      </c>
      <c r="M137" s="28" t="str">
        <f>IF(C137=""," ",[1]!s_mq_pctchange($C137,$N$1))</f>
        <v xml:space="preserve"> </v>
      </c>
      <c r="N137" s="28" t="str">
        <f>IF(C137=""," ",[1]!s_yq_pctchange($C137,$N$1))</f>
        <v xml:space="preserve"> </v>
      </c>
      <c r="O137" s="11"/>
      <c r="P137" s="7"/>
    </row>
    <row r="138" spans="1:16" x14ac:dyDescent="0.35">
      <c r="A138" s="7"/>
      <c r="C138" s="31" t="str">
        <f>IF(指数列表!B135="","",指数列表!B135)</f>
        <v/>
      </c>
      <c r="D138" s="36" t="str">
        <f>IF(C138="","",[1]!s_info_name(C138))</f>
        <v/>
      </c>
      <c r="E138" s="25" t="str">
        <f>IF(C138="","",[1]!s_dq_close(C138,$N$1))</f>
        <v/>
      </c>
      <c r="F138" s="28" t="str">
        <f>IF($C138=""," ",[1]!i_pq_pctchange($C138,F$6,$N$1))</f>
        <v xml:space="preserve"> </v>
      </c>
      <c r="G138" s="28" t="str">
        <f>IF($C138=""," ",[1]!i_pq_pctchange($C138,G$6,$N$1))</f>
        <v xml:space="preserve"> </v>
      </c>
      <c r="H138" s="28" t="str">
        <f>IF($C138=""," ",[1]!i_pq_pctchange($C138,H$6,$N$1))</f>
        <v xml:space="preserve"> </v>
      </c>
      <c r="I138" s="28" t="str">
        <f>IF($C138=""," ",[1]!i_pq_pctchange($C138,I$6,$N$1))</f>
        <v xml:space="preserve"> </v>
      </c>
      <c r="J138" s="28" t="str">
        <f>IF($C138=""," ",[1]!i_pq_pctchange($C138,J$6,$N$1))</f>
        <v xml:space="preserve"> </v>
      </c>
      <c r="K138" s="28" t="str">
        <f>IF($C138=""," ",[1]!i_pq_pctchange($C138,K$6,$N$1))</f>
        <v xml:space="preserve"> </v>
      </c>
      <c r="L138" s="28" t="str">
        <f>IF(C138=""," ",[1]!s_wq_pctchange($C138,$N$1))</f>
        <v xml:space="preserve"> </v>
      </c>
      <c r="M138" s="28" t="str">
        <f>IF(C138=""," ",[1]!s_mq_pctchange($C138,$N$1))</f>
        <v xml:space="preserve"> </v>
      </c>
      <c r="N138" s="28" t="str">
        <f>IF(C138=""," ",[1]!s_yq_pctchange($C138,$N$1))</f>
        <v xml:space="preserve"> </v>
      </c>
      <c r="O138" s="11"/>
      <c r="P138" s="7"/>
    </row>
    <row r="139" spans="1:16" x14ac:dyDescent="0.35">
      <c r="A139" s="7"/>
      <c r="C139" s="30" t="str">
        <f>IF(指数列表!B136="","",指数列表!B136)</f>
        <v/>
      </c>
      <c r="D139" s="35" t="str">
        <f>IF(C139="","",[1]!s_info_name(C139))</f>
        <v/>
      </c>
      <c r="E139" s="24" t="str">
        <f>IF(C139="","",[1]!s_dq_close(C139,$N$1))</f>
        <v/>
      </c>
      <c r="F139" s="28" t="str">
        <f>IF($C139=""," ",[1]!i_pq_pctchange($C139,F$6,$N$1))</f>
        <v xml:space="preserve"> </v>
      </c>
      <c r="G139" s="28" t="str">
        <f>IF($C139=""," ",[1]!i_pq_pctchange($C139,G$6,$N$1))</f>
        <v xml:space="preserve"> </v>
      </c>
      <c r="H139" s="28" t="str">
        <f>IF($C139=""," ",[1]!i_pq_pctchange($C139,H$6,$N$1))</f>
        <v xml:space="preserve"> </v>
      </c>
      <c r="I139" s="28" t="str">
        <f>IF($C139=""," ",[1]!i_pq_pctchange($C139,I$6,$N$1))</f>
        <v xml:space="preserve"> </v>
      </c>
      <c r="J139" s="28" t="str">
        <f>IF($C139=""," ",[1]!i_pq_pctchange($C139,J$6,$N$1))</f>
        <v xml:space="preserve"> </v>
      </c>
      <c r="K139" s="28" t="str">
        <f>IF($C139=""," ",[1]!i_pq_pctchange($C139,K$6,$N$1))</f>
        <v xml:space="preserve"> </v>
      </c>
      <c r="L139" s="28" t="str">
        <f>IF(C139=""," ",[1]!s_wq_pctchange($C139,$N$1))</f>
        <v xml:space="preserve"> </v>
      </c>
      <c r="M139" s="28" t="str">
        <f>IF(C139=""," ",[1]!s_mq_pctchange($C139,$N$1))</f>
        <v xml:space="preserve"> </v>
      </c>
      <c r="N139" s="28" t="str">
        <f>IF(C139=""," ",[1]!s_yq_pctchange($C139,$N$1))</f>
        <v xml:space="preserve"> </v>
      </c>
      <c r="O139" s="11"/>
      <c r="P139" s="7"/>
    </row>
    <row r="140" spans="1:16" x14ac:dyDescent="0.35">
      <c r="A140" s="7"/>
      <c r="C140" s="31" t="str">
        <f>IF(指数列表!B137="","",指数列表!B137)</f>
        <v/>
      </c>
      <c r="D140" s="36" t="str">
        <f>IF(C140="","",[1]!s_info_name(C140))</f>
        <v/>
      </c>
      <c r="E140" s="25" t="str">
        <f>IF(C140="","",[1]!s_dq_close(C140,$N$1))</f>
        <v/>
      </c>
      <c r="F140" s="28" t="str">
        <f>IF($C140=""," ",[1]!i_pq_pctchange($C140,F$6,$N$1))</f>
        <v xml:space="preserve"> </v>
      </c>
      <c r="G140" s="28" t="str">
        <f>IF($C140=""," ",[1]!i_pq_pctchange($C140,G$6,$N$1))</f>
        <v xml:space="preserve"> </v>
      </c>
      <c r="H140" s="28" t="str">
        <f>IF($C140=""," ",[1]!i_pq_pctchange($C140,H$6,$N$1))</f>
        <v xml:space="preserve"> </v>
      </c>
      <c r="I140" s="28" t="str">
        <f>IF($C140=""," ",[1]!i_pq_pctchange($C140,I$6,$N$1))</f>
        <v xml:space="preserve"> </v>
      </c>
      <c r="J140" s="28" t="str">
        <f>IF($C140=""," ",[1]!i_pq_pctchange($C140,J$6,$N$1))</f>
        <v xml:space="preserve"> </v>
      </c>
      <c r="K140" s="28" t="str">
        <f>IF($C140=""," ",[1]!i_pq_pctchange($C140,K$6,$N$1))</f>
        <v xml:space="preserve"> </v>
      </c>
      <c r="L140" s="28" t="str">
        <f>IF(C140=""," ",[1]!s_wq_pctchange($C140,$N$1))</f>
        <v xml:space="preserve"> </v>
      </c>
      <c r="M140" s="28" t="str">
        <f>IF(C140=""," ",[1]!s_mq_pctchange($C140,$N$1))</f>
        <v xml:space="preserve"> </v>
      </c>
      <c r="N140" s="28" t="str">
        <f>IF(C140=""," ",[1]!s_yq_pctchange($C140,$N$1))</f>
        <v xml:space="preserve"> </v>
      </c>
      <c r="O140" s="11"/>
      <c r="P140" s="7"/>
    </row>
    <row r="141" spans="1:16" x14ac:dyDescent="0.35">
      <c r="A141" s="7"/>
      <c r="C141" s="30" t="str">
        <f>IF(指数列表!B138="","",指数列表!B138)</f>
        <v/>
      </c>
      <c r="D141" s="35" t="str">
        <f>IF(C141="","",[1]!s_info_name(C141))</f>
        <v/>
      </c>
      <c r="E141" s="24" t="str">
        <f>IF(C141="","",[1]!s_dq_close(C141,$N$1))</f>
        <v/>
      </c>
      <c r="F141" s="28" t="str">
        <f>IF($C141=""," ",[1]!i_pq_pctchange($C141,F$6,$N$1))</f>
        <v xml:space="preserve"> </v>
      </c>
      <c r="G141" s="28" t="str">
        <f>IF($C141=""," ",[1]!i_pq_pctchange($C141,G$6,$N$1))</f>
        <v xml:space="preserve"> </v>
      </c>
      <c r="H141" s="28" t="str">
        <f>IF($C141=""," ",[1]!i_pq_pctchange($C141,H$6,$N$1))</f>
        <v xml:space="preserve"> </v>
      </c>
      <c r="I141" s="28" t="str">
        <f>IF($C141=""," ",[1]!i_pq_pctchange($C141,I$6,$N$1))</f>
        <v xml:space="preserve"> </v>
      </c>
      <c r="J141" s="28" t="str">
        <f>IF($C141=""," ",[1]!i_pq_pctchange($C141,J$6,$N$1))</f>
        <v xml:space="preserve"> </v>
      </c>
      <c r="K141" s="28" t="str">
        <f>IF($C141=""," ",[1]!i_pq_pctchange($C141,K$6,$N$1))</f>
        <v xml:space="preserve"> </v>
      </c>
      <c r="L141" s="28" t="str">
        <f>IF(C141=""," ",[1]!s_wq_pctchange($C141,$N$1))</f>
        <v xml:space="preserve"> </v>
      </c>
      <c r="M141" s="28" t="str">
        <f>IF(C141=""," ",[1]!s_mq_pctchange($C141,$N$1))</f>
        <v xml:space="preserve"> </v>
      </c>
      <c r="N141" s="28" t="str">
        <f>IF(C141=""," ",[1]!s_yq_pctchange($C141,$N$1))</f>
        <v xml:space="preserve"> </v>
      </c>
      <c r="O141" s="11"/>
      <c r="P141" s="7"/>
    </row>
    <row r="142" spans="1:16" x14ac:dyDescent="0.35">
      <c r="A142" s="7"/>
      <c r="C142" s="31" t="str">
        <f>IF(指数列表!B139="","",指数列表!B139)</f>
        <v/>
      </c>
      <c r="D142" s="36" t="str">
        <f>IF(C142="","",[1]!s_info_name(C142))</f>
        <v/>
      </c>
      <c r="E142" s="25" t="str">
        <f>IF(C142="","",[1]!s_dq_close(C142,$N$1))</f>
        <v/>
      </c>
      <c r="F142" s="28" t="str">
        <f>IF($C142=""," ",[1]!i_pq_pctchange($C142,F$6,$N$1))</f>
        <v xml:space="preserve"> </v>
      </c>
      <c r="G142" s="28" t="str">
        <f>IF($C142=""," ",[1]!i_pq_pctchange($C142,G$6,$N$1))</f>
        <v xml:space="preserve"> </v>
      </c>
      <c r="H142" s="28" t="str">
        <f>IF($C142=""," ",[1]!i_pq_pctchange($C142,H$6,$N$1))</f>
        <v xml:space="preserve"> </v>
      </c>
      <c r="I142" s="28" t="str">
        <f>IF($C142=""," ",[1]!i_pq_pctchange($C142,I$6,$N$1))</f>
        <v xml:space="preserve"> </v>
      </c>
      <c r="J142" s="28" t="str">
        <f>IF($C142=""," ",[1]!i_pq_pctchange($C142,J$6,$N$1))</f>
        <v xml:space="preserve"> </v>
      </c>
      <c r="K142" s="28" t="str">
        <f>IF($C142=""," ",[1]!i_pq_pctchange($C142,K$6,$N$1))</f>
        <v xml:space="preserve"> </v>
      </c>
      <c r="L142" s="28" t="str">
        <f>IF(C142=""," ",[1]!s_wq_pctchange($C142,$N$1))</f>
        <v xml:space="preserve"> </v>
      </c>
      <c r="M142" s="28" t="str">
        <f>IF(C142=""," ",[1]!s_mq_pctchange($C142,$N$1))</f>
        <v xml:space="preserve"> </v>
      </c>
      <c r="N142" s="28" t="str">
        <f>IF(C142=""," ",[1]!s_yq_pctchange($C142,$N$1))</f>
        <v xml:space="preserve"> </v>
      </c>
      <c r="O142" s="11"/>
      <c r="P142" s="7"/>
    </row>
    <row r="143" spans="1:16" x14ac:dyDescent="0.35">
      <c r="A143" s="7"/>
      <c r="C143" s="30" t="str">
        <f>IF(指数列表!B140="","",指数列表!B140)</f>
        <v/>
      </c>
      <c r="D143" s="35" t="str">
        <f>IF(C143="","",[1]!s_info_name(C143))</f>
        <v/>
      </c>
      <c r="E143" s="24" t="str">
        <f>IF(C143="","",[1]!s_dq_close(C143,$N$1))</f>
        <v/>
      </c>
      <c r="F143" s="28" t="str">
        <f>IF($C143=""," ",[1]!i_pq_pctchange($C143,F$6,$N$1))</f>
        <v xml:space="preserve"> </v>
      </c>
      <c r="G143" s="28" t="str">
        <f>IF($C143=""," ",[1]!i_pq_pctchange($C143,G$6,$N$1))</f>
        <v xml:space="preserve"> </v>
      </c>
      <c r="H143" s="28" t="str">
        <f>IF($C143=""," ",[1]!i_pq_pctchange($C143,H$6,$N$1))</f>
        <v xml:space="preserve"> </v>
      </c>
      <c r="I143" s="28" t="str">
        <f>IF($C143=""," ",[1]!i_pq_pctchange($C143,I$6,$N$1))</f>
        <v xml:space="preserve"> </v>
      </c>
      <c r="J143" s="28" t="str">
        <f>IF($C143=""," ",[1]!i_pq_pctchange($C143,J$6,$N$1))</f>
        <v xml:space="preserve"> </v>
      </c>
      <c r="K143" s="28" t="str">
        <f>IF($C143=""," ",[1]!i_pq_pctchange($C143,K$6,$N$1))</f>
        <v xml:space="preserve"> </v>
      </c>
      <c r="L143" s="28" t="str">
        <f>IF(C143=""," ",[1]!s_wq_pctchange($C143,$N$1))</f>
        <v xml:space="preserve"> </v>
      </c>
      <c r="M143" s="28" t="str">
        <f>IF(C143=""," ",[1]!s_mq_pctchange($C143,$N$1))</f>
        <v xml:space="preserve"> </v>
      </c>
      <c r="N143" s="28" t="str">
        <f>IF(C143=""," ",[1]!s_yq_pctchange($C143,$N$1))</f>
        <v xml:space="preserve"> </v>
      </c>
      <c r="O143" s="11"/>
      <c r="P143" s="7"/>
    </row>
    <row r="144" spans="1:16" x14ac:dyDescent="0.35">
      <c r="A144" s="7"/>
      <c r="C144" s="31" t="str">
        <f>IF(指数列表!B141="","",指数列表!B141)</f>
        <v/>
      </c>
      <c r="D144" s="36" t="str">
        <f>IF(C144="","",[1]!s_info_name(C144))</f>
        <v/>
      </c>
      <c r="E144" s="25" t="str">
        <f>IF(C144="","",[1]!s_dq_close(C144,$N$1))</f>
        <v/>
      </c>
      <c r="F144" s="28" t="str">
        <f>IF($C144=""," ",[1]!i_pq_pctchange($C144,F$6,$N$1))</f>
        <v xml:space="preserve"> </v>
      </c>
      <c r="G144" s="28" t="str">
        <f>IF($C144=""," ",[1]!i_pq_pctchange($C144,G$6,$N$1))</f>
        <v xml:space="preserve"> </v>
      </c>
      <c r="H144" s="28" t="str">
        <f>IF($C144=""," ",[1]!i_pq_pctchange($C144,H$6,$N$1))</f>
        <v xml:space="preserve"> </v>
      </c>
      <c r="I144" s="28" t="str">
        <f>IF($C144=""," ",[1]!i_pq_pctchange($C144,I$6,$N$1))</f>
        <v xml:space="preserve"> </v>
      </c>
      <c r="J144" s="28" t="str">
        <f>IF($C144=""," ",[1]!i_pq_pctchange($C144,J$6,$N$1))</f>
        <v xml:space="preserve"> </v>
      </c>
      <c r="K144" s="28" t="str">
        <f>IF($C144=""," ",[1]!i_pq_pctchange($C144,K$6,$N$1))</f>
        <v xml:space="preserve"> </v>
      </c>
      <c r="L144" s="28" t="str">
        <f>IF(C144=""," ",[1]!s_wq_pctchange($C144,$N$1))</f>
        <v xml:space="preserve"> </v>
      </c>
      <c r="M144" s="28" t="str">
        <f>IF(C144=""," ",[1]!s_mq_pctchange($C144,$N$1))</f>
        <v xml:space="preserve"> </v>
      </c>
      <c r="N144" s="28" t="str">
        <f>IF(C144=""," ",[1]!s_yq_pctchange($C144,$N$1))</f>
        <v xml:space="preserve"> </v>
      </c>
      <c r="O144" s="11"/>
      <c r="P144" s="7"/>
    </row>
    <row r="145" spans="1:16" x14ac:dyDescent="0.35">
      <c r="A145" s="7"/>
      <c r="C145" s="30" t="str">
        <f>IF(指数列表!B142="","",指数列表!B142)</f>
        <v/>
      </c>
      <c r="D145" s="35" t="str">
        <f>IF(C145="","",[1]!s_info_name(C145))</f>
        <v/>
      </c>
      <c r="E145" s="24" t="str">
        <f>IF(C145="","",[1]!s_dq_close(C145,$N$1))</f>
        <v/>
      </c>
      <c r="F145" s="28" t="str">
        <f>IF($C145=""," ",[1]!i_pq_pctchange($C145,F$6,$N$1))</f>
        <v xml:space="preserve"> </v>
      </c>
      <c r="G145" s="28" t="str">
        <f>IF($C145=""," ",[1]!i_pq_pctchange($C145,G$6,$N$1))</f>
        <v xml:space="preserve"> </v>
      </c>
      <c r="H145" s="28" t="str">
        <f>IF($C145=""," ",[1]!i_pq_pctchange($C145,H$6,$N$1))</f>
        <v xml:space="preserve"> </v>
      </c>
      <c r="I145" s="28" t="str">
        <f>IF($C145=""," ",[1]!i_pq_pctchange($C145,I$6,$N$1))</f>
        <v xml:space="preserve"> </v>
      </c>
      <c r="J145" s="28" t="str">
        <f>IF($C145=""," ",[1]!i_pq_pctchange($C145,J$6,$N$1))</f>
        <v xml:space="preserve"> </v>
      </c>
      <c r="K145" s="28" t="str">
        <f>IF($C145=""," ",[1]!i_pq_pctchange($C145,K$6,$N$1))</f>
        <v xml:space="preserve"> </v>
      </c>
      <c r="L145" s="28" t="str">
        <f>IF(C145=""," ",[1]!s_wq_pctchange($C145,$N$1))</f>
        <v xml:space="preserve"> </v>
      </c>
      <c r="M145" s="28" t="str">
        <f>IF(C145=""," ",[1]!s_mq_pctchange($C145,$N$1))</f>
        <v xml:space="preserve"> </v>
      </c>
      <c r="N145" s="28" t="str">
        <f>IF(C145=""," ",[1]!s_yq_pctchange($C145,$N$1))</f>
        <v xml:space="preserve"> </v>
      </c>
      <c r="O145" s="11"/>
      <c r="P145" s="7"/>
    </row>
    <row r="146" spans="1:16" x14ac:dyDescent="0.35">
      <c r="A146" s="7"/>
      <c r="C146" s="31" t="str">
        <f>IF(指数列表!B143="","",指数列表!B143)</f>
        <v/>
      </c>
      <c r="D146" s="36" t="str">
        <f>IF(C146="","",[1]!s_info_name(C146))</f>
        <v/>
      </c>
      <c r="E146" s="25" t="str">
        <f>IF(C146="","",[1]!s_dq_close(C146,$N$1))</f>
        <v/>
      </c>
      <c r="F146" s="28" t="str">
        <f>IF($C146=""," ",[1]!i_pq_pctchange($C146,F$6,$N$1))</f>
        <v xml:space="preserve"> </v>
      </c>
      <c r="G146" s="28" t="str">
        <f>IF($C146=""," ",[1]!i_pq_pctchange($C146,G$6,$N$1))</f>
        <v xml:space="preserve"> </v>
      </c>
      <c r="H146" s="28" t="str">
        <f>IF($C146=""," ",[1]!i_pq_pctchange($C146,H$6,$N$1))</f>
        <v xml:space="preserve"> </v>
      </c>
      <c r="I146" s="28" t="str">
        <f>IF($C146=""," ",[1]!i_pq_pctchange($C146,I$6,$N$1))</f>
        <v xml:space="preserve"> </v>
      </c>
      <c r="J146" s="28" t="str">
        <f>IF($C146=""," ",[1]!i_pq_pctchange($C146,J$6,$N$1))</f>
        <v xml:space="preserve"> </v>
      </c>
      <c r="K146" s="28" t="str">
        <f>IF($C146=""," ",[1]!i_pq_pctchange($C146,K$6,$N$1))</f>
        <v xml:space="preserve"> </v>
      </c>
      <c r="L146" s="28" t="str">
        <f>IF(C146=""," ",[1]!s_wq_pctchange($C146,$N$1))</f>
        <v xml:space="preserve"> </v>
      </c>
      <c r="M146" s="28" t="str">
        <f>IF(C146=""," ",[1]!s_mq_pctchange($C146,$N$1))</f>
        <v xml:space="preserve"> </v>
      </c>
      <c r="N146" s="28" t="str">
        <f>IF(C146=""," ",[1]!s_yq_pctchange($C146,$N$1))</f>
        <v xml:space="preserve"> </v>
      </c>
      <c r="O146" s="11"/>
      <c r="P146" s="7"/>
    </row>
    <row r="147" spans="1:16" x14ac:dyDescent="0.35">
      <c r="A147" s="7"/>
      <c r="C147" s="30" t="str">
        <f>IF(指数列表!B144="","",指数列表!B144)</f>
        <v/>
      </c>
      <c r="D147" s="35" t="str">
        <f>IF(C147="","",[1]!s_info_name(C147))</f>
        <v/>
      </c>
      <c r="E147" s="24" t="str">
        <f>IF(C147="","",[1]!s_dq_close(C147,$N$1))</f>
        <v/>
      </c>
      <c r="F147" s="28" t="str">
        <f>IF($C147=""," ",[1]!i_pq_pctchange($C147,F$6,$N$1))</f>
        <v xml:space="preserve"> </v>
      </c>
      <c r="G147" s="28" t="str">
        <f>IF($C147=""," ",[1]!i_pq_pctchange($C147,G$6,$N$1))</f>
        <v xml:space="preserve"> </v>
      </c>
      <c r="H147" s="28" t="str">
        <f>IF($C147=""," ",[1]!i_pq_pctchange($C147,H$6,$N$1))</f>
        <v xml:space="preserve"> </v>
      </c>
      <c r="I147" s="28" t="str">
        <f>IF($C147=""," ",[1]!i_pq_pctchange($C147,I$6,$N$1))</f>
        <v xml:space="preserve"> </v>
      </c>
      <c r="J147" s="28" t="str">
        <f>IF($C147=""," ",[1]!i_pq_pctchange($C147,J$6,$N$1))</f>
        <v xml:space="preserve"> </v>
      </c>
      <c r="K147" s="28" t="str">
        <f>IF($C147=""," ",[1]!i_pq_pctchange($C147,K$6,$N$1))</f>
        <v xml:space="preserve"> </v>
      </c>
      <c r="L147" s="28" t="str">
        <f>IF(C147=""," ",[1]!s_wq_pctchange($C147,$N$1))</f>
        <v xml:space="preserve"> </v>
      </c>
      <c r="M147" s="28" t="str">
        <f>IF(C147=""," ",[1]!s_mq_pctchange($C147,$N$1))</f>
        <v xml:space="preserve"> </v>
      </c>
      <c r="N147" s="28" t="str">
        <f>IF(C147=""," ",[1]!s_yq_pctchange($C147,$N$1))</f>
        <v xml:space="preserve"> </v>
      </c>
      <c r="O147" s="11"/>
      <c r="P147" s="7"/>
    </row>
    <row r="148" spans="1:16" x14ac:dyDescent="0.35">
      <c r="A148" s="7"/>
      <c r="C148" s="31" t="str">
        <f>IF(指数列表!B145="","",指数列表!B145)</f>
        <v/>
      </c>
      <c r="D148" s="36" t="str">
        <f>IF(C148="","",[1]!s_info_name(C148))</f>
        <v/>
      </c>
      <c r="E148" s="25" t="str">
        <f>IF(C148="","",[1]!s_dq_close(C148,$N$1))</f>
        <v/>
      </c>
      <c r="F148" s="28" t="str">
        <f>IF($C148=""," ",[1]!i_pq_pctchange($C148,F$6,$N$1))</f>
        <v xml:space="preserve"> </v>
      </c>
      <c r="G148" s="28" t="str">
        <f>IF($C148=""," ",[1]!i_pq_pctchange($C148,G$6,$N$1))</f>
        <v xml:space="preserve"> </v>
      </c>
      <c r="H148" s="28" t="str">
        <f>IF($C148=""," ",[1]!i_pq_pctchange($C148,H$6,$N$1))</f>
        <v xml:space="preserve"> </v>
      </c>
      <c r="I148" s="28" t="str">
        <f>IF($C148=""," ",[1]!i_pq_pctchange($C148,I$6,$N$1))</f>
        <v xml:space="preserve"> </v>
      </c>
      <c r="J148" s="28" t="str">
        <f>IF($C148=""," ",[1]!i_pq_pctchange($C148,J$6,$N$1))</f>
        <v xml:space="preserve"> </v>
      </c>
      <c r="K148" s="28" t="str">
        <f>IF($C148=""," ",[1]!i_pq_pctchange($C148,K$6,$N$1))</f>
        <v xml:space="preserve"> </v>
      </c>
      <c r="L148" s="28" t="str">
        <f>IF(C148=""," ",[1]!s_wq_pctchange($C148,$N$1))</f>
        <v xml:space="preserve"> </v>
      </c>
      <c r="M148" s="28" t="str">
        <f>IF(C148=""," ",[1]!s_mq_pctchange($C148,$N$1))</f>
        <v xml:space="preserve"> </v>
      </c>
      <c r="N148" s="28" t="str">
        <f>IF(C148=""," ",[1]!s_yq_pctchange($C148,$N$1))</f>
        <v xml:space="preserve"> </v>
      </c>
      <c r="O148" s="11"/>
      <c r="P148" s="7"/>
    </row>
    <row r="149" spans="1:16" x14ac:dyDescent="0.35">
      <c r="A149" s="7"/>
      <c r="C149" s="30" t="str">
        <f>IF(指数列表!B146="","",指数列表!B146)</f>
        <v/>
      </c>
      <c r="D149" s="35" t="str">
        <f>IF(C149="","",[1]!s_info_name(C149))</f>
        <v/>
      </c>
      <c r="E149" s="24" t="str">
        <f>IF(C149="","",[1]!s_dq_close(C149,$N$1))</f>
        <v/>
      </c>
      <c r="F149" s="28" t="str">
        <f>IF($C149=""," ",[1]!i_pq_pctchange($C149,F$6,$N$1))</f>
        <v xml:space="preserve"> </v>
      </c>
      <c r="G149" s="28" t="str">
        <f>IF($C149=""," ",[1]!i_pq_pctchange($C149,G$6,$N$1))</f>
        <v xml:space="preserve"> </v>
      </c>
      <c r="H149" s="28" t="str">
        <f>IF($C149=""," ",[1]!i_pq_pctchange($C149,H$6,$N$1))</f>
        <v xml:space="preserve"> </v>
      </c>
      <c r="I149" s="28" t="str">
        <f>IF($C149=""," ",[1]!i_pq_pctchange($C149,I$6,$N$1))</f>
        <v xml:space="preserve"> </v>
      </c>
      <c r="J149" s="28" t="str">
        <f>IF($C149=""," ",[1]!i_pq_pctchange($C149,J$6,$N$1))</f>
        <v xml:space="preserve"> </v>
      </c>
      <c r="K149" s="28" t="str">
        <f>IF($C149=""," ",[1]!i_pq_pctchange($C149,K$6,$N$1))</f>
        <v xml:space="preserve"> </v>
      </c>
      <c r="L149" s="28" t="str">
        <f>IF(C149=""," ",[1]!s_wq_pctchange($C149,$N$1))</f>
        <v xml:space="preserve"> </v>
      </c>
      <c r="M149" s="28" t="str">
        <f>IF(C149=""," ",[1]!s_mq_pctchange($C149,$N$1))</f>
        <v xml:space="preserve"> </v>
      </c>
      <c r="N149" s="28" t="str">
        <f>IF(C149=""," ",[1]!s_yq_pctchange($C149,$N$1))</f>
        <v xml:space="preserve"> </v>
      </c>
      <c r="O149" s="11"/>
      <c r="P149" s="7"/>
    </row>
    <row r="150" spans="1:16" x14ac:dyDescent="0.35">
      <c r="A150" s="7"/>
      <c r="C150" s="31" t="str">
        <f>IF(指数列表!B147="","",指数列表!B147)</f>
        <v/>
      </c>
      <c r="D150" s="36" t="str">
        <f>IF(C150="","",[1]!s_info_name(C150))</f>
        <v/>
      </c>
      <c r="E150" s="25" t="str">
        <f>IF(C150="","",[1]!s_dq_close(C150,$N$1))</f>
        <v/>
      </c>
      <c r="F150" s="28" t="str">
        <f>IF($C150=""," ",[1]!i_pq_pctchange($C150,F$6,$N$1))</f>
        <v xml:space="preserve"> </v>
      </c>
      <c r="G150" s="28" t="str">
        <f>IF($C150=""," ",[1]!i_pq_pctchange($C150,G$6,$N$1))</f>
        <v xml:space="preserve"> </v>
      </c>
      <c r="H150" s="28" t="str">
        <f>IF($C150=""," ",[1]!i_pq_pctchange($C150,H$6,$N$1))</f>
        <v xml:space="preserve"> </v>
      </c>
      <c r="I150" s="28" t="str">
        <f>IF($C150=""," ",[1]!i_pq_pctchange($C150,I$6,$N$1))</f>
        <v xml:space="preserve"> </v>
      </c>
      <c r="J150" s="28" t="str">
        <f>IF($C150=""," ",[1]!i_pq_pctchange($C150,J$6,$N$1))</f>
        <v xml:space="preserve"> </v>
      </c>
      <c r="K150" s="28" t="str">
        <f>IF($C150=""," ",[1]!i_pq_pctchange($C150,K$6,$N$1))</f>
        <v xml:space="preserve"> </v>
      </c>
      <c r="L150" s="28" t="str">
        <f>IF(C150=""," ",[1]!s_wq_pctchange($C150,$N$1))</f>
        <v xml:space="preserve"> </v>
      </c>
      <c r="M150" s="28" t="str">
        <f>IF(C150=""," ",[1]!s_mq_pctchange($C150,$N$1))</f>
        <v xml:space="preserve"> </v>
      </c>
      <c r="N150" s="28" t="str">
        <f>IF(C150=""," ",[1]!s_yq_pctchange($C150,$N$1))</f>
        <v xml:space="preserve"> </v>
      </c>
      <c r="O150" s="11"/>
      <c r="P150" s="7"/>
    </row>
    <row r="151" spans="1:16" x14ac:dyDescent="0.35">
      <c r="A151" s="7"/>
      <c r="C151" s="30" t="str">
        <f>IF(指数列表!B148="","",指数列表!B148)</f>
        <v/>
      </c>
      <c r="D151" s="35" t="str">
        <f>IF(C151="","",[1]!s_info_name(C151))</f>
        <v/>
      </c>
      <c r="E151" s="24" t="str">
        <f>IF(C151="","",[1]!s_dq_close(C151,$N$1))</f>
        <v/>
      </c>
      <c r="F151" s="28" t="str">
        <f>IF($C151=""," ",[1]!i_pq_pctchange($C151,F$6,$N$1))</f>
        <v xml:space="preserve"> </v>
      </c>
      <c r="G151" s="28" t="str">
        <f>IF($C151=""," ",[1]!i_pq_pctchange($C151,G$6,$N$1))</f>
        <v xml:space="preserve"> </v>
      </c>
      <c r="H151" s="28" t="str">
        <f>IF($C151=""," ",[1]!i_pq_pctchange($C151,H$6,$N$1))</f>
        <v xml:space="preserve"> </v>
      </c>
      <c r="I151" s="28" t="str">
        <f>IF($C151=""," ",[1]!i_pq_pctchange($C151,I$6,$N$1))</f>
        <v xml:space="preserve"> </v>
      </c>
      <c r="J151" s="28" t="str">
        <f>IF($C151=""," ",[1]!i_pq_pctchange($C151,J$6,$N$1))</f>
        <v xml:space="preserve"> </v>
      </c>
      <c r="K151" s="28" t="str">
        <f>IF($C151=""," ",[1]!i_pq_pctchange($C151,K$6,$N$1))</f>
        <v xml:space="preserve"> </v>
      </c>
      <c r="L151" s="28" t="str">
        <f>IF(C151=""," ",[1]!s_wq_pctchange($C151,$N$1))</f>
        <v xml:space="preserve"> </v>
      </c>
      <c r="M151" s="28" t="str">
        <f>IF(C151=""," ",[1]!s_mq_pctchange($C151,$N$1))</f>
        <v xml:space="preserve"> </v>
      </c>
      <c r="N151" s="28" t="str">
        <f>IF(C151=""," ",[1]!s_yq_pctchange($C151,$N$1))</f>
        <v xml:space="preserve"> </v>
      </c>
      <c r="O151" s="11"/>
      <c r="P151" s="7"/>
    </row>
    <row r="152" spans="1:16" x14ac:dyDescent="0.35">
      <c r="A152" s="7"/>
      <c r="C152" s="31" t="str">
        <f>IF(指数列表!B149="","",指数列表!B149)</f>
        <v/>
      </c>
      <c r="D152" s="36" t="str">
        <f>IF(C152="","",[1]!s_info_name(C152))</f>
        <v/>
      </c>
      <c r="E152" s="25" t="str">
        <f>IF(C152="","",[1]!s_dq_close(C152,$N$1))</f>
        <v/>
      </c>
      <c r="F152" s="28" t="str">
        <f>IF($C152=""," ",[1]!i_pq_pctchange($C152,F$6,$N$1))</f>
        <v xml:space="preserve"> </v>
      </c>
      <c r="G152" s="28" t="str">
        <f>IF($C152=""," ",[1]!i_pq_pctchange($C152,G$6,$N$1))</f>
        <v xml:space="preserve"> </v>
      </c>
      <c r="H152" s="28" t="str">
        <f>IF($C152=""," ",[1]!i_pq_pctchange($C152,H$6,$N$1))</f>
        <v xml:space="preserve"> </v>
      </c>
      <c r="I152" s="28" t="str">
        <f>IF($C152=""," ",[1]!i_pq_pctchange($C152,I$6,$N$1))</f>
        <v xml:space="preserve"> </v>
      </c>
      <c r="J152" s="28" t="str">
        <f>IF($C152=""," ",[1]!i_pq_pctchange($C152,J$6,$N$1))</f>
        <v xml:space="preserve"> </v>
      </c>
      <c r="K152" s="28" t="str">
        <f>IF($C152=""," ",[1]!i_pq_pctchange($C152,K$6,$N$1))</f>
        <v xml:space="preserve"> </v>
      </c>
      <c r="L152" s="28" t="str">
        <f>IF(C152=""," ",[1]!s_wq_pctchange($C152,$N$1))</f>
        <v xml:space="preserve"> </v>
      </c>
      <c r="M152" s="28" t="str">
        <f>IF(C152=""," ",[1]!s_mq_pctchange($C152,$N$1))</f>
        <v xml:space="preserve"> </v>
      </c>
      <c r="N152" s="28" t="str">
        <f>IF(C152=""," ",[1]!s_yq_pctchange($C152,$N$1))</f>
        <v xml:space="preserve"> </v>
      </c>
      <c r="O152" s="11"/>
      <c r="P152" s="7"/>
    </row>
    <row r="153" spans="1:16" x14ac:dyDescent="0.35">
      <c r="A153" s="7"/>
      <c r="C153" s="30" t="str">
        <f>IF(指数列表!B150="","",指数列表!B150)</f>
        <v/>
      </c>
      <c r="D153" s="35" t="str">
        <f>IF(C153="","",[1]!s_info_name(C153))</f>
        <v/>
      </c>
      <c r="E153" s="24" t="str">
        <f>IF(C153="","",[1]!s_dq_close(C153,$N$1))</f>
        <v/>
      </c>
      <c r="F153" s="28" t="str">
        <f>IF($C153=""," ",[1]!i_pq_pctchange($C153,F$6,$N$1))</f>
        <v xml:space="preserve"> </v>
      </c>
      <c r="G153" s="28" t="str">
        <f>IF($C153=""," ",[1]!i_pq_pctchange($C153,G$6,$N$1))</f>
        <v xml:space="preserve"> </v>
      </c>
      <c r="H153" s="28" t="str">
        <f>IF($C153=""," ",[1]!i_pq_pctchange($C153,H$6,$N$1))</f>
        <v xml:space="preserve"> </v>
      </c>
      <c r="I153" s="28" t="str">
        <f>IF($C153=""," ",[1]!i_pq_pctchange($C153,I$6,$N$1))</f>
        <v xml:space="preserve"> </v>
      </c>
      <c r="J153" s="28" t="str">
        <f>IF($C153=""," ",[1]!i_pq_pctchange($C153,J$6,$N$1))</f>
        <v xml:space="preserve"> </v>
      </c>
      <c r="K153" s="28" t="str">
        <f>IF($C153=""," ",[1]!i_pq_pctchange($C153,K$6,$N$1))</f>
        <v xml:space="preserve"> </v>
      </c>
      <c r="L153" s="28" t="str">
        <f>IF(C153=""," ",[1]!s_wq_pctchange($C153,$N$1))</f>
        <v xml:space="preserve"> </v>
      </c>
      <c r="M153" s="28" t="str">
        <f>IF(C153=""," ",[1]!s_mq_pctchange($C153,$N$1))</f>
        <v xml:space="preserve"> </v>
      </c>
      <c r="N153" s="28" t="str">
        <f>IF(C153=""," ",[1]!s_yq_pctchange($C153,$N$1))</f>
        <v xml:space="preserve"> </v>
      </c>
      <c r="O153" s="11"/>
      <c r="P153" s="7"/>
    </row>
    <row r="154" spans="1:16" x14ac:dyDescent="0.35">
      <c r="A154" s="7"/>
      <c r="C154" s="31" t="str">
        <f>IF(指数列表!B151="","",指数列表!B151)</f>
        <v/>
      </c>
      <c r="D154" s="36" t="str">
        <f>IF(C154="","",[1]!s_info_name(C154))</f>
        <v/>
      </c>
      <c r="E154" s="25" t="str">
        <f>IF(C154="","",[1]!s_dq_close(C154,$N$1))</f>
        <v/>
      </c>
      <c r="F154" s="28" t="str">
        <f>IF($C154=""," ",[1]!i_pq_pctchange($C154,F$6,$N$1))</f>
        <v xml:space="preserve"> </v>
      </c>
      <c r="G154" s="28" t="str">
        <f>IF($C154=""," ",[1]!i_pq_pctchange($C154,G$6,$N$1))</f>
        <v xml:space="preserve"> </v>
      </c>
      <c r="H154" s="28" t="str">
        <f>IF($C154=""," ",[1]!i_pq_pctchange($C154,H$6,$N$1))</f>
        <v xml:space="preserve"> </v>
      </c>
      <c r="I154" s="28" t="str">
        <f>IF($C154=""," ",[1]!i_pq_pctchange($C154,I$6,$N$1))</f>
        <v xml:space="preserve"> </v>
      </c>
      <c r="J154" s="28" t="str">
        <f>IF($C154=""," ",[1]!i_pq_pctchange($C154,J$6,$N$1))</f>
        <v xml:space="preserve"> </v>
      </c>
      <c r="K154" s="28" t="str">
        <f>IF($C154=""," ",[1]!i_pq_pctchange($C154,K$6,$N$1))</f>
        <v xml:space="preserve"> </v>
      </c>
      <c r="L154" s="28" t="str">
        <f>IF(C154=""," ",[1]!s_wq_pctchange($C154,$N$1))</f>
        <v xml:space="preserve"> </v>
      </c>
      <c r="M154" s="28" t="str">
        <f>IF(C154=""," ",[1]!s_mq_pctchange($C154,$N$1))</f>
        <v xml:space="preserve"> </v>
      </c>
      <c r="N154" s="28" t="str">
        <f>IF(C154=""," ",[1]!s_yq_pctchange($C154,$N$1))</f>
        <v xml:space="preserve"> </v>
      </c>
      <c r="O154" s="11"/>
      <c r="P154" s="7"/>
    </row>
    <row r="155" spans="1:16" x14ac:dyDescent="0.35">
      <c r="A155" s="7"/>
      <c r="C155" s="30" t="str">
        <f>IF(指数列表!B152="","",指数列表!B152)</f>
        <v/>
      </c>
      <c r="D155" s="35" t="str">
        <f>IF(C155="","",[1]!s_info_name(C155))</f>
        <v/>
      </c>
      <c r="E155" s="24" t="str">
        <f>IF(C155="","",[1]!s_dq_close(C155,$N$1))</f>
        <v/>
      </c>
      <c r="F155" s="28" t="str">
        <f>IF($C155=""," ",[1]!i_pq_pctchange($C155,F$6,$N$1))</f>
        <v xml:space="preserve"> </v>
      </c>
      <c r="G155" s="28" t="str">
        <f>IF($C155=""," ",[1]!i_pq_pctchange($C155,G$6,$N$1))</f>
        <v xml:space="preserve"> </v>
      </c>
      <c r="H155" s="28" t="str">
        <f>IF($C155=""," ",[1]!i_pq_pctchange($C155,H$6,$N$1))</f>
        <v xml:space="preserve"> </v>
      </c>
      <c r="I155" s="28" t="str">
        <f>IF($C155=""," ",[1]!i_pq_pctchange($C155,I$6,$N$1))</f>
        <v xml:space="preserve"> </v>
      </c>
      <c r="J155" s="28" t="str">
        <f>IF($C155=""," ",[1]!i_pq_pctchange($C155,J$6,$N$1))</f>
        <v xml:space="preserve"> </v>
      </c>
      <c r="K155" s="28" t="str">
        <f>IF($C155=""," ",[1]!i_pq_pctchange($C155,K$6,$N$1))</f>
        <v xml:space="preserve"> </v>
      </c>
      <c r="L155" s="28" t="str">
        <f>IF(C155=""," ",[1]!s_wq_pctchange($C155,$N$1))</f>
        <v xml:space="preserve"> </v>
      </c>
      <c r="M155" s="28" t="str">
        <f>IF(C155=""," ",[1]!s_mq_pctchange($C155,$N$1))</f>
        <v xml:space="preserve"> </v>
      </c>
      <c r="N155" s="28" t="str">
        <f>IF(C155=""," ",[1]!s_yq_pctchange($C155,$N$1))</f>
        <v xml:space="preserve"> </v>
      </c>
      <c r="O155" s="11"/>
      <c r="P155" s="7"/>
    </row>
    <row r="156" spans="1:16" x14ac:dyDescent="0.35">
      <c r="A156" s="7"/>
      <c r="C156" s="31" t="str">
        <f>IF(指数列表!B153="","",指数列表!B153)</f>
        <v/>
      </c>
      <c r="D156" s="36" t="str">
        <f>IF(C156="","",[1]!s_info_name(C156))</f>
        <v/>
      </c>
      <c r="E156" s="25" t="str">
        <f>IF(C156="","",[1]!s_dq_close(C156,$N$1))</f>
        <v/>
      </c>
      <c r="F156" s="28" t="str">
        <f>IF($C156=""," ",[1]!i_pq_pctchange($C156,F$6,$N$1))</f>
        <v xml:space="preserve"> </v>
      </c>
      <c r="G156" s="28" t="str">
        <f>IF($C156=""," ",[1]!i_pq_pctchange($C156,G$6,$N$1))</f>
        <v xml:space="preserve"> </v>
      </c>
      <c r="H156" s="28" t="str">
        <f>IF($C156=""," ",[1]!i_pq_pctchange($C156,H$6,$N$1))</f>
        <v xml:space="preserve"> </v>
      </c>
      <c r="I156" s="28" t="str">
        <f>IF($C156=""," ",[1]!i_pq_pctchange($C156,I$6,$N$1))</f>
        <v xml:space="preserve"> </v>
      </c>
      <c r="J156" s="28" t="str">
        <f>IF($C156=""," ",[1]!i_pq_pctchange($C156,J$6,$N$1))</f>
        <v xml:space="preserve"> </v>
      </c>
      <c r="K156" s="28" t="str">
        <f>IF($C156=""," ",[1]!i_pq_pctchange($C156,K$6,$N$1))</f>
        <v xml:space="preserve"> </v>
      </c>
      <c r="L156" s="28" t="str">
        <f>IF(C156=""," ",[1]!s_wq_pctchange($C156,$N$1))</f>
        <v xml:space="preserve"> </v>
      </c>
      <c r="M156" s="28" t="str">
        <f>IF(C156=""," ",[1]!s_mq_pctchange($C156,$N$1))</f>
        <v xml:space="preserve"> </v>
      </c>
      <c r="N156" s="28" t="str">
        <f>IF(C156=""," ",[1]!s_yq_pctchange($C156,$N$1))</f>
        <v xml:space="preserve"> </v>
      </c>
      <c r="O156" s="11"/>
      <c r="P156" s="7"/>
    </row>
    <row r="157" spans="1:16" x14ac:dyDescent="0.35">
      <c r="A157" s="7"/>
      <c r="C157" s="30" t="str">
        <f>IF(指数列表!B154="","",指数列表!B154)</f>
        <v/>
      </c>
      <c r="D157" s="35" t="str">
        <f>IF(C157="","",[1]!s_info_name(C157))</f>
        <v/>
      </c>
      <c r="E157" s="24" t="str">
        <f>IF(C157="","",[1]!s_dq_close(C157,$N$1))</f>
        <v/>
      </c>
      <c r="F157" s="28" t="str">
        <f>IF($C157=""," ",[1]!i_pq_pctchange($C157,F$6,$N$1))</f>
        <v xml:space="preserve"> </v>
      </c>
      <c r="G157" s="28" t="str">
        <f>IF($C157=""," ",[1]!i_pq_pctchange($C157,G$6,$N$1))</f>
        <v xml:space="preserve"> </v>
      </c>
      <c r="H157" s="28" t="str">
        <f>IF($C157=""," ",[1]!i_pq_pctchange($C157,H$6,$N$1))</f>
        <v xml:space="preserve"> </v>
      </c>
      <c r="I157" s="28" t="str">
        <f>IF($C157=""," ",[1]!i_pq_pctchange($C157,I$6,$N$1))</f>
        <v xml:space="preserve"> </v>
      </c>
      <c r="J157" s="28" t="str">
        <f>IF($C157=""," ",[1]!i_pq_pctchange($C157,J$6,$N$1))</f>
        <v xml:space="preserve"> </v>
      </c>
      <c r="K157" s="28" t="str">
        <f>IF($C157=""," ",[1]!i_pq_pctchange($C157,K$6,$N$1))</f>
        <v xml:space="preserve"> </v>
      </c>
      <c r="L157" s="28" t="str">
        <f>IF(C157=""," ",[1]!s_wq_pctchange($C157,$N$1))</f>
        <v xml:space="preserve"> </v>
      </c>
      <c r="M157" s="28" t="str">
        <f>IF(C157=""," ",[1]!s_mq_pctchange($C157,$N$1))</f>
        <v xml:space="preserve"> </v>
      </c>
      <c r="N157" s="28" t="str">
        <f>IF(C157=""," ",[1]!s_yq_pctchange($C157,$N$1))</f>
        <v xml:space="preserve"> </v>
      </c>
      <c r="O157" s="11"/>
      <c r="P157" s="7"/>
    </row>
    <row r="158" spans="1:16" x14ac:dyDescent="0.35">
      <c r="A158" s="7"/>
      <c r="C158" s="31" t="str">
        <f>IF(指数列表!B155="","",指数列表!B155)</f>
        <v/>
      </c>
      <c r="D158" s="36" t="str">
        <f>IF(C158="","",[1]!s_info_name(C158))</f>
        <v/>
      </c>
      <c r="E158" s="25" t="str">
        <f>IF(C158="","",[1]!s_dq_close(C158,$N$1))</f>
        <v/>
      </c>
      <c r="F158" s="28" t="str">
        <f>IF($C158=""," ",[1]!i_pq_pctchange($C158,F$6,$N$1))</f>
        <v xml:space="preserve"> </v>
      </c>
      <c r="G158" s="28" t="str">
        <f>IF($C158=""," ",[1]!i_pq_pctchange($C158,G$6,$N$1))</f>
        <v xml:space="preserve"> </v>
      </c>
      <c r="H158" s="28" t="str">
        <f>IF($C158=""," ",[1]!i_pq_pctchange($C158,H$6,$N$1))</f>
        <v xml:space="preserve"> </v>
      </c>
      <c r="I158" s="28" t="str">
        <f>IF($C158=""," ",[1]!i_pq_pctchange($C158,I$6,$N$1))</f>
        <v xml:space="preserve"> </v>
      </c>
      <c r="J158" s="28" t="str">
        <f>IF($C158=""," ",[1]!i_pq_pctchange($C158,J$6,$N$1))</f>
        <v xml:space="preserve"> </v>
      </c>
      <c r="K158" s="28" t="str">
        <f>IF($C158=""," ",[1]!i_pq_pctchange($C158,K$6,$N$1))</f>
        <v xml:space="preserve"> </v>
      </c>
      <c r="L158" s="28" t="str">
        <f>IF(C158=""," ",[1]!s_wq_pctchange($C158,$N$1))</f>
        <v xml:space="preserve"> </v>
      </c>
      <c r="M158" s="28" t="str">
        <f>IF(C158=""," ",[1]!s_mq_pctchange($C158,$N$1))</f>
        <v xml:space="preserve"> </v>
      </c>
      <c r="N158" s="28" t="str">
        <f>IF(C158=""," ",[1]!s_yq_pctchange($C158,$N$1))</f>
        <v xml:space="preserve"> </v>
      </c>
      <c r="O158" s="11"/>
      <c r="P158" s="7"/>
    </row>
    <row r="159" spans="1:16" x14ac:dyDescent="0.35">
      <c r="A159" s="7"/>
      <c r="C159" s="30" t="str">
        <f>IF(指数列表!B156="","",指数列表!B156)</f>
        <v/>
      </c>
      <c r="D159" s="35" t="str">
        <f>IF(C159="","",[1]!s_info_name(C159))</f>
        <v/>
      </c>
      <c r="E159" s="24" t="str">
        <f>IF(C159="","",[1]!s_dq_close(C159,$N$1))</f>
        <v/>
      </c>
      <c r="F159" s="28" t="str">
        <f>IF($C159=""," ",[1]!i_pq_pctchange($C159,F$6,$N$1))</f>
        <v xml:space="preserve"> </v>
      </c>
      <c r="G159" s="28" t="str">
        <f>IF($C159=""," ",[1]!i_pq_pctchange($C159,G$6,$N$1))</f>
        <v xml:space="preserve"> </v>
      </c>
      <c r="H159" s="28" t="str">
        <f>IF($C159=""," ",[1]!i_pq_pctchange($C159,H$6,$N$1))</f>
        <v xml:space="preserve"> </v>
      </c>
      <c r="I159" s="28" t="str">
        <f>IF($C159=""," ",[1]!i_pq_pctchange($C159,I$6,$N$1))</f>
        <v xml:space="preserve"> </v>
      </c>
      <c r="J159" s="28" t="str">
        <f>IF($C159=""," ",[1]!i_pq_pctchange($C159,J$6,$N$1))</f>
        <v xml:space="preserve"> </v>
      </c>
      <c r="K159" s="28" t="str">
        <f>IF($C159=""," ",[1]!i_pq_pctchange($C159,K$6,$N$1))</f>
        <v xml:space="preserve"> </v>
      </c>
      <c r="L159" s="28" t="str">
        <f>IF(C159=""," ",[1]!s_wq_pctchange($C159,$N$1))</f>
        <v xml:space="preserve"> </v>
      </c>
      <c r="M159" s="28" t="str">
        <f>IF(C159=""," ",[1]!s_mq_pctchange($C159,$N$1))</f>
        <v xml:space="preserve"> </v>
      </c>
      <c r="N159" s="28" t="str">
        <f>IF(C159=""," ",[1]!s_yq_pctchange($C159,$N$1))</f>
        <v xml:space="preserve"> </v>
      </c>
      <c r="O159" s="11"/>
      <c r="P159" s="7"/>
    </row>
    <row r="160" spans="1:16" x14ac:dyDescent="0.35">
      <c r="A160" s="7"/>
      <c r="C160" s="31" t="str">
        <f>IF(指数列表!B157="","",指数列表!B157)</f>
        <v/>
      </c>
      <c r="D160" s="36" t="str">
        <f>IF(C160="","",[1]!s_info_name(C160))</f>
        <v/>
      </c>
      <c r="E160" s="25" t="str">
        <f>IF(C160="","",[1]!s_dq_close(C160,$N$1))</f>
        <v/>
      </c>
      <c r="F160" s="28" t="str">
        <f>IF($C160=""," ",[1]!i_pq_pctchange($C160,F$6,$N$1))</f>
        <v xml:space="preserve"> </v>
      </c>
      <c r="G160" s="28" t="str">
        <f>IF($C160=""," ",[1]!i_pq_pctchange($C160,G$6,$N$1))</f>
        <v xml:space="preserve"> </v>
      </c>
      <c r="H160" s="28" t="str">
        <f>IF($C160=""," ",[1]!i_pq_pctchange($C160,H$6,$N$1))</f>
        <v xml:space="preserve"> </v>
      </c>
      <c r="I160" s="28" t="str">
        <f>IF($C160=""," ",[1]!i_pq_pctchange($C160,I$6,$N$1))</f>
        <v xml:space="preserve"> </v>
      </c>
      <c r="J160" s="28" t="str">
        <f>IF($C160=""," ",[1]!i_pq_pctchange($C160,J$6,$N$1))</f>
        <v xml:space="preserve"> </v>
      </c>
      <c r="K160" s="28" t="str">
        <f>IF($C160=""," ",[1]!i_pq_pctchange($C160,K$6,$N$1))</f>
        <v xml:space="preserve"> </v>
      </c>
      <c r="L160" s="28" t="str">
        <f>IF(C160=""," ",[1]!s_wq_pctchange($C160,$N$1))</f>
        <v xml:space="preserve"> </v>
      </c>
      <c r="M160" s="28" t="str">
        <f>IF(C160=""," ",[1]!s_mq_pctchange($C160,$N$1))</f>
        <v xml:space="preserve"> </v>
      </c>
      <c r="N160" s="28" t="str">
        <f>IF(C160=""," ",[1]!s_yq_pctchange($C160,$N$1))</f>
        <v xml:space="preserve"> </v>
      </c>
      <c r="O160" s="11"/>
      <c r="P160" s="7"/>
    </row>
    <row r="161" spans="1:16" x14ac:dyDescent="0.35">
      <c r="A161" s="7"/>
      <c r="C161" s="30" t="str">
        <f>IF(指数列表!B158="","",指数列表!B158)</f>
        <v/>
      </c>
      <c r="D161" s="35" t="str">
        <f>IF(C161="","",[1]!s_info_name(C161))</f>
        <v/>
      </c>
      <c r="E161" s="24" t="str">
        <f>IF(C161="","",[1]!s_dq_close(C161,$N$1))</f>
        <v/>
      </c>
      <c r="F161" s="28" t="str">
        <f>IF($C161=""," ",[1]!i_pq_pctchange($C161,F$6,$N$1))</f>
        <v xml:space="preserve"> </v>
      </c>
      <c r="G161" s="28" t="str">
        <f>IF($C161=""," ",[1]!i_pq_pctchange($C161,G$6,$N$1))</f>
        <v xml:space="preserve"> </v>
      </c>
      <c r="H161" s="28" t="str">
        <f>IF($C161=""," ",[1]!i_pq_pctchange($C161,H$6,$N$1))</f>
        <v xml:space="preserve"> </v>
      </c>
      <c r="I161" s="28" t="str">
        <f>IF($C161=""," ",[1]!i_pq_pctchange($C161,I$6,$N$1))</f>
        <v xml:space="preserve"> </v>
      </c>
      <c r="J161" s="28" t="str">
        <f>IF($C161=""," ",[1]!i_pq_pctchange($C161,J$6,$N$1))</f>
        <v xml:space="preserve"> </v>
      </c>
      <c r="K161" s="28" t="str">
        <f>IF($C161=""," ",[1]!i_pq_pctchange($C161,K$6,$N$1))</f>
        <v xml:space="preserve"> </v>
      </c>
      <c r="L161" s="28" t="str">
        <f>IF(C161=""," ",[1]!s_wq_pctchange($C161,$N$1))</f>
        <v xml:space="preserve"> </v>
      </c>
      <c r="M161" s="28" t="str">
        <f>IF(C161=""," ",[1]!s_mq_pctchange($C161,$N$1))</f>
        <v xml:space="preserve"> </v>
      </c>
      <c r="N161" s="28" t="str">
        <f>IF(C161=""," ",[1]!s_yq_pctchange($C161,$N$1))</f>
        <v xml:space="preserve"> </v>
      </c>
      <c r="O161" s="11"/>
      <c r="P161" s="7"/>
    </row>
    <row r="162" spans="1:16" x14ac:dyDescent="0.35">
      <c r="A162" s="7"/>
      <c r="C162" s="31" t="str">
        <f>IF(指数列表!B159="","",指数列表!B159)</f>
        <v/>
      </c>
      <c r="D162" s="36" t="str">
        <f>IF(C162="","",[1]!s_info_name(C162))</f>
        <v/>
      </c>
      <c r="E162" s="25" t="str">
        <f>IF(C162="","",[1]!s_dq_close(C162,$N$1))</f>
        <v/>
      </c>
      <c r="F162" s="28" t="str">
        <f>IF($C162=""," ",[1]!i_pq_pctchange($C162,F$6,$N$1))</f>
        <v xml:space="preserve"> </v>
      </c>
      <c r="G162" s="28" t="str">
        <f>IF($C162=""," ",[1]!i_pq_pctchange($C162,G$6,$N$1))</f>
        <v xml:space="preserve"> </v>
      </c>
      <c r="H162" s="28" t="str">
        <f>IF($C162=""," ",[1]!i_pq_pctchange($C162,H$6,$N$1))</f>
        <v xml:space="preserve"> </v>
      </c>
      <c r="I162" s="28" t="str">
        <f>IF($C162=""," ",[1]!i_pq_pctchange($C162,I$6,$N$1))</f>
        <v xml:space="preserve"> </v>
      </c>
      <c r="J162" s="28" t="str">
        <f>IF($C162=""," ",[1]!i_pq_pctchange($C162,J$6,$N$1))</f>
        <v xml:space="preserve"> </v>
      </c>
      <c r="K162" s="28" t="str">
        <f>IF($C162=""," ",[1]!i_pq_pctchange($C162,K$6,$N$1))</f>
        <v xml:space="preserve"> </v>
      </c>
      <c r="L162" s="28" t="str">
        <f>IF(C162=""," ",[1]!s_wq_pctchange($C162,$N$1))</f>
        <v xml:space="preserve"> </v>
      </c>
      <c r="M162" s="28" t="str">
        <f>IF(C162=""," ",[1]!s_mq_pctchange($C162,$N$1))</f>
        <v xml:space="preserve"> </v>
      </c>
      <c r="N162" s="28" t="str">
        <f>IF(C162=""," ",[1]!s_yq_pctchange($C162,$N$1))</f>
        <v xml:space="preserve"> </v>
      </c>
      <c r="O162" s="11"/>
      <c r="P162" s="7"/>
    </row>
    <row r="163" spans="1:16" x14ac:dyDescent="0.35">
      <c r="A163" s="7"/>
      <c r="C163" s="30" t="str">
        <f>IF(指数列表!B160="","",指数列表!B160)</f>
        <v/>
      </c>
      <c r="D163" s="35" t="str">
        <f>IF(C163="","",[1]!s_info_name(C163))</f>
        <v/>
      </c>
      <c r="E163" s="24" t="str">
        <f>IF(C163="","",[1]!s_dq_close(C163,$N$1))</f>
        <v/>
      </c>
      <c r="F163" s="28" t="str">
        <f>IF($C163=""," ",[1]!i_pq_pctchange($C163,F$6,$N$1))</f>
        <v xml:space="preserve"> </v>
      </c>
      <c r="G163" s="28" t="str">
        <f>IF($C163=""," ",[1]!i_pq_pctchange($C163,G$6,$N$1))</f>
        <v xml:space="preserve"> </v>
      </c>
      <c r="H163" s="28" t="str">
        <f>IF($C163=""," ",[1]!i_pq_pctchange($C163,H$6,$N$1))</f>
        <v xml:space="preserve"> </v>
      </c>
      <c r="I163" s="28" t="str">
        <f>IF($C163=""," ",[1]!i_pq_pctchange($C163,I$6,$N$1))</f>
        <v xml:space="preserve"> </v>
      </c>
      <c r="J163" s="28" t="str">
        <f>IF($C163=""," ",[1]!i_pq_pctchange($C163,J$6,$N$1))</f>
        <v xml:space="preserve"> </v>
      </c>
      <c r="K163" s="28" t="str">
        <f>IF($C163=""," ",[1]!i_pq_pctchange($C163,K$6,$N$1))</f>
        <v xml:space="preserve"> </v>
      </c>
      <c r="L163" s="28" t="str">
        <f>IF(C163=""," ",[1]!s_wq_pctchange($C163,$N$1))</f>
        <v xml:space="preserve"> </v>
      </c>
      <c r="M163" s="28" t="str">
        <f>IF(C163=""," ",[1]!s_mq_pctchange($C163,$N$1))</f>
        <v xml:space="preserve"> </v>
      </c>
      <c r="N163" s="28" t="str">
        <f>IF(C163=""," ",[1]!s_yq_pctchange($C163,$N$1))</f>
        <v xml:space="preserve"> </v>
      </c>
      <c r="O163" s="11"/>
      <c r="P163" s="7"/>
    </row>
    <row r="164" spans="1:16" x14ac:dyDescent="0.35">
      <c r="A164" s="7"/>
      <c r="C164" s="31" t="str">
        <f>IF(指数列表!B161="","",指数列表!B161)</f>
        <v/>
      </c>
      <c r="D164" s="36" t="str">
        <f>IF(C164="","",[1]!s_info_name(C164))</f>
        <v/>
      </c>
      <c r="E164" s="25" t="str">
        <f>IF(C164="","",[1]!s_dq_close(C164,$N$1))</f>
        <v/>
      </c>
      <c r="F164" s="28" t="str">
        <f>IF($C164=""," ",[1]!i_pq_pctchange($C164,F$6,$N$1))</f>
        <v xml:space="preserve"> </v>
      </c>
      <c r="G164" s="28" t="str">
        <f>IF($C164=""," ",[1]!i_pq_pctchange($C164,G$6,$N$1))</f>
        <v xml:space="preserve"> </v>
      </c>
      <c r="H164" s="28" t="str">
        <f>IF($C164=""," ",[1]!i_pq_pctchange($C164,H$6,$N$1))</f>
        <v xml:space="preserve"> </v>
      </c>
      <c r="I164" s="28" t="str">
        <f>IF($C164=""," ",[1]!i_pq_pctchange($C164,I$6,$N$1))</f>
        <v xml:space="preserve"> </v>
      </c>
      <c r="J164" s="28" t="str">
        <f>IF($C164=""," ",[1]!i_pq_pctchange($C164,J$6,$N$1))</f>
        <v xml:space="preserve"> </v>
      </c>
      <c r="K164" s="28" t="str">
        <f>IF($C164=""," ",[1]!i_pq_pctchange($C164,K$6,$N$1))</f>
        <v xml:space="preserve"> </v>
      </c>
      <c r="L164" s="28" t="str">
        <f>IF(C164=""," ",[1]!s_wq_pctchange($C164,$N$1))</f>
        <v xml:space="preserve"> </v>
      </c>
      <c r="M164" s="28" t="str">
        <f>IF(C164=""," ",[1]!s_mq_pctchange($C164,$N$1))</f>
        <v xml:space="preserve"> </v>
      </c>
      <c r="N164" s="28" t="str">
        <f>IF(C164=""," ",[1]!s_yq_pctchange($C164,$N$1))</f>
        <v xml:space="preserve"> </v>
      </c>
      <c r="O164" s="11"/>
      <c r="P164" s="7"/>
    </row>
    <row r="165" spans="1:16" x14ac:dyDescent="0.35">
      <c r="A165" s="7"/>
      <c r="C165" s="30" t="str">
        <f>IF(指数列表!B162="","",指数列表!B162)</f>
        <v/>
      </c>
      <c r="D165" s="35" t="str">
        <f>IF(C165="","",[1]!s_info_name(C165))</f>
        <v/>
      </c>
      <c r="E165" s="24" t="str">
        <f>IF(C165="","",[1]!s_dq_close(C165,$N$1))</f>
        <v/>
      </c>
      <c r="F165" s="28" t="str">
        <f>IF($C165=""," ",[1]!i_pq_pctchange($C165,F$6,$N$1))</f>
        <v xml:space="preserve"> </v>
      </c>
      <c r="G165" s="28" t="str">
        <f>IF($C165=""," ",[1]!i_pq_pctchange($C165,G$6,$N$1))</f>
        <v xml:space="preserve"> </v>
      </c>
      <c r="H165" s="28" t="str">
        <f>IF($C165=""," ",[1]!i_pq_pctchange($C165,H$6,$N$1))</f>
        <v xml:space="preserve"> </v>
      </c>
      <c r="I165" s="28" t="str">
        <f>IF($C165=""," ",[1]!i_pq_pctchange($C165,I$6,$N$1))</f>
        <v xml:space="preserve"> </v>
      </c>
      <c r="J165" s="28" t="str">
        <f>IF($C165=""," ",[1]!i_pq_pctchange($C165,J$6,$N$1))</f>
        <v xml:space="preserve"> </v>
      </c>
      <c r="K165" s="28" t="str">
        <f>IF($C165=""," ",[1]!i_pq_pctchange($C165,K$6,$N$1))</f>
        <v xml:space="preserve"> </v>
      </c>
      <c r="L165" s="28" t="str">
        <f>IF(C165=""," ",[1]!s_wq_pctchange($C165,$N$1))</f>
        <v xml:space="preserve"> </v>
      </c>
      <c r="M165" s="28" t="str">
        <f>IF(C165=""," ",[1]!s_mq_pctchange($C165,$N$1))</f>
        <v xml:space="preserve"> </v>
      </c>
      <c r="N165" s="28" t="str">
        <f>IF(C165=""," ",[1]!s_yq_pctchange($C165,$N$1))</f>
        <v xml:space="preserve"> </v>
      </c>
      <c r="O165" s="11"/>
      <c r="P165" s="7"/>
    </row>
    <row r="166" spans="1:16" x14ac:dyDescent="0.35">
      <c r="A166" s="7"/>
      <c r="C166" s="31" t="str">
        <f>IF(指数列表!B163="","",指数列表!B163)</f>
        <v/>
      </c>
      <c r="D166" s="36" t="str">
        <f>IF(C166="","",[1]!s_info_name(C166))</f>
        <v/>
      </c>
      <c r="E166" s="25" t="str">
        <f>IF(C166="","",[1]!s_dq_close(C166,$N$1))</f>
        <v/>
      </c>
      <c r="F166" s="28" t="str">
        <f>IF($C166=""," ",[1]!i_pq_pctchange($C166,F$6,$N$1))</f>
        <v xml:space="preserve"> </v>
      </c>
      <c r="G166" s="28" t="str">
        <f>IF($C166=""," ",[1]!i_pq_pctchange($C166,G$6,$N$1))</f>
        <v xml:space="preserve"> </v>
      </c>
      <c r="H166" s="28" t="str">
        <f>IF($C166=""," ",[1]!i_pq_pctchange($C166,H$6,$N$1))</f>
        <v xml:space="preserve"> </v>
      </c>
      <c r="I166" s="28" t="str">
        <f>IF($C166=""," ",[1]!i_pq_pctchange($C166,I$6,$N$1))</f>
        <v xml:space="preserve"> </v>
      </c>
      <c r="J166" s="28" t="str">
        <f>IF($C166=""," ",[1]!i_pq_pctchange($C166,J$6,$N$1))</f>
        <v xml:space="preserve"> </v>
      </c>
      <c r="K166" s="28" t="str">
        <f>IF($C166=""," ",[1]!i_pq_pctchange($C166,K$6,$N$1))</f>
        <v xml:space="preserve"> </v>
      </c>
      <c r="L166" s="28" t="str">
        <f>IF(C166=""," ",[1]!s_wq_pctchange($C166,$N$1))</f>
        <v xml:space="preserve"> </v>
      </c>
      <c r="M166" s="28" t="str">
        <f>IF(C166=""," ",[1]!s_mq_pctchange($C166,$N$1))</f>
        <v xml:space="preserve"> </v>
      </c>
      <c r="N166" s="28" t="str">
        <f>IF(C166=""," ",[1]!s_yq_pctchange($C166,$N$1))</f>
        <v xml:space="preserve"> </v>
      </c>
      <c r="O166" s="11"/>
      <c r="P166" s="7"/>
    </row>
    <row r="167" spans="1:16" x14ac:dyDescent="0.35">
      <c r="A167" s="7"/>
      <c r="C167" s="30" t="str">
        <f>IF(指数列表!B164="","",指数列表!B164)</f>
        <v/>
      </c>
      <c r="D167" s="35" t="str">
        <f>IF(C167="","",[1]!s_info_name(C167))</f>
        <v/>
      </c>
      <c r="E167" s="24" t="str">
        <f>IF(C167="","",[1]!s_dq_close(C167,$N$1))</f>
        <v/>
      </c>
      <c r="F167" s="28" t="str">
        <f>IF($C167=""," ",[1]!i_pq_pctchange($C167,F$6,$N$1))</f>
        <v xml:space="preserve"> </v>
      </c>
      <c r="G167" s="28" t="str">
        <f>IF($C167=""," ",[1]!i_pq_pctchange($C167,G$6,$N$1))</f>
        <v xml:space="preserve"> </v>
      </c>
      <c r="H167" s="28" t="str">
        <f>IF($C167=""," ",[1]!i_pq_pctchange($C167,H$6,$N$1))</f>
        <v xml:space="preserve"> </v>
      </c>
      <c r="I167" s="28" t="str">
        <f>IF($C167=""," ",[1]!i_pq_pctchange($C167,I$6,$N$1))</f>
        <v xml:space="preserve"> </v>
      </c>
      <c r="J167" s="28" t="str">
        <f>IF($C167=""," ",[1]!i_pq_pctchange($C167,J$6,$N$1))</f>
        <v xml:space="preserve"> </v>
      </c>
      <c r="K167" s="28" t="str">
        <f>IF($C167=""," ",[1]!i_pq_pctchange($C167,K$6,$N$1))</f>
        <v xml:space="preserve"> </v>
      </c>
      <c r="L167" s="28" t="str">
        <f>IF(C167=""," ",[1]!s_wq_pctchange($C167,$N$1))</f>
        <v xml:space="preserve"> </v>
      </c>
      <c r="M167" s="28" t="str">
        <f>IF(C167=""," ",[1]!s_mq_pctchange($C167,$N$1))</f>
        <v xml:space="preserve"> </v>
      </c>
      <c r="N167" s="28" t="str">
        <f>IF(C167=""," ",[1]!s_yq_pctchange($C167,$N$1))</f>
        <v xml:space="preserve"> </v>
      </c>
      <c r="O167" s="11"/>
      <c r="P167" s="7"/>
    </row>
    <row r="168" spans="1:16" x14ac:dyDescent="0.35">
      <c r="A168" s="7"/>
      <c r="C168" s="31" t="str">
        <f>IF(指数列表!B165="","",指数列表!B165)</f>
        <v/>
      </c>
      <c r="D168" s="36" t="str">
        <f>IF(C168="","",[1]!s_info_name(C168))</f>
        <v/>
      </c>
      <c r="E168" s="25" t="str">
        <f>IF(C168="","",[1]!s_dq_close(C168,$N$1))</f>
        <v/>
      </c>
      <c r="F168" s="28" t="str">
        <f>IF($C168=""," ",[1]!i_pq_pctchange($C168,F$6,$N$1))</f>
        <v xml:space="preserve"> </v>
      </c>
      <c r="G168" s="28" t="str">
        <f>IF($C168=""," ",[1]!i_pq_pctchange($C168,G$6,$N$1))</f>
        <v xml:space="preserve"> </v>
      </c>
      <c r="H168" s="28" t="str">
        <f>IF($C168=""," ",[1]!i_pq_pctchange($C168,H$6,$N$1))</f>
        <v xml:space="preserve"> </v>
      </c>
      <c r="I168" s="28" t="str">
        <f>IF($C168=""," ",[1]!i_pq_pctchange($C168,I$6,$N$1))</f>
        <v xml:space="preserve"> </v>
      </c>
      <c r="J168" s="28" t="str">
        <f>IF($C168=""," ",[1]!i_pq_pctchange($C168,J$6,$N$1))</f>
        <v xml:space="preserve"> </v>
      </c>
      <c r="K168" s="28" t="str">
        <f>IF($C168=""," ",[1]!i_pq_pctchange($C168,K$6,$N$1))</f>
        <v xml:space="preserve"> </v>
      </c>
      <c r="L168" s="28" t="str">
        <f>IF(C168=""," ",[1]!s_wq_pctchange($C168,$N$1))</f>
        <v xml:space="preserve"> </v>
      </c>
      <c r="M168" s="28" t="str">
        <f>IF(C168=""," ",[1]!s_mq_pctchange($C168,$N$1))</f>
        <v xml:space="preserve"> </v>
      </c>
      <c r="N168" s="28" t="str">
        <f>IF(C168=""," ",[1]!s_yq_pctchange($C168,$N$1))</f>
        <v xml:space="preserve"> </v>
      </c>
      <c r="O168" s="11"/>
      <c r="P168" s="7"/>
    </row>
    <row r="169" spans="1:16" x14ac:dyDescent="0.35">
      <c r="A169" s="7"/>
      <c r="C169" s="30" t="str">
        <f>IF(指数列表!B166="","",指数列表!B166)</f>
        <v/>
      </c>
      <c r="D169" s="35" t="str">
        <f>IF(C169="","",[1]!s_info_name(C169))</f>
        <v/>
      </c>
      <c r="E169" s="24" t="str">
        <f>IF(C169="","",[1]!s_dq_close(C169,$N$1))</f>
        <v/>
      </c>
      <c r="F169" s="28" t="str">
        <f>IF($C169=""," ",[1]!i_pq_pctchange($C169,F$6,$N$1))</f>
        <v xml:space="preserve"> </v>
      </c>
      <c r="G169" s="28" t="str">
        <f>IF($C169=""," ",[1]!i_pq_pctchange($C169,G$6,$N$1))</f>
        <v xml:space="preserve"> </v>
      </c>
      <c r="H169" s="28" t="str">
        <f>IF($C169=""," ",[1]!i_pq_pctchange($C169,H$6,$N$1))</f>
        <v xml:space="preserve"> </v>
      </c>
      <c r="I169" s="28" t="str">
        <f>IF($C169=""," ",[1]!i_pq_pctchange($C169,I$6,$N$1))</f>
        <v xml:space="preserve"> </v>
      </c>
      <c r="J169" s="28" t="str">
        <f>IF($C169=""," ",[1]!i_pq_pctchange($C169,J$6,$N$1))</f>
        <v xml:space="preserve"> </v>
      </c>
      <c r="K169" s="28" t="str">
        <f>IF($C169=""," ",[1]!i_pq_pctchange($C169,K$6,$N$1))</f>
        <v xml:space="preserve"> </v>
      </c>
      <c r="L169" s="28" t="str">
        <f>IF(C169=""," ",[1]!s_wq_pctchange($C169,$N$1))</f>
        <v xml:space="preserve"> </v>
      </c>
      <c r="M169" s="28" t="str">
        <f>IF(C169=""," ",[1]!s_mq_pctchange($C169,$N$1))</f>
        <v xml:space="preserve"> </v>
      </c>
      <c r="N169" s="28" t="str">
        <f>IF(C169=""," ",[1]!s_yq_pctchange($C169,$N$1))</f>
        <v xml:space="preserve"> </v>
      </c>
      <c r="O169" s="11"/>
      <c r="P169" s="7"/>
    </row>
    <row r="170" spans="1:16" x14ac:dyDescent="0.35">
      <c r="A170" s="7"/>
      <c r="C170" s="31" t="str">
        <f>IF(指数列表!B167="","",指数列表!B167)</f>
        <v/>
      </c>
      <c r="D170" s="36" t="str">
        <f>IF(C170="","",[1]!s_info_name(C170))</f>
        <v/>
      </c>
      <c r="E170" s="25" t="str">
        <f>IF(C170="","",[1]!s_dq_close(C170,$N$1))</f>
        <v/>
      </c>
      <c r="F170" s="28" t="str">
        <f>IF($C170=""," ",[1]!i_pq_pctchange($C170,F$6,$N$1))</f>
        <v xml:space="preserve"> </v>
      </c>
      <c r="G170" s="28" t="str">
        <f>IF($C170=""," ",[1]!i_pq_pctchange($C170,G$6,$N$1))</f>
        <v xml:space="preserve"> </v>
      </c>
      <c r="H170" s="28" t="str">
        <f>IF($C170=""," ",[1]!i_pq_pctchange($C170,H$6,$N$1))</f>
        <v xml:space="preserve"> </v>
      </c>
      <c r="I170" s="28" t="str">
        <f>IF($C170=""," ",[1]!i_pq_pctchange($C170,I$6,$N$1))</f>
        <v xml:space="preserve"> </v>
      </c>
      <c r="J170" s="28" t="str">
        <f>IF($C170=""," ",[1]!i_pq_pctchange($C170,J$6,$N$1))</f>
        <v xml:space="preserve"> </v>
      </c>
      <c r="K170" s="28" t="str">
        <f>IF($C170=""," ",[1]!i_pq_pctchange($C170,K$6,$N$1))</f>
        <v xml:space="preserve"> </v>
      </c>
      <c r="L170" s="28" t="str">
        <f>IF(C170=""," ",[1]!s_wq_pctchange($C170,$N$1))</f>
        <v xml:space="preserve"> </v>
      </c>
      <c r="M170" s="28" t="str">
        <f>IF(C170=""," ",[1]!s_mq_pctchange($C170,$N$1))</f>
        <v xml:space="preserve"> </v>
      </c>
      <c r="N170" s="28" t="str">
        <f>IF(C170=""," ",[1]!s_yq_pctchange($C170,$N$1))</f>
        <v xml:space="preserve"> </v>
      </c>
      <c r="O170" s="11"/>
      <c r="P170" s="7"/>
    </row>
    <row r="171" spans="1:16" x14ac:dyDescent="0.35">
      <c r="A171" s="7"/>
      <c r="C171" s="30" t="str">
        <f>IF(指数列表!B168="","",指数列表!B168)</f>
        <v/>
      </c>
      <c r="D171" s="35" t="str">
        <f>IF(C171="","",[1]!s_info_name(C171))</f>
        <v/>
      </c>
      <c r="E171" s="24" t="str">
        <f>IF(C171="","",[1]!s_dq_close(C171,$N$1))</f>
        <v/>
      </c>
      <c r="F171" s="28" t="str">
        <f>IF($C171=""," ",[1]!i_pq_pctchange($C171,F$6,$N$1))</f>
        <v xml:space="preserve"> </v>
      </c>
      <c r="G171" s="28" t="str">
        <f>IF($C171=""," ",[1]!i_pq_pctchange($C171,G$6,$N$1))</f>
        <v xml:space="preserve"> </v>
      </c>
      <c r="H171" s="28" t="str">
        <f>IF($C171=""," ",[1]!i_pq_pctchange($C171,H$6,$N$1))</f>
        <v xml:space="preserve"> </v>
      </c>
      <c r="I171" s="28" t="str">
        <f>IF($C171=""," ",[1]!i_pq_pctchange($C171,I$6,$N$1))</f>
        <v xml:space="preserve"> </v>
      </c>
      <c r="J171" s="28" t="str">
        <f>IF($C171=""," ",[1]!i_pq_pctchange($C171,J$6,$N$1))</f>
        <v xml:space="preserve"> </v>
      </c>
      <c r="K171" s="28" t="str">
        <f>IF($C171=""," ",[1]!i_pq_pctchange($C171,K$6,$N$1))</f>
        <v xml:space="preserve"> </v>
      </c>
      <c r="L171" s="28" t="str">
        <f>IF(C171=""," ",[1]!s_wq_pctchange($C171,$N$1))</f>
        <v xml:space="preserve"> </v>
      </c>
      <c r="M171" s="28" t="str">
        <f>IF(C171=""," ",[1]!s_mq_pctchange($C171,$N$1))</f>
        <v xml:space="preserve"> </v>
      </c>
      <c r="N171" s="28" t="str">
        <f>IF(C171=""," ",[1]!s_yq_pctchange($C171,$N$1))</f>
        <v xml:space="preserve"> </v>
      </c>
      <c r="O171" s="11"/>
      <c r="P171" s="7"/>
    </row>
    <row r="172" spans="1:16" x14ac:dyDescent="0.35">
      <c r="A172" s="7"/>
      <c r="C172" s="31" t="str">
        <f>IF(指数列表!B169="","",指数列表!B169)</f>
        <v/>
      </c>
      <c r="D172" s="36" t="str">
        <f>IF(C172="","",[1]!s_info_name(C172))</f>
        <v/>
      </c>
      <c r="E172" s="25" t="str">
        <f>IF(C172="","",[1]!s_dq_close(C172,$N$1))</f>
        <v/>
      </c>
      <c r="F172" s="28" t="str">
        <f>IF($C172=""," ",[1]!i_pq_pctchange($C172,F$6,$N$1))</f>
        <v xml:space="preserve"> </v>
      </c>
      <c r="G172" s="28" t="str">
        <f>IF($C172=""," ",[1]!i_pq_pctchange($C172,G$6,$N$1))</f>
        <v xml:space="preserve"> </v>
      </c>
      <c r="H172" s="28" t="str">
        <f>IF($C172=""," ",[1]!i_pq_pctchange($C172,H$6,$N$1))</f>
        <v xml:space="preserve"> </v>
      </c>
      <c r="I172" s="28" t="str">
        <f>IF($C172=""," ",[1]!i_pq_pctchange($C172,I$6,$N$1))</f>
        <v xml:space="preserve"> </v>
      </c>
      <c r="J172" s="28" t="str">
        <f>IF($C172=""," ",[1]!i_pq_pctchange($C172,J$6,$N$1))</f>
        <v xml:space="preserve"> </v>
      </c>
      <c r="K172" s="28" t="str">
        <f>IF($C172=""," ",[1]!i_pq_pctchange($C172,K$6,$N$1))</f>
        <v xml:space="preserve"> </v>
      </c>
      <c r="L172" s="28" t="str">
        <f>IF(C172=""," ",[1]!s_wq_pctchange($C172,$N$1))</f>
        <v xml:space="preserve"> </v>
      </c>
      <c r="M172" s="28" t="str">
        <f>IF(C172=""," ",[1]!s_mq_pctchange($C172,$N$1))</f>
        <v xml:space="preserve"> </v>
      </c>
      <c r="N172" s="28" t="str">
        <f>IF(C172=""," ",[1]!s_yq_pctchange($C172,$N$1))</f>
        <v xml:space="preserve"> </v>
      </c>
      <c r="O172" s="11"/>
      <c r="P172" s="7"/>
    </row>
    <row r="173" spans="1:16" x14ac:dyDescent="0.35">
      <c r="A173" s="7"/>
      <c r="C173" s="30" t="str">
        <f>IF(指数列表!B170="","",指数列表!B170)</f>
        <v/>
      </c>
      <c r="D173" s="35" t="str">
        <f>IF(C173="","",[1]!s_info_name(C173))</f>
        <v/>
      </c>
      <c r="E173" s="24" t="str">
        <f>IF(C173="","",[1]!s_dq_close(C173,$N$1))</f>
        <v/>
      </c>
      <c r="F173" s="28" t="str">
        <f>IF($C173=""," ",[1]!i_pq_pctchange($C173,F$6,$N$1))</f>
        <v xml:space="preserve"> </v>
      </c>
      <c r="G173" s="28" t="str">
        <f>IF($C173=""," ",[1]!i_pq_pctchange($C173,G$6,$N$1))</f>
        <v xml:space="preserve"> </v>
      </c>
      <c r="H173" s="28" t="str">
        <f>IF($C173=""," ",[1]!i_pq_pctchange($C173,H$6,$N$1))</f>
        <v xml:space="preserve"> </v>
      </c>
      <c r="I173" s="28" t="str">
        <f>IF($C173=""," ",[1]!i_pq_pctchange($C173,I$6,$N$1))</f>
        <v xml:space="preserve"> </v>
      </c>
      <c r="J173" s="28" t="str">
        <f>IF($C173=""," ",[1]!i_pq_pctchange($C173,J$6,$N$1))</f>
        <v xml:space="preserve"> </v>
      </c>
      <c r="K173" s="28" t="str">
        <f>IF($C173=""," ",[1]!i_pq_pctchange($C173,K$6,$N$1))</f>
        <v xml:space="preserve"> </v>
      </c>
      <c r="L173" s="28" t="str">
        <f>IF(C173=""," ",[1]!s_wq_pctchange($C173,$N$1))</f>
        <v xml:space="preserve"> </v>
      </c>
      <c r="M173" s="28" t="str">
        <f>IF(C173=""," ",[1]!s_mq_pctchange($C173,$N$1))</f>
        <v xml:space="preserve"> </v>
      </c>
      <c r="N173" s="28" t="str">
        <f>IF(C173=""," ",[1]!s_yq_pctchange($C173,$N$1))</f>
        <v xml:space="preserve"> </v>
      </c>
      <c r="O173" s="11"/>
      <c r="P173" s="7"/>
    </row>
    <row r="174" spans="1:16" x14ac:dyDescent="0.35">
      <c r="A174" s="7"/>
      <c r="C174" s="31" t="str">
        <f>IF(指数列表!B171="","",指数列表!B171)</f>
        <v/>
      </c>
      <c r="D174" s="36" t="str">
        <f>IF(C174="","",[1]!s_info_name(C174))</f>
        <v/>
      </c>
      <c r="E174" s="25" t="str">
        <f>IF(C174="","",[1]!s_dq_close(C174,$N$1))</f>
        <v/>
      </c>
      <c r="F174" s="28" t="str">
        <f>IF($C174=""," ",[1]!i_pq_pctchange($C174,F$6,$N$1))</f>
        <v xml:space="preserve"> </v>
      </c>
      <c r="G174" s="28" t="str">
        <f>IF($C174=""," ",[1]!i_pq_pctchange($C174,G$6,$N$1))</f>
        <v xml:space="preserve"> </v>
      </c>
      <c r="H174" s="28" t="str">
        <f>IF($C174=""," ",[1]!i_pq_pctchange($C174,H$6,$N$1))</f>
        <v xml:space="preserve"> </v>
      </c>
      <c r="I174" s="28" t="str">
        <f>IF($C174=""," ",[1]!i_pq_pctchange($C174,I$6,$N$1))</f>
        <v xml:space="preserve"> </v>
      </c>
      <c r="J174" s="28" t="str">
        <f>IF($C174=""," ",[1]!i_pq_pctchange($C174,J$6,$N$1))</f>
        <v xml:space="preserve"> </v>
      </c>
      <c r="K174" s="28" t="str">
        <f>IF($C174=""," ",[1]!i_pq_pctchange($C174,K$6,$N$1))</f>
        <v xml:space="preserve"> </v>
      </c>
      <c r="L174" s="28" t="str">
        <f>IF(C174=""," ",[1]!s_wq_pctchange($C174,$N$1))</f>
        <v xml:space="preserve"> </v>
      </c>
      <c r="M174" s="28" t="str">
        <f>IF(C174=""," ",[1]!s_mq_pctchange($C174,$N$1))</f>
        <v xml:space="preserve"> </v>
      </c>
      <c r="N174" s="28" t="str">
        <f>IF(C174=""," ",[1]!s_yq_pctchange($C174,$N$1))</f>
        <v xml:space="preserve"> </v>
      </c>
      <c r="O174" s="11"/>
      <c r="P174" s="7"/>
    </row>
    <row r="175" spans="1:16" x14ac:dyDescent="0.35">
      <c r="A175" s="7"/>
      <c r="C175" s="30" t="str">
        <f>IF(指数列表!B172="","",指数列表!B172)</f>
        <v/>
      </c>
      <c r="D175" s="35" t="str">
        <f>IF(C175="","",[1]!s_info_name(C175))</f>
        <v/>
      </c>
      <c r="E175" s="24" t="str">
        <f>IF(C175="","",[1]!s_dq_close(C175,$N$1))</f>
        <v/>
      </c>
      <c r="F175" s="28" t="str">
        <f>IF($C175=""," ",[1]!i_pq_pctchange($C175,F$6,$N$1))</f>
        <v xml:space="preserve"> </v>
      </c>
      <c r="G175" s="28" t="str">
        <f>IF($C175=""," ",[1]!i_pq_pctchange($C175,G$6,$N$1))</f>
        <v xml:space="preserve"> </v>
      </c>
      <c r="H175" s="28" t="str">
        <f>IF($C175=""," ",[1]!i_pq_pctchange($C175,H$6,$N$1))</f>
        <v xml:space="preserve"> </v>
      </c>
      <c r="I175" s="28" t="str">
        <f>IF($C175=""," ",[1]!i_pq_pctchange($C175,I$6,$N$1))</f>
        <v xml:space="preserve"> </v>
      </c>
      <c r="J175" s="28" t="str">
        <f>IF($C175=""," ",[1]!i_pq_pctchange($C175,J$6,$N$1))</f>
        <v xml:space="preserve"> </v>
      </c>
      <c r="K175" s="28" t="str">
        <f>IF($C175=""," ",[1]!i_pq_pctchange($C175,K$6,$N$1))</f>
        <v xml:space="preserve"> </v>
      </c>
      <c r="L175" s="28" t="str">
        <f>IF(C175=""," ",[1]!s_wq_pctchange($C175,$N$1))</f>
        <v xml:space="preserve"> </v>
      </c>
      <c r="M175" s="28" t="str">
        <f>IF(C175=""," ",[1]!s_mq_pctchange($C175,$N$1))</f>
        <v xml:space="preserve"> </v>
      </c>
      <c r="N175" s="28" t="str">
        <f>IF(C175=""," ",[1]!s_yq_pctchange($C175,$N$1))</f>
        <v xml:space="preserve"> </v>
      </c>
      <c r="O175" s="11"/>
      <c r="P175" s="7"/>
    </row>
    <row r="176" spans="1:16" x14ac:dyDescent="0.35">
      <c r="A176" s="7"/>
      <c r="C176" s="31" t="str">
        <f>IF(指数列表!B173="","",指数列表!B173)</f>
        <v/>
      </c>
      <c r="D176" s="36" t="str">
        <f>IF(C176="","",[1]!s_info_name(C176))</f>
        <v/>
      </c>
      <c r="E176" s="25" t="str">
        <f>IF(C176="","",[1]!s_dq_close(C176,$N$1))</f>
        <v/>
      </c>
      <c r="F176" s="28" t="str">
        <f>IF($C176=""," ",[1]!i_pq_pctchange($C176,F$6,$N$1))</f>
        <v xml:space="preserve"> </v>
      </c>
      <c r="G176" s="28" t="str">
        <f>IF($C176=""," ",[1]!i_pq_pctchange($C176,G$6,$N$1))</f>
        <v xml:space="preserve"> </v>
      </c>
      <c r="H176" s="28" t="str">
        <f>IF($C176=""," ",[1]!i_pq_pctchange($C176,H$6,$N$1))</f>
        <v xml:space="preserve"> </v>
      </c>
      <c r="I176" s="28" t="str">
        <f>IF($C176=""," ",[1]!i_pq_pctchange($C176,I$6,$N$1))</f>
        <v xml:space="preserve"> </v>
      </c>
      <c r="J176" s="28" t="str">
        <f>IF($C176=""," ",[1]!i_pq_pctchange($C176,J$6,$N$1))</f>
        <v xml:space="preserve"> </v>
      </c>
      <c r="K176" s="28" t="str">
        <f>IF($C176=""," ",[1]!i_pq_pctchange($C176,K$6,$N$1))</f>
        <v xml:space="preserve"> </v>
      </c>
      <c r="L176" s="28" t="str">
        <f>IF(C176=""," ",[1]!s_wq_pctchange($C176,$N$1))</f>
        <v xml:space="preserve"> </v>
      </c>
      <c r="M176" s="28" t="str">
        <f>IF(C176=""," ",[1]!s_mq_pctchange($C176,$N$1))</f>
        <v xml:space="preserve"> </v>
      </c>
      <c r="N176" s="28" t="str">
        <f>IF(C176=""," ",[1]!s_yq_pctchange($C176,$N$1))</f>
        <v xml:space="preserve"> </v>
      </c>
      <c r="O176" s="11"/>
      <c r="P176" s="7"/>
    </row>
    <row r="177" spans="1:16" x14ac:dyDescent="0.35">
      <c r="A177" s="7"/>
      <c r="C177" s="30" t="str">
        <f>IF(指数列表!B174="","",指数列表!B174)</f>
        <v/>
      </c>
      <c r="D177" s="35" t="str">
        <f>IF(C177="","",[1]!s_info_name(C177))</f>
        <v/>
      </c>
      <c r="E177" s="24" t="str">
        <f>IF(C177="","",[1]!s_dq_close(C177,$N$1))</f>
        <v/>
      </c>
      <c r="F177" s="28" t="str">
        <f>IF($C177=""," ",[1]!i_pq_pctchange($C177,F$6,$N$1))</f>
        <v xml:space="preserve"> </v>
      </c>
      <c r="G177" s="28" t="str">
        <f>IF($C177=""," ",[1]!i_pq_pctchange($C177,G$6,$N$1))</f>
        <v xml:space="preserve"> </v>
      </c>
      <c r="H177" s="28" t="str">
        <f>IF($C177=""," ",[1]!i_pq_pctchange($C177,H$6,$N$1))</f>
        <v xml:space="preserve"> </v>
      </c>
      <c r="I177" s="28" t="str">
        <f>IF($C177=""," ",[1]!i_pq_pctchange($C177,I$6,$N$1))</f>
        <v xml:space="preserve"> </v>
      </c>
      <c r="J177" s="28" t="str">
        <f>IF($C177=""," ",[1]!i_pq_pctchange($C177,J$6,$N$1))</f>
        <v xml:space="preserve"> </v>
      </c>
      <c r="K177" s="28" t="str">
        <f>IF($C177=""," ",[1]!i_pq_pctchange($C177,K$6,$N$1))</f>
        <v xml:space="preserve"> </v>
      </c>
      <c r="L177" s="28" t="str">
        <f>IF(C177=""," ",[1]!s_wq_pctchange($C177,$N$1))</f>
        <v xml:space="preserve"> </v>
      </c>
      <c r="M177" s="28" t="str">
        <f>IF(C177=""," ",[1]!s_mq_pctchange($C177,$N$1))</f>
        <v xml:space="preserve"> </v>
      </c>
      <c r="N177" s="28" t="str">
        <f>IF(C177=""," ",[1]!s_yq_pctchange($C177,$N$1))</f>
        <v xml:space="preserve"> </v>
      </c>
      <c r="O177" s="11"/>
      <c r="P177" s="7"/>
    </row>
    <row r="178" spans="1:16" x14ac:dyDescent="0.35">
      <c r="A178" s="7"/>
      <c r="C178" s="31" t="str">
        <f>IF(指数列表!B175="","",指数列表!B175)</f>
        <v/>
      </c>
      <c r="D178" s="36" t="str">
        <f>IF(C178="","",[1]!s_info_name(C178))</f>
        <v/>
      </c>
      <c r="E178" s="25" t="str">
        <f>IF(C178="","",[1]!s_dq_close(C178,$N$1))</f>
        <v/>
      </c>
      <c r="F178" s="28" t="str">
        <f>IF($C178=""," ",[1]!i_pq_pctchange($C178,F$6,$N$1))</f>
        <v xml:space="preserve"> </v>
      </c>
      <c r="G178" s="28" t="str">
        <f>IF($C178=""," ",[1]!i_pq_pctchange($C178,G$6,$N$1))</f>
        <v xml:space="preserve"> </v>
      </c>
      <c r="H178" s="28" t="str">
        <f>IF($C178=""," ",[1]!i_pq_pctchange($C178,H$6,$N$1))</f>
        <v xml:space="preserve"> </v>
      </c>
      <c r="I178" s="28" t="str">
        <f>IF($C178=""," ",[1]!i_pq_pctchange($C178,I$6,$N$1))</f>
        <v xml:space="preserve"> </v>
      </c>
      <c r="J178" s="28" t="str">
        <f>IF($C178=""," ",[1]!i_pq_pctchange($C178,J$6,$N$1))</f>
        <v xml:space="preserve"> </v>
      </c>
      <c r="K178" s="28" t="str">
        <f>IF($C178=""," ",[1]!i_pq_pctchange($C178,K$6,$N$1))</f>
        <v xml:space="preserve"> </v>
      </c>
      <c r="L178" s="28" t="str">
        <f>IF(C178=""," ",[1]!s_wq_pctchange($C178,$N$1))</f>
        <v xml:space="preserve"> </v>
      </c>
      <c r="M178" s="28" t="str">
        <f>IF(C178=""," ",[1]!s_mq_pctchange($C178,$N$1))</f>
        <v xml:space="preserve"> </v>
      </c>
      <c r="N178" s="28" t="str">
        <f>IF(C178=""," ",[1]!s_yq_pctchange($C178,$N$1))</f>
        <v xml:space="preserve"> </v>
      </c>
      <c r="O178" s="11"/>
      <c r="P178" s="7"/>
    </row>
    <row r="179" spans="1:16" x14ac:dyDescent="0.35">
      <c r="A179" s="7"/>
      <c r="C179" s="30" t="str">
        <f>IF(指数列表!B176="","",指数列表!B176)</f>
        <v/>
      </c>
      <c r="D179" s="35" t="str">
        <f>IF(C179="","",[1]!s_info_name(C179))</f>
        <v/>
      </c>
      <c r="E179" s="24" t="str">
        <f>IF(C179="","",[1]!s_dq_close(C179,$N$1))</f>
        <v/>
      </c>
      <c r="F179" s="28" t="str">
        <f>IF($C179=""," ",[1]!i_pq_pctchange($C179,F$6,$N$1))</f>
        <v xml:space="preserve"> </v>
      </c>
      <c r="G179" s="28" t="str">
        <f>IF($C179=""," ",[1]!i_pq_pctchange($C179,G$6,$N$1))</f>
        <v xml:space="preserve"> </v>
      </c>
      <c r="H179" s="28" t="str">
        <f>IF($C179=""," ",[1]!i_pq_pctchange($C179,H$6,$N$1))</f>
        <v xml:space="preserve"> </v>
      </c>
      <c r="I179" s="28" t="str">
        <f>IF($C179=""," ",[1]!i_pq_pctchange($C179,I$6,$N$1))</f>
        <v xml:space="preserve"> </v>
      </c>
      <c r="J179" s="28" t="str">
        <f>IF($C179=""," ",[1]!i_pq_pctchange($C179,J$6,$N$1))</f>
        <v xml:space="preserve"> </v>
      </c>
      <c r="K179" s="28" t="str">
        <f>IF($C179=""," ",[1]!i_pq_pctchange($C179,K$6,$N$1))</f>
        <v xml:space="preserve"> </v>
      </c>
      <c r="L179" s="28" t="str">
        <f>IF(C179=""," ",[1]!s_wq_pctchange($C179,$N$1))</f>
        <v xml:space="preserve"> </v>
      </c>
      <c r="M179" s="28" t="str">
        <f>IF(C179=""," ",[1]!s_mq_pctchange($C179,$N$1))</f>
        <v xml:space="preserve"> </v>
      </c>
      <c r="N179" s="28" t="str">
        <f>IF(C179=""," ",[1]!s_yq_pctchange($C179,$N$1))</f>
        <v xml:space="preserve"> </v>
      </c>
      <c r="O179" s="11"/>
      <c r="P179" s="7"/>
    </row>
    <row r="180" spans="1:16" x14ac:dyDescent="0.35">
      <c r="A180" s="7"/>
      <c r="C180" s="31" t="str">
        <f>IF(指数列表!B177="","",指数列表!B177)</f>
        <v/>
      </c>
      <c r="D180" s="36" t="str">
        <f>IF(C180="","",[1]!s_info_name(C180))</f>
        <v/>
      </c>
      <c r="E180" s="25" t="str">
        <f>IF(C180="","",[1]!s_dq_close(C180,$N$1))</f>
        <v/>
      </c>
      <c r="F180" s="28" t="str">
        <f>IF($C180=""," ",[1]!i_pq_pctchange($C180,F$6,$N$1))</f>
        <v xml:space="preserve"> </v>
      </c>
      <c r="G180" s="28" t="str">
        <f>IF($C180=""," ",[1]!i_pq_pctchange($C180,G$6,$N$1))</f>
        <v xml:space="preserve"> </v>
      </c>
      <c r="H180" s="28" t="str">
        <f>IF($C180=""," ",[1]!i_pq_pctchange($C180,H$6,$N$1))</f>
        <v xml:space="preserve"> </v>
      </c>
      <c r="I180" s="28" t="str">
        <f>IF($C180=""," ",[1]!i_pq_pctchange($C180,I$6,$N$1))</f>
        <v xml:space="preserve"> </v>
      </c>
      <c r="J180" s="28" t="str">
        <f>IF($C180=""," ",[1]!i_pq_pctchange($C180,J$6,$N$1))</f>
        <v xml:space="preserve"> </v>
      </c>
      <c r="K180" s="28" t="str">
        <f>IF($C180=""," ",[1]!i_pq_pctchange($C180,K$6,$N$1))</f>
        <v xml:space="preserve"> </v>
      </c>
      <c r="L180" s="28" t="str">
        <f>IF(C180=""," ",[1]!s_wq_pctchange($C180,$N$1))</f>
        <v xml:space="preserve"> </v>
      </c>
      <c r="M180" s="28" t="str">
        <f>IF(C180=""," ",[1]!s_mq_pctchange($C180,$N$1))</f>
        <v xml:space="preserve"> </v>
      </c>
      <c r="N180" s="28" t="str">
        <f>IF(C180=""," ",[1]!s_yq_pctchange($C180,$N$1))</f>
        <v xml:space="preserve"> </v>
      </c>
      <c r="O180" s="11"/>
      <c r="P180" s="7"/>
    </row>
    <row r="181" spans="1:16" x14ac:dyDescent="0.35">
      <c r="A181" s="7"/>
      <c r="C181" s="30" t="str">
        <f>IF(指数列表!B178="","",指数列表!B178)</f>
        <v/>
      </c>
      <c r="D181" s="35" t="str">
        <f>IF(C181="","",[1]!s_info_name(C181))</f>
        <v/>
      </c>
      <c r="E181" s="24" t="str">
        <f>IF(C181="","",[1]!s_dq_close(C181,$N$1))</f>
        <v/>
      </c>
      <c r="F181" s="28" t="str">
        <f>IF($C181=""," ",[1]!i_pq_pctchange($C181,F$6,$N$1))</f>
        <v xml:space="preserve"> </v>
      </c>
      <c r="G181" s="28" t="str">
        <f>IF($C181=""," ",[1]!i_pq_pctchange($C181,G$6,$N$1))</f>
        <v xml:space="preserve"> </v>
      </c>
      <c r="H181" s="28" t="str">
        <f>IF($C181=""," ",[1]!i_pq_pctchange($C181,H$6,$N$1))</f>
        <v xml:space="preserve"> </v>
      </c>
      <c r="I181" s="28" t="str">
        <f>IF($C181=""," ",[1]!i_pq_pctchange($C181,I$6,$N$1))</f>
        <v xml:space="preserve"> </v>
      </c>
      <c r="J181" s="28" t="str">
        <f>IF($C181=""," ",[1]!i_pq_pctchange($C181,J$6,$N$1))</f>
        <v xml:space="preserve"> </v>
      </c>
      <c r="K181" s="28" t="str">
        <f>IF($C181=""," ",[1]!i_pq_pctchange($C181,K$6,$N$1))</f>
        <v xml:space="preserve"> </v>
      </c>
      <c r="L181" s="28" t="str">
        <f>IF(C181=""," ",[1]!s_wq_pctchange($C181,$N$1))</f>
        <v xml:space="preserve"> </v>
      </c>
      <c r="M181" s="28" t="str">
        <f>IF(C181=""," ",[1]!s_mq_pctchange($C181,$N$1))</f>
        <v xml:space="preserve"> </v>
      </c>
      <c r="N181" s="28" t="str">
        <f>IF(C181=""," ",[1]!s_yq_pctchange($C181,$N$1))</f>
        <v xml:space="preserve"> </v>
      </c>
      <c r="O181" s="11"/>
      <c r="P181" s="7"/>
    </row>
    <row r="182" spans="1:16" x14ac:dyDescent="0.35">
      <c r="A182" s="7"/>
      <c r="C182" s="31" t="str">
        <f>IF(指数列表!B179="","",指数列表!B179)</f>
        <v/>
      </c>
      <c r="D182" s="36" t="str">
        <f>IF(C182="","",[1]!s_info_name(C182))</f>
        <v/>
      </c>
      <c r="E182" s="25" t="str">
        <f>IF(C182="","",[1]!s_dq_close(C182,$N$1))</f>
        <v/>
      </c>
      <c r="F182" s="28" t="str">
        <f>IF($C182=""," ",[1]!i_pq_pctchange($C182,F$6,$N$1))</f>
        <v xml:space="preserve"> </v>
      </c>
      <c r="G182" s="28" t="str">
        <f>IF($C182=""," ",[1]!i_pq_pctchange($C182,G$6,$N$1))</f>
        <v xml:space="preserve"> </v>
      </c>
      <c r="H182" s="28" t="str">
        <f>IF($C182=""," ",[1]!i_pq_pctchange($C182,H$6,$N$1))</f>
        <v xml:space="preserve"> </v>
      </c>
      <c r="I182" s="28" t="str">
        <f>IF($C182=""," ",[1]!i_pq_pctchange($C182,I$6,$N$1))</f>
        <v xml:space="preserve"> </v>
      </c>
      <c r="J182" s="28" t="str">
        <f>IF($C182=""," ",[1]!i_pq_pctchange($C182,J$6,$N$1))</f>
        <v xml:space="preserve"> </v>
      </c>
      <c r="K182" s="28" t="str">
        <f>IF($C182=""," ",[1]!i_pq_pctchange($C182,K$6,$N$1))</f>
        <v xml:space="preserve"> </v>
      </c>
      <c r="L182" s="28" t="str">
        <f>IF(C182=""," ",[1]!s_wq_pctchange($C182,$N$1))</f>
        <v xml:space="preserve"> </v>
      </c>
      <c r="M182" s="28" t="str">
        <f>IF(C182=""," ",[1]!s_mq_pctchange($C182,$N$1))</f>
        <v xml:space="preserve"> </v>
      </c>
      <c r="N182" s="28" t="str">
        <f>IF(C182=""," ",[1]!s_yq_pctchange($C182,$N$1))</f>
        <v xml:space="preserve"> </v>
      </c>
      <c r="O182" s="11"/>
      <c r="P182" s="7"/>
    </row>
    <row r="183" spans="1:16" x14ac:dyDescent="0.35">
      <c r="A183" s="7"/>
      <c r="C183" s="30" t="str">
        <f>IF(指数列表!B180="","",指数列表!B180)</f>
        <v/>
      </c>
      <c r="D183" s="35" t="str">
        <f>IF(C183="","",[1]!s_info_name(C183))</f>
        <v/>
      </c>
      <c r="E183" s="24" t="str">
        <f>IF(C183="","",[1]!s_dq_close(C183,$N$1))</f>
        <v/>
      </c>
      <c r="F183" s="28" t="str">
        <f>IF($C183=""," ",[1]!i_pq_pctchange($C183,F$6,$N$1))</f>
        <v xml:space="preserve"> </v>
      </c>
      <c r="G183" s="28" t="str">
        <f>IF($C183=""," ",[1]!i_pq_pctchange($C183,G$6,$N$1))</f>
        <v xml:space="preserve"> </v>
      </c>
      <c r="H183" s="28" t="str">
        <f>IF($C183=""," ",[1]!i_pq_pctchange($C183,H$6,$N$1))</f>
        <v xml:space="preserve"> </v>
      </c>
      <c r="I183" s="28" t="str">
        <f>IF($C183=""," ",[1]!i_pq_pctchange($C183,I$6,$N$1))</f>
        <v xml:space="preserve"> </v>
      </c>
      <c r="J183" s="28" t="str">
        <f>IF($C183=""," ",[1]!i_pq_pctchange($C183,J$6,$N$1))</f>
        <v xml:space="preserve"> </v>
      </c>
      <c r="K183" s="28" t="str">
        <f>IF($C183=""," ",[1]!i_pq_pctchange($C183,K$6,$N$1))</f>
        <v xml:space="preserve"> </v>
      </c>
      <c r="L183" s="28" t="str">
        <f>IF(C183=""," ",[1]!s_wq_pctchange($C183,$N$1))</f>
        <v xml:space="preserve"> </v>
      </c>
      <c r="M183" s="28" t="str">
        <f>IF(C183=""," ",[1]!s_mq_pctchange($C183,$N$1))</f>
        <v xml:space="preserve"> </v>
      </c>
      <c r="N183" s="28" t="str">
        <f>IF(C183=""," ",[1]!s_yq_pctchange($C183,$N$1))</f>
        <v xml:space="preserve"> </v>
      </c>
      <c r="O183" s="11"/>
      <c r="P183" s="7"/>
    </row>
    <row r="184" spans="1:16" x14ac:dyDescent="0.35">
      <c r="A184" s="7"/>
      <c r="C184" s="31" t="str">
        <f>IF(指数列表!B181="","",指数列表!B181)</f>
        <v/>
      </c>
      <c r="D184" s="36" t="str">
        <f>IF(C184="","",[1]!s_info_name(C184))</f>
        <v/>
      </c>
      <c r="E184" s="25" t="str">
        <f>IF(C184="","",[1]!s_dq_close(C184,$N$1))</f>
        <v/>
      </c>
      <c r="F184" s="28" t="str">
        <f>IF($C184=""," ",[1]!i_pq_pctchange($C184,F$6,$N$1))</f>
        <v xml:space="preserve"> </v>
      </c>
      <c r="G184" s="28" t="str">
        <f>IF($C184=""," ",[1]!i_pq_pctchange($C184,G$6,$N$1))</f>
        <v xml:space="preserve"> </v>
      </c>
      <c r="H184" s="28" t="str">
        <f>IF($C184=""," ",[1]!i_pq_pctchange($C184,H$6,$N$1))</f>
        <v xml:space="preserve"> </v>
      </c>
      <c r="I184" s="28" t="str">
        <f>IF($C184=""," ",[1]!i_pq_pctchange($C184,I$6,$N$1))</f>
        <v xml:space="preserve"> </v>
      </c>
      <c r="J184" s="28" t="str">
        <f>IF($C184=""," ",[1]!i_pq_pctchange($C184,J$6,$N$1))</f>
        <v xml:space="preserve"> </v>
      </c>
      <c r="K184" s="28" t="str">
        <f>IF($C184=""," ",[1]!i_pq_pctchange($C184,K$6,$N$1))</f>
        <v xml:space="preserve"> </v>
      </c>
      <c r="L184" s="28" t="str">
        <f>IF(C184=""," ",[1]!s_wq_pctchange($C184,$N$1))</f>
        <v xml:space="preserve"> </v>
      </c>
      <c r="M184" s="28" t="str">
        <f>IF(C184=""," ",[1]!s_mq_pctchange($C184,$N$1))</f>
        <v xml:space="preserve"> </v>
      </c>
      <c r="N184" s="28" t="str">
        <f>IF(C184=""," ",[1]!s_yq_pctchange($C184,$N$1))</f>
        <v xml:space="preserve"> </v>
      </c>
      <c r="O184" s="11"/>
      <c r="P184" s="7"/>
    </row>
    <row r="185" spans="1:16" x14ac:dyDescent="0.35">
      <c r="A185" s="7"/>
      <c r="C185" s="30" t="str">
        <f>IF(指数列表!B182="","",指数列表!B182)</f>
        <v/>
      </c>
      <c r="D185" s="35" t="str">
        <f>IF(C185="","",[1]!s_info_name(C185))</f>
        <v/>
      </c>
      <c r="E185" s="24" t="str">
        <f>IF(C185="","",[1]!s_dq_close(C185,$N$1))</f>
        <v/>
      </c>
      <c r="F185" s="28" t="str">
        <f>IF($C185=""," ",[1]!i_pq_pctchange($C185,F$6,$N$1))</f>
        <v xml:space="preserve"> </v>
      </c>
      <c r="G185" s="28" t="str">
        <f>IF($C185=""," ",[1]!i_pq_pctchange($C185,G$6,$N$1))</f>
        <v xml:space="preserve"> </v>
      </c>
      <c r="H185" s="28" t="str">
        <f>IF($C185=""," ",[1]!i_pq_pctchange($C185,H$6,$N$1))</f>
        <v xml:space="preserve"> </v>
      </c>
      <c r="I185" s="28" t="str">
        <f>IF($C185=""," ",[1]!i_pq_pctchange($C185,I$6,$N$1))</f>
        <v xml:space="preserve"> </v>
      </c>
      <c r="J185" s="28" t="str">
        <f>IF($C185=""," ",[1]!i_pq_pctchange($C185,J$6,$N$1))</f>
        <v xml:space="preserve"> </v>
      </c>
      <c r="K185" s="28" t="str">
        <f>IF($C185=""," ",[1]!i_pq_pctchange($C185,K$6,$N$1))</f>
        <v xml:space="preserve"> </v>
      </c>
      <c r="L185" s="28" t="str">
        <f>IF(C185=""," ",[1]!s_wq_pctchange($C185,$N$1))</f>
        <v xml:space="preserve"> </v>
      </c>
      <c r="M185" s="28" t="str">
        <f>IF(C185=""," ",[1]!s_mq_pctchange($C185,$N$1))</f>
        <v xml:space="preserve"> </v>
      </c>
      <c r="N185" s="28" t="str">
        <f>IF(C185=""," ",[1]!s_yq_pctchange($C185,$N$1))</f>
        <v xml:space="preserve"> </v>
      </c>
      <c r="O185" s="11"/>
      <c r="P185" s="7"/>
    </row>
    <row r="186" spans="1:16" x14ac:dyDescent="0.35">
      <c r="A186" s="7"/>
      <c r="C186" s="31" t="str">
        <f>IF(指数列表!B183="","",指数列表!B183)</f>
        <v/>
      </c>
      <c r="D186" s="36" t="str">
        <f>IF(C186="","",[1]!s_info_name(C186))</f>
        <v/>
      </c>
      <c r="E186" s="25" t="str">
        <f>IF(C186="","",[1]!s_dq_close(C186,$N$1))</f>
        <v/>
      </c>
      <c r="F186" s="28" t="str">
        <f>IF($C186=""," ",[1]!i_pq_pctchange($C186,F$6,$N$1))</f>
        <v xml:space="preserve"> </v>
      </c>
      <c r="G186" s="28" t="str">
        <f>IF($C186=""," ",[1]!i_pq_pctchange($C186,G$6,$N$1))</f>
        <v xml:space="preserve"> </v>
      </c>
      <c r="H186" s="28" t="str">
        <f>IF($C186=""," ",[1]!i_pq_pctchange($C186,H$6,$N$1))</f>
        <v xml:space="preserve"> </v>
      </c>
      <c r="I186" s="28" t="str">
        <f>IF($C186=""," ",[1]!i_pq_pctchange($C186,I$6,$N$1))</f>
        <v xml:space="preserve"> </v>
      </c>
      <c r="J186" s="28" t="str">
        <f>IF($C186=""," ",[1]!i_pq_pctchange($C186,J$6,$N$1))</f>
        <v xml:space="preserve"> </v>
      </c>
      <c r="K186" s="28" t="str">
        <f>IF($C186=""," ",[1]!i_pq_pctchange($C186,K$6,$N$1))</f>
        <v xml:space="preserve"> </v>
      </c>
      <c r="L186" s="28" t="str">
        <f>IF(C186=""," ",[1]!s_wq_pctchange($C186,$N$1))</f>
        <v xml:space="preserve"> </v>
      </c>
      <c r="M186" s="28" t="str">
        <f>IF(C186=""," ",[1]!s_mq_pctchange($C186,$N$1))</f>
        <v xml:space="preserve"> </v>
      </c>
      <c r="N186" s="28" t="str">
        <f>IF(C186=""," ",[1]!s_yq_pctchange($C186,$N$1))</f>
        <v xml:space="preserve"> </v>
      </c>
      <c r="O186" s="11"/>
      <c r="P186" s="7"/>
    </row>
    <row r="187" spans="1:16" x14ac:dyDescent="0.35">
      <c r="A187" s="7"/>
      <c r="C187" s="30" t="str">
        <f>IF(指数列表!B184="","",指数列表!B184)</f>
        <v/>
      </c>
      <c r="D187" s="35" t="str">
        <f>IF(C187="","",[1]!s_info_name(C187))</f>
        <v/>
      </c>
      <c r="E187" s="24" t="str">
        <f>IF(C187="","",[1]!s_dq_close(C187,$N$1))</f>
        <v/>
      </c>
      <c r="F187" s="28" t="str">
        <f>IF($C187=""," ",[1]!i_pq_pctchange($C187,F$6,$N$1))</f>
        <v xml:space="preserve"> </v>
      </c>
      <c r="G187" s="28" t="str">
        <f>IF($C187=""," ",[1]!i_pq_pctchange($C187,G$6,$N$1))</f>
        <v xml:space="preserve"> </v>
      </c>
      <c r="H187" s="28" t="str">
        <f>IF($C187=""," ",[1]!i_pq_pctchange($C187,H$6,$N$1))</f>
        <v xml:space="preserve"> </v>
      </c>
      <c r="I187" s="28" t="str">
        <f>IF($C187=""," ",[1]!i_pq_pctchange($C187,I$6,$N$1))</f>
        <v xml:space="preserve"> </v>
      </c>
      <c r="J187" s="28" t="str">
        <f>IF($C187=""," ",[1]!i_pq_pctchange($C187,J$6,$N$1))</f>
        <v xml:space="preserve"> </v>
      </c>
      <c r="K187" s="28" t="str">
        <f>IF($C187=""," ",[1]!i_pq_pctchange($C187,K$6,$N$1))</f>
        <v xml:space="preserve"> </v>
      </c>
      <c r="L187" s="28" t="str">
        <f>IF(C187=""," ",[1]!s_wq_pctchange($C187,$N$1))</f>
        <v xml:space="preserve"> </v>
      </c>
      <c r="M187" s="28" t="str">
        <f>IF(C187=""," ",[1]!s_mq_pctchange($C187,$N$1))</f>
        <v xml:space="preserve"> </v>
      </c>
      <c r="N187" s="28" t="str">
        <f>IF(C187=""," ",[1]!s_yq_pctchange($C187,$N$1))</f>
        <v xml:space="preserve"> </v>
      </c>
      <c r="O187" s="11"/>
      <c r="P187" s="7"/>
    </row>
    <row r="188" spans="1:16" x14ac:dyDescent="0.35">
      <c r="A188" s="7"/>
      <c r="C188" s="31" t="str">
        <f>IF(指数列表!B185="","",指数列表!B185)</f>
        <v/>
      </c>
      <c r="D188" s="36" t="str">
        <f>IF(C188="","",[1]!s_info_name(C188))</f>
        <v/>
      </c>
      <c r="E188" s="25" t="str">
        <f>IF(C188="","",[1]!s_dq_close(C188,$N$1))</f>
        <v/>
      </c>
      <c r="F188" s="28" t="str">
        <f>IF($C188=""," ",[1]!i_pq_pctchange($C188,F$6,$N$1))</f>
        <v xml:space="preserve"> </v>
      </c>
      <c r="G188" s="28" t="str">
        <f>IF($C188=""," ",[1]!i_pq_pctchange($C188,G$6,$N$1))</f>
        <v xml:space="preserve"> </v>
      </c>
      <c r="H188" s="28" t="str">
        <f>IF($C188=""," ",[1]!i_pq_pctchange($C188,H$6,$N$1))</f>
        <v xml:space="preserve"> </v>
      </c>
      <c r="I188" s="28" t="str">
        <f>IF($C188=""," ",[1]!i_pq_pctchange($C188,I$6,$N$1))</f>
        <v xml:space="preserve"> </v>
      </c>
      <c r="J188" s="28" t="str">
        <f>IF($C188=""," ",[1]!i_pq_pctchange($C188,J$6,$N$1))</f>
        <v xml:space="preserve"> </v>
      </c>
      <c r="K188" s="28" t="str">
        <f>IF($C188=""," ",[1]!i_pq_pctchange($C188,K$6,$N$1))</f>
        <v xml:space="preserve"> </v>
      </c>
      <c r="L188" s="28" t="str">
        <f>IF(C188=""," ",[1]!s_wq_pctchange($C188,$N$1))</f>
        <v xml:space="preserve"> </v>
      </c>
      <c r="M188" s="28" t="str">
        <f>IF(C188=""," ",[1]!s_mq_pctchange($C188,$N$1))</f>
        <v xml:space="preserve"> </v>
      </c>
      <c r="N188" s="28" t="str">
        <f>IF(C188=""," ",[1]!s_yq_pctchange($C188,$N$1))</f>
        <v xml:space="preserve"> </v>
      </c>
      <c r="O188" s="11"/>
      <c r="P188" s="7"/>
    </row>
    <row r="189" spans="1:16" x14ac:dyDescent="0.35">
      <c r="A189" s="7"/>
      <c r="C189" s="30" t="str">
        <f>IF(指数列表!B186="","",指数列表!B186)</f>
        <v/>
      </c>
      <c r="D189" s="35" t="str">
        <f>IF(C189="","",[1]!s_info_name(C189))</f>
        <v/>
      </c>
      <c r="E189" s="24" t="str">
        <f>IF(C189="","",[1]!s_dq_close(C189,$N$1))</f>
        <v/>
      </c>
      <c r="F189" s="28" t="str">
        <f>IF($C189=""," ",[1]!i_pq_pctchange($C189,F$6,$N$1))</f>
        <v xml:space="preserve"> </v>
      </c>
      <c r="G189" s="28" t="str">
        <f>IF($C189=""," ",[1]!i_pq_pctchange($C189,G$6,$N$1))</f>
        <v xml:space="preserve"> </v>
      </c>
      <c r="H189" s="28" t="str">
        <f>IF($C189=""," ",[1]!i_pq_pctchange($C189,H$6,$N$1))</f>
        <v xml:space="preserve"> </v>
      </c>
      <c r="I189" s="28" t="str">
        <f>IF($C189=""," ",[1]!i_pq_pctchange($C189,I$6,$N$1))</f>
        <v xml:space="preserve"> </v>
      </c>
      <c r="J189" s="28" t="str">
        <f>IF($C189=""," ",[1]!i_pq_pctchange($C189,J$6,$N$1))</f>
        <v xml:space="preserve"> </v>
      </c>
      <c r="K189" s="28" t="str">
        <f>IF($C189=""," ",[1]!i_pq_pctchange($C189,K$6,$N$1))</f>
        <v xml:space="preserve"> </v>
      </c>
      <c r="L189" s="28" t="str">
        <f>IF(C189=""," ",[1]!s_wq_pctchange($C189,$N$1))</f>
        <v xml:space="preserve"> </v>
      </c>
      <c r="M189" s="28" t="str">
        <f>IF(C189=""," ",[1]!s_mq_pctchange($C189,$N$1))</f>
        <v xml:space="preserve"> </v>
      </c>
      <c r="N189" s="28" t="str">
        <f>IF(C189=""," ",[1]!s_yq_pctchange($C189,$N$1))</f>
        <v xml:space="preserve"> </v>
      </c>
      <c r="O189" s="11"/>
      <c r="P189" s="7"/>
    </row>
    <row r="190" spans="1:16" x14ac:dyDescent="0.35">
      <c r="A190" s="7"/>
      <c r="C190" s="31" t="str">
        <f>IF(指数列表!B187="","",指数列表!B187)</f>
        <v/>
      </c>
      <c r="D190" s="36" t="str">
        <f>IF(C190="","",[1]!s_info_name(C190))</f>
        <v/>
      </c>
      <c r="E190" s="25" t="str">
        <f>IF(C190="","",[1]!s_dq_close(C190,$N$1))</f>
        <v/>
      </c>
      <c r="F190" s="28" t="str">
        <f>IF($C190=""," ",[1]!i_pq_pctchange($C190,F$6,$N$1))</f>
        <v xml:space="preserve"> </v>
      </c>
      <c r="G190" s="28" t="str">
        <f>IF($C190=""," ",[1]!i_pq_pctchange($C190,G$6,$N$1))</f>
        <v xml:space="preserve"> </v>
      </c>
      <c r="H190" s="28" t="str">
        <f>IF($C190=""," ",[1]!i_pq_pctchange($C190,H$6,$N$1))</f>
        <v xml:space="preserve"> </v>
      </c>
      <c r="I190" s="28" t="str">
        <f>IF($C190=""," ",[1]!i_pq_pctchange($C190,I$6,$N$1))</f>
        <v xml:space="preserve"> </v>
      </c>
      <c r="J190" s="28" t="str">
        <f>IF($C190=""," ",[1]!i_pq_pctchange($C190,J$6,$N$1))</f>
        <v xml:space="preserve"> </v>
      </c>
      <c r="K190" s="28" t="str">
        <f>IF($C190=""," ",[1]!i_pq_pctchange($C190,K$6,$N$1))</f>
        <v xml:space="preserve"> </v>
      </c>
      <c r="L190" s="28" t="str">
        <f>IF(C190=""," ",[1]!s_wq_pctchange($C190,$N$1))</f>
        <v xml:space="preserve"> </v>
      </c>
      <c r="M190" s="28" t="str">
        <f>IF(C190=""," ",[1]!s_mq_pctchange($C190,$N$1))</f>
        <v xml:space="preserve"> </v>
      </c>
      <c r="N190" s="28" t="str">
        <f>IF(C190=""," ",[1]!s_yq_pctchange($C190,$N$1))</f>
        <v xml:space="preserve"> </v>
      </c>
      <c r="O190" s="11"/>
      <c r="P190" s="7"/>
    </row>
    <row r="191" spans="1:16" x14ac:dyDescent="0.35">
      <c r="A191" s="7"/>
      <c r="C191" s="30" t="str">
        <f>IF(指数列表!B188="","",指数列表!B188)</f>
        <v/>
      </c>
      <c r="D191" s="35" t="str">
        <f>IF(C191="","",[1]!s_info_name(C191))</f>
        <v/>
      </c>
      <c r="E191" s="24" t="str">
        <f>IF(C191="","",[1]!s_dq_close(C191,$N$1))</f>
        <v/>
      </c>
      <c r="F191" s="28" t="str">
        <f>IF($C191=""," ",[1]!i_pq_pctchange($C191,F$6,$N$1))</f>
        <v xml:space="preserve"> </v>
      </c>
      <c r="G191" s="28" t="str">
        <f>IF($C191=""," ",[1]!i_pq_pctchange($C191,G$6,$N$1))</f>
        <v xml:space="preserve"> </v>
      </c>
      <c r="H191" s="28" t="str">
        <f>IF($C191=""," ",[1]!i_pq_pctchange($C191,H$6,$N$1))</f>
        <v xml:space="preserve"> </v>
      </c>
      <c r="I191" s="28" t="str">
        <f>IF($C191=""," ",[1]!i_pq_pctchange($C191,I$6,$N$1))</f>
        <v xml:space="preserve"> </v>
      </c>
      <c r="J191" s="28" t="str">
        <f>IF($C191=""," ",[1]!i_pq_pctchange($C191,J$6,$N$1))</f>
        <v xml:space="preserve"> </v>
      </c>
      <c r="K191" s="28" t="str">
        <f>IF($C191=""," ",[1]!i_pq_pctchange($C191,K$6,$N$1))</f>
        <v xml:space="preserve"> </v>
      </c>
      <c r="L191" s="28" t="str">
        <f>IF(C191=""," ",[1]!s_wq_pctchange($C191,$N$1))</f>
        <v xml:space="preserve"> </v>
      </c>
      <c r="M191" s="28" t="str">
        <f>IF(C191=""," ",[1]!s_mq_pctchange($C191,$N$1))</f>
        <v xml:space="preserve"> </v>
      </c>
      <c r="N191" s="28" t="str">
        <f>IF(C191=""," ",[1]!s_yq_pctchange($C191,$N$1))</f>
        <v xml:space="preserve"> </v>
      </c>
      <c r="O191" s="11"/>
      <c r="P191" s="7"/>
    </row>
    <row r="192" spans="1:16" x14ac:dyDescent="0.35">
      <c r="A192" s="7"/>
      <c r="C192" s="31" t="str">
        <f>IF(指数列表!B189="","",指数列表!B189)</f>
        <v/>
      </c>
      <c r="D192" s="36" t="str">
        <f>IF(C192="","",[1]!s_info_name(C192))</f>
        <v/>
      </c>
      <c r="E192" s="25" t="str">
        <f>IF(C192="","",[1]!s_dq_close(C192,$N$1))</f>
        <v/>
      </c>
      <c r="F192" s="28" t="str">
        <f>IF($C192=""," ",[1]!i_pq_pctchange($C192,F$6,$N$1))</f>
        <v xml:space="preserve"> </v>
      </c>
      <c r="G192" s="28" t="str">
        <f>IF($C192=""," ",[1]!i_pq_pctchange($C192,G$6,$N$1))</f>
        <v xml:space="preserve"> </v>
      </c>
      <c r="H192" s="28" t="str">
        <f>IF($C192=""," ",[1]!i_pq_pctchange($C192,H$6,$N$1))</f>
        <v xml:space="preserve"> </v>
      </c>
      <c r="I192" s="28" t="str">
        <f>IF($C192=""," ",[1]!i_pq_pctchange($C192,I$6,$N$1))</f>
        <v xml:space="preserve"> </v>
      </c>
      <c r="J192" s="28" t="str">
        <f>IF($C192=""," ",[1]!i_pq_pctchange($C192,J$6,$N$1))</f>
        <v xml:space="preserve"> </v>
      </c>
      <c r="K192" s="28" t="str">
        <f>IF($C192=""," ",[1]!i_pq_pctchange($C192,K$6,$N$1))</f>
        <v xml:space="preserve"> </v>
      </c>
      <c r="L192" s="28" t="str">
        <f>IF(C192=""," ",[1]!s_wq_pctchange($C192,$N$1))</f>
        <v xml:space="preserve"> </v>
      </c>
      <c r="M192" s="28" t="str">
        <f>IF(C192=""," ",[1]!s_mq_pctchange($C192,$N$1))</f>
        <v xml:space="preserve"> </v>
      </c>
      <c r="N192" s="28" t="str">
        <f>IF(C192=""," ",[1]!s_yq_pctchange($C192,$N$1))</f>
        <v xml:space="preserve"> </v>
      </c>
      <c r="O192" s="11"/>
      <c r="P192" s="7"/>
    </row>
    <row r="193" spans="1:16" x14ac:dyDescent="0.35">
      <c r="A193" s="7"/>
      <c r="C193" s="30" t="str">
        <f>IF(指数列表!B190="","",指数列表!B190)</f>
        <v/>
      </c>
      <c r="D193" s="35" t="str">
        <f>IF(C193="","",[1]!s_info_name(C193))</f>
        <v/>
      </c>
      <c r="E193" s="24" t="str">
        <f>IF(C193="","",[1]!s_dq_close(C193,$N$1))</f>
        <v/>
      </c>
      <c r="F193" s="28" t="str">
        <f>IF($C193=""," ",[1]!i_pq_pctchange($C193,F$6,$N$1))</f>
        <v xml:space="preserve"> </v>
      </c>
      <c r="G193" s="28" t="str">
        <f>IF($C193=""," ",[1]!i_pq_pctchange($C193,G$6,$N$1))</f>
        <v xml:space="preserve"> </v>
      </c>
      <c r="H193" s="28" t="str">
        <f>IF($C193=""," ",[1]!i_pq_pctchange($C193,H$6,$N$1))</f>
        <v xml:space="preserve"> </v>
      </c>
      <c r="I193" s="28" t="str">
        <f>IF($C193=""," ",[1]!i_pq_pctchange($C193,I$6,$N$1))</f>
        <v xml:space="preserve"> </v>
      </c>
      <c r="J193" s="28" t="str">
        <f>IF($C193=""," ",[1]!i_pq_pctchange($C193,J$6,$N$1))</f>
        <v xml:space="preserve"> </v>
      </c>
      <c r="K193" s="28" t="str">
        <f>IF($C193=""," ",[1]!i_pq_pctchange($C193,K$6,$N$1))</f>
        <v xml:space="preserve"> </v>
      </c>
      <c r="L193" s="28" t="str">
        <f>IF(C193=""," ",[1]!s_wq_pctchange($C193,$N$1))</f>
        <v xml:space="preserve"> </v>
      </c>
      <c r="M193" s="28" t="str">
        <f>IF(C193=""," ",[1]!s_mq_pctchange($C193,$N$1))</f>
        <v xml:space="preserve"> </v>
      </c>
      <c r="N193" s="28" t="str">
        <f>IF(C193=""," ",[1]!s_yq_pctchange($C193,$N$1))</f>
        <v xml:space="preserve"> </v>
      </c>
      <c r="O193" s="11"/>
      <c r="P193" s="7"/>
    </row>
    <row r="194" spans="1:16" x14ac:dyDescent="0.35">
      <c r="A194" s="7"/>
      <c r="C194" s="31" t="str">
        <f>IF(指数列表!B191="","",指数列表!B191)</f>
        <v/>
      </c>
      <c r="D194" s="36" t="str">
        <f>IF(C194="","",[1]!s_info_name(C194))</f>
        <v/>
      </c>
      <c r="E194" s="25" t="str">
        <f>IF(C194="","",[1]!s_dq_close(C194,$N$1))</f>
        <v/>
      </c>
      <c r="F194" s="28" t="str">
        <f>IF($C194=""," ",[1]!i_pq_pctchange($C194,F$6,$N$1))</f>
        <v xml:space="preserve"> </v>
      </c>
      <c r="G194" s="28" t="str">
        <f>IF($C194=""," ",[1]!i_pq_pctchange($C194,G$6,$N$1))</f>
        <v xml:space="preserve"> </v>
      </c>
      <c r="H194" s="28" t="str">
        <f>IF($C194=""," ",[1]!i_pq_pctchange($C194,H$6,$N$1))</f>
        <v xml:space="preserve"> </v>
      </c>
      <c r="I194" s="28" t="str">
        <f>IF($C194=""," ",[1]!i_pq_pctchange($C194,I$6,$N$1))</f>
        <v xml:space="preserve"> </v>
      </c>
      <c r="J194" s="28" t="str">
        <f>IF($C194=""," ",[1]!i_pq_pctchange($C194,J$6,$N$1))</f>
        <v xml:space="preserve"> </v>
      </c>
      <c r="K194" s="28" t="str">
        <f>IF($C194=""," ",[1]!i_pq_pctchange($C194,K$6,$N$1))</f>
        <v xml:space="preserve"> </v>
      </c>
      <c r="L194" s="28" t="str">
        <f>IF(C194=""," ",[1]!s_wq_pctchange($C194,$N$1))</f>
        <v xml:space="preserve"> </v>
      </c>
      <c r="M194" s="28" t="str">
        <f>IF(C194=""," ",[1]!s_mq_pctchange($C194,$N$1))</f>
        <v xml:space="preserve"> </v>
      </c>
      <c r="N194" s="28" t="str">
        <f>IF(C194=""," ",[1]!s_yq_pctchange($C194,$N$1))</f>
        <v xml:space="preserve"> </v>
      </c>
      <c r="O194" s="11"/>
      <c r="P194" s="7"/>
    </row>
    <row r="195" spans="1:16" x14ac:dyDescent="0.35">
      <c r="A195" s="7"/>
      <c r="C195" s="30" t="str">
        <f>IF(指数列表!B192="","",指数列表!B192)</f>
        <v/>
      </c>
      <c r="D195" s="35" t="str">
        <f>IF(C195="","",[1]!s_info_name(C195))</f>
        <v/>
      </c>
      <c r="E195" s="24" t="str">
        <f>IF(C195="","",[1]!s_dq_close(C195,$N$1))</f>
        <v/>
      </c>
      <c r="F195" s="28" t="str">
        <f>IF($C195=""," ",[1]!i_pq_pctchange($C195,F$6,$N$1))</f>
        <v xml:space="preserve"> </v>
      </c>
      <c r="G195" s="28" t="str">
        <f>IF($C195=""," ",[1]!i_pq_pctchange($C195,G$6,$N$1))</f>
        <v xml:space="preserve"> </v>
      </c>
      <c r="H195" s="28" t="str">
        <f>IF($C195=""," ",[1]!i_pq_pctchange($C195,H$6,$N$1))</f>
        <v xml:space="preserve"> </v>
      </c>
      <c r="I195" s="28" t="str">
        <f>IF($C195=""," ",[1]!i_pq_pctchange($C195,I$6,$N$1))</f>
        <v xml:space="preserve"> </v>
      </c>
      <c r="J195" s="28" t="str">
        <f>IF($C195=""," ",[1]!i_pq_pctchange($C195,J$6,$N$1))</f>
        <v xml:space="preserve"> </v>
      </c>
      <c r="K195" s="28" t="str">
        <f>IF($C195=""," ",[1]!i_pq_pctchange($C195,K$6,$N$1))</f>
        <v xml:space="preserve"> </v>
      </c>
      <c r="L195" s="28" t="str">
        <f>IF(C195=""," ",[1]!s_wq_pctchange($C195,$N$1))</f>
        <v xml:space="preserve"> </v>
      </c>
      <c r="M195" s="28" t="str">
        <f>IF(C195=""," ",[1]!s_mq_pctchange($C195,$N$1))</f>
        <v xml:space="preserve"> </v>
      </c>
      <c r="N195" s="28" t="str">
        <f>IF(C195=""," ",[1]!s_yq_pctchange($C195,$N$1))</f>
        <v xml:space="preserve"> </v>
      </c>
      <c r="O195" s="11"/>
      <c r="P195" s="7"/>
    </row>
    <row r="196" spans="1:16" x14ac:dyDescent="0.35">
      <c r="A196" s="7"/>
      <c r="C196" s="31" t="str">
        <f>IF(指数列表!B193="","",指数列表!B193)</f>
        <v/>
      </c>
      <c r="D196" s="36" t="str">
        <f>IF(C196="","",[1]!s_info_name(C196))</f>
        <v/>
      </c>
      <c r="E196" s="25" t="str">
        <f>IF(C196="","",[1]!s_dq_close(C196,$N$1))</f>
        <v/>
      </c>
      <c r="F196" s="28" t="str">
        <f>IF($C196=""," ",[1]!i_pq_pctchange($C196,F$6,$N$1))</f>
        <v xml:space="preserve"> </v>
      </c>
      <c r="G196" s="28" t="str">
        <f>IF($C196=""," ",[1]!i_pq_pctchange($C196,G$6,$N$1))</f>
        <v xml:space="preserve"> </v>
      </c>
      <c r="H196" s="28" t="str">
        <f>IF($C196=""," ",[1]!i_pq_pctchange($C196,H$6,$N$1))</f>
        <v xml:space="preserve"> </v>
      </c>
      <c r="I196" s="28" t="str">
        <f>IF($C196=""," ",[1]!i_pq_pctchange($C196,I$6,$N$1))</f>
        <v xml:space="preserve"> </v>
      </c>
      <c r="J196" s="28" t="str">
        <f>IF($C196=""," ",[1]!i_pq_pctchange($C196,J$6,$N$1))</f>
        <v xml:space="preserve"> </v>
      </c>
      <c r="K196" s="28" t="str">
        <f>IF($C196=""," ",[1]!i_pq_pctchange($C196,K$6,$N$1))</f>
        <v xml:space="preserve"> </v>
      </c>
      <c r="L196" s="28" t="str">
        <f>IF(C196=""," ",[1]!s_wq_pctchange($C196,$N$1))</f>
        <v xml:space="preserve"> </v>
      </c>
      <c r="M196" s="28" t="str">
        <f>IF(C196=""," ",[1]!s_mq_pctchange($C196,$N$1))</f>
        <v xml:space="preserve"> </v>
      </c>
      <c r="N196" s="28" t="str">
        <f>IF(C196=""," ",[1]!s_yq_pctchange($C196,$N$1))</f>
        <v xml:space="preserve"> </v>
      </c>
      <c r="O196" s="11"/>
      <c r="P196" s="7"/>
    </row>
    <row r="197" spans="1:16" x14ac:dyDescent="0.35">
      <c r="A197" s="7"/>
      <c r="C197" s="30" t="str">
        <f>IF(指数列表!B194="","",指数列表!B194)</f>
        <v/>
      </c>
      <c r="D197" s="35" t="str">
        <f>IF(C197="","",[1]!s_info_name(C197))</f>
        <v/>
      </c>
      <c r="E197" s="24" t="str">
        <f>IF(C197="","",[1]!s_dq_close(C197,$N$1))</f>
        <v/>
      </c>
      <c r="F197" s="28" t="str">
        <f>IF($C197=""," ",[1]!i_pq_pctchange($C197,F$6,$N$1))</f>
        <v xml:space="preserve"> </v>
      </c>
      <c r="G197" s="28" t="str">
        <f>IF($C197=""," ",[1]!i_pq_pctchange($C197,G$6,$N$1))</f>
        <v xml:space="preserve"> </v>
      </c>
      <c r="H197" s="28" t="str">
        <f>IF($C197=""," ",[1]!i_pq_pctchange($C197,H$6,$N$1))</f>
        <v xml:space="preserve"> </v>
      </c>
      <c r="I197" s="28" t="str">
        <f>IF($C197=""," ",[1]!i_pq_pctchange($C197,I$6,$N$1))</f>
        <v xml:space="preserve"> </v>
      </c>
      <c r="J197" s="28" t="str">
        <f>IF($C197=""," ",[1]!i_pq_pctchange($C197,J$6,$N$1))</f>
        <v xml:space="preserve"> </v>
      </c>
      <c r="K197" s="28" t="str">
        <f>IF($C197=""," ",[1]!i_pq_pctchange($C197,K$6,$N$1))</f>
        <v xml:space="preserve"> </v>
      </c>
      <c r="L197" s="28" t="str">
        <f>IF(C197=""," ",[1]!s_wq_pctchange($C197,$N$1))</f>
        <v xml:space="preserve"> </v>
      </c>
      <c r="M197" s="28" t="str">
        <f>IF(C197=""," ",[1]!s_mq_pctchange($C197,$N$1))</f>
        <v xml:space="preserve"> </v>
      </c>
      <c r="N197" s="28" t="str">
        <f>IF(C197=""," ",[1]!s_yq_pctchange($C197,$N$1))</f>
        <v xml:space="preserve"> </v>
      </c>
      <c r="O197" s="11"/>
      <c r="P197" s="7"/>
    </row>
    <row r="198" spans="1:16" x14ac:dyDescent="0.35">
      <c r="A198" s="7"/>
      <c r="C198" s="31" t="str">
        <f>IF(指数列表!B195="","",指数列表!B195)</f>
        <v/>
      </c>
      <c r="D198" s="36" t="str">
        <f>IF(C198="","",[1]!s_info_name(C198))</f>
        <v/>
      </c>
      <c r="E198" s="25" t="str">
        <f>IF(C198="","",[1]!s_dq_close(C198,$N$1))</f>
        <v/>
      </c>
      <c r="F198" s="28" t="str">
        <f>IF($C198=""," ",[1]!i_pq_pctchange($C198,F$6,$N$1))</f>
        <v xml:space="preserve"> </v>
      </c>
      <c r="G198" s="28" t="str">
        <f>IF($C198=""," ",[1]!i_pq_pctchange($C198,G$6,$N$1))</f>
        <v xml:space="preserve"> </v>
      </c>
      <c r="H198" s="28" t="str">
        <f>IF($C198=""," ",[1]!i_pq_pctchange($C198,H$6,$N$1))</f>
        <v xml:space="preserve"> </v>
      </c>
      <c r="I198" s="28" t="str">
        <f>IF($C198=""," ",[1]!i_pq_pctchange($C198,I$6,$N$1))</f>
        <v xml:space="preserve"> </v>
      </c>
      <c r="J198" s="28" t="str">
        <f>IF($C198=""," ",[1]!i_pq_pctchange($C198,J$6,$N$1))</f>
        <v xml:space="preserve"> </v>
      </c>
      <c r="K198" s="28" t="str">
        <f>IF($C198=""," ",[1]!i_pq_pctchange($C198,K$6,$N$1))</f>
        <v xml:space="preserve"> </v>
      </c>
      <c r="L198" s="28" t="str">
        <f>IF(C198=""," ",[1]!s_wq_pctchange($C198,$N$1))</f>
        <v xml:space="preserve"> </v>
      </c>
      <c r="M198" s="28" t="str">
        <f>IF(C198=""," ",[1]!s_mq_pctchange($C198,$N$1))</f>
        <v xml:space="preserve"> </v>
      </c>
      <c r="N198" s="28" t="str">
        <f>IF(C198=""," ",[1]!s_yq_pctchange($C198,$N$1))</f>
        <v xml:space="preserve"> </v>
      </c>
      <c r="O198" s="11"/>
      <c r="P198" s="7"/>
    </row>
    <row r="199" spans="1:16" x14ac:dyDescent="0.35">
      <c r="A199" s="7"/>
      <c r="C199" s="30" t="str">
        <f>IF(指数列表!B196="","",指数列表!B196)</f>
        <v/>
      </c>
      <c r="D199" s="35" t="str">
        <f>IF(C199="","",[1]!s_info_name(C199))</f>
        <v/>
      </c>
      <c r="E199" s="24" t="str">
        <f>IF(C199="","",[1]!s_dq_close(C199,$N$1))</f>
        <v/>
      </c>
      <c r="F199" s="28" t="str">
        <f>IF($C199=""," ",[1]!i_pq_pctchange($C199,F$6,$N$1))</f>
        <v xml:space="preserve"> </v>
      </c>
      <c r="G199" s="28" t="str">
        <f>IF($C199=""," ",[1]!i_pq_pctchange($C199,G$6,$N$1))</f>
        <v xml:space="preserve"> </v>
      </c>
      <c r="H199" s="28" t="str">
        <f>IF($C199=""," ",[1]!i_pq_pctchange($C199,H$6,$N$1))</f>
        <v xml:space="preserve"> </v>
      </c>
      <c r="I199" s="28" t="str">
        <f>IF($C199=""," ",[1]!i_pq_pctchange($C199,I$6,$N$1))</f>
        <v xml:space="preserve"> </v>
      </c>
      <c r="J199" s="28" t="str">
        <f>IF($C199=""," ",[1]!i_pq_pctchange($C199,J$6,$N$1))</f>
        <v xml:space="preserve"> </v>
      </c>
      <c r="K199" s="28" t="str">
        <f>IF($C199=""," ",[1]!i_pq_pctchange($C199,K$6,$N$1))</f>
        <v xml:space="preserve"> </v>
      </c>
      <c r="L199" s="28" t="str">
        <f>IF(C199=""," ",[1]!s_wq_pctchange($C199,$N$1))</f>
        <v xml:space="preserve"> </v>
      </c>
      <c r="M199" s="28" t="str">
        <f>IF(C199=""," ",[1]!s_mq_pctchange($C199,$N$1))</f>
        <v xml:space="preserve"> </v>
      </c>
      <c r="N199" s="28" t="str">
        <f>IF(C199=""," ",[1]!s_yq_pctchange($C199,$N$1))</f>
        <v xml:space="preserve"> </v>
      </c>
      <c r="O199" s="11"/>
      <c r="P199" s="7"/>
    </row>
    <row r="200" spans="1:16" x14ac:dyDescent="0.35">
      <c r="A200" s="7"/>
      <c r="C200" s="31" t="str">
        <f>IF(指数列表!B197="","",指数列表!B197)</f>
        <v/>
      </c>
      <c r="D200" s="36" t="str">
        <f>IF(C200="","",[1]!s_info_name(C200))</f>
        <v/>
      </c>
      <c r="E200" s="25" t="str">
        <f>IF(C200="","",[1]!s_dq_close(C200,$N$1))</f>
        <v/>
      </c>
      <c r="F200" s="28" t="str">
        <f>IF($C200=""," ",[1]!i_pq_pctchange($C200,F$6,$N$1))</f>
        <v xml:space="preserve"> </v>
      </c>
      <c r="G200" s="28" t="str">
        <f>IF($C200=""," ",[1]!i_pq_pctchange($C200,G$6,$N$1))</f>
        <v xml:space="preserve"> </v>
      </c>
      <c r="H200" s="28" t="str">
        <f>IF($C200=""," ",[1]!i_pq_pctchange($C200,H$6,$N$1))</f>
        <v xml:space="preserve"> </v>
      </c>
      <c r="I200" s="28" t="str">
        <f>IF($C200=""," ",[1]!i_pq_pctchange($C200,I$6,$N$1))</f>
        <v xml:space="preserve"> </v>
      </c>
      <c r="J200" s="28" t="str">
        <f>IF($C200=""," ",[1]!i_pq_pctchange($C200,J$6,$N$1))</f>
        <v xml:space="preserve"> </v>
      </c>
      <c r="K200" s="28" t="str">
        <f>IF($C200=""," ",[1]!i_pq_pctchange($C200,K$6,$N$1))</f>
        <v xml:space="preserve"> </v>
      </c>
      <c r="L200" s="28" t="str">
        <f>IF(C200=""," ",[1]!s_wq_pctchange($C200,$N$1))</f>
        <v xml:space="preserve"> </v>
      </c>
      <c r="M200" s="28" t="str">
        <f>IF(C200=""," ",[1]!s_mq_pctchange($C200,$N$1))</f>
        <v xml:space="preserve"> </v>
      </c>
      <c r="N200" s="28" t="str">
        <f>IF(C200=""," ",[1]!s_yq_pctchange($C200,$N$1))</f>
        <v xml:space="preserve"> </v>
      </c>
      <c r="O200" s="11"/>
      <c r="P200" s="7"/>
    </row>
    <row r="201" spans="1:16" x14ac:dyDescent="0.35">
      <c r="A201" s="7"/>
      <c r="C201" s="30" t="str">
        <f>IF(指数列表!B198="","",指数列表!B198)</f>
        <v/>
      </c>
      <c r="D201" s="35" t="str">
        <f>IF(C201="","",[1]!s_info_name(C201))</f>
        <v/>
      </c>
      <c r="E201" s="24" t="str">
        <f>IF(C201="","",[1]!s_dq_close(C201,$N$1))</f>
        <v/>
      </c>
      <c r="F201" s="28" t="str">
        <f>IF($C201=""," ",[1]!i_pq_pctchange($C201,F$6,$N$1))</f>
        <v xml:space="preserve"> </v>
      </c>
      <c r="G201" s="28" t="str">
        <f>IF($C201=""," ",[1]!i_pq_pctchange($C201,G$6,$N$1))</f>
        <v xml:space="preserve"> </v>
      </c>
      <c r="H201" s="28" t="str">
        <f>IF($C201=""," ",[1]!i_pq_pctchange($C201,H$6,$N$1))</f>
        <v xml:space="preserve"> </v>
      </c>
      <c r="I201" s="28" t="str">
        <f>IF($C201=""," ",[1]!i_pq_pctchange($C201,I$6,$N$1))</f>
        <v xml:space="preserve"> </v>
      </c>
      <c r="J201" s="28" t="str">
        <f>IF($C201=""," ",[1]!i_pq_pctchange($C201,J$6,$N$1))</f>
        <v xml:space="preserve"> </v>
      </c>
      <c r="K201" s="28" t="str">
        <f>IF($C201=""," ",[1]!i_pq_pctchange($C201,K$6,$N$1))</f>
        <v xml:space="preserve"> </v>
      </c>
      <c r="L201" s="28" t="str">
        <f>IF(C201=""," ",[1]!s_wq_pctchange($C201,$N$1))</f>
        <v xml:space="preserve"> </v>
      </c>
      <c r="M201" s="28" t="str">
        <f>IF(C201=""," ",[1]!s_mq_pctchange($C201,$N$1))</f>
        <v xml:space="preserve"> </v>
      </c>
      <c r="N201" s="28" t="str">
        <f>IF(C201=""," ",[1]!s_yq_pctchange($C201,$N$1))</f>
        <v xml:space="preserve"> </v>
      </c>
      <c r="O201" s="11"/>
      <c r="P201" s="7"/>
    </row>
    <row r="202" spans="1:16" x14ac:dyDescent="0.35">
      <c r="A202" s="7"/>
      <c r="C202" s="31" t="str">
        <f>IF(指数列表!B199="","",指数列表!B199)</f>
        <v/>
      </c>
      <c r="D202" s="36" t="str">
        <f>IF(C202="","",[1]!s_info_name(C202))</f>
        <v/>
      </c>
      <c r="E202" s="25" t="str">
        <f>IF(C202="","",[1]!s_dq_close(C202,$N$1))</f>
        <v/>
      </c>
      <c r="F202" s="28" t="str">
        <f>IF($C202=""," ",[1]!i_pq_pctchange($C202,F$6,$N$1))</f>
        <v xml:space="preserve"> </v>
      </c>
      <c r="G202" s="28" t="str">
        <f>IF($C202=""," ",[1]!i_pq_pctchange($C202,G$6,$N$1))</f>
        <v xml:space="preserve"> </v>
      </c>
      <c r="H202" s="28" t="str">
        <f>IF($C202=""," ",[1]!i_pq_pctchange($C202,H$6,$N$1))</f>
        <v xml:space="preserve"> </v>
      </c>
      <c r="I202" s="28" t="str">
        <f>IF($C202=""," ",[1]!i_pq_pctchange($C202,I$6,$N$1))</f>
        <v xml:space="preserve"> </v>
      </c>
      <c r="J202" s="28" t="str">
        <f>IF($C202=""," ",[1]!i_pq_pctchange($C202,J$6,$N$1))</f>
        <v xml:space="preserve"> </v>
      </c>
      <c r="K202" s="28" t="str">
        <f>IF($C202=""," ",[1]!i_pq_pctchange($C202,K$6,$N$1))</f>
        <v xml:space="preserve"> </v>
      </c>
      <c r="L202" s="28" t="str">
        <f>IF(C202=""," ",[1]!s_wq_pctchange($C202,$N$1))</f>
        <v xml:space="preserve"> </v>
      </c>
      <c r="M202" s="28" t="str">
        <f>IF(C202=""," ",[1]!s_mq_pctchange($C202,$N$1))</f>
        <v xml:space="preserve"> </v>
      </c>
      <c r="N202" s="28" t="str">
        <f>IF(C202=""," ",[1]!s_yq_pctchange($C202,$N$1))</f>
        <v xml:space="preserve"> </v>
      </c>
      <c r="O202" s="11"/>
      <c r="P202" s="7"/>
    </row>
    <row r="203" spans="1:16" x14ac:dyDescent="0.35">
      <c r="A203" s="7"/>
      <c r="C203" s="30" t="str">
        <f>IF(指数列表!B200="","",指数列表!B200)</f>
        <v/>
      </c>
      <c r="D203" s="35" t="str">
        <f>IF(C203="","",[1]!s_info_name(C203))</f>
        <v/>
      </c>
      <c r="E203" s="24" t="str">
        <f>IF(C203="","",[1]!s_dq_close(C203,$N$1))</f>
        <v/>
      </c>
      <c r="F203" s="28" t="str">
        <f>IF($C203=""," ",[1]!i_pq_pctchange($C203,F$6,$N$1))</f>
        <v xml:space="preserve"> </v>
      </c>
      <c r="G203" s="28" t="str">
        <f>IF($C203=""," ",[1]!i_pq_pctchange($C203,G$6,$N$1))</f>
        <v xml:space="preserve"> </v>
      </c>
      <c r="H203" s="28" t="str">
        <f>IF($C203=""," ",[1]!i_pq_pctchange($C203,H$6,$N$1))</f>
        <v xml:space="preserve"> </v>
      </c>
      <c r="I203" s="28" t="str">
        <f>IF($C203=""," ",[1]!i_pq_pctchange($C203,I$6,$N$1))</f>
        <v xml:space="preserve"> </v>
      </c>
      <c r="J203" s="28" t="str">
        <f>IF($C203=""," ",[1]!i_pq_pctchange($C203,J$6,$N$1))</f>
        <v xml:space="preserve"> </v>
      </c>
      <c r="K203" s="28" t="str">
        <f>IF($C203=""," ",[1]!i_pq_pctchange($C203,K$6,$N$1))</f>
        <v xml:space="preserve"> </v>
      </c>
      <c r="L203" s="28" t="str">
        <f>IF(C203=""," ",[1]!s_wq_pctchange($C203,$N$1))</f>
        <v xml:space="preserve"> </v>
      </c>
      <c r="M203" s="28" t="str">
        <f>IF(C203=""," ",[1]!s_mq_pctchange($C203,$N$1))</f>
        <v xml:space="preserve"> </v>
      </c>
      <c r="N203" s="28" t="str">
        <f>IF(C203=""," ",[1]!s_yq_pctchange($C203,$N$1))</f>
        <v xml:space="preserve"> </v>
      </c>
      <c r="O203" s="11"/>
      <c r="P203" s="7"/>
    </row>
    <row r="204" spans="1:16" x14ac:dyDescent="0.35">
      <c r="A204" s="7"/>
      <c r="C204" s="31" t="str">
        <f>IF(指数列表!B201="","",指数列表!B201)</f>
        <v/>
      </c>
      <c r="D204" s="36" t="str">
        <f>IF(C204="","",[1]!s_info_name(C204))</f>
        <v/>
      </c>
      <c r="E204" s="25" t="str">
        <f>IF(C204="","",[1]!s_dq_close(C204,$N$1))</f>
        <v/>
      </c>
      <c r="F204" s="28" t="str">
        <f>IF($C204=""," ",[1]!i_pq_pctchange($C204,F$6,$N$1))</f>
        <v xml:space="preserve"> </v>
      </c>
      <c r="G204" s="28" t="str">
        <f>IF($C204=""," ",[1]!i_pq_pctchange($C204,G$6,$N$1))</f>
        <v xml:space="preserve"> </v>
      </c>
      <c r="H204" s="28" t="str">
        <f>IF($C204=""," ",[1]!i_pq_pctchange($C204,H$6,$N$1))</f>
        <v xml:space="preserve"> </v>
      </c>
      <c r="I204" s="28" t="str">
        <f>IF($C204=""," ",[1]!i_pq_pctchange($C204,I$6,$N$1))</f>
        <v xml:space="preserve"> </v>
      </c>
      <c r="J204" s="28" t="str">
        <f>IF($C204=""," ",[1]!i_pq_pctchange($C204,J$6,$N$1))</f>
        <v xml:space="preserve"> </v>
      </c>
      <c r="K204" s="28" t="str">
        <f>IF($C204=""," ",[1]!i_pq_pctchange($C204,K$6,$N$1))</f>
        <v xml:space="preserve"> </v>
      </c>
      <c r="L204" s="28" t="str">
        <f>IF(C204=""," ",[1]!s_wq_pctchange($C204,$N$1))</f>
        <v xml:space="preserve"> </v>
      </c>
      <c r="M204" s="28" t="str">
        <f>IF(C204=""," ",[1]!s_mq_pctchange($C204,$N$1))</f>
        <v xml:space="preserve"> </v>
      </c>
      <c r="N204" s="28" t="str">
        <f>IF(C204=""," ",[1]!s_yq_pctchange($C204,$N$1))</f>
        <v xml:space="preserve"> </v>
      </c>
      <c r="O204" s="11"/>
      <c r="P204" s="7"/>
    </row>
    <row r="205" spans="1:16" x14ac:dyDescent="0.35">
      <c r="A205" s="7"/>
      <c r="C205" s="30" t="str">
        <f>IF(指数列表!B202="","",指数列表!B202)</f>
        <v/>
      </c>
      <c r="D205" s="35" t="str">
        <f>IF(C205="","",[1]!s_info_name(C205))</f>
        <v/>
      </c>
      <c r="E205" s="24" t="str">
        <f>IF(C205="","",[1]!s_dq_close(C205,$N$1))</f>
        <v/>
      </c>
      <c r="F205" s="28" t="str">
        <f>IF($C205=""," ",[1]!i_pq_pctchange($C205,F$6,$N$1))</f>
        <v xml:space="preserve"> </v>
      </c>
      <c r="G205" s="28" t="str">
        <f>IF($C205=""," ",[1]!i_pq_pctchange($C205,G$6,$N$1))</f>
        <v xml:space="preserve"> </v>
      </c>
      <c r="H205" s="28" t="str">
        <f>IF($C205=""," ",[1]!i_pq_pctchange($C205,H$6,$N$1))</f>
        <v xml:space="preserve"> </v>
      </c>
      <c r="I205" s="28" t="str">
        <f>IF($C205=""," ",[1]!i_pq_pctchange($C205,I$6,$N$1))</f>
        <v xml:space="preserve"> </v>
      </c>
      <c r="J205" s="28" t="str">
        <f>IF($C205=""," ",[1]!i_pq_pctchange($C205,J$6,$N$1))</f>
        <v xml:space="preserve"> </v>
      </c>
      <c r="K205" s="28" t="str">
        <f>IF($C205=""," ",[1]!i_pq_pctchange($C205,K$6,$N$1))</f>
        <v xml:space="preserve"> </v>
      </c>
      <c r="L205" s="28" t="str">
        <f>IF(C205=""," ",[1]!s_wq_pctchange($C205,$N$1))</f>
        <v xml:space="preserve"> </v>
      </c>
      <c r="M205" s="28" t="str">
        <f>IF(C205=""," ",[1]!s_mq_pctchange($C205,$N$1))</f>
        <v xml:space="preserve"> </v>
      </c>
      <c r="N205" s="28" t="str">
        <f>IF(C205=""," ",[1]!s_yq_pctchange($C205,$N$1))</f>
        <v xml:space="preserve"> </v>
      </c>
      <c r="O205" s="11"/>
      <c r="P205" s="7"/>
    </row>
    <row r="206" spans="1:16" x14ac:dyDescent="0.35">
      <c r="A206" s="7"/>
      <c r="C206" s="31" t="str">
        <f>IF(指数列表!B203="","",指数列表!B203)</f>
        <v/>
      </c>
      <c r="D206" s="36" t="str">
        <f>IF(C206="","",[1]!s_info_name(C206))</f>
        <v/>
      </c>
      <c r="E206" s="25" t="str">
        <f>IF(C206="","",[1]!s_dq_close(C206,$N$1))</f>
        <v/>
      </c>
      <c r="F206" s="28" t="str">
        <f>IF($C206=""," ",[1]!i_pq_pctchange($C206,F$6,$N$1))</f>
        <v xml:space="preserve"> </v>
      </c>
      <c r="G206" s="28" t="str">
        <f>IF($C206=""," ",[1]!i_pq_pctchange($C206,G$6,$N$1))</f>
        <v xml:space="preserve"> </v>
      </c>
      <c r="H206" s="28" t="str">
        <f>IF($C206=""," ",[1]!i_pq_pctchange($C206,H$6,$N$1))</f>
        <v xml:space="preserve"> </v>
      </c>
      <c r="I206" s="28" t="str">
        <f>IF($C206=""," ",[1]!i_pq_pctchange($C206,I$6,$N$1))</f>
        <v xml:space="preserve"> </v>
      </c>
      <c r="J206" s="28" t="str">
        <f>IF($C206=""," ",[1]!i_pq_pctchange($C206,J$6,$N$1))</f>
        <v xml:space="preserve"> </v>
      </c>
      <c r="K206" s="28" t="str">
        <f>IF($C206=""," ",[1]!i_pq_pctchange($C206,K$6,$N$1))</f>
        <v xml:space="preserve"> </v>
      </c>
      <c r="L206" s="28" t="str">
        <f>IF(C206=""," ",[1]!s_wq_pctchange($C206,$N$1))</f>
        <v xml:space="preserve"> </v>
      </c>
      <c r="M206" s="28" t="str">
        <f>IF(C206=""," ",[1]!s_mq_pctchange($C206,$N$1))</f>
        <v xml:space="preserve"> </v>
      </c>
      <c r="N206" s="28" t="str">
        <f>IF(C206=""," ",[1]!s_yq_pctchange($C206,$N$1))</f>
        <v xml:space="preserve"> </v>
      </c>
      <c r="O206" s="11"/>
      <c r="P206" s="7"/>
    </row>
    <row r="207" spans="1:16" x14ac:dyDescent="0.35">
      <c r="A207" s="7"/>
      <c r="C207" s="30" t="str">
        <f>IF(指数列表!B204="","",指数列表!B204)</f>
        <v/>
      </c>
      <c r="D207" s="35" t="str">
        <f>IF(C207="","",[1]!s_info_name(C207))</f>
        <v/>
      </c>
      <c r="E207" s="24" t="str">
        <f>IF(C207="","",[1]!s_dq_close(C207,$N$1))</f>
        <v/>
      </c>
      <c r="F207" s="28" t="str">
        <f>IF($C207=""," ",[1]!i_pq_pctchange($C207,F$6,$N$1))</f>
        <v xml:space="preserve"> </v>
      </c>
      <c r="G207" s="28" t="str">
        <f>IF($C207=""," ",[1]!i_pq_pctchange($C207,G$6,$N$1))</f>
        <v xml:space="preserve"> </v>
      </c>
      <c r="H207" s="28" t="str">
        <f>IF($C207=""," ",[1]!i_pq_pctchange($C207,H$6,$N$1))</f>
        <v xml:space="preserve"> </v>
      </c>
      <c r="I207" s="28" t="str">
        <f>IF($C207=""," ",[1]!i_pq_pctchange($C207,I$6,$N$1))</f>
        <v xml:space="preserve"> </v>
      </c>
      <c r="J207" s="28" t="str">
        <f>IF($C207=""," ",[1]!i_pq_pctchange($C207,J$6,$N$1))</f>
        <v xml:space="preserve"> </v>
      </c>
      <c r="K207" s="28" t="str">
        <f>IF($C207=""," ",[1]!i_pq_pctchange($C207,K$6,$N$1))</f>
        <v xml:space="preserve"> </v>
      </c>
      <c r="L207" s="28" t="str">
        <f>IF(C207=""," ",[1]!s_wq_pctchange($C207,$N$1))</f>
        <v xml:space="preserve"> </v>
      </c>
      <c r="M207" s="28" t="str">
        <f>IF(C207=""," ",[1]!s_mq_pctchange($C207,$N$1))</f>
        <v xml:space="preserve"> </v>
      </c>
      <c r="N207" s="28" t="str">
        <f>IF(C207=""," ",[1]!s_yq_pctchange($C207,$N$1))</f>
        <v xml:space="preserve"> </v>
      </c>
      <c r="O207" s="11"/>
      <c r="P207" s="7"/>
    </row>
    <row r="208" spans="1:16" x14ac:dyDescent="0.35">
      <c r="A208" s="7"/>
      <c r="C208" s="31" t="str">
        <f>IF(指数列表!B205="","",指数列表!B205)</f>
        <v/>
      </c>
      <c r="D208" s="36" t="str">
        <f>IF(C208="","",[1]!s_info_name(C208))</f>
        <v/>
      </c>
      <c r="E208" s="25" t="str">
        <f>IF(C208="","",[1]!s_dq_close(C208,$N$1))</f>
        <v/>
      </c>
      <c r="F208" s="28" t="str">
        <f>IF($C208=""," ",[1]!i_pq_pctchange($C208,F$6,$N$1))</f>
        <v xml:space="preserve"> </v>
      </c>
      <c r="G208" s="28" t="str">
        <f>IF($C208=""," ",[1]!i_pq_pctchange($C208,G$6,$N$1))</f>
        <v xml:space="preserve"> </v>
      </c>
      <c r="H208" s="28" t="str">
        <f>IF($C208=""," ",[1]!i_pq_pctchange($C208,H$6,$N$1))</f>
        <v xml:space="preserve"> </v>
      </c>
      <c r="I208" s="28" t="str">
        <f>IF($C208=""," ",[1]!i_pq_pctchange($C208,I$6,$N$1))</f>
        <v xml:space="preserve"> </v>
      </c>
      <c r="J208" s="28" t="str">
        <f>IF($C208=""," ",[1]!i_pq_pctchange($C208,J$6,$N$1))</f>
        <v xml:space="preserve"> </v>
      </c>
      <c r="K208" s="28" t="str">
        <f>IF($C208=""," ",[1]!i_pq_pctchange($C208,K$6,$N$1))</f>
        <v xml:space="preserve"> </v>
      </c>
      <c r="L208" s="28" t="str">
        <f>IF(C208=""," ",[1]!s_wq_pctchange($C208,$N$1))</f>
        <v xml:space="preserve"> </v>
      </c>
      <c r="M208" s="28" t="str">
        <f>IF(C208=""," ",[1]!s_mq_pctchange($C208,$N$1))</f>
        <v xml:space="preserve"> </v>
      </c>
      <c r="N208" s="28" t="str">
        <f>IF(C208=""," ",[1]!s_yq_pctchange($C208,$N$1))</f>
        <v xml:space="preserve"> </v>
      </c>
      <c r="O208" s="11"/>
      <c r="P208" s="7"/>
    </row>
    <row r="209" spans="1:16" x14ac:dyDescent="0.35">
      <c r="A209" s="7"/>
      <c r="C209" s="30" t="str">
        <f>IF(指数列表!B206="","",指数列表!B206)</f>
        <v/>
      </c>
      <c r="D209" s="35" t="str">
        <f>IF(C209="","",[1]!s_info_name(C209))</f>
        <v/>
      </c>
      <c r="E209" s="24" t="str">
        <f>IF(C209="","",[1]!s_dq_close(C209,$N$1))</f>
        <v/>
      </c>
      <c r="F209" s="28" t="str">
        <f>IF($C209=""," ",[1]!i_pq_pctchange($C209,F$6,$N$1))</f>
        <v xml:space="preserve"> </v>
      </c>
      <c r="G209" s="28" t="str">
        <f>IF($C209=""," ",[1]!i_pq_pctchange($C209,G$6,$N$1))</f>
        <v xml:space="preserve"> </v>
      </c>
      <c r="H209" s="28" t="str">
        <f>IF($C209=""," ",[1]!i_pq_pctchange($C209,H$6,$N$1))</f>
        <v xml:space="preserve"> </v>
      </c>
      <c r="I209" s="28" t="str">
        <f>IF($C209=""," ",[1]!i_pq_pctchange($C209,I$6,$N$1))</f>
        <v xml:space="preserve"> </v>
      </c>
      <c r="J209" s="28" t="str">
        <f>IF($C209=""," ",[1]!i_pq_pctchange($C209,J$6,$N$1))</f>
        <v xml:space="preserve"> </v>
      </c>
      <c r="K209" s="28" t="str">
        <f>IF($C209=""," ",[1]!i_pq_pctchange($C209,K$6,$N$1))</f>
        <v xml:space="preserve"> </v>
      </c>
      <c r="L209" s="28" t="str">
        <f>IF(C209=""," ",[1]!s_wq_pctchange($C209,$N$1))</f>
        <v xml:space="preserve"> </v>
      </c>
      <c r="M209" s="28" t="str">
        <f>IF(C209=""," ",[1]!s_mq_pctchange($C209,$N$1))</f>
        <v xml:space="preserve"> </v>
      </c>
      <c r="N209" s="28" t="str">
        <f>IF(C209=""," ",[1]!s_yq_pctchange($C209,$N$1))</f>
        <v xml:space="preserve"> </v>
      </c>
      <c r="O209" s="11"/>
      <c r="P209" s="7"/>
    </row>
    <row r="210" spans="1:16" x14ac:dyDescent="0.35">
      <c r="A210" s="7"/>
      <c r="C210" s="31" t="str">
        <f>IF(指数列表!B207="","",指数列表!B207)</f>
        <v/>
      </c>
      <c r="D210" s="36" t="str">
        <f>IF(C210="","",[1]!s_info_name(C210))</f>
        <v/>
      </c>
      <c r="E210" s="25" t="str">
        <f>IF(C210="","",[1]!s_dq_close(C210,$N$1))</f>
        <v/>
      </c>
      <c r="F210" s="28" t="str">
        <f>IF($C210=""," ",[1]!i_pq_pctchange($C210,F$6,$N$1))</f>
        <v xml:space="preserve"> </v>
      </c>
      <c r="G210" s="28" t="str">
        <f>IF($C210=""," ",[1]!i_pq_pctchange($C210,G$6,$N$1))</f>
        <v xml:space="preserve"> </v>
      </c>
      <c r="H210" s="28" t="str">
        <f>IF($C210=""," ",[1]!i_pq_pctchange($C210,H$6,$N$1))</f>
        <v xml:space="preserve"> </v>
      </c>
      <c r="I210" s="28" t="str">
        <f>IF($C210=""," ",[1]!i_pq_pctchange($C210,I$6,$N$1))</f>
        <v xml:space="preserve"> </v>
      </c>
      <c r="J210" s="28" t="str">
        <f>IF($C210=""," ",[1]!i_pq_pctchange($C210,J$6,$N$1))</f>
        <v xml:space="preserve"> </v>
      </c>
      <c r="K210" s="28" t="str">
        <f>IF($C210=""," ",[1]!i_pq_pctchange($C210,K$6,$N$1))</f>
        <v xml:space="preserve"> </v>
      </c>
      <c r="L210" s="28" t="str">
        <f>IF(C210=""," ",[1]!s_wq_pctchange($C210,$N$1))</f>
        <v xml:space="preserve"> </v>
      </c>
      <c r="M210" s="28" t="str">
        <f>IF(C210=""," ",[1]!s_mq_pctchange($C210,$N$1))</f>
        <v xml:space="preserve"> </v>
      </c>
      <c r="N210" s="28" t="str">
        <f>IF(C210=""," ",[1]!s_yq_pctchange($C210,$N$1))</f>
        <v xml:space="preserve"> </v>
      </c>
      <c r="O210" s="11"/>
      <c r="P210" s="7"/>
    </row>
    <row r="211" spans="1:16" x14ac:dyDescent="0.35">
      <c r="A211" s="7"/>
      <c r="C211" s="30" t="str">
        <f>IF(指数列表!B208="","",指数列表!B208)</f>
        <v/>
      </c>
      <c r="D211" s="35" t="str">
        <f>IF(C211="","",[1]!s_info_name(C211))</f>
        <v/>
      </c>
      <c r="E211" s="24" t="str">
        <f>IF(C211="","",[1]!s_dq_close(C211,$N$1))</f>
        <v/>
      </c>
      <c r="F211" s="28" t="str">
        <f>IF($C211=""," ",[1]!i_pq_pctchange($C211,F$6,$N$1))</f>
        <v xml:space="preserve"> </v>
      </c>
      <c r="G211" s="28" t="str">
        <f>IF($C211=""," ",[1]!i_pq_pctchange($C211,G$6,$N$1))</f>
        <v xml:space="preserve"> </v>
      </c>
      <c r="H211" s="28" t="str">
        <f>IF($C211=""," ",[1]!i_pq_pctchange($C211,H$6,$N$1))</f>
        <v xml:space="preserve"> </v>
      </c>
      <c r="I211" s="28" t="str">
        <f>IF($C211=""," ",[1]!i_pq_pctchange($C211,I$6,$N$1))</f>
        <v xml:space="preserve"> </v>
      </c>
      <c r="J211" s="28" t="str">
        <f>IF($C211=""," ",[1]!i_pq_pctchange($C211,J$6,$N$1))</f>
        <v xml:space="preserve"> </v>
      </c>
      <c r="K211" s="28" t="str">
        <f>IF($C211=""," ",[1]!i_pq_pctchange($C211,K$6,$N$1))</f>
        <v xml:space="preserve"> </v>
      </c>
      <c r="L211" s="28" t="str">
        <f>IF(C211=""," ",[1]!s_wq_pctchange($C211,$N$1))</f>
        <v xml:space="preserve"> </v>
      </c>
      <c r="M211" s="28" t="str">
        <f>IF(C211=""," ",[1]!s_mq_pctchange($C211,$N$1))</f>
        <v xml:space="preserve"> </v>
      </c>
      <c r="N211" s="28" t="str">
        <f>IF(C211=""," ",[1]!s_yq_pctchange($C211,$N$1))</f>
        <v xml:space="preserve"> </v>
      </c>
      <c r="O211" s="11"/>
      <c r="P211" s="7"/>
    </row>
    <row r="212" spans="1:16" x14ac:dyDescent="0.35">
      <c r="A212" s="7"/>
      <c r="C212" s="31" t="str">
        <f>IF(指数列表!B209="","",指数列表!B209)</f>
        <v/>
      </c>
      <c r="D212" s="36" t="str">
        <f>IF(C212="","",[1]!s_info_name(C212))</f>
        <v/>
      </c>
      <c r="E212" s="25" t="str">
        <f>IF(C212="","",[1]!s_dq_close(C212,$N$1))</f>
        <v/>
      </c>
      <c r="F212" s="28" t="str">
        <f>IF($C212=""," ",[1]!i_pq_pctchange($C212,F$6,$N$1))</f>
        <v xml:space="preserve"> </v>
      </c>
      <c r="G212" s="28" t="str">
        <f>IF($C212=""," ",[1]!i_pq_pctchange($C212,G$6,$N$1))</f>
        <v xml:space="preserve"> </v>
      </c>
      <c r="H212" s="28" t="str">
        <f>IF($C212=""," ",[1]!i_pq_pctchange($C212,H$6,$N$1))</f>
        <v xml:space="preserve"> </v>
      </c>
      <c r="I212" s="28" t="str">
        <f>IF($C212=""," ",[1]!i_pq_pctchange($C212,I$6,$N$1))</f>
        <v xml:space="preserve"> </v>
      </c>
      <c r="J212" s="28" t="str">
        <f>IF($C212=""," ",[1]!i_pq_pctchange($C212,J$6,$N$1))</f>
        <v xml:space="preserve"> </v>
      </c>
      <c r="K212" s="28" t="str">
        <f>IF($C212=""," ",[1]!i_pq_pctchange($C212,K$6,$N$1))</f>
        <v xml:space="preserve"> </v>
      </c>
      <c r="L212" s="28" t="str">
        <f>IF(C212=""," ",[1]!s_wq_pctchange($C212,$N$1))</f>
        <v xml:space="preserve"> </v>
      </c>
      <c r="M212" s="28" t="str">
        <f>IF(C212=""," ",[1]!s_mq_pctchange($C212,$N$1))</f>
        <v xml:space="preserve"> </v>
      </c>
      <c r="N212" s="28" t="str">
        <f>IF(C212=""," ",[1]!s_yq_pctchange($C212,$N$1))</f>
        <v xml:space="preserve"> </v>
      </c>
      <c r="O212" s="11"/>
      <c r="P212" s="7"/>
    </row>
    <row r="213" spans="1:16" x14ac:dyDescent="0.35">
      <c r="A213" s="7"/>
      <c r="C213" s="30" t="str">
        <f>IF(指数列表!B210="","",指数列表!B210)</f>
        <v/>
      </c>
      <c r="D213" s="35" t="str">
        <f>IF(C213="","",[1]!s_info_name(C213))</f>
        <v/>
      </c>
      <c r="E213" s="24" t="str">
        <f>IF(C213="","",[1]!s_dq_close(C213,$N$1))</f>
        <v/>
      </c>
      <c r="F213" s="28" t="str">
        <f>IF($C213=""," ",[1]!i_pq_pctchange($C213,F$6,$N$1))</f>
        <v xml:space="preserve"> </v>
      </c>
      <c r="G213" s="28" t="str">
        <f>IF($C213=""," ",[1]!i_pq_pctchange($C213,G$6,$N$1))</f>
        <v xml:space="preserve"> </v>
      </c>
      <c r="H213" s="28" t="str">
        <f>IF($C213=""," ",[1]!i_pq_pctchange($C213,H$6,$N$1))</f>
        <v xml:space="preserve"> </v>
      </c>
      <c r="I213" s="28" t="str">
        <f>IF($C213=""," ",[1]!i_pq_pctchange($C213,I$6,$N$1))</f>
        <v xml:space="preserve"> </v>
      </c>
      <c r="J213" s="28" t="str">
        <f>IF($C213=""," ",[1]!i_pq_pctchange($C213,J$6,$N$1))</f>
        <v xml:space="preserve"> </v>
      </c>
      <c r="K213" s="28" t="str">
        <f>IF($C213=""," ",[1]!i_pq_pctchange($C213,K$6,$N$1))</f>
        <v xml:space="preserve"> </v>
      </c>
      <c r="L213" s="28" t="str">
        <f>IF(C213=""," ",[1]!s_wq_pctchange($C213,$N$1))</f>
        <v xml:space="preserve"> </v>
      </c>
      <c r="M213" s="28" t="str">
        <f>IF(C213=""," ",[1]!s_mq_pctchange($C213,$N$1))</f>
        <v xml:space="preserve"> </v>
      </c>
      <c r="N213" s="28" t="str">
        <f>IF(C213=""," ",[1]!s_yq_pctchange($C213,$N$1))</f>
        <v xml:space="preserve"> </v>
      </c>
      <c r="O213" s="11"/>
      <c r="P213" s="7"/>
    </row>
    <row r="214" spans="1:16" x14ac:dyDescent="0.35">
      <c r="A214" s="7"/>
      <c r="C214" s="31" t="str">
        <f>IF(指数列表!B211="","",指数列表!B211)</f>
        <v/>
      </c>
      <c r="D214" s="36" t="str">
        <f>IF(C214="","",[1]!s_info_name(C214))</f>
        <v/>
      </c>
      <c r="E214" s="25" t="str">
        <f>IF(C214="","",[1]!s_dq_close(C214,$N$1))</f>
        <v/>
      </c>
      <c r="F214" s="28" t="str">
        <f>IF($C214=""," ",[1]!i_pq_pctchange($C214,F$6,$N$1))</f>
        <v xml:space="preserve"> </v>
      </c>
      <c r="G214" s="28" t="str">
        <f>IF($C214=""," ",[1]!i_pq_pctchange($C214,G$6,$N$1))</f>
        <v xml:space="preserve"> </v>
      </c>
      <c r="H214" s="28" t="str">
        <f>IF($C214=""," ",[1]!i_pq_pctchange($C214,H$6,$N$1))</f>
        <v xml:space="preserve"> </v>
      </c>
      <c r="I214" s="28" t="str">
        <f>IF($C214=""," ",[1]!i_pq_pctchange($C214,I$6,$N$1))</f>
        <v xml:space="preserve"> </v>
      </c>
      <c r="J214" s="28" t="str">
        <f>IF($C214=""," ",[1]!i_pq_pctchange($C214,J$6,$N$1))</f>
        <v xml:space="preserve"> </v>
      </c>
      <c r="K214" s="28" t="str">
        <f>IF($C214=""," ",[1]!i_pq_pctchange($C214,K$6,$N$1))</f>
        <v xml:space="preserve"> </v>
      </c>
      <c r="L214" s="28" t="str">
        <f>IF(C214=""," ",[1]!s_wq_pctchange($C214,$N$1))</f>
        <v xml:space="preserve"> </v>
      </c>
      <c r="M214" s="28" t="str">
        <f>IF(C214=""," ",[1]!s_mq_pctchange($C214,$N$1))</f>
        <v xml:space="preserve"> </v>
      </c>
      <c r="N214" s="28" t="str">
        <f>IF(C214=""," ",[1]!s_yq_pctchange($C214,$N$1))</f>
        <v xml:space="preserve"> </v>
      </c>
      <c r="O214" s="11"/>
      <c r="P214" s="7"/>
    </row>
    <row r="215" spans="1:16" x14ac:dyDescent="0.35">
      <c r="A215" s="7"/>
      <c r="C215" s="30" t="str">
        <f>IF(指数列表!B212="","",指数列表!B212)</f>
        <v/>
      </c>
      <c r="D215" s="35" t="str">
        <f>IF(C215="","",[1]!s_info_name(C215))</f>
        <v/>
      </c>
      <c r="E215" s="24" t="str">
        <f>IF(C215="","",[1]!s_dq_close(C215,$N$1))</f>
        <v/>
      </c>
      <c r="F215" s="28" t="str">
        <f>IF($C215=""," ",[1]!i_pq_pctchange($C215,F$6,$N$1))</f>
        <v xml:space="preserve"> </v>
      </c>
      <c r="G215" s="28" t="str">
        <f>IF($C215=""," ",[1]!i_pq_pctchange($C215,G$6,$N$1))</f>
        <v xml:space="preserve"> </v>
      </c>
      <c r="H215" s="28" t="str">
        <f>IF($C215=""," ",[1]!i_pq_pctchange($C215,H$6,$N$1))</f>
        <v xml:space="preserve"> </v>
      </c>
      <c r="I215" s="28" t="str">
        <f>IF($C215=""," ",[1]!i_pq_pctchange($C215,I$6,$N$1))</f>
        <v xml:space="preserve"> </v>
      </c>
      <c r="J215" s="28" t="str">
        <f>IF($C215=""," ",[1]!i_pq_pctchange($C215,J$6,$N$1))</f>
        <v xml:space="preserve"> </v>
      </c>
      <c r="K215" s="28" t="str">
        <f>IF($C215=""," ",[1]!i_pq_pctchange($C215,K$6,$N$1))</f>
        <v xml:space="preserve"> </v>
      </c>
      <c r="L215" s="28" t="str">
        <f>IF(C215=""," ",[1]!s_wq_pctchange($C215,$N$1))</f>
        <v xml:space="preserve"> </v>
      </c>
      <c r="M215" s="28" t="str">
        <f>IF(C215=""," ",[1]!s_mq_pctchange($C215,$N$1))</f>
        <v xml:space="preserve"> </v>
      </c>
      <c r="N215" s="28" t="str">
        <f>IF(C215=""," ",[1]!s_yq_pctchange($C215,$N$1))</f>
        <v xml:space="preserve"> </v>
      </c>
      <c r="O215" s="11"/>
      <c r="P215" s="7"/>
    </row>
    <row r="216" spans="1:16" x14ac:dyDescent="0.35">
      <c r="A216" s="7"/>
      <c r="C216" s="31" t="str">
        <f>IF(指数列表!B213="","",指数列表!B213)</f>
        <v/>
      </c>
      <c r="D216" s="36" t="str">
        <f>IF(C216="","",[1]!s_info_name(C216))</f>
        <v/>
      </c>
      <c r="E216" s="25" t="str">
        <f>IF(C216="","",[1]!s_dq_close(C216,$N$1))</f>
        <v/>
      </c>
      <c r="F216" s="28" t="str">
        <f>IF($C216=""," ",[1]!i_pq_pctchange($C216,F$6,$N$1))</f>
        <v xml:space="preserve"> </v>
      </c>
      <c r="G216" s="28" t="str">
        <f>IF($C216=""," ",[1]!i_pq_pctchange($C216,G$6,$N$1))</f>
        <v xml:space="preserve"> </v>
      </c>
      <c r="H216" s="28" t="str">
        <f>IF($C216=""," ",[1]!i_pq_pctchange($C216,H$6,$N$1))</f>
        <v xml:space="preserve"> </v>
      </c>
      <c r="I216" s="28" t="str">
        <f>IF($C216=""," ",[1]!i_pq_pctchange($C216,I$6,$N$1))</f>
        <v xml:space="preserve"> </v>
      </c>
      <c r="J216" s="28" t="str">
        <f>IF($C216=""," ",[1]!i_pq_pctchange($C216,J$6,$N$1))</f>
        <v xml:space="preserve"> </v>
      </c>
      <c r="K216" s="28" t="str">
        <f>IF($C216=""," ",[1]!i_pq_pctchange($C216,K$6,$N$1))</f>
        <v xml:space="preserve"> </v>
      </c>
      <c r="L216" s="28" t="str">
        <f>IF(C216=""," ",[1]!s_wq_pctchange($C216,$N$1))</f>
        <v xml:space="preserve"> </v>
      </c>
      <c r="M216" s="28" t="str">
        <f>IF(C216=""," ",[1]!s_mq_pctchange($C216,$N$1))</f>
        <v xml:space="preserve"> </v>
      </c>
      <c r="N216" s="28" t="str">
        <f>IF(C216=""," ",[1]!s_yq_pctchange($C216,$N$1))</f>
        <v xml:space="preserve"> </v>
      </c>
      <c r="O216" s="11"/>
      <c r="P216" s="7"/>
    </row>
    <row r="217" spans="1:16" x14ac:dyDescent="0.35">
      <c r="A217" s="7"/>
      <c r="C217" s="30" t="str">
        <f>IF(指数列表!B214="","",指数列表!B214)</f>
        <v/>
      </c>
      <c r="D217" s="35" t="str">
        <f>IF(C217="","",[1]!s_info_name(C217))</f>
        <v/>
      </c>
      <c r="E217" s="24" t="str">
        <f>IF(C217="","",[1]!s_dq_close(C217,$N$1))</f>
        <v/>
      </c>
      <c r="F217" s="28" t="str">
        <f>IF($C217=""," ",[1]!i_pq_pctchange($C217,F$6,$N$1))</f>
        <v xml:space="preserve"> </v>
      </c>
      <c r="G217" s="28" t="str">
        <f>IF($C217=""," ",[1]!i_pq_pctchange($C217,G$6,$N$1))</f>
        <v xml:space="preserve"> </v>
      </c>
      <c r="H217" s="28" t="str">
        <f>IF($C217=""," ",[1]!i_pq_pctchange($C217,H$6,$N$1))</f>
        <v xml:space="preserve"> </v>
      </c>
      <c r="I217" s="28" t="str">
        <f>IF($C217=""," ",[1]!i_pq_pctchange($C217,I$6,$N$1))</f>
        <v xml:space="preserve"> </v>
      </c>
      <c r="J217" s="28" t="str">
        <f>IF($C217=""," ",[1]!i_pq_pctchange($C217,J$6,$N$1))</f>
        <v xml:space="preserve"> </v>
      </c>
      <c r="K217" s="28" t="str">
        <f>IF($C217=""," ",[1]!i_pq_pctchange($C217,K$6,$N$1))</f>
        <v xml:space="preserve"> </v>
      </c>
      <c r="L217" s="28" t="str">
        <f>IF(C217=""," ",[1]!s_wq_pctchange($C217,$N$1))</f>
        <v xml:space="preserve"> </v>
      </c>
      <c r="M217" s="28" t="str">
        <f>IF(C217=""," ",[1]!s_mq_pctchange($C217,$N$1))</f>
        <v xml:space="preserve"> </v>
      </c>
      <c r="N217" s="28" t="str">
        <f>IF(C217=""," ",[1]!s_yq_pctchange($C217,$N$1))</f>
        <v xml:space="preserve"> </v>
      </c>
      <c r="O217" s="11"/>
      <c r="P217" s="7"/>
    </row>
    <row r="218" spans="1:16" x14ac:dyDescent="0.35">
      <c r="A218" s="7"/>
      <c r="C218" s="31" t="str">
        <f>IF(指数列表!B215="","",指数列表!B215)</f>
        <v/>
      </c>
      <c r="D218" s="36" t="str">
        <f>IF(C218="","",[1]!s_info_name(C218))</f>
        <v/>
      </c>
      <c r="E218" s="25" t="str">
        <f>IF(C218="","",[1]!s_dq_close(C218,$N$1))</f>
        <v/>
      </c>
      <c r="F218" s="28" t="str">
        <f>IF($C218=""," ",[1]!i_pq_pctchange($C218,F$6,$N$1))</f>
        <v xml:space="preserve"> </v>
      </c>
      <c r="G218" s="28" t="str">
        <f>IF($C218=""," ",[1]!i_pq_pctchange($C218,G$6,$N$1))</f>
        <v xml:space="preserve"> </v>
      </c>
      <c r="H218" s="28" t="str">
        <f>IF($C218=""," ",[1]!i_pq_pctchange($C218,H$6,$N$1))</f>
        <v xml:space="preserve"> </v>
      </c>
      <c r="I218" s="28" t="str">
        <f>IF($C218=""," ",[1]!i_pq_pctchange($C218,I$6,$N$1))</f>
        <v xml:space="preserve"> </v>
      </c>
      <c r="J218" s="28" t="str">
        <f>IF($C218=""," ",[1]!i_pq_pctchange($C218,J$6,$N$1))</f>
        <v xml:space="preserve"> </v>
      </c>
      <c r="K218" s="28" t="str">
        <f>IF($C218=""," ",[1]!i_pq_pctchange($C218,K$6,$N$1))</f>
        <v xml:space="preserve"> </v>
      </c>
      <c r="L218" s="28" t="str">
        <f>IF(C218=""," ",[1]!s_wq_pctchange($C218,$N$1))</f>
        <v xml:space="preserve"> </v>
      </c>
      <c r="M218" s="28" t="str">
        <f>IF(C218=""," ",[1]!s_mq_pctchange($C218,$N$1))</f>
        <v xml:space="preserve"> </v>
      </c>
      <c r="N218" s="28" t="str">
        <f>IF(C218=""," ",[1]!s_yq_pctchange($C218,$N$1))</f>
        <v xml:space="preserve"> </v>
      </c>
      <c r="O218" s="11"/>
      <c r="P218" s="7"/>
    </row>
    <row r="219" spans="1:16" x14ac:dyDescent="0.35">
      <c r="A219" s="7"/>
      <c r="C219" s="30" t="str">
        <f>IF(指数列表!B216="","",指数列表!B216)</f>
        <v/>
      </c>
      <c r="D219" s="35" t="str">
        <f>IF(C219="","",[1]!s_info_name(C219))</f>
        <v/>
      </c>
      <c r="E219" s="24" t="str">
        <f>IF(C219="","",[1]!s_dq_close(C219,$N$1))</f>
        <v/>
      </c>
      <c r="F219" s="28" t="str">
        <f>IF($C219=""," ",[1]!i_pq_pctchange($C219,F$6,$N$1))</f>
        <v xml:space="preserve"> </v>
      </c>
      <c r="G219" s="28" t="str">
        <f>IF($C219=""," ",[1]!i_pq_pctchange($C219,G$6,$N$1))</f>
        <v xml:space="preserve"> </v>
      </c>
      <c r="H219" s="28" t="str">
        <f>IF($C219=""," ",[1]!i_pq_pctchange($C219,H$6,$N$1))</f>
        <v xml:space="preserve"> </v>
      </c>
      <c r="I219" s="28" t="str">
        <f>IF($C219=""," ",[1]!i_pq_pctchange($C219,I$6,$N$1))</f>
        <v xml:space="preserve"> </v>
      </c>
      <c r="J219" s="28" t="str">
        <f>IF($C219=""," ",[1]!i_pq_pctchange($C219,J$6,$N$1))</f>
        <v xml:space="preserve"> </v>
      </c>
      <c r="K219" s="28" t="str">
        <f>IF($C219=""," ",[1]!i_pq_pctchange($C219,K$6,$N$1))</f>
        <v xml:space="preserve"> </v>
      </c>
      <c r="L219" s="28" t="str">
        <f>IF(C219=""," ",[1]!s_wq_pctchange($C219,$N$1))</f>
        <v xml:space="preserve"> </v>
      </c>
      <c r="M219" s="28" t="str">
        <f>IF(C219=""," ",[1]!s_mq_pctchange($C219,$N$1))</f>
        <v xml:space="preserve"> </v>
      </c>
      <c r="N219" s="28" t="str">
        <f>IF(C219=""," ",[1]!s_yq_pctchange($C219,$N$1))</f>
        <v xml:space="preserve"> </v>
      </c>
      <c r="O219" s="11"/>
      <c r="P219" s="7"/>
    </row>
    <row r="220" spans="1:16" x14ac:dyDescent="0.35">
      <c r="A220" s="7"/>
      <c r="C220" s="31" t="str">
        <f>IF(指数列表!B217="","",指数列表!B217)</f>
        <v/>
      </c>
      <c r="D220" s="36" t="str">
        <f>IF(C220="","",[1]!s_info_name(C220))</f>
        <v/>
      </c>
      <c r="E220" s="25" t="str">
        <f>IF(C220="","",[1]!s_dq_close(C220,$N$1))</f>
        <v/>
      </c>
      <c r="F220" s="28" t="str">
        <f>IF($C220=""," ",[1]!i_pq_pctchange($C220,F$6,$N$1))</f>
        <v xml:space="preserve"> </v>
      </c>
      <c r="G220" s="28" t="str">
        <f>IF($C220=""," ",[1]!i_pq_pctchange($C220,G$6,$N$1))</f>
        <v xml:space="preserve"> </v>
      </c>
      <c r="H220" s="28" t="str">
        <f>IF($C220=""," ",[1]!i_pq_pctchange($C220,H$6,$N$1))</f>
        <v xml:space="preserve"> </v>
      </c>
      <c r="I220" s="28" t="str">
        <f>IF($C220=""," ",[1]!i_pq_pctchange($C220,I$6,$N$1))</f>
        <v xml:space="preserve"> </v>
      </c>
      <c r="J220" s="28" t="str">
        <f>IF($C220=""," ",[1]!i_pq_pctchange($C220,J$6,$N$1))</f>
        <v xml:space="preserve"> </v>
      </c>
      <c r="K220" s="28" t="str">
        <f>IF($C220=""," ",[1]!i_pq_pctchange($C220,K$6,$N$1))</f>
        <v xml:space="preserve"> </v>
      </c>
      <c r="L220" s="28" t="str">
        <f>IF(C220=""," ",[1]!s_wq_pctchange($C220,$N$1))</f>
        <v xml:space="preserve"> </v>
      </c>
      <c r="M220" s="28" t="str">
        <f>IF(C220=""," ",[1]!s_mq_pctchange($C220,$N$1))</f>
        <v xml:space="preserve"> </v>
      </c>
      <c r="N220" s="28" t="str">
        <f>IF(C220=""," ",[1]!s_yq_pctchange($C220,$N$1))</f>
        <v xml:space="preserve"> </v>
      </c>
      <c r="O220" s="11"/>
      <c r="P220" s="7"/>
    </row>
    <row r="221" spans="1:16" x14ac:dyDescent="0.35">
      <c r="A221" s="7"/>
      <c r="C221" s="30" t="str">
        <f>IF(指数列表!B218="","",指数列表!B218)</f>
        <v/>
      </c>
      <c r="D221" s="35" t="str">
        <f>IF(C221="","",[1]!s_info_name(C221))</f>
        <v/>
      </c>
      <c r="E221" s="24" t="str">
        <f>IF(C221="","",[1]!s_dq_close(C221,$N$1))</f>
        <v/>
      </c>
      <c r="F221" s="28" t="str">
        <f>IF($C221=""," ",[1]!i_pq_pctchange($C221,F$6,$N$1))</f>
        <v xml:space="preserve"> </v>
      </c>
      <c r="G221" s="28" t="str">
        <f>IF($C221=""," ",[1]!i_pq_pctchange($C221,G$6,$N$1))</f>
        <v xml:space="preserve"> </v>
      </c>
      <c r="H221" s="28" t="str">
        <f>IF($C221=""," ",[1]!i_pq_pctchange($C221,H$6,$N$1))</f>
        <v xml:space="preserve"> </v>
      </c>
      <c r="I221" s="28" t="str">
        <f>IF($C221=""," ",[1]!i_pq_pctchange($C221,I$6,$N$1))</f>
        <v xml:space="preserve"> </v>
      </c>
      <c r="J221" s="28" t="str">
        <f>IF($C221=""," ",[1]!i_pq_pctchange($C221,J$6,$N$1))</f>
        <v xml:space="preserve"> </v>
      </c>
      <c r="K221" s="28" t="str">
        <f>IF($C221=""," ",[1]!i_pq_pctchange($C221,K$6,$N$1))</f>
        <v xml:space="preserve"> </v>
      </c>
      <c r="L221" s="28" t="str">
        <f>IF(C221=""," ",[1]!s_wq_pctchange($C221,$N$1))</f>
        <v xml:space="preserve"> </v>
      </c>
      <c r="M221" s="28" t="str">
        <f>IF(C221=""," ",[1]!s_mq_pctchange($C221,$N$1))</f>
        <v xml:space="preserve"> </v>
      </c>
      <c r="N221" s="28" t="str">
        <f>IF(C221=""," ",[1]!s_yq_pctchange($C221,$N$1))</f>
        <v xml:space="preserve"> </v>
      </c>
      <c r="O221" s="11"/>
      <c r="P221" s="7"/>
    </row>
    <row r="222" spans="1:16" x14ac:dyDescent="0.35">
      <c r="A222" s="7"/>
      <c r="C222" s="31" t="str">
        <f>IF(指数列表!B219="","",指数列表!B219)</f>
        <v/>
      </c>
      <c r="D222" s="36" t="str">
        <f>IF(C222="","",[1]!s_info_name(C222))</f>
        <v/>
      </c>
      <c r="E222" s="25" t="str">
        <f>IF(C222="","",[1]!s_dq_close(C222,$N$1))</f>
        <v/>
      </c>
      <c r="F222" s="28" t="str">
        <f>IF($C222=""," ",[1]!i_pq_pctchange($C222,F$6,$N$1))</f>
        <v xml:space="preserve"> </v>
      </c>
      <c r="G222" s="28" t="str">
        <f>IF($C222=""," ",[1]!i_pq_pctchange($C222,G$6,$N$1))</f>
        <v xml:space="preserve"> </v>
      </c>
      <c r="H222" s="28" t="str">
        <f>IF($C222=""," ",[1]!i_pq_pctchange($C222,H$6,$N$1))</f>
        <v xml:space="preserve"> </v>
      </c>
      <c r="I222" s="28" t="str">
        <f>IF($C222=""," ",[1]!i_pq_pctchange($C222,I$6,$N$1))</f>
        <v xml:space="preserve"> </v>
      </c>
      <c r="J222" s="28" t="str">
        <f>IF($C222=""," ",[1]!i_pq_pctchange($C222,J$6,$N$1))</f>
        <v xml:space="preserve"> </v>
      </c>
      <c r="K222" s="28" t="str">
        <f>IF($C222=""," ",[1]!i_pq_pctchange($C222,K$6,$N$1))</f>
        <v xml:space="preserve"> </v>
      </c>
      <c r="L222" s="28" t="str">
        <f>IF(C222=""," ",[1]!s_wq_pctchange($C222,$N$1))</f>
        <v xml:space="preserve"> </v>
      </c>
      <c r="M222" s="28" t="str">
        <f>IF(C222=""," ",[1]!s_mq_pctchange($C222,$N$1))</f>
        <v xml:space="preserve"> </v>
      </c>
      <c r="N222" s="28" t="str">
        <f>IF(C222=""," ",[1]!s_yq_pctchange($C222,$N$1))</f>
        <v xml:space="preserve"> </v>
      </c>
      <c r="O222" s="11"/>
      <c r="P222" s="7"/>
    </row>
    <row r="223" spans="1:16" x14ac:dyDescent="0.35">
      <c r="A223" s="7"/>
      <c r="C223" s="30" t="str">
        <f>IF(指数列表!B220="","",指数列表!B220)</f>
        <v/>
      </c>
      <c r="D223" s="35" t="str">
        <f>IF(C223="","",[1]!s_info_name(C223))</f>
        <v/>
      </c>
      <c r="E223" s="24" t="str">
        <f>IF(C223="","",[1]!s_dq_close(C223,$N$1))</f>
        <v/>
      </c>
      <c r="F223" s="28" t="str">
        <f>IF($C223=""," ",[1]!i_pq_pctchange($C223,F$6,$N$1))</f>
        <v xml:space="preserve"> </v>
      </c>
      <c r="G223" s="28" t="str">
        <f>IF($C223=""," ",[1]!i_pq_pctchange($C223,G$6,$N$1))</f>
        <v xml:space="preserve"> </v>
      </c>
      <c r="H223" s="28" t="str">
        <f>IF($C223=""," ",[1]!i_pq_pctchange($C223,H$6,$N$1))</f>
        <v xml:space="preserve"> </v>
      </c>
      <c r="I223" s="28" t="str">
        <f>IF($C223=""," ",[1]!i_pq_pctchange($C223,I$6,$N$1))</f>
        <v xml:space="preserve"> </v>
      </c>
      <c r="J223" s="28" t="str">
        <f>IF($C223=""," ",[1]!i_pq_pctchange($C223,J$6,$N$1))</f>
        <v xml:space="preserve"> </v>
      </c>
      <c r="K223" s="28" t="str">
        <f>IF($C223=""," ",[1]!i_pq_pctchange($C223,K$6,$N$1))</f>
        <v xml:space="preserve"> </v>
      </c>
      <c r="L223" s="28" t="str">
        <f>IF(C223=""," ",[1]!s_wq_pctchange($C223,$N$1))</f>
        <v xml:space="preserve"> </v>
      </c>
      <c r="M223" s="28" t="str">
        <f>IF(C223=""," ",[1]!s_mq_pctchange($C223,$N$1))</f>
        <v xml:space="preserve"> </v>
      </c>
      <c r="N223" s="28" t="str">
        <f>IF(C223=""," ",[1]!s_yq_pctchange($C223,$N$1))</f>
        <v xml:space="preserve"> </v>
      </c>
      <c r="O223" s="11"/>
      <c r="P223" s="7"/>
    </row>
    <row r="224" spans="1:16" x14ac:dyDescent="0.35">
      <c r="A224" s="7"/>
      <c r="C224" s="31" t="str">
        <f>IF(指数列表!B221="","",指数列表!B221)</f>
        <v/>
      </c>
      <c r="D224" s="36" t="str">
        <f>IF(C224="","",[1]!s_info_name(C224))</f>
        <v/>
      </c>
      <c r="E224" s="25" t="str">
        <f>IF(C224="","",[1]!s_dq_close(C224,$N$1))</f>
        <v/>
      </c>
      <c r="F224" s="28" t="str">
        <f>IF($C224=""," ",[1]!i_pq_pctchange($C224,F$6,$N$1))</f>
        <v xml:space="preserve"> </v>
      </c>
      <c r="G224" s="28" t="str">
        <f>IF($C224=""," ",[1]!i_pq_pctchange($C224,G$6,$N$1))</f>
        <v xml:space="preserve"> </v>
      </c>
      <c r="H224" s="28" t="str">
        <f>IF($C224=""," ",[1]!i_pq_pctchange($C224,H$6,$N$1))</f>
        <v xml:space="preserve"> </v>
      </c>
      <c r="I224" s="28" t="str">
        <f>IF($C224=""," ",[1]!i_pq_pctchange($C224,I$6,$N$1))</f>
        <v xml:space="preserve"> </v>
      </c>
      <c r="J224" s="28" t="str">
        <f>IF($C224=""," ",[1]!i_pq_pctchange($C224,J$6,$N$1))</f>
        <v xml:space="preserve"> </v>
      </c>
      <c r="K224" s="28" t="str">
        <f>IF($C224=""," ",[1]!i_pq_pctchange($C224,K$6,$N$1))</f>
        <v xml:space="preserve"> </v>
      </c>
      <c r="L224" s="28" t="str">
        <f>IF(C224=""," ",[1]!s_wq_pctchange($C224,$N$1))</f>
        <v xml:space="preserve"> </v>
      </c>
      <c r="M224" s="28" t="str">
        <f>IF(C224=""," ",[1]!s_mq_pctchange($C224,$N$1))</f>
        <v xml:space="preserve"> </v>
      </c>
      <c r="N224" s="28" t="str">
        <f>IF(C224=""," ",[1]!s_yq_pctchange($C224,$N$1))</f>
        <v xml:space="preserve"> </v>
      </c>
      <c r="O224" s="11"/>
      <c r="P224" s="7"/>
    </row>
    <row r="225" spans="1:16" x14ac:dyDescent="0.35">
      <c r="A225" s="7"/>
      <c r="C225" s="30" t="str">
        <f>IF(指数列表!B222="","",指数列表!B222)</f>
        <v/>
      </c>
      <c r="D225" s="35" t="str">
        <f>IF(C225="","",[1]!s_info_name(C225))</f>
        <v/>
      </c>
      <c r="E225" s="24" t="str">
        <f>IF(C225="","",[1]!s_dq_close(C225,$N$1))</f>
        <v/>
      </c>
      <c r="F225" s="28" t="str">
        <f>IF($C225=""," ",[1]!i_pq_pctchange($C225,F$6,$N$1))</f>
        <v xml:space="preserve"> </v>
      </c>
      <c r="G225" s="28" t="str">
        <f>IF($C225=""," ",[1]!i_pq_pctchange($C225,G$6,$N$1))</f>
        <v xml:space="preserve"> </v>
      </c>
      <c r="H225" s="28" t="str">
        <f>IF($C225=""," ",[1]!i_pq_pctchange($C225,H$6,$N$1))</f>
        <v xml:space="preserve"> </v>
      </c>
      <c r="I225" s="28" t="str">
        <f>IF($C225=""," ",[1]!i_pq_pctchange($C225,I$6,$N$1))</f>
        <v xml:space="preserve"> </v>
      </c>
      <c r="J225" s="28" t="str">
        <f>IF($C225=""," ",[1]!i_pq_pctchange($C225,J$6,$N$1))</f>
        <v xml:space="preserve"> </v>
      </c>
      <c r="K225" s="28" t="str">
        <f>IF($C225=""," ",[1]!i_pq_pctchange($C225,K$6,$N$1))</f>
        <v xml:space="preserve"> </v>
      </c>
      <c r="L225" s="28" t="str">
        <f>IF(C225=""," ",[1]!s_wq_pctchange($C225,$N$1))</f>
        <v xml:space="preserve"> </v>
      </c>
      <c r="M225" s="28" t="str">
        <f>IF(C225=""," ",[1]!s_mq_pctchange($C225,$N$1))</f>
        <v xml:space="preserve"> </v>
      </c>
      <c r="N225" s="28" t="str">
        <f>IF(C225=""," ",[1]!s_yq_pctchange($C225,$N$1))</f>
        <v xml:space="preserve"> </v>
      </c>
      <c r="O225" s="11"/>
      <c r="P225" s="7"/>
    </row>
    <row r="226" spans="1:16" x14ac:dyDescent="0.35">
      <c r="A226" s="7"/>
      <c r="C226" s="31" t="str">
        <f>IF(指数列表!B223="","",指数列表!B223)</f>
        <v/>
      </c>
      <c r="D226" s="36" t="str">
        <f>IF(C226="","",[1]!s_info_name(C226))</f>
        <v/>
      </c>
      <c r="E226" s="25" t="str">
        <f>IF(C226="","",[1]!s_dq_close(C226,$N$1))</f>
        <v/>
      </c>
      <c r="F226" s="28" t="str">
        <f>IF($C226=""," ",[1]!i_pq_pctchange($C226,F$6,$N$1))</f>
        <v xml:space="preserve"> </v>
      </c>
      <c r="G226" s="28" t="str">
        <f>IF($C226=""," ",[1]!i_pq_pctchange($C226,G$6,$N$1))</f>
        <v xml:space="preserve"> </v>
      </c>
      <c r="H226" s="28" t="str">
        <f>IF($C226=""," ",[1]!i_pq_pctchange($C226,H$6,$N$1))</f>
        <v xml:space="preserve"> </v>
      </c>
      <c r="I226" s="28" t="str">
        <f>IF($C226=""," ",[1]!i_pq_pctchange($C226,I$6,$N$1))</f>
        <v xml:space="preserve"> </v>
      </c>
      <c r="J226" s="28" t="str">
        <f>IF($C226=""," ",[1]!i_pq_pctchange($C226,J$6,$N$1))</f>
        <v xml:space="preserve"> </v>
      </c>
      <c r="K226" s="28" t="str">
        <f>IF($C226=""," ",[1]!i_pq_pctchange($C226,K$6,$N$1))</f>
        <v xml:space="preserve"> </v>
      </c>
      <c r="L226" s="28" t="str">
        <f>IF(C226=""," ",[1]!s_wq_pctchange($C226,$N$1))</f>
        <v xml:space="preserve"> </v>
      </c>
      <c r="M226" s="28" t="str">
        <f>IF(C226=""," ",[1]!s_mq_pctchange($C226,$N$1))</f>
        <v xml:space="preserve"> </v>
      </c>
      <c r="N226" s="28" t="str">
        <f>IF(C226=""," ",[1]!s_yq_pctchange($C226,$N$1))</f>
        <v xml:space="preserve"> </v>
      </c>
      <c r="O226" s="11"/>
      <c r="P226" s="7"/>
    </row>
    <row r="227" spans="1:16" x14ac:dyDescent="0.35">
      <c r="A227" s="7"/>
      <c r="C227" s="30" t="str">
        <f>IF(指数列表!B224="","",指数列表!B224)</f>
        <v/>
      </c>
      <c r="D227" s="35" t="str">
        <f>IF(C227="","",[1]!s_info_name(C227))</f>
        <v/>
      </c>
      <c r="E227" s="24" t="str">
        <f>IF(C227="","",[1]!s_dq_close(C227,$N$1))</f>
        <v/>
      </c>
      <c r="F227" s="28" t="str">
        <f>IF($C227=""," ",[1]!i_pq_pctchange($C227,F$6,$N$1))</f>
        <v xml:space="preserve"> </v>
      </c>
      <c r="G227" s="28" t="str">
        <f>IF($C227=""," ",[1]!i_pq_pctchange($C227,G$6,$N$1))</f>
        <v xml:space="preserve"> </v>
      </c>
      <c r="H227" s="28" t="str">
        <f>IF($C227=""," ",[1]!i_pq_pctchange($C227,H$6,$N$1))</f>
        <v xml:space="preserve"> </v>
      </c>
      <c r="I227" s="28" t="str">
        <f>IF($C227=""," ",[1]!i_pq_pctchange($C227,I$6,$N$1))</f>
        <v xml:space="preserve"> </v>
      </c>
      <c r="J227" s="28" t="str">
        <f>IF($C227=""," ",[1]!i_pq_pctchange($C227,J$6,$N$1))</f>
        <v xml:space="preserve"> </v>
      </c>
      <c r="K227" s="28" t="str">
        <f>IF($C227=""," ",[1]!i_pq_pctchange($C227,K$6,$N$1))</f>
        <v xml:space="preserve"> </v>
      </c>
      <c r="L227" s="28" t="str">
        <f>IF(C227=""," ",[1]!s_wq_pctchange($C227,$N$1))</f>
        <v xml:space="preserve"> </v>
      </c>
      <c r="M227" s="28" t="str">
        <f>IF(C227=""," ",[1]!s_mq_pctchange($C227,$N$1))</f>
        <v xml:space="preserve"> </v>
      </c>
      <c r="N227" s="28" t="str">
        <f>IF(C227=""," ",[1]!s_yq_pctchange($C227,$N$1))</f>
        <v xml:space="preserve"> </v>
      </c>
      <c r="O227" s="11"/>
      <c r="P227" s="7"/>
    </row>
    <row r="228" spans="1:16" x14ac:dyDescent="0.35">
      <c r="A228" s="7"/>
      <c r="C228" s="31" t="str">
        <f>IF(指数列表!B225="","",指数列表!B225)</f>
        <v/>
      </c>
      <c r="D228" s="36" t="str">
        <f>IF(C228="","",[1]!s_info_name(C228))</f>
        <v/>
      </c>
      <c r="E228" s="25" t="str">
        <f>IF(C228="","",[1]!s_dq_close(C228,$N$1))</f>
        <v/>
      </c>
      <c r="F228" s="28" t="str">
        <f>IF($C228=""," ",[1]!i_pq_pctchange($C228,F$6,$N$1))</f>
        <v xml:space="preserve"> </v>
      </c>
      <c r="G228" s="28" t="str">
        <f>IF($C228=""," ",[1]!i_pq_pctchange($C228,G$6,$N$1))</f>
        <v xml:space="preserve"> </v>
      </c>
      <c r="H228" s="28" t="str">
        <f>IF($C228=""," ",[1]!i_pq_pctchange($C228,H$6,$N$1))</f>
        <v xml:space="preserve"> </v>
      </c>
      <c r="I228" s="28" t="str">
        <f>IF($C228=""," ",[1]!i_pq_pctchange($C228,I$6,$N$1))</f>
        <v xml:space="preserve"> </v>
      </c>
      <c r="J228" s="28" t="str">
        <f>IF($C228=""," ",[1]!i_pq_pctchange($C228,J$6,$N$1))</f>
        <v xml:space="preserve"> </v>
      </c>
      <c r="K228" s="28" t="str">
        <f>IF($C228=""," ",[1]!i_pq_pctchange($C228,K$6,$N$1))</f>
        <v xml:space="preserve"> </v>
      </c>
      <c r="L228" s="28" t="str">
        <f>IF(C228=""," ",[1]!s_wq_pctchange($C228,$N$1))</f>
        <v xml:space="preserve"> </v>
      </c>
      <c r="M228" s="28" t="str">
        <f>IF(C228=""," ",[1]!s_mq_pctchange($C228,$N$1))</f>
        <v xml:space="preserve"> </v>
      </c>
      <c r="N228" s="28" t="str">
        <f>IF(C228=""," ",[1]!s_yq_pctchange($C228,$N$1))</f>
        <v xml:space="preserve"> </v>
      </c>
      <c r="O228" s="11"/>
      <c r="P228" s="7"/>
    </row>
    <row r="229" spans="1:16" x14ac:dyDescent="0.35">
      <c r="A229" s="7"/>
      <c r="C229" s="30" t="str">
        <f>IF(指数列表!B226="","",指数列表!B226)</f>
        <v/>
      </c>
      <c r="D229" s="35" t="str">
        <f>IF(C229="","",[1]!s_info_name(C229))</f>
        <v/>
      </c>
      <c r="E229" s="24" t="str">
        <f>IF(C229="","",[1]!s_dq_close(C229,$N$1))</f>
        <v/>
      </c>
      <c r="F229" s="28" t="str">
        <f>IF($C229=""," ",[1]!i_pq_pctchange($C229,F$6,$N$1))</f>
        <v xml:space="preserve"> </v>
      </c>
      <c r="G229" s="28" t="str">
        <f>IF($C229=""," ",[1]!i_pq_pctchange($C229,G$6,$N$1))</f>
        <v xml:space="preserve"> </v>
      </c>
      <c r="H229" s="28" t="str">
        <f>IF($C229=""," ",[1]!i_pq_pctchange($C229,H$6,$N$1))</f>
        <v xml:space="preserve"> </v>
      </c>
      <c r="I229" s="28" t="str">
        <f>IF($C229=""," ",[1]!i_pq_pctchange($C229,I$6,$N$1))</f>
        <v xml:space="preserve"> </v>
      </c>
      <c r="J229" s="28" t="str">
        <f>IF($C229=""," ",[1]!i_pq_pctchange($C229,J$6,$N$1))</f>
        <v xml:space="preserve"> </v>
      </c>
      <c r="K229" s="28" t="str">
        <f>IF($C229=""," ",[1]!i_pq_pctchange($C229,K$6,$N$1))</f>
        <v xml:space="preserve"> </v>
      </c>
      <c r="L229" s="28" t="str">
        <f>IF(C229=""," ",[1]!s_wq_pctchange($C229,$N$1))</f>
        <v xml:space="preserve"> </v>
      </c>
      <c r="M229" s="28" t="str">
        <f>IF(C229=""," ",[1]!s_mq_pctchange($C229,$N$1))</f>
        <v xml:space="preserve"> </v>
      </c>
      <c r="N229" s="28" t="str">
        <f>IF(C229=""," ",[1]!s_yq_pctchange($C229,$N$1))</f>
        <v xml:space="preserve"> </v>
      </c>
      <c r="O229" s="11"/>
      <c r="P229" s="7"/>
    </row>
    <row r="230" spans="1:16" x14ac:dyDescent="0.35">
      <c r="A230" s="7"/>
      <c r="C230" s="31" t="str">
        <f>IF(指数列表!B227="","",指数列表!B227)</f>
        <v/>
      </c>
      <c r="D230" s="36" t="str">
        <f>IF(C230="","",[1]!s_info_name(C230))</f>
        <v/>
      </c>
      <c r="E230" s="25" t="str">
        <f>IF(C230="","",[1]!s_dq_close(C230,$N$1))</f>
        <v/>
      </c>
      <c r="F230" s="28" t="str">
        <f>IF($C230=""," ",[1]!i_pq_pctchange($C230,F$6,$N$1))</f>
        <v xml:space="preserve"> </v>
      </c>
      <c r="G230" s="28" t="str">
        <f>IF($C230=""," ",[1]!i_pq_pctchange($C230,G$6,$N$1))</f>
        <v xml:space="preserve"> </v>
      </c>
      <c r="H230" s="28" t="str">
        <f>IF($C230=""," ",[1]!i_pq_pctchange($C230,H$6,$N$1))</f>
        <v xml:space="preserve"> </v>
      </c>
      <c r="I230" s="28" t="str">
        <f>IF($C230=""," ",[1]!i_pq_pctchange($C230,I$6,$N$1))</f>
        <v xml:space="preserve"> </v>
      </c>
      <c r="J230" s="28" t="str">
        <f>IF($C230=""," ",[1]!i_pq_pctchange($C230,J$6,$N$1))</f>
        <v xml:space="preserve"> </v>
      </c>
      <c r="K230" s="28" t="str">
        <f>IF($C230=""," ",[1]!i_pq_pctchange($C230,K$6,$N$1))</f>
        <v xml:space="preserve"> </v>
      </c>
      <c r="L230" s="28" t="str">
        <f>IF(C230=""," ",[1]!s_wq_pctchange($C230,$N$1))</f>
        <v xml:space="preserve"> </v>
      </c>
      <c r="M230" s="28" t="str">
        <f>IF(C230=""," ",[1]!s_mq_pctchange($C230,$N$1))</f>
        <v xml:space="preserve"> </v>
      </c>
      <c r="N230" s="28" t="str">
        <f>IF(C230=""," ",[1]!s_yq_pctchange($C230,$N$1))</f>
        <v xml:space="preserve"> </v>
      </c>
      <c r="O230" s="11"/>
      <c r="P230" s="7"/>
    </row>
    <row r="231" spans="1:16" x14ac:dyDescent="0.35">
      <c r="A231" s="7"/>
      <c r="C231" s="30" t="str">
        <f>IF(指数列表!B228="","",指数列表!B228)</f>
        <v/>
      </c>
      <c r="D231" s="35" t="str">
        <f>IF(C231="","",[1]!s_info_name(C231))</f>
        <v/>
      </c>
      <c r="E231" s="24" t="str">
        <f>IF(C231="","",[1]!s_dq_close(C231,$N$1))</f>
        <v/>
      </c>
      <c r="F231" s="28" t="str">
        <f>IF($C231=""," ",[1]!i_pq_pctchange($C231,F$6,$N$1))</f>
        <v xml:space="preserve"> </v>
      </c>
      <c r="G231" s="28" t="str">
        <f>IF($C231=""," ",[1]!i_pq_pctchange($C231,G$6,$N$1))</f>
        <v xml:space="preserve"> </v>
      </c>
      <c r="H231" s="28" t="str">
        <f>IF($C231=""," ",[1]!i_pq_pctchange($C231,H$6,$N$1))</f>
        <v xml:space="preserve"> </v>
      </c>
      <c r="I231" s="28" t="str">
        <f>IF($C231=""," ",[1]!i_pq_pctchange($C231,I$6,$N$1))</f>
        <v xml:space="preserve"> </v>
      </c>
      <c r="J231" s="28" t="str">
        <f>IF($C231=""," ",[1]!i_pq_pctchange($C231,J$6,$N$1))</f>
        <v xml:space="preserve"> </v>
      </c>
      <c r="K231" s="28" t="str">
        <f>IF($C231=""," ",[1]!i_pq_pctchange($C231,K$6,$N$1))</f>
        <v xml:space="preserve"> </v>
      </c>
      <c r="L231" s="28" t="str">
        <f>IF(C231=""," ",[1]!s_wq_pctchange($C231,$N$1))</f>
        <v xml:space="preserve"> </v>
      </c>
      <c r="M231" s="28" t="str">
        <f>IF(C231=""," ",[1]!s_mq_pctchange($C231,$N$1))</f>
        <v xml:space="preserve"> </v>
      </c>
      <c r="N231" s="28" t="str">
        <f>IF(C231=""," ",[1]!s_yq_pctchange($C231,$N$1))</f>
        <v xml:space="preserve"> </v>
      </c>
      <c r="O231" s="11"/>
      <c r="P231" s="7"/>
    </row>
    <row r="232" spans="1:16" x14ac:dyDescent="0.35">
      <c r="A232" s="7"/>
      <c r="C232" s="31" t="str">
        <f>IF(指数列表!B229="","",指数列表!B229)</f>
        <v/>
      </c>
      <c r="D232" s="36" t="str">
        <f>IF(C232="","",[1]!s_info_name(C232))</f>
        <v/>
      </c>
      <c r="E232" s="25" t="str">
        <f>IF(C232="","",[1]!s_dq_close(C232,$N$1))</f>
        <v/>
      </c>
      <c r="F232" s="28" t="str">
        <f>IF($C232=""," ",[1]!i_pq_pctchange($C232,F$6,$N$1))</f>
        <v xml:space="preserve"> </v>
      </c>
      <c r="G232" s="28" t="str">
        <f>IF($C232=""," ",[1]!i_pq_pctchange($C232,G$6,$N$1))</f>
        <v xml:space="preserve"> </v>
      </c>
      <c r="H232" s="28" t="str">
        <f>IF($C232=""," ",[1]!i_pq_pctchange($C232,H$6,$N$1))</f>
        <v xml:space="preserve"> </v>
      </c>
      <c r="I232" s="28" t="str">
        <f>IF($C232=""," ",[1]!i_pq_pctchange($C232,I$6,$N$1))</f>
        <v xml:space="preserve"> </v>
      </c>
      <c r="J232" s="28" t="str">
        <f>IF($C232=""," ",[1]!i_pq_pctchange($C232,J$6,$N$1))</f>
        <v xml:space="preserve"> </v>
      </c>
      <c r="K232" s="28" t="str">
        <f>IF($C232=""," ",[1]!i_pq_pctchange($C232,K$6,$N$1))</f>
        <v xml:space="preserve"> </v>
      </c>
      <c r="L232" s="28" t="str">
        <f>IF(C232=""," ",[1]!s_wq_pctchange($C232,$N$1))</f>
        <v xml:space="preserve"> </v>
      </c>
      <c r="M232" s="28" t="str">
        <f>IF(C232=""," ",[1]!s_mq_pctchange($C232,$N$1))</f>
        <v xml:space="preserve"> </v>
      </c>
      <c r="N232" s="28" t="str">
        <f>IF(C232=""," ",[1]!s_yq_pctchange($C232,$N$1))</f>
        <v xml:space="preserve"> </v>
      </c>
      <c r="O232" s="11"/>
      <c r="P232" s="7"/>
    </row>
    <row r="233" spans="1:16" x14ac:dyDescent="0.35">
      <c r="A233" s="7"/>
      <c r="C233" s="30" t="str">
        <f>IF(指数列表!B230="","",指数列表!B230)</f>
        <v/>
      </c>
      <c r="D233" s="35" t="str">
        <f>IF(C233="","",[1]!s_info_name(C233))</f>
        <v/>
      </c>
      <c r="E233" s="24" t="str">
        <f>IF(C233="","",[1]!s_dq_close(C233,$N$1))</f>
        <v/>
      </c>
      <c r="F233" s="28" t="str">
        <f>IF($C233=""," ",[1]!i_pq_pctchange($C233,F$6,$N$1))</f>
        <v xml:space="preserve"> </v>
      </c>
      <c r="G233" s="28" t="str">
        <f>IF($C233=""," ",[1]!i_pq_pctchange($C233,G$6,$N$1))</f>
        <v xml:space="preserve"> </v>
      </c>
      <c r="H233" s="28" t="str">
        <f>IF($C233=""," ",[1]!i_pq_pctchange($C233,H$6,$N$1))</f>
        <v xml:space="preserve"> </v>
      </c>
      <c r="I233" s="28" t="str">
        <f>IF($C233=""," ",[1]!i_pq_pctchange($C233,I$6,$N$1))</f>
        <v xml:space="preserve"> </v>
      </c>
      <c r="J233" s="28" t="str">
        <f>IF($C233=""," ",[1]!i_pq_pctchange($C233,J$6,$N$1))</f>
        <v xml:space="preserve"> </v>
      </c>
      <c r="K233" s="28" t="str">
        <f>IF($C233=""," ",[1]!i_pq_pctchange($C233,K$6,$N$1))</f>
        <v xml:space="preserve"> </v>
      </c>
      <c r="L233" s="28" t="str">
        <f>IF(C233=""," ",[1]!s_wq_pctchange($C233,$N$1))</f>
        <v xml:space="preserve"> </v>
      </c>
      <c r="M233" s="28" t="str">
        <f>IF(C233=""," ",[1]!s_mq_pctchange($C233,$N$1))</f>
        <v xml:space="preserve"> </v>
      </c>
      <c r="N233" s="28" t="str">
        <f>IF(C233=""," ",[1]!s_yq_pctchange($C233,$N$1))</f>
        <v xml:space="preserve"> </v>
      </c>
      <c r="O233" s="11"/>
      <c r="P233" s="7"/>
    </row>
    <row r="234" spans="1:16" x14ac:dyDescent="0.35">
      <c r="A234" s="7"/>
      <c r="C234" s="31" t="str">
        <f>IF(指数列表!B231="","",指数列表!B231)</f>
        <v/>
      </c>
      <c r="D234" s="36" t="str">
        <f>IF(C234="","",[1]!s_info_name(C234))</f>
        <v/>
      </c>
      <c r="E234" s="25" t="str">
        <f>IF(C234="","",[1]!s_dq_close(C234,$N$1))</f>
        <v/>
      </c>
      <c r="F234" s="28" t="str">
        <f>IF($C234=""," ",[1]!i_pq_pctchange($C234,F$6,$N$1))</f>
        <v xml:space="preserve"> </v>
      </c>
      <c r="G234" s="28" t="str">
        <f>IF($C234=""," ",[1]!i_pq_pctchange($C234,G$6,$N$1))</f>
        <v xml:space="preserve"> </v>
      </c>
      <c r="H234" s="28" t="str">
        <f>IF($C234=""," ",[1]!i_pq_pctchange($C234,H$6,$N$1))</f>
        <v xml:space="preserve"> </v>
      </c>
      <c r="I234" s="28" t="str">
        <f>IF($C234=""," ",[1]!i_pq_pctchange($C234,I$6,$N$1))</f>
        <v xml:space="preserve"> </v>
      </c>
      <c r="J234" s="28" t="str">
        <f>IF($C234=""," ",[1]!i_pq_pctchange($C234,J$6,$N$1))</f>
        <v xml:space="preserve"> </v>
      </c>
      <c r="K234" s="28" t="str">
        <f>IF($C234=""," ",[1]!i_pq_pctchange($C234,K$6,$N$1))</f>
        <v xml:space="preserve"> </v>
      </c>
      <c r="L234" s="28" t="str">
        <f>IF(C234=""," ",[1]!s_wq_pctchange($C234,$N$1))</f>
        <v xml:space="preserve"> </v>
      </c>
      <c r="M234" s="28" t="str">
        <f>IF(C234=""," ",[1]!s_mq_pctchange($C234,$N$1))</f>
        <v xml:space="preserve"> </v>
      </c>
      <c r="N234" s="28" t="str">
        <f>IF(C234=""," ",[1]!s_yq_pctchange($C234,$N$1))</f>
        <v xml:space="preserve"> </v>
      </c>
      <c r="O234" s="11"/>
      <c r="P234" s="7"/>
    </row>
    <row r="235" spans="1:16" x14ac:dyDescent="0.35">
      <c r="A235" s="7"/>
      <c r="C235" s="30" t="str">
        <f>IF(指数列表!B232="","",指数列表!B232)</f>
        <v/>
      </c>
      <c r="D235" s="35" t="str">
        <f>IF(C235="","",[1]!s_info_name(C235))</f>
        <v/>
      </c>
      <c r="E235" s="24" t="str">
        <f>IF(C235="","",[1]!s_dq_close(C235,$N$1))</f>
        <v/>
      </c>
      <c r="F235" s="28" t="str">
        <f>IF($C235=""," ",[1]!i_pq_pctchange($C235,F$6,$N$1))</f>
        <v xml:space="preserve"> </v>
      </c>
      <c r="G235" s="28" t="str">
        <f>IF($C235=""," ",[1]!i_pq_pctchange($C235,G$6,$N$1))</f>
        <v xml:space="preserve"> </v>
      </c>
      <c r="H235" s="28" t="str">
        <f>IF($C235=""," ",[1]!i_pq_pctchange($C235,H$6,$N$1))</f>
        <v xml:space="preserve"> </v>
      </c>
      <c r="I235" s="28" t="str">
        <f>IF($C235=""," ",[1]!i_pq_pctchange($C235,I$6,$N$1))</f>
        <v xml:space="preserve"> </v>
      </c>
      <c r="J235" s="28" t="str">
        <f>IF($C235=""," ",[1]!i_pq_pctchange($C235,J$6,$N$1))</f>
        <v xml:space="preserve"> </v>
      </c>
      <c r="K235" s="28" t="str">
        <f>IF($C235=""," ",[1]!i_pq_pctchange($C235,K$6,$N$1))</f>
        <v xml:space="preserve"> </v>
      </c>
      <c r="L235" s="28" t="str">
        <f>IF(C235=""," ",[1]!s_wq_pctchange($C235,$N$1))</f>
        <v xml:space="preserve"> </v>
      </c>
      <c r="M235" s="28" t="str">
        <f>IF(C235=""," ",[1]!s_mq_pctchange($C235,$N$1))</f>
        <v xml:space="preserve"> </v>
      </c>
      <c r="N235" s="28" t="str">
        <f>IF(C235=""," ",[1]!s_yq_pctchange($C235,$N$1))</f>
        <v xml:space="preserve"> </v>
      </c>
      <c r="O235" s="11"/>
      <c r="P235" s="7"/>
    </row>
    <row r="236" spans="1:16" x14ac:dyDescent="0.35">
      <c r="A236" s="7"/>
      <c r="C236" s="31" t="str">
        <f>IF(指数列表!B233="","",指数列表!B233)</f>
        <v/>
      </c>
      <c r="D236" s="36" t="str">
        <f>IF(C236="","",[1]!s_info_name(C236))</f>
        <v/>
      </c>
      <c r="E236" s="25" t="str">
        <f>IF(C236="","",[1]!s_dq_close(C236,$N$1))</f>
        <v/>
      </c>
      <c r="F236" s="28" t="str">
        <f>IF($C236=""," ",[1]!i_pq_pctchange($C236,F$6,$N$1))</f>
        <v xml:space="preserve"> </v>
      </c>
      <c r="G236" s="28" t="str">
        <f>IF($C236=""," ",[1]!i_pq_pctchange($C236,G$6,$N$1))</f>
        <v xml:space="preserve"> </v>
      </c>
      <c r="H236" s="28" t="str">
        <f>IF($C236=""," ",[1]!i_pq_pctchange($C236,H$6,$N$1))</f>
        <v xml:space="preserve"> </v>
      </c>
      <c r="I236" s="28" t="str">
        <f>IF($C236=""," ",[1]!i_pq_pctchange($C236,I$6,$N$1))</f>
        <v xml:space="preserve"> </v>
      </c>
      <c r="J236" s="28" t="str">
        <f>IF($C236=""," ",[1]!i_pq_pctchange($C236,J$6,$N$1))</f>
        <v xml:space="preserve"> </v>
      </c>
      <c r="K236" s="28" t="str">
        <f>IF($C236=""," ",[1]!i_pq_pctchange($C236,K$6,$N$1))</f>
        <v xml:space="preserve"> </v>
      </c>
      <c r="L236" s="28" t="str">
        <f>IF(C236=""," ",[1]!s_wq_pctchange($C236,$N$1))</f>
        <v xml:space="preserve"> </v>
      </c>
      <c r="M236" s="28" t="str">
        <f>IF(C236=""," ",[1]!s_mq_pctchange($C236,$N$1))</f>
        <v xml:space="preserve"> </v>
      </c>
      <c r="N236" s="28" t="str">
        <f>IF(C236=""," ",[1]!s_yq_pctchange($C236,$N$1))</f>
        <v xml:space="preserve"> </v>
      </c>
      <c r="O236" s="11"/>
      <c r="P236" s="7"/>
    </row>
    <row r="237" spans="1:16" x14ac:dyDescent="0.35">
      <c r="A237" s="7"/>
      <c r="C237" s="30" t="str">
        <f>IF(指数列表!B234="","",指数列表!B234)</f>
        <v/>
      </c>
      <c r="D237" s="35" t="str">
        <f>IF(C237="","",[1]!s_info_name(C237))</f>
        <v/>
      </c>
      <c r="E237" s="24" t="str">
        <f>IF(C237="","",[1]!s_dq_close(C237,$N$1))</f>
        <v/>
      </c>
      <c r="F237" s="28" t="str">
        <f>IF($C237=""," ",[1]!i_pq_pctchange($C237,F$6,$N$1))</f>
        <v xml:space="preserve"> </v>
      </c>
      <c r="G237" s="28" t="str">
        <f>IF($C237=""," ",[1]!i_pq_pctchange($C237,G$6,$N$1))</f>
        <v xml:space="preserve"> </v>
      </c>
      <c r="H237" s="28" t="str">
        <f>IF($C237=""," ",[1]!i_pq_pctchange($C237,H$6,$N$1))</f>
        <v xml:space="preserve"> </v>
      </c>
      <c r="I237" s="28" t="str">
        <f>IF($C237=""," ",[1]!i_pq_pctchange($C237,I$6,$N$1))</f>
        <v xml:space="preserve"> </v>
      </c>
      <c r="J237" s="28" t="str">
        <f>IF($C237=""," ",[1]!i_pq_pctchange($C237,J$6,$N$1))</f>
        <v xml:space="preserve"> </v>
      </c>
      <c r="K237" s="28" t="str">
        <f>IF($C237=""," ",[1]!i_pq_pctchange($C237,K$6,$N$1))</f>
        <v xml:space="preserve"> </v>
      </c>
      <c r="L237" s="28" t="str">
        <f>IF(C237=""," ",[1]!s_wq_pctchange($C237,$N$1))</f>
        <v xml:space="preserve"> </v>
      </c>
      <c r="M237" s="28" t="str">
        <f>IF(C237=""," ",[1]!s_mq_pctchange($C237,$N$1))</f>
        <v xml:space="preserve"> </v>
      </c>
      <c r="N237" s="28" t="str">
        <f>IF(C237=""," ",[1]!s_yq_pctchange($C237,$N$1))</f>
        <v xml:space="preserve"> </v>
      </c>
      <c r="O237" s="11"/>
      <c r="P237" s="7"/>
    </row>
    <row r="238" spans="1:16" x14ac:dyDescent="0.35">
      <c r="A238" s="7"/>
      <c r="C238" s="31" t="str">
        <f>IF(指数列表!B235="","",指数列表!B235)</f>
        <v/>
      </c>
      <c r="D238" s="36" t="str">
        <f>IF(C238="","",[1]!s_info_name(C238))</f>
        <v/>
      </c>
      <c r="E238" s="25" t="str">
        <f>IF(C238="","",[1]!s_dq_close(C238,$N$1))</f>
        <v/>
      </c>
      <c r="F238" s="28" t="str">
        <f>IF($C238=""," ",[1]!i_pq_pctchange($C238,F$6,$N$1))</f>
        <v xml:space="preserve"> </v>
      </c>
      <c r="G238" s="28" t="str">
        <f>IF($C238=""," ",[1]!i_pq_pctchange($C238,G$6,$N$1))</f>
        <v xml:space="preserve"> </v>
      </c>
      <c r="H238" s="28" t="str">
        <f>IF($C238=""," ",[1]!i_pq_pctchange($C238,H$6,$N$1))</f>
        <v xml:space="preserve"> </v>
      </c>
      <c r="I238" s="28" t="str">
        <f>IF($C238=""," ",[1]!i_pq_pctchange($C238,I$6,$N$1))</f>
        <v xml:space="preserve"> </v>
      </c>
      <c r="J238" s="28" t="str">
        <f>IF($C238=""," ",[1]!i_pq_pctchange($C238,J$6,$N$1))</f>
        <v xml:space="preserve"> </v>
      </c>
      <c r="K238" s="28" t="str">
        <f>IF($C238=""," ",[1]!i_pq_pctchange($C238,K$6,$N$1))</f>
        <v xml:space="preserve"> </v>
      </c>
      <c r="L238" s="28" t="str">
        <f>IF(C238=""," ",[1]!s_wq_pctchange($C238,$N$1))</f>
        <v xml:space="preserve"> </v>
      </c>
      <c r="M238" s="28" t="str">
        <f>IF(C238=""," ",[1]!s_mq_pctchange($C238,$N$1))</f>
        <v xml:space="preserve"> </v>
      </c>
      <c r="N238" s="28" t="str">
        <f>IF(C238=""," ",[1]!s_yq_pctchange($C238,$N$1))</f>
        <v xml:space="preserve"> </v>
      </c>
      <c r="O238" s="11"/>
      <c r="P238" s="7"/>
    </row>
    <row r="239" spans="1:16" x14ac:dyDescent="0.35">
      <c r="A239" s="7"/>
      <c r="C239" s="30" t="str">
        <f>IF(指数列表!B236="","",指数列表!B236)</f>
        <v/>
      </c>
      <c r="D239" s="35" t="str">
        <f>IF(C239="","",[1]!s_info_name(C239))</f>
        <v/>
      </c>
      <c r="E239" s="24" t="str">
        <f>IF(C239="","",[1]!s_dq_close(C239,$N$1))</f>
        <v/>
      </c>
      <c r="F239" s="28" t="str">
        <f>IF($C239=""," ",[1]!i_pq_pctchange($C239,F$6,$N$1))</f>
        <v xml:space="preserve"> </v>
      </c>
      <c r="G239" s="28" t="str">
        <f>IF($C239=""," ",[1]!i_pq_pctchange($C239,G$6,$N$1))</f>
        <v xml:space="preserve"> </v>
      </c>
      <c r="H239" s="28" t="str">
        <f>IF($C239=""," ",[1]!i_pq_pctchange($C239,H$6,$N$1))</f>
        <v xml:space="preserve"> </v>
      </c>
      <c r="I239" s="28" t="str">
        <f>IF($C239=""," ",[1]!i_pq_pctchange($C239,I$6,$N$1))</f>
        <v xml:space="preserve"> </v>
      </c>
      <c r="J239" s="28" t="str">
        <f>IF($C239=""," ",[1]!i_pq_pctchange($C239,J$6,$N$1))</f>
        <v xml:space="preserve"> </v>
      </c>
      <c r="K239" s="28" t="str">
        <f>IF($C239=""," ",[1]!i_pq_pctchange($C239,K$6,$N$1))</f>
        <v xml:space="preserve"> </v>
      </c>
      <c r="L239" s="28" t="str">
        <f>IF(C239=""," ",[1]!s_wq_pctchange($C239,$N$1))</f>
        <v xml:space="preserve"> </v>
      </c>
      <c r="M239" s="28" t="str">
        <f>IF(C239=""," ",[1]!s_mq_pctchange($C239,$N$1))</f>
        <v xml:space="preserve"> </v>
      </c>
      <c r="N239" s="28" t="str">
        <f>IF(C239=""," ",[1]!s_yq_pctchange($C239,$N$1))</f>
        <v xml:space="preserve"> </v>
      </c>
      <c r="O239" s="11"/>
      <c r="P239" s="7"/>
    </row>
    <row r="240" spans="1:16" x14ac:dyDescent="0.35">
      <c r="A240" s="7"/>
      <c r="C240" s="31" t="str">
        <f>IF(指数列表!B237="","",指数列表!B237)</f>
        <v/>
      </c>
      <c r="D240" s="36" t="str">
        <f>IF(C240="","",[1]!s_info_name(C240))</f>
        <v/>
      </c>
      <c r="E240" s="25" t="str">
        <f>IF(C240="","",[1]!s_dq_close(C240,$N$1))</f>
        <v/>
      </c>
      <c r="F240" s="28" t="str">
        <f>IF($C240=""," ",[1]!i_pq_pctchange($C240,F$6,$N$1))</f>
        <v xml:space="preserve"> </v>
      </c>
      <c r="G240" s="28" t="str">
        <f>IF($C240=""," ",[1]!i_pq_pctchange($C240,G$6,$N$1))</f>
        <v xml:space="preserve"> </v>
      </c>
      <c r="H240" s="28" t="str">
        <f>IF($C240=""," ",[1]!i_pq_pctchange($C240,H$6,$N$1))</f>
        <v xml:space="preserve"> </v>
      </c>
      <c r="I240" s="28" t="str">
        <f>IF($C240=""," ",[1]!i_pq_pctchange($C240,I$6,$N$1))</f>
        <v xml:space="preserve"> </v>
      </c>
      <c r="J240" s="28" t="str">
        <f>IF($C240=""," ",[1]!i_pq_pctchange($C240,J$6,$N$1))</f>
        <v xml:space="preserve"> </v>
      </c>
      <c r="K240" s="28" t="str">
        <f>IF($C240=""," ",[1]!i_pq_pctchange($C240,K$6,$N$1))</f>
        <v xml:space="preserve"> </v>
      </c>
      <c r="L240" s="28" t="str">
        <f>IF(C240=""," ",[1]!s_wq_pctchange($C240,$N$1))</f>
        <v xml:space="preserve"> </v>
      </c>
      <c r="M240" s="28" t="str">
        <f>IF(C240=""," ",[1]!s_mq_pctchange($C240,$N$1))</f>
        <v xml:space="preserve"> </v>
      </c>
      <c r="N240" s="28" t="str">
        <f>IF(C240=""," ",[1]!s_yq_pctchange($C240,$N$1))</f>
        <v xml:space="preserve"> </v>
      </c>
      <c r="O240" s="11"/>
      <c r="P240" s="7"/>
    </row>
    <row r="241" spans="1:16" x14ac:dyDescent="0.35">
      <c r="A241" s="7"/>
      <c r="C241" s="30" t="str">
        <f>IF(指数列表!B238="","",指数列表!B238)</f>
        <v/>
      </c>
      <c r="D241" s="35" t="str">
        <f>IF(C241="","",[1]!s_info_name(C241))</f>
        <v/>
      </c>
      <c r="E241" s="24" t="str">
        <f>IF(C241="","",[1]!s_dq_close(C241,$N$1))</f>
        <v/>
      </c>
      <c r="F241" s="28" t="str">
        <f>IF($C241=""," ",[1]!i_pq_pctchange($C241,F$6,$N$1))</f>
        <v xml:space="preserve"> </v>
      </c>
      <c r="G241" s="28" t="str">
        <f>IF($C241=""," ",[1]!i_pq_pctchange($C241,G$6,$N$1))</f>
        <v xml:space="preserve"> </v>
      </c>
      <c r="H241" s="28" t="str">
        <f>IF($C241=""," ",[1]!i_pq_pctchange($C241,H$6,$N$1))</f>
        <v xml:space="preserve"> </v>
      </c>
      <c r="I241" s="28" t="str">
        <f>IF($C241=""," ",[1]!i_pq_pctchange($C241,I$6,$N$1))</f>
        <v xml:space="preserve"> </v>
      </c>
      <c r="J241" s="28" t="str">
        <f>IF($C241=""," ",[1]!i_pq_pctchange($C241,J$6,$N$1))</f>
        <v xml:space="preserve"> </v>
      </c>
      <c r="K241" s="28" t="str">
        <f>IF($C241=""," ",[1]!i_pq_pctchange($C241,K$6,$N$1))</f>
        <v xml:space="preserve"> </v>
      </c>
      <c r="L241" s="28" t="str">
        <f>IF(C241=""," ",[1]!s_wq_pctchange($C241,$N$1))</f>
        <v xml:space="preserve"> </v>
      </c>
      <c r="M241" s="28" t="str">
        <f>IF(C241=""," ",[1]!s_mq_pctchange($C241,$N$1))</f>
        <v xml:space="preserve"> </v>
      </c>
      <c r="N241" s="28" t="str">
        <f>IF(C241=""," ",[1]!s_yq_pctchange($C241,$N$1))</f>
        <v xml:space="preserve"> </v>
      </c>
      <c r="O241" s="11"/>
      <c r="P241" s="7"/>
    </row>
    <row r="242" spans="1:16" x14ac:dyDescent="0.35">
      <c r="A242" s="7"/>
      <c r="C242" s="31" t="str">
        <f>IF(指数列表!B239="","",指数列表!B239)</f>
        <v/>
      </c>
      <c r="D242" s="36" t="str">
        <f>IF(C242="","",[1]!s_info_name(C242))</f>
        <v/>
      </c>
      <c r="E242" s="25" t="str">
        <f>IF(C242="","",[1]!s_dq_close(C242,$N$1))</f>
        <v/>
      </c>
      <c r="F242" s="28" t="str">
        <f>IF($C242=""," ",[1]!i_pq_pctchange($C242,F$6,$N$1))</f>
        <v xml:space="preserve"> </v>
      </c>
      <c r="G242" s="28" t="str">
        <f>IF($C242=""," ",[1]!i_pq_pctchange($C242,G$6,$N$1))</f>
        <v xml:space="preserve"> </v>
      </c>
      <c r="H242" s="28" t="str">
        <f>IF($C242=""," ",[1]!i_pq_pctchange($C242,H$6,$N$1))</f>
        <v xml:space="preserve"> </v>
      </c>
      <c r="I242" s="28" t="str">
        <f>IF($C242=""," ",[1]!i_pq_pctchange($C242,I$6,$N$1))</f>
        <v xml:space="preserve"> </v>
      </c>
      <c r="J242" s="28" t="str">
        <f>IF($C242=""," ",[1]!i_pq_pctchange($C242,J$6,$N$1))</f>
        <v xml:space="preserve"> </v>
      </c>
      <c r="K242" s="28" t="str">
        <f>IF($C242=""," ",[1]!i_pq_pctchange($C242,K$6,$N$1))</f>
        <v xml:space="preserve"> </v>
      </c>
      <c r="L242" s="28" t="str">
        <f>IF(C242=""," ",[1]!s_wq_pctchange($C242,$N$1))</f>
        <v xml:space="preserve"> </v>
      </c>
      <c r="M242" s="28" t="str">
        <f>IF(C242=""," ",[1]!s_mq_pctchange($C242,$N$1))</f>
        <v xml:space="preserve"> </v>
      </c>
      <c r="N242" s="28" t="str">
        <f>IF(C242=""," ",[1]!s_yq_pctchange($C242,$N$1))</f>
        <v xml:space="preserve"> </v>
      </c>
      <c r="O242" s="11"/>
      <c r="P242" s="7"/>
    </row>
    <row r="243" spans="1:16" x14ac:dyDescent="0.35">
      <c r="A243" s="7"/>
      <c r="C243" s="30" t="str">
        <f>IF(指数列表!B240="","",指数列表!B240)</f>
        <v/>
      </c>
      <c r="D243" s="35" t="str">
        <f>IF(C243="","",[1]!s_info_name(C243))</f>
        <v/>
      </c>
      <c r="E243" s="24" t="str">
        <f>IF(C243="","",[1]!s_dq_close(C243,$N$1))</f>
        <v/>
      </c>
      <c r="F243" s="28" t="str">
        <f>IF($C243=""," ",[1]!i_pq_pctchange($C243,F$6,$N$1))</f>
        <v xml:space="preserve"> </v>
      </c>
      <c r="G243" s="28" t="str">
        <f>IF($C243=""," ",[1]!i_pq_pctchange($C243,G$6,$N$1))</f>
        <v xml:space="preserve"> </v>
      </c>
      <c r="H243" s="28" t="str">
        <f>IF($C243=""," ",[1]!i_pq_pctchange($C243,H$6,$N$1))</f>
        <v xml:space="preserve"> </v>
      </c>
      <c r="I243" s="28" t="str">
        <f>IF($C243=""," ",[1]!i_pq_pctchange($C243,I$6,$N$1))</f>
        <v xml:space="preserve"> </v>
      </c>
      <c r="J243" s="28" t="str">
        <f>IF($C243=""," ",[1]!i_pq_pctchange($C243,J$6,$N$1))</f>
        <v xml:space="preserve"> </v>
      </c>
      <c r="K243" s="28" t="str">
        <f>IF($C243=""," ",[1]!i_pq_pctchange($C243,K$6,$N$1))</f>
        <v xml:space="preserve"> </v>
      </c>
      <c r="L243" s="28" t="str">
        <f>IF(C243=""," ",[1]!s_wq_pctchange($C243,$N$1))</f>
        <v xml:space="preserve"> </v>
      </c>
      <c r="M243" s="28" t="str">
        <f>IF(C243=""," ",[1]!s_mq_pctchange($C243,$N$1))</f>
        <v xml:space="preserve"> </v>
      </c>
      <c r="N243" s="28" t="str">
        <f>IF(C243=""," ",[1]!s_yq_pctchange($C243,$N$1))</f>
        <v xml:space="preserve"> </v>
      </c>
      <c r="O243" s="11"/>
      <c r="P243" s="7"/>
    </row>
    <row r="244" spans="1:16" x14ac:dyDescent="0.35">
      <c r="A244" s="7"/>
      <c r="C244" s="31" t="str">
        <f>IF(指数列表!B241="","",指数列表!B241)</f>
        <v/>
      </c>
      <c r="D244" s="36" t="str">
        <f>IF(C244="","",[1]!s_info_name(C244))</f>
        <v/>
      </c>
      <c r="E244" s="25" t="str">
        <f>IF(C244="","",[1]!s_dq_close(C244,$N$1))</f>
        <v/>
      </c>
      <c r="F244" s="28" t="str">
        <f>IF($C244=""," ",[1]!i_pq_pctchange($C244,F$6,$N$1))</f>
        <v xml:space="preserve"> </v>
      </c>
      <c r="G244" s="28" t="str">
        <f>IF($C244=""," ",[1]!i_pq_pctchange($C244,G$6,$N$1))</f>
        <v xml:space="preserve"> </v>
      </c>
      <c r="H244" s="28" t="str">
        <f>IF($C244=""," ",[1]!i_pq_pctchange($C244,H$6,$N$1))</f>
        <v xml:space="preserve"> </v>
      </c>
      <c r="I244" s="28" t="str">
        <f>IF($C244=""," ",[1]!i_pq_pctchange($C244,I$6,$N$1))</f>
        <v xml:space="preserve"> </v>
      </c>
      <c r="J244" s="28" t="str">
        <f>IF($C244=""," ",[1]!i_pq_pctchange($C244,J$6,$N$1))</f>
        <v xml:space="preserve"> </v>
      </c>
      <c r="K244" s="28" t="str">
        <f>IF($C244=""," ",[1]!i_pq_pctchange($C244,K$6,$N$1))</f>
        <v xml:space="preserve"> </v>
      </c>
      <c r="L244" s="28" t="str">
        <f>IF(C244=""," ",[1]!s_wq_pctchange($C244,$N$1))</f>
        <v xml:space="preserve"> </v>
      </c>
      <c r="M244" s="28" t="str">
        <f>IF(C244=""," ",[1]!s_mq_pctchange($C244,$N$1))</f>
        <v xml:space="preserve"> </v>
      </c>
      <c r="N244" s="28" t="str">
        <f>IF(C244=""," ",[1]!s_yq_pctchange($C244,$N$1))</f>
        <v xml:space="preserve"> </v>
      </c>
      <c r="O244" s="11"/>
      <c r="P244" s="7"/>
    </row>
    <row r="245" spans="1:16" x14ac:dyDescent="0.35">
      <c r="A245" s="7"/>
      <c r="C245" s="30" t="str">
        <f>IF(指数列表!B242="","",指数列表!B242)</f>
        <v/>
      </c>
      <c r="D245" s="35" t="str">
        <f>IF(C245="","",[1]!s_info_name(C245))</f>
        <v/>
      </c>
      <c r="E245" s="24" t="str">
        <f>IF(C245="","",[1]!s_dq_close(C245,$N$1))</f>
        <v/>
      </c>
      <c r="F245" s="28" t="str">
        <f>IF($C245=""," ",[1]!i_pq_pctchange($C245,F$6,$N$1))</f>
        <v xml:space="preserve"> </v>
      </c>
      <c r="G245" s="28" t="str">
        <f>IF($C245=""," ",[1]!i_pq_pctchange($C245,G$6,$N$1))</f>
        <v xml:space="preserve"> </v>
      </c>
      <c r="H245" s="28" t="str">
        <f>IF($C245=""," ",[1]!i_pq_pctchange($C245,H$6,$N$1))</f>
        <v xml:space="preserve"> </v>
      </c>
      <c r="I245" s="28" t="str">
        <f>IF($C245=""," ",[1]!i_pq_pctchange($C245,I$6,$N$1))</f>
        <v xml:space="preserve"> </v>
      </c>
      <c r="J245" s="28" t="str">
        <f>IF($C245=""," ",[1]!i_pq_pctchange($C245,J$6,$N$1))</f>
        <v xml:space="preserve"> </v>
      </c>
      <c r="K245" s="28" t="str">
        <f>IF($C245=""," ",[1]!i_pq_pctchange($C245,K$6,$N$1))</f>
        <v xml:space="preserve"> </v>
      </c>
      <c r="L245" s="28" t="str">
        <f>IF(C245=""," ",[1]!s_wq_pctchange($C245,$N$1))</f>
        <v xml:space="preserve"> </v>
      </c>
      <c r="M245" s="28" t="str">
        <f>IF(C245=""," ",[1]!s_mq_pctchange($C245,$N$1))</f>
        <v xml:space="preserve"> </v>
      </c>
      <c r="N245" s="28" t="str">
        <f>IF(C245=""," ",[1]!s_yq_pctchange($C245,$N$1))</f>
        <v xml:space="preserve"> </v>
      </c>
      <c r="O245" s="11"/>
      <c r="P245" s="7"/>
    </row>
    <row r="246" spans="1:16" x14ac:dyDescent="0.35">
      <c r="A246" s="7"/>
      <c r="C246" s="31" t="str">
        <f>IF(指数列表!B243="","",指数列表!B243)</f>
        <v/>
      </c>
      <c r="D246" s="36" t="str">
        <f>IF(C246="","",[1]!s_info_name(C246))</f>
        <v/>
      </c>
      <c r="E246" s="25" t="str">
        <f>IF(C246="","",[1]!s_dq_close(C246,$N$1))</f>
        <v/>
      </c>
      <c r="F246" s="28" t="str">
        <f>IF($C246=""," ",[1]!i_pq_pctchange($C246,F$6,$N$1))</f>
        <v xml:space="preserve"> </v>
      </c>
      <c r="G246" s="28" t="str">
        <f>IF($C246=""," ",[1]!i_pq_pctchange($C246,G$6,$N$1))</f>
        <v xml:space="preserve"> </v>
      </c>
      <c r="H246" s="28" t="str">
        <f>IF($C246=""," ",[1]!i_pq_pctchange($C246,H$6,$N$1))</f>
        <v xml:space="preserve"> </v>
      </c>
      <c r="I246" s="28" t="str">
        <f>IF($C246=""," ",[1]!i_pq_pctchange($C246,I$6,$N$1))</f>
        <v xml:space="preserve"> </v>
      </c>
      <c r="J246" s="28" t="str">
        <f>IF($C246=""," ",[1]!i_pq_pctchange($C246,J$6,$N$1))</f>
        <v xml:space="preserve"> </v>
      </c>
      <c r="K246" s="28" t="str">
        <f>IF($C246=""," ",[1]!i_pq_pctchange($C246,K$6,$N$1))</f>
        <v xml:space="preserve"> </v>
      </c>
      <c r="L246" s="28" t="str">
        <f>IF(C246=""," ",[1]!s_wq_pctchange($C246,$N$1))</f>
        <v xml:space="preserve"> </v>
      </c>
      <c r="M246" s="28" t="str">
        <f>IF(C246=""," ",[1]!s_mq_pctchange($C246,$N$1))</f>
        <v xml:space="preserve"> </v>
      </c>
      <c r="N246" s="28" t="str">
        <f>IF(C246=""," ",[1]!s_yq_pctchange($C246,$N$1))</f>
        <v xml:space="preserve"> </v>
      </c>
      <c r="O246" s="11"/>
      <c r="P246" s="7"/>
    </row>
    <row r="247" spans="1:16" x14ac:dyDescent="0.35">
      <c r="A247" s="7"/>
      <c r="C247" s="30" t="str">
        <f>IF(指数列表!B244="","",指数列表!B244)</f>
        <v/>
      </c>
      <c r="D247" s="35" t="str">
        <f>IF(C247="","",[1]!s_info_name(C247))</f>
        <v/>
      </c>
      <c r="E247" s="24" t="str">
        <f>IF(C247="","",[1]!s_dq_close(C247,$N$1))</f>
        <v/>
      </c>
      <c r="F247" s="28" t="str">
        <f>IF($C247=""," ",[1]!i_pq_pctchange($C247,F$6,$N$1))</f>
        <v xml:space="preserve"> </v>
      </c>
      <c r="G247" s="28" t="str">
        <f>IF($C247=""," ",[1]!i_pq_pctchange($C247,G$6,$N$1))</f>
        <v xml:space="preserve"> </v>
      </c>
      <c r="H247" s="28" t="str">
        <f>IF($C247=""," ",[1]!i_pq_pctchange($C247,H$6,$N$1))</f>
        <v xml:space="preserve"> </v>
      </c>
      <c r="I247" s="28" t="str">
        <f>IF($C247=""," ",[1]!i_pq_pctchange($C247,I$6,$N$1))</f>
        <v xml:space="preserve"> </v>
      </c>
      <c r="J247" s="28" t="str">
        <f>IF($C247=""," ",[1]!i_pq_pctchange($C247,J$6,$N$1))</f>
        <v xml:space="preserve"> </v>
      </c>
      <c r="K247" s="28" t="str">
        <f>IF($C247=""," ",[1]!i_pq_pctchange($C247,K$6,$N$1))</f>
        <v xml:space="preserve"> </v>
      </c>
      <c r="L247" s="28" t="str">
        <f>IF(C247=""," ",[1]!s_wq_pctchange($C247,$N$1))</f>
        <v xml:space="preserve"> </v>
      </c>
      <c r="M247" s="28" t="str">
        <f>IF(C247=""," ",[1]!s_mq_pctchange($C247,$N$1))</f>
        <v xml:space="preserve"> </v>
      </c>
      <c r="N247" s="28" t="str">
        <f>IF(C247=""," ",[1]!s_yq_pctchange($C247,$N$1))</f>
        <v xml:space="preserve"> </v>
      </c>
      <c r="O247" s="11"/>
      <c r="P247" s="7"/>
    </row>
    <row r="248" spans="1:16" x14ac:dyDescent="0.35">
      <c r="A248" s="7"/>
      <c r="C248" s="31" t="str">
        <f>IF(指数列表!B245="","",指数列表!B245)</f>
        <v/>
      </c>
      <c r="D248" s="36" t="str">
        <f>IF(C248="","",[1]!s_info_name(C248))</f>
        <v/>
      </c>
      <c r="E248" s="25" t="str">
        <f>IF(C248="","",[1]!s_dq_close(C248,$N$1))</f>
        <v/>
      </c>
      <c r="F248" s="28" t="str">
        <f>IF($C248=""," ",[1]!i_pq_pctchange($C248,F$6,$N$1))</f>
        <v xml:space="preserve"> </v>
      </c>
      <c r="G248" s="28" t="str">
        <f>IF($C248=""," ",[1]!i_pq_pctchange($C248,G$6,$N$1))</f>
        <v xml:space="preserve"> </v>
      </c>
      <c r="H248" s="28" t="str">
        <f>IF($C248=""," ",[1]!i_pq_pctchange($C248,H$6,$N$1))</f>
        <v xml:space="preserve"> </v>
      </c>
      <c r="I248" s="28" t="str">
        <f>IF($C248=""," ",[1]!i_pq_pctchange($C248,I$6,$N$1))</f>
        <v xml:space="preserve"> </v>
      </c>
      <c r="J248" s="28" t="str">
        <f>IF($C248=""," ",[1]!i_pq_pctchange($C248,J$6,$N$1))</f>
        <v xml:space="preserve"> </v>
      </c>
      <c r="K248" s="28" t="str">
        <f>IF($C248=""," ",[1]!i_pq_pctchange($C248,K$6,$N$1))</f>
        <v xml:space="preserve"> </v>
      </c>
      <c r="L248" s="28" t="str">
        <f>IF(C248=""," ",[1]!s_wq_pctchange($C248,$N$1))</f>
        <v xml:space="preserve"> </v>
      </c>
      <c r="M248" s="28" t="str">
        <f>IF(C248=""," ",[1]!s_mq_pctchange($C248,$N$1))</f>
        <v xml:space="preserve"> </v>
      </c>
      <c r="N248" s="28" t="str">
        <f>IF(C248=""," ",[1]!s_yq_pctchange($C248,$N$1))</f>
        <v xml:space="preserve"> </v>
      </c>
      <c r="O248" s="11"/>
      <c r="P248" s="7"/>
    </row>
    <row r="249" spans="1:16" x14ac:dyDescent="0.35">
      <c r="A249" s="7"/>
      <c r="C249" s="30" t="str">
        <f>IF(指数列表!B246="","",指数列表!B246)</f>
        <v/>
      </c>
      <c r="D249" s="35" t="str">
        <f>IF(C249="","",[1]!s_info_name(C249))</f>
        <v/>
      </c>
      <c r="E249" s="24" t="str">
        <f>IF(C249="","",[1]!s_dq_close(C249,$N$1))</f>
        <v/>
      </c>
      <c r="F249" s="28" t="str">
        <f>IF($C249=""," ",[1]!i_pq_pctchange($C249,F$6,$N$1))</f>
        <v xml:space="preserve"> </v>
      </c>
      <c r="G249" s="28" t="str">
        <f>IF($C249=""," ",[1]!i_pq_pctchange($C249,G$6,$N$1))</f>
        <v xml:space="preserve"> </v>
      </c>
      <c r="H249" s="28" t="str">
        <f>IF($C249=""," ",[1]!i_pq_pctchange($C249,H$6,$N$1))</f>
        <v xml:space="preserve"> </v>
      </c>
      <c r="I249" s="28" t="str">
        <f>IF($C249=""," ",[1]!i_pq_pctchange($C249,I$6,$N$1))</f>
        <v xml:space="preserve"> </v>
      </c>
      <c r="J249" s="28" t="str">
        <f>IF($C249=""," ",[1]!i_pq_pctchange($C249,J$6,$N$1))</f>
        <v xml:space="preserve"> </v>
      </c>
      <c r="K249" s="28" t="str">
        <f>IF($C249=""," ",[1]!i_pq_pctchange($C249,K$6,$N$1))</f>
        <v xml:space="preserve"> </v>
      </c>
      <c r="L249" s="28" t="str">
        <f>IF(C249=""," ",[1]!s_wq_pctchange($C249,$N$1))</f>
        <v xml:space="preserve"> </v>
      </c>
      <c r="M249" s="28" t="str">
        <f>IF(C249=""," ",[1]!s_mq_pctchange($C249,$N$1))</f>
        <v xml:space="preserve"> </v>
      </c>
      <c r="N249" s="28" t="str">
        <f>IF(C249=""," ",[1]!s_yq_pctchange($C249,$N$1))</f>
        <v xml:space="preserve"> </v>
      </c>
      <c r="O249" s="11"/>
      <c r="P249" s="7"/>
    </row>
    <row r="250" spans="1:16" x14ac:dyDescent="0.35">
      <c r="A250" s="7"/>
      <c r="C250" s="31" t="str">
        <f>IF(指数列表!B247="","",指数列表!B247)</f>
        <v/>
      </c>
      <c r="D250" s="36" t="str">
        <f>IF(C250="","",[1]!s_info_name(C250))</f>
        <v/>
      </c>
      <c r="E250" s="25" t="str">
        <f>IF(C250="","",[1]!s_dq_close(C250,$N$1))</f>
        <v/>
      </c>
      <c r="F250" s="28" t="str">
        <f>IF($C250=""," ",[1]!i_pq_pctchange($C250,F$6,$N$1))</f>
        <v xml:space="preserve"> </v>
      </c>
      <c r="G250" s="28" t="str">
        <f>IF($C250=""," ",[1]!i_pq_pctchange($C250,G$6,$N$1))</f>
        <v xml:space="preserve"> </v>
      </c>
      <c r="H250" s="28" t="str">
        <f>IF($C250=""," ",[1]!i_pq_pctchange($C250,H$6,$N$1))</f>
        <v xml:space="preserve"> </v>
      </c>
      <c r="I250" s="28" t="str">
        <f>IF($C250=""," ",[1]!i_pq_pctchange($C250,I$6,$N$1))</f>
        <v xml:space="preserve"> </v>
      </c>
      <c r="J250" s="28" t="str">
        <f>IF($C250=""," ",[1]!i_pq_pctchange($C250,J$6,$N$1))</f>
        <v xml:space="preserve"> </v>
      </c>
      <c r="K250" s="28" t="str">
        <f>IF($C250=""," ",[1]!i_pq_pctchange($C250,K$6,$N$1))</f>
        <v xml:space="preserve"> </v>
      </c>
      <c r="L250" s="28" t="str">
        <f>IF(C250=""," ",[1]!s_wq_pctchange($C250,$N$1))</f>
        <v xml:space="preserve"> </v>
      </c>
      <c r="M250" s="28" t="str">
        <f>IF(C250=""," ",[1]!s_mq_pctchange($C250,$N$1))</f>
        <v xml:space="preserve"> </v>
      </c>
      <c r="N250" s="28" t="str">
        <f>IF(C250=""," ",[1]!s_yq_pctchange($C250,$N$1))</f>
        <v xml:space="preserve"> </v>
      </c>
      <c r="O250" s="11"/>
      <c r="P250" s="7"/>
    </row>
    <row r="251" spans="1:16" x14ac:dyDescent="0.35">
      <c r="A251" s="7"/>
      <c r="C251" s="30" t="str">
        <f>IF(指数列表!B248="","",指数列表!B248)</f>
        <v/>
      </c>
      <c r="D251" s="35" t="str">
        <f>IF(C251="","",[1]!s_info_name(C251))</f>
        <v/>
      </c>
      <c r="E251" s="24" t="str">
        <f>IF(C251="","",[1]!s_dq_close(C251,$N$1))</f>
        <v/>
      </c>
      <c r="F251" s="28" t="str">
        <f>IF($C251=""," ",[1]!i_pq_pctchange($C251,F$6,$N$1))</f>
        <v xml:space="preserve"> </v>
      </c>
      <c r="G251" s="28" t="str">
        <f>IF($C251=""," ",[1]!i_pq_pctchange($C251,G$6,$N$1))</f>
        <v xml:space="preserve"> </v>
      </c>
      <c r="H251" s="28" t="str">
        <f>IF($C251=""," ",[1]!i_pq_pctchange($C251,H$6,$N$1))</f>
        <v xml:space="preserve"> </v>
      </c>
      <c r="I251" s="28" t="str">
        <f>IF($C251=""," ",[1]!i_pq_pctchange($C251,I$6,$N$1))</f>
        <v xml:space="preserve"> </v>
      </c>
      <c r="J251" s="28" t="str">
        <f>IF($C251=""," ",[1]!i_pq_pctchange($C251,J$6,$N$1))</f>
        <v xml:space="preserve"> </v>
      </c>
      <c r="K251" s="28" t="str">
        <f>IF($C251=""," ",[1]!i_pq_pctchange($C251,K$6,$N$1))</f>
        <v xml:space="preserve"> </v>
      </c>
      <c r="L251" s="28" t="str">
        <f>IF(C251=""," ",[1]!s_wq_pctchange($C251,$N$1))</f>
        <v xml:space="preserve"> </v>
      </c>
      <c r="M251" s="28" t="str">
        <f>IF(C251=""," ",[1]!s_mq_pctchange($C251,$N$1))</f>
        <v xml:space="preserve"> </v>
      </c>
      <c r="N251" s="28" t="str">
        <f>IF(C251=""," ",[1]!s_yq_pctchange($C251,$N$1))</f>
        <v xml:space="preserve"> </v>
      </c>
      <c r="O251" s="11"/>
      <c r="P251" s="7"/>
    </row>
    <row r="252" spans="1:16" x14ac:dyDescent="0.35">
      <c r="A252" s="7"/>
      <c r="C252" s="31" t="str">
        <f>IF(指数列表!B249="","",指数列表!B249)</f>
        <v/>
      </c>
      <c r="D252" s="36" t="str">
        <f>IF(C252="","",[1]!s_info_name(C252))</f>
        <v/>
      </c>
      <c r="E252" s="25" t="str">
        <f>IF(C252="","",[1]!s_dq_close(C252,$N$1))</f>
        <v/>
      </c>
      <c r="F252" s="28" t="str">
        <f>IF($C252=""," ",[1]!i_pq_pctchange($C252,F$6,$N$1))</f>
        <v xml:space="preserve"> </v>
      </c>
      <c r="G252" s="28" t="str">
        <f>IF($C252=""," ",[1]!i_pq_pctchange($C252,G$6,$N$1))</f>
        <v xml:space="preserve"> </v>
      </c>
      <c r="H252" s="28" t="str">
        <f>IF($C252=""," ",[1]!i_pq_pctchange($C252,H$6,$N$1))</f>
        <v xml:space="preserve"> </v>
      </c>
      <c r="I252" s="28" t="str">
        <f>IF($C252=""," ",[1]!i_pq_pctchange($C252,I$6,$N$1))</f>
        <v xml:space="preserve"> </v>
      </c>
      <c r="J252" s="28" t="str">
        <f>IF($C252=""," ",[1]!i_pq_pctchange($C252,J$6,$N$1))</f>
        <v xml:space="preserve"> </v>
      </c>
      <c r="K252" s="28" t="str">
        <f>IF($C252=""," ",[1]!i_pq_pctchange($C252,K$6,$N$1))</f>
        <v xml:space="preserve"> </v>
      </c>
      <c r="L252" s="28" t="str">
        <f>IF(C252=""," ",[1]!s_wq_pctchange($C252,$N$1))</f>
        <v xml:space="preserve"> </v>
      </c>
      <c r="M252" s="28" t="str">
        <f>IF(C252=""," ",[1]!s_mq_pctchange($C252,$N$1))</f>
        <v xml:space="preserve"> </v>
      </c>
      <c r="N252" s="28" t="str">
        <f>IF(C252=""," ",[1]!s_yq_pctchange($C252,$N$1))</f>
        <v xml:space="preserve"> </v>
      </c>
      <c r="O252" s="11"/>
      <c r="P252" s="7"/>
    </row>
    <row r="253" spans="1:16" x14ac:dyDescent="0.35">
      <c r="A253" s="7"/>
      <c r="C253" s="30" t="str">
        <f>IF(指数列表!B250="","",指数列表!B250)</f>
        <v/>
      </c>
      <c r="D253" s="35" t="str">
        <f>IF(C253="","",[1]!s_info_name(C253))</f>
        <v/>
      </c>
      <c r="E253" s="24" t="str">
        <f>IF(C253="","",[1]!s_dq_close(C253,$N$1))</f>
        <v/>
      </c>
      <c r="F253" s="28" t="str">
        <f>IF($C253=""," ",[1]!i_pq_pctchange($C253,F$6,$N$1))</f>
        <v xml:space="preserve"> </v>
      </c>
      <c r="G253" s="28" t="str">
        <f>IF($C253=""," ",[1]!i_pq_pctchange($C253,G$6,$N$1))</f>
        <v xml:space="preserve"> </v>
      </c>
      <c r="H253" s="28" t="str">
        <f>IF($C253=""," ",[1]!i_pq_pctchange($C253,H$6,$N$1))</f>
        <v xml:space="preserve"> </v>
      </c>
      <c r="I253" s="28" t="str">
        <f>IF($C253=""," ",[1]!i_pq_pctchange($C253,I$6,$N$1))</f>
        <v xml:space="preserve"> </v>
      </c>
      <c r="J253" s="28" t="str">
        <f>IF($C253=""," ",[1]!i_pq_pctchange($C253,J$6,$N$1))</f>
        <v xml:space="preserve"> </v>
      </c>
      <c r="K253" s="28" t="str">
        <f>IF($C253=""," ",[1]!i_pq_pctchange($C253,K$6,$N$1))</f>
        <v xml:space="preserve"> </v>
      </c>
      <c r="L253" s="28" t="str">
        <f>IF(C253=""," ",[1]!s_wq_pctchange($C253,$N$1))</f>
        <v xml:space="preserve"> </v>
      </c>
      <c r="M253" s="28" t="str">
        <f>IF(C253=""," ",[1]!s_mq_pctchange($C253,$N$1))</f>
        <v xml:space="preserve"> </v>
      </c>
      <c r="N253" s="28" t="str">
        <f>IF(C253=""," ",[1]!s_yq_pctchange($C253,$N$1))</f>
        <v xml:space="preserve"> </v>
      </c>
      <c r="O253" s="11"/>
      <c r="P253" s="7"/>
    </row>
    <row r="254" spans="1:16" x14ac:dyDescent="0.35">
      <c r="A254" s="7"/>
      <c r="C254" s="31" t="str">
        <f>IF(指数列表!B251="","",指数列表!B251)</f>
        <v/>
      </c>
      <c r="D254" s="36" t="str">
        <f>IF(C254="","",[1]!s_info_name(C254))</f>
        <v/>
      </c>
      <c r="E254" s="25" t="str">
        <f>IF(C254="","",[1]!s_dq_close(C254,$N$1))</f>
        <v/>
      </c>
      <c r="F254" s="28" t="str">
        <f>IF($C254=""," ",[1]!i_pq_pctchange($C254,F$6,$N$1))</f>
        <v xml:space="preserve"> </v>
      </c>
      <c r="G254" s="28" t="str">
        <f>IF($C254=""," ",[1]!i_pq_pctchange($C254,G$6,$N$1))</f>
        <v xml:space="preserve"> </v>
      </c>
      <c r="H254" s="28" t="str">
        <f>IF($C254=""," ",[1]!i_pq_pctchange($C254,H$6,$N$1))</f>
        <v xml:space="preserve"> </v>
      </c>
      <c r="I254" s="28" t="str">
        <f>IF($C254=""," ",[1]!i_pq_pctchange($C254,I$6,$N$1))</f>
        <v xml:space="preserve"> </v>
      </c>
      <c r="J254" s="28" t="str">
        <f>IF($C254=""," ",[1]!i_pq_pctchange($C254,J$6,$N$1))</f>
        <v xml:space="preserve"> </v>
      </c>
      <c r="K254" s="28" t="str">
        <f>IF($C254=""," ",[1]!i_pq_pctchange($C254,K$6,$N$1))</f>
        <v xml:space="preserve"> </v>
      </c>
      <c r="L254" s="28" t="str">
        <f>IF(C254=""," ",[1]!s_wq_pctchange($C254,$N$1))</f>
        <v xml:space="preserve"> </v>
      </c>
      <c r="M254" s="28" t="str">
        <f>IF(C254=""," ",[1]!s_mq_pctchange($C254,$N$1))</f>
        <v xml:space="preserve"> </v>
      </c>
      <c r="N254" s="28" t="str">
        <f>IF(C254=""," ",[1]!s_yq_pctchange($C254,$N$1))</f>
        <v xml:space="preserve"> </v>
      </c>
      <c r="O254" s="11"/>
      <c r="P254" s="7"/>
    </row>
    <row r="255" spans="1:16" x14ac:dyDescent="0.35">
      <c r="A255" s="7"/>
      <c r="C255" s="30" t="str">
        <f>IF(指数列表!B252="","",指数列表!B252)</f>
        <v/>
      </c>
      <c r="D255" s="35" t="str">
        <f>IF(C255="","",[1]!s_info_name(C255))</f>
        <v/>
      </c>
      <c r="E255" s="24" t="str">
        <f>IF(C255="","",[1]!s_dq_close(C255,$N$1))</f>
        <v/>
      </c>
      <c r="F255" s="28" t="str">
        <f>IF($C255=""," ",[1]!i_pq_pctchange($C255,F$6,$N$1))</f>
        <v xml:space="preserve"> </v>
      </c>
      <c r="G255" s="28" t="str">
        <f>IF($C255=""," ",[1]!i_pq_pctchange($C255,G$6,$N$1))</f>
        <v xml:space="preserve"> </v>
      </c>
      <c r="H255" s="28" t="str">
        <f>IF($C255=""," ",[1]!i_pq_pctchange($C255,H$6,$N$1))</f>
        <v xml:space="preserve"> </v>
      </c>
      <c r="I255" s="28" t="str">
        <f>IF($C255=""," ",[1]!i_pq_pctchange($C255,I$6,$N$1))</f>
        <v xml:space="preserve"> </v>
      </c>
      <c r="J255" s="28" t="str">
        <f>IF($C255=""," ",[1]!i_pq_pctchange($C255,J$6,$N$1))</f>
        <v xml:space="preserve"> </v>
      </c>
      <c r="K255" s="28" t="str">
        <f>IF($C255=""," ",[1]!i_pq_pctchange($C255,K$6,$N$1))</f>
        <v xml:space="preserve"> </v>
      </c>
      <c r="L255" s="28" t="str">
        <f>IF(C255=""," ",[1]!s_wq_pctchange($C255,$N$1))</f>
        <v xml:space="preserve"> </v>
      </c>
      <c r="M255" s="28" t="str">
        <f>IF(C255=""," ",[1]!s_mq_pctchange($C255,$N$1))</f>
        <v xml:space="preserve"> </v>
      </c>
      <c r="N255" s="28" t="str">
        <f>IF(C255=""," ",[1]!s_yq_pctchange($C255,$N$1))</f>
        <v xml:space="preserve"> </v>
      </c>
      <c r="O255" s="11"/>
      <c r="P255" s="7"/>
    </row>
    <row r="256" spans="1:16" x14ac:dyDescent="0.35">
      <c r="A256" s="7"/>
      <c r="C256" s="31" t="str">
        <f>IF(指数列表!B253="","",指数列表!B253)</f>
        <v/>
      </c>
      <c r="D256" s="36" t="str">
        <f>IF(C256="","",[1]!s_info_name(C256))</f>
        <v/>
      </c>
      <c r="E256" s="25" t="str">
        <f>IF(C256="","",[1]!s_dq_close(C256,$N$1))</f>
        <v/>
      </c>
      <c r="F256" s="28" t="str">
        <f>IF($C256=""," ",[1]!i_pq_pctchange($C256,F$6,$N$1))</f>
        <v xml:space="preserve"> </v>
      </c>
      <c r="G256" s="28" t="str">
        <f>IF($C256=""," ",[1]!i_pq_pctchange($C256,G$6,$N$1))</f>
        <v xml:space="preserve"> </v>
      </c>
      <c r="H256" s="28" t="str">
        <f>IF($C256=""," ",[1]!i_pq_pctchange($C256,H$6,$N$1))</f>
        <v xml:space="preserve"> </v>
      </c>
      <c r="I256" s="28" t="str">
        <f>IF($C256=""," ",[1]!i_pq_pctchange($C256,I$6,$N$1))</f>
        <v xml:space="preserve"> </v>
      </c>
      <c r="J256" s="28" t="str">
        <f>IF($C256=""," ",[1]!i_pq_pctchange($C256,J$6,$N$1))</f>
        <v xml:space="preserve"> </v>
      </c>
      <c r="K256" s="28" t="str">
        <f>IF($C256=""," ",[1]!i_pq_pctchange($C256,K$6,$N$1))</f>
        <v xml:space="preserve"> </v>
      </c>
      <c r="L256" s="28" t="str">
        <f>IF(C256=""," ",[1]!s_wq_pctchange($C256,$N$1))</f>
        <v xml:space="preserve"> </v>
      </c>
      <c r="M256" s="28" t="str">
        <f>IF(C256=""," ",[1]!s_mq_pctchange($C256,$N$1))</f>
        <v xml:space="preserve"> </v>
      </c>
      <c r="N256" s="28" t="str">
        <f>IF(C256=""," ",[1]!s_yq_pctchange($C256,$N$1))</f>
        <v xml:space="preserve"> </v>
      </c>
      <c r="O256" s="11"/>
      <c r="P256" s="7"/>
    </row>
    <row r="257" spans="1:16" x14ac:dyDescent="0.35">
      <c r="A257" s="7"/>
      <c r="C257" s="30" t="str">
        <f>IF(指数列表!B254="","",指数列表!B254)</f>
        <v/>
      </c>
      <c r="D257" s="35" t="str">
        <f>IF(C257="","",[1]!s_info_name(C257))</f>
        <v/>
      </c>
      <c r="E257" s="24" t="str">
        <f>IF(C257="","",[1]!s_dq_close(C257,$N$1))</f>
        <v/>
      </c>
      <c r="F257" s="28" t="str">
        <f>IF($C257=""," ",[1]!i_pq_pctchange($C257,F$6,$N$1))</f>
        <v xml:space="preserve"> </v>
      </c>
      <c r="G257" s="28" t="str">
        <f>IF($C257=""," ",[1]!i_pq_pctchange($C257,G$6,$N$1))</f>
        <v xml:space="preserve"> </v>
      </c>
      <c r="H257" s="28" t="str">
        <f>IF($C257=""," ",[1]!i_pq_pctchange($C257,H$6,$N$1))</f>
        <v xml:space="preserve"> </v>
      </c>
      <c r="I257" s="28" t="str">
        <f>IF($C257=""," ",[1]!i_pq_pctchange($C257,I$6,$N$1))</f>
        <v xml:space="preserve"> </v>
      </c>
      <c r="J257" s="28" t="str">
        <f>IF($C257=""," ",[1]!i_pq_pctchange($C257,J$6,$N$1))</f>
        <v xml:space="preserve"> </v>
      </c>
      <c r="K257" s="28" t="str">
        <f>IF($C257=""," ",[1]!i_pq_pctchange($C257,K$6,$N$1))</f>
        <v xml:space="preserve"> </v>
      </c>
      <c r="L257" s="28" t="str">
        <f>IF(C257=""," ",[1]!s_wq_pctchange($C257,$N$1))</f>
        <v xml:space="preserve"> </v>
      </c>
      <c r="M257" s="28" t="str">
        <f>IF(C257=""," ",[1]!s_mq_pctchange($C257,$N$1))</f>
        <v xml:space="preserve"> </v>
      </c>
      <c r="N257" s="28" t="str">
        <f>IF(C257=""," ",[1]!s_yq_pctchange($C257,$N$1))</f>
        <v xml:space="preserve"> </v>
      </c>
      <c r="O257" s="11"/>
      <c r="P257" s="7"/>
    </row>
    <row r="258" spans="1:16" x14ac:dyDescent="0.35">
      <c r="A258" s="7"/>
      <c r="C258" s="31" t="str">
        <f>IF(指数列表!B255="","",指数列表!B255)</f>
        <v/>
      </c>
      <c r="D258" s="36" t="str">
        <f>IF(C258="","",[1]!s_info_name(C258))</f>
        <v/>
      </c>
      <c r="E258" s="25" t="str">
        <f>IF(C258="","",[1]!s_dq_close(C258,$N$1))</f>
        <v/>
      </c>
      <c r="F258" s="28" t="str">
        <f>IF($C258=""," ",[1]!i_pq_pctchange($C258,F$6,$N$1))</f>
        <v xml:space="preserve"> </v>
      </c>
      <c r="G258" s="28" t="str">
        <f>IF($C258=""," ",[1]!i_pq_pctchange($C258,G$6,$N$1))</f>
        <v xml:space="preserve"> </v>
      </c>
      <c r="H258" s="28" t="str">
        <f>IF($C258=""," ",[1]!i_pq_pctchange($C258,H$6,$N$1))</f>
        <v xml:space="preserve"> </v>
      </c>
      <c r="I258" s="28" t="str">
        <f>IF($C258=""," ",[1]!i_pq_pctchange($C258,I$6,$N$1))</f>
        <v xml:space="preserve"> </v>
      </c>
      <c r="J258" s="28" t="str">
        <f>IF($C258=""," ",[1]!i_pq_pctchange($C258,J$6,$N$1))</f>
        <v xml:space="preserve"> </v>
      </c>
      <c r="K258" s="28" t="str">
        <f>IF($C258=""," ",[1]!i_pq_pctchange($C258,K$6,$N$1))</f>
        <v xml:space="preserve"> </v>
      </c>
      <c r="L258" s="28" t="str">
        <f>IF(C258=""," ",[1]!s_wq_pctchange($C258,$N$1))</f>
        <v xml:space="preserve"> </v>
      </c>
      <c r="M258" s="28" t="str">
        <f>IF(C258=""," ",[1]!s_mq_pctchange($C258,$N$1))</f>
        <v xml:space="preserve"> </v>
      </c>
      <c r="N258" s="28" t="str">
        <f>IF(C258=""," ",[1]!s_yq_pctchange($C258,$N$1))</f>
        <v xml:space="preserve"> </v>
      </c>
      <c r="O258" s="11"/>
      <c r="P258" s="7"/>
    </row>
    <row r="259" spans="1:16" x14ac:dyDescent="0.35">
      <c r="A259" s="7"/>
      <c r="C259" s="30" t="str">
        <f>IF(指数列表!B256="","",指数列表!B256)</f>
        <v/>
      </c>
      <c r="D259" s="35" t="str">
        <f>IF(C259="","",[1]!s_info_name(C259))</f>
        <v/>
      </c>
      <c r="E259" s="24" t="str">
        <f>IF(C259="","",[1]!s_dq_close(C259,$N$1))</f>
        <v/>
      </c>
      <c r="F259" s="28" t="str">
        <f>IF($C259=""," ",[1]!i_pq_pctchange($C259,F$6,$N$1))</f>
        <v xml:space="preserve"> </v>
      </c>
      <c r="G259" s="28" t="str">
        <f>IF($C259=""," ",[1]!i_pq_pctchange($C259,G$6,$N$1))</f>
        <v xml:space="preserve"> </v>
      </c>
      <c r="H259" s="28" t="str">
        <f>IF($C259=""," ",[1]!i_pq_pctchange($C259,H$6,$N$1))</f>
        <v xml:space="preserve"> </v>
      </c>
      <c r="I259" s="28" t="str">
        <f>IF($C259=""," ",[1]!i_pq_pctchange($C259,I$6,$N$1))</f>
        <v xml:space="preserve"> </v>
      </c>
      <c r="J259" s="28" t="str">
        <f>IF($C259=""," ",[1]!i_pq_pctchange($C259,J$6,$N$1))</f>
        <v xml:space="preserve"> </v>
      </c>
      <c r="K259" s="28" t="str">
        <f>IF($C259=""," ",[1]!i_pq_pctchange($C259,K$6,$N$1))</f>
        <v xml:space="preserve"> </v>
      </c>
      <c r="L259" s="28" t="str">
        <f>IF(C259=""," ",[1]!s_wq_pctchange($C259,$N$1))</f>
        <v xml:space="preserve"> </v>
      </c>
      <c r="M259" s="28" t="str">
        <f>IF(C259=""," ",[1]!s_mq_pctchange($C259,$N$1))</f>
        <v xml:space="preserve"> </v>
      </c>
      <c r="N259" s="28" t="str">
        <f>IF(C259=""," ",[1]!s_yq_pctchange($C259,$N$1))</f>
        <v xml:space="preserve"> </v>
      </c>
      <c r="O259" s="11"/>
      <c r="P259" s="7"/>
    </row>
    <row r="260" spans="1:16" x14ac:dyDescent="0.35">
      <c r="A260" s="7"/>
      <c r="C260" s="31" t="str">
        <f>IF(指数列表!B257="","",指数列表!B257)</f>
        <v/>
      </c>
      <c r="D260" s="36" t="str">
        <f>IF(C260="","",[1]!s_info_name(C260))</f>
        <v/>
      </c>
      <c r="E260" s="25" t="str">
        <f>IF(C260="","",[1]!s_dq_close(C260,$N$1))</f>
        <v/>
      </c>
      <c r="F260" s="28" t="str">
        <f>IF($C260=""," ",[1]!i_pq_pctchange($C260,F$6,$N$1))</f>
        <v xml:space="preserve"> </v>
      </c>
      <c r="G260" s="28" t="str">
        <f>IF($C260=""," ",[1]!i_pq_pctchange($C260,G$6,$N$1))</f>
        <v xml:space="preserve"> </v>
      </c>
      <c r="H260" s="28" t="str">
        <f>IF($C260=""," ",[1]!i_pq_pctchange($C260,H$6,$N$1))</f>
        <v xml:space="preserve"> </v>
      </c>
      <c r="I260" s="28" t="str">
        <f>IF($C260=""," ",[1]!i_pq_pctchange($C260,I$6,$N$1))</f>
        <v xml:space="preserve"> </v>
      </c>
      <c r="J260" s="28" t="str">
        <f>IF($C260=""," ",[1]!i_pq_pctchange($C260,J$6,$N$1))</f>
        <v xml:space="preserve"> </v>
      </c>
      <c r="K260" s="28" t="str">
        <f>IF($C260=""," ",[1]!i_pq_pctchange($C260,K$6,$N$1))</f>
        <v xml:space="preserve"> </v>
      </c>
      <c r="L260" s="28" t="str">
        <f>IF(C260=""," ",[1]!s_wq_pctchange($C260,$N$1))</f>
        <v xml:space="preserve"> </v>
      </c>
      <c r="M260" s="28" t="str">
        <f>IF(C260=""," ",[1]!s_mq_pctchange($C260,$N$1))</f>
        <v xml:space="preserve"> </v>
      </c>
      <c r="N260" s="28" t="str">
        <f>IF(C260=""," ",[1]!s_yq_pctchange($C260,$N$1))</f>
        <v xml:space="preserve"> </v>
      </c>
      <c r="O260" s="11"/>
      <c r="P260" s="7"/>
    </row>
    <row r="261" spans="1:16" x14ac:dyDescent="0.35">
      <c r="A261" s="7"/>
      <c r="C261" s="30" t="str">
        <f>IF(指数列表!B258="","",指数列表!B258)</f>
        <v/>
      </c>
      <c r="D261" s="35" t="str">
        <f>IF(C261="","",[1]!s_info_name(C261))</f>
        <v/>
      </c>
      <c r="E261" s="24" t="str">
        <f>IF(C261="","",[1]!s_dq_close(C261,$N$1))</f>
        <v/>
      </c>
      <c r="F261" s="28" t="str">
        <f>IF($C261=""," ",[1]!i_pq_pctchange($C261,F$6,$N$1))</f>
        <v xml:space="preserve"> </v>
      </c>
      <c r="G261" s="28" t="str">
        <f>IF($C261=""," ",[1]!i_pq_pctchange($C261,G$6,$N$1))</f>
        <v xml:space="preserve"> </v>
      </c>
      <c r="H261" s="28" t="str">
        <f>IF($C261=""," ",[1]!i_pq_pctchange($C261,H$6,$N$1))</f>
        <v xml:space="preserve"> </v>
      </c>
      <c r="I261" s="28" t="str">
        <f>IF($C261=""," ",[1]!i_pq_pctchange($C261,I$6,$N$1))</f>
        <v xml:space="preserve"> </v>
      </c>
      <c r="J261" s="28" t="str">
        <f>IF($C261=""," ",[1]!i_pq_pctchange($C261,J$6,$N$1))</f>
        <v xml:space="preserve"> </v>
      </c>
      <c r="K261" s="28" t="str">
        <f>IF($C261=""," ",[1]!i_pq_pctchange($C261,K$6,$N$1))</f>
        <v xml:space="preserve"> </v>
      </c>
      <c r="L261" s="28" t="str">
        <f>IF(C261=""," ",[1]!s_wq_pctchange($C261,$N$1))</f>
        <v xml:space="preserve"> </v>
      </c>
      <c r="M261" s="28" t="str">
        <f>IF(C261=""," ",[1]!s_mq_pctchange($C261,$N$1))</f>
        <v xml:space="preserve"> </v>
      </c>
      <c r="N261" s="28" t="str">
        <f>IF(C261=""," ",[1]!s_yq_pctchange($C261,$N$1))</f>
        <v xml:space="preserve"> </v>
      </c>
      <c r="O261" s="11"/>
      <c r="P261" s="7"/>
    </row>
    <row r="262" spans="1:16" x14ac:dyDescent="0.35">
      <c r="A262" s="7"/>
      <c r="C262" s="31" t="str">
        <f>IF(指数列表!B259="","",指数列表!B259)</f>
        <v/>
      </c>
      <c r="D262" s="36" t="str">
        <f>IF(C262="","",[1]!s_info_name(C262))</f>
        <v/>
      </c>
      <c r="E262" s="25" t="str">
        <f>IF(C262="","",[1]!s_dq_close(C262,$N$1))</f>
        <v/>
      </c>
      <c r="F262" s="28" t="str">
        <f>IF($C262=""," ",[1]!i_pq_pctchange($C262,F$6,$N$1))</f>
        <v xml:space="preserve"> </v>
      </c>
      <c r="G262" s="28" t="str">
        <f>IF($C262=""," ",[1]!i_pq_pctchange($C262,G$6,$N$1))</f>
        <v xml:space="preserve"> </v>
      </c>
      <c r="H262" s="28" t="str">
        <f>IF($C262=""," ",[1]!i_pq_pctchange($C262,H$6,$N$1))</f>
        <v xml:space="preserve"> </v>
      </c>
      <c r="I262" s="28" t="str">
        <f>IF($C262=""," ",[1]!i_pq_pctchange($C262,I$6,$N$1))</f>
        <v xml:space="preserve"> </v>
      </c>
      <c r="J262" s="28" t="str">
        <f>IF($C262=""," ",[1]!i_pq_pctchange($C262,J$6,$N$1))</f>
        <v xml:space="preserve"> </v>
      </c>
      <c r="K262" s="28" t="str">
        <f>IF($C262=""," ",[1]!i_pq_pctchange($C262,K$6,$N$1))</f>
        <v xml:space="preserve"> </v>
      </c>
      <c r="L262" s="28" t="str">
        <f>IF(C262=""," ",[1]!s_wq_pctchange($C262,$N$1))</f>
        <v xml:space="preserve"> </v>
      </c>
      <c r="M262" s="28" t="str">
        <f>IF(C262=""," ",[1]!s_mq_pctchange($C262,$N$1))</f>
        <v xml:space="preserve"> </v>
      </c>
      <c r="N262" s="28" t="str">
        <f>IF(C262=""," ",[1]!s_yq_pctchange($C262,$N$1))</f>
        <v xml:space="preserve"> </v>
      </c>
      <c r="O262" s="11"/>
      <c r="P262" s="7"/>
    </row>
    <row r="263" spans="1:16" x14ac:dyDescent="0.35">
      <c r="A263" s="7"/>
      <c r="C263" s="30" t="str">
        <f>IF(指数列表!B260="","",指数列表!B260)</f>
        <v/>
      </c>
      <c r="D263" s="35" t="str">
        <f>IF(C263="","",[1]!s_info_name(C263))</f>
        <v/>
      </c>
      <c r="E263" s="24" t="str">
        <f>IF(C263="","",[1]!s_dq_close(C263,$N$1))</f>
        <v/>
      </c>
      <c r="F263" s="28" t="str">
        <f>IF($C263=""," ",[1]!i_pq_pctchange($C263,F$6,$N$1))</f>
        <v xml:space="preserve"> </v>
      </c>
      <c r="G263" s="28" t="str">
        <f>IF($C263=""," ",[1]!i_pq_pctchange($C263,G$6,$N$1))</f>
        <v xml:space="preserve"> </v>
      </c>
      <c r="H263" s="28" t="str">
        <f>IF($C263=""," ",[1]!i_pq_pctchange($C263,H$6,$N$1))</f>
        <v xml:space="preserve"> </v>
      </c>
      <c r="I263" s="28" t="str">
        <f>IF($C263=""," ",[1]!i_pq_pctchange($C263,I$6,$N$1))</f>
        <v xml:space="preserve"> </v>
      </c>
      <c r="J263" s="28" t="str">
        <f>IF($C263=""," ",[1]!i_pq_pctchange($C263,J$6,$N$1))</f>
        <v xml:space="preserve"> </v>
      </c>
      <c r="K263" s="28" t="str">
        <f>IF($C263=""," ",[1]!i_pq_pctchange($C263,K$6,$N$1))</f>
        <v xml:space="preserve"> </v>
      </c>
      <c r="L263" s="28" t="str">
        <f>IF(C263=""," ",[1]!s_wq_pctchange($C263,$N$1))</f>
        <v xml:space="preserve"> </v>
      </c>
      <c r="M263" s="28" t="str">
        <f>IF(C263=""," ",[1]!s_mq_pctchange($C263,$N$1))</f>
        <v xml:space="preserve"> </v>
      </c>
      <c r="N263" s="28" t="str">
        <f>IF(C263=""," ",[1]!s_yq_pctchange($C263,$N$1))</f>
        <v xml:space="preserve"> </v>
      </c>
      <c r="O263" s="11"/>
      <c r="P263" s="7"/>
    </row>
    <row r="264" spans="1:16" x14ac:dyDescent="0.35">
      <c r="A264" s="7"/>
      <c r="C264" s="31" t="str">
        <f>IF(指数列表!B261="","",指数列表!B261)</f>
        <v/>
      </c>
      <c r="D264" s="36" t="str">
        <f>IF(C264="","",[1]!s_info_name(C264))</f>
        <v/>
      </c>
      <c r="E264" s="25" t="str">
        <f>IF(C264="","",[1]!s_dq_close(C264,$N$1))</f>
        <v/>
      </c>
      <c r="F264" s="28" t="str">
        <f>IF($C264=""," ",[1]!i_pq_pctchange($C264,F$6,$N$1))</f>
        <v xml:space="preserve"> </v>
      </c>
      <c r="G264" s="28" t="str">
        <f>IF($C264=""," ",[1]!i_pq_pctchange($C264,G$6,$N$1))</f>
        <v xml:space="preserve"> </v>
      </c>
      <c r="H264" s="28" t="str">
        <f>IF($C264=""," ",[1]!i_pq_pctchange($C264,H$6,$N$1))</f>
        <v xml:space="preserve"> </v>
      </c>
      <c r="I264" s="28" t="str">
        <f>IF($C264=""," ",[1]!i_pq_pctchange($C264,I$6,$N$1))</f>
        <v xml:space="preserve"> </v>
      </c>
      <c r="J264" s="28" t="str">
        <f>IF($C264=""," ",[1]!i_pq_pctchange($C264,J$6,$N$1))</f>
        <v xml:space="preserve"> </v>
      </c>
      <c r="K264" s="28" t="str">
        <f>IF($C264=""," ",[1]!i_pq_pctchange($C264,K$6,$N$1))</f>
        <v xml:space="preserve"> </v>
      </c>
      <c r="L264" s="28" t="str">
        <f>IF(C264=""," ",[1]!s_wq_pctchange($C264,$N$1))</f>
        <v xml:space="preserve"> </v>
      </c>
      <c r="M264" s="28" t="str">
        <f>IF(C264=""," ",[1]!s_mq_pctchange($C264,$N$1))</f>
        <v xml:space="preserve"> </v>
      </c>
      <c r="N264" s="28" t="str">
        <f>IF(C264=""," ",[1]!s_yq_pctchange($C264,$N$1))</f>
        <v xml:space="preserve"> </v>
      </c>
      <c r="O264" s="11"/>
      <c r="P264" s="7"/>
    </row>
    <row r="265" spans="1:16" x14ac:dyDescent="0.35">
      <c r="A265" s="7"/>
      <c r="C265" s="30" t="str">
        <f>IF(指数列表!B262="","",指数列表!B262)</f>
        <v/>
      </c>
      <c r="D265" s="35" t="str">
        <f>IF(C265="","",[1]!s_info_name(C265))</f>
        <v/>
      </c>
      <c r="E265" s="24" t="str">
        <f>IF(C265="","",[1]!s_dq_close(C265,$N$1))</f>
        <v/>
      </c>
      <c r="F265" s="28" t="str">
        <f>IF($C265=""," ",[1]!i_pq_pctchange($C265,F$6,$N$1))</f>
        <v xml:space="preserve"> </v>
      </c>
      <c r="G265" s="28" t="str">
        <f>IF($C265=""," ",[1]!i_pq_pctchange($C265,G$6,$N$1))</f>
        <v xml:space="preserve"> </v>
      </c>
      <c r="H265" s="28" t="str">
        <f>IF($C265=""," ",[1]!i_pq_pctchange($C265,H$6,$N$1))</f>
        <v xml:space="preserve"> </v>
      </c>
      <c r="I265" s="28" t="str">
        <f>IF($C265=""," ",[1]!i_pq_pctchange($C265,I$6,$N$1))</f>
        <v xml:space="preserve"> </v>
      </c>
      <c r="J265" s="28" t="str">
        <f>IF($C265=""," ",[1]!i_pq_pctchange($C265,J$6,$N$1))</f>
        <v xml:space="preserve"> </v>
      </c>
      <c r="K265" s="28" t="str">
        <f>IF($C265=""," ",[1]!i_pq_pctchange($C265,K$6,$N$1))</f>
        <v xml:space="preserve"> </v>
      </c>
      <c r="L265" s="28" t="str">
        <f>IF(C265=""," ",[1]!s_wq_pctchange($C265,$N$1))</f>
        <v xml:space="preserve"> </v>
      </c>
      <c r="M265" s="28" t="str">
        <f>IF(C265=""," ",[1]!s_mq_pctchange($C265,$N$1))</f>
        <v xml:space="preserve"> </v>
      </c>
      <c r="N265" s="28" t="str">
        <f>IF(C265=""," ",[1]!s_yq_pctchange($C265,$N$1))</f>
        <v xml:space="preserve"> </v>
      </c>
      <c r="O265" s="11"/>
      <c r="P265" s="7"/>
    </row>
    <row r="266" spans="1:16" x14ac:dyDescent="0.35">
      <c r="A266" s="7"/>
      <c r="C266" s="31" t="str">
        <f>IF(指数列表!B263="","",指数列表!B263)</f>
        <v/>
      </c>
      <c r="D266" s="36" t="str">
        <f>IF(C266="","",[1]!s_info_name(C266))</f>
        <v/>
      </c>
      <c r="E266" s="25" t="str">
        <f>IF(C266="","",[1]!s_dq_close(C266,$N$1))</f>
        <v/>
      </c>
      <c r="F266" s="28" t="str">
        <f>IF($C266=""," ",[1]!i_pq_pctchange($C266,F$6,$N$1))</f>
        <v xml:space="preserve"> </v>
      </c>
      <c r="G266" s="28" t="str">
        <f>IF($C266=""," ",[1]!i_pq_pctchange($C266,G$6,$N$1))</f>
        <v xml:space="preserve"> </v>
      </c>
      <c r="H266" s="28" t="str">
        <f>IF($C266=""," ",[1]!i_pq_pctchange($C266,H$6,$N$1))</f>
        <v xml:space="preserve"> </v>
      </c>
      <c r="I266" s="28" t="str">
        <f>IF($C266=""," ",[1]!i_pq_pctchange($C266,I$6,$N$1))</f>
        <v xml:space="preserve"> </v>
      </c>
      <c r="J266" s="28" t="str">
        <f>IF($C266=""," ",[1]!i_pq_pctchange($C266,J$6,$N$1))</f>
        <v xml:space="preserve"> </v>
      </c>
      <c r="K266" s="28" t="str">
        <f>IF($C266=""," ",[1]!i_pq_pctchange($C266,K$6,$N$1))</f>
        <v xml:space="preserve"> </v>
      </c>
      <c r="L266" s="28" t="str">
        <f>IF(C266=""," ",[1]!s_wq_pctchange($C266,$N$1))</f>
        <v xml:space="preserve"> </v>
      </c>
      <c r="M266" s="28" t="str">
        <f>IF(C266=""," ",[1]!s_mq_pctchange($C266,$N$1))</f>
        <v xml:space="preserve"> </v>
      </c>
      <c r="N266" s="28" t="str">
        <f>IF(C266=""," ",[1]!s_yq_pctchange($C266,$N$1))</f>
        <v xml:space="preserve"> </v>
      </c>
      <c r="O266" s="11"/>
      <c r="P266" s="7"/>
    </row>
    <row r="267" spans="1:16" x14ac:dyDescent="0.35">
      <c r="A267" s="7"/>
      <c r="C267" s="30" t="str">
        <f>IF(指数列表!B264="","",指数列表!B264)</f>
        <v/>
      </c>
      <c r="D267" s="35" t="str">
        <f>IF(C267="","",[1]!s_info_name(C267))</f>
        <v/>
      </c>
      <c r="E267" s="24" t="str">
        <f>IF(C267="","",[1]!s_dq_close(C267,$N$1))</f>
        <v/>
      </c>
      <c r="F267" s="28" t="str">
        <f>IF($C267=""," ",[1]!i_pq_pctchange($C267,F$6,$N$1))</f>
        <v xml:space="preserve"> </v>
      </c>
      <c r="G267" s="28" t="str">
        <f>IF($C267=""," ",[1]!i_pq_pctchange($C267,G$6,$N$1))</f>
        <v xml:space="preserve"> </v>
      </c>
      <c r="H267" s="28" t="str">
        <f>IF($C267=""," ",[1]!i_pq_pctchange($C267,H$6,$N$1))</f>
        <v xml:space="preserve"> </v>
      </c>
      <c r="I267" s="28" t="str">
        <f>IF($C267=""," ",[1]!i_pq_pctchange($C267,I$6,$N$1))</f>
        <v xml:space="preserve"> </v>
      </c>
      <c r="J267" s="28" t="str">
        <f>IF($C267=""," ",[1]!i_pq_pctchange($C267,J$6,$N$1))</f>
        <v xml:space="preserve"> </v>
      </c>
      <c r="K267" s="28" t="str">
        <f>IF($C267=""," ",[1]!i_pq_pctchange($C267,K$6,$N$1))</f>
        <v xml:space="preserve"> </v>
      </c>
      <c r="L267" s="28" t="str">
        <f>IF(C267=""," ",[1]!s_wq_pctchange($C267,$N$1))</f>
        <v xml:space="preserve"> </v>
      </c>
      <c r="M267" s="28" t="str">
        <f>IF(C267=""," ",[1]!s_mq_pctchange($C267,$N$1))</f>
        <v xml:space="preserve"> </v>
      </c>
      <c r="N267" s="28" t="str">
        <f>IF(C267=""," ",[1]!s_yq_pctchange($C267,$N$1))</f>
        <v xml:space="preserve"> </v>
      </c>
      <c r="O267" s="11"/>
      <c r="P267" s="7"/>
    </row>
    <row r="268" spans="1:16" x14ac:dyDescent="0.35">
      <c r="A268" s="7"/>
      <c r="C268" s="31" t="str">
        <f>IF(指数列表!B265="","",指数列表!B265)</f>
        <v/>
      </c>
      <c r="D268" s="36" t="str">
        <f>IF(C268="","",[1]!s_info_name(C268))</f>
        <v/>
      </c>
      <c r="E268" s="25" t="str">
        <f>IF(C268="","",[1]!s_dq_close(C268,$N$1))</f>
        <v/>
      </c>
      <c r="F268" s="28" t="str">
        <f>IF($C268=""," ",[1]!i_pq_pctchange($C268,F$6,$N$1))</f>
        <v xml:space="preserve"> </v>
      </c>
      <c r="G268" s="28" t="str">
        <f>IF($C268=""," ",[1]!i_pq_pctchange($C268,G$6,$N$1))</f>
        <v xml:space="preserve"> </v>
      </c>
      <c r="H268" s="28" t="str">
        <f>IF($C268=""," ",[1]!i_pq_pctchange($C268,H$6,$N$1))</f>
        <v xml:space="preserve"> </v>
      </c>
      <c r="I268" s="28" t="str">
        <f>IF($C268=""," ",[1]!i_pq_pctchange($C268,I$6,$N$1))</f>
        <v xml:space="preserve"> </v>
      </c>
      <c r="J268" s="28" t="str">
        <f>IF($C268=""," ",[1]!i_pq_pctchange($C268,J$6,$N$1))</f>
        <v xml:space="preserve"> </v>
      </c>
      <c r="K268" s="28" t="str">
        <f>IF($C268=""," ",[1]!i_pq_pctchange($C268,K$6,$N$1))</f>
        <v xml:space="preserve"> </v>
      </c>
      <c r="L268" s="28" t="str">
        <f>IF(C268=""," ",[1]!s_wq_pctchange($C268,$N$1))</f>
        <v xml:space="preserve"> </v>
      </c>
      <c r="M268" s="28" t="str">
        <f>IF(C268=""," ",[1]!s_mq_pctchange($C268,$N$1))</f>
        <v xml:space="preserve"> </v>
      </c>
      <c r="N268" s="28" t="str">
        <f>IF(C268=""," ",[1]!s_yq_pctchange($C268,$N$1))</f>
        <v xml:space="preserve"> </v>
      </c>
      <c r="O268" s="11"/>
      <c r="P268" s="7"/>
    </row>
    <row r="269" spans="1:16" x14ac:dyDescent="0.35">
      <c r="A269" s="7"/>
      <c r="C269" s="30" t="str">
        <f>IF(指数列表!B266="","",指数列表!B266)</f>
        <v/>
      </c>
      <c r="D269" s="35" t="str">
        <f>IF(C269="","",[1]!s_info_name(C269))</f>
        <v/>
      </c>
      <c r="E269" s="24" t="str">
        <f>IF(C269="","",[1]!s_dq_close(C269,$N$1))</f>
        <v/>
      </c>
      <c r="F269" s="28" t="str">
        <f>IF($C269=""," ",[1]!i_pq_pctchange($C269,F$6,$N$1))</f>
        <v xml:space="preserve"> </v>
      </c>
      <c r="G269" s="28" t="str">
        <f>IF($C269=""," ",[1]!i_pq_pctchange($C269,G$6,$N$1))</f>
        <v xml:space="preserve"> </v>
      </c>
      <c r="H269" s="28" t="str">
        <f>IF($C269=""," ",[1]!i_pq_pctchange($C269,H$6,$N$1))</f>
        <v xml:space="preserve"> </v>
      </c>
      <c r="I269" s="28" t="str">
        <f>IF($C269=""," ",[1]!i_pq_pctchange($C269,I$6,$N$1))</f>
        <v xml:space="preserve"> </v>
      </c>
      <c r="J269" s="28" t="str">
        <f>IF($C269=""," ",[1]!i_pq_pctchange($C269,J$6,$N$1))</f>
        <v xml:space="preserve"> </v>
      </c>
      <c r="K269" s="28" t="str">
        <f>IF($C269=""," ",[1]!i_pq_pctchange($C269,K$6,$N$1))</f>
        <v xml:space="preserve"> </v>
      </c>
      <c r="L269" s="28" t="str">
        <f>IF(C269=""," ",[1]!s_wq_pctchange($C269,$N$1))</f>
        <v xml:space="preserve"> </v>
      </c>
      <c r="M269" s="28" t="str">
        <f>IF(C269=""," ",[1]!s_mq_pctchange($C269,$N$1))</f>
        <v xml:space="preserve"> </v>
      </c>
      <c r="N269" s="28" t="str">
        <f>IF(C269=""," ",[1]!s_yq_pctchange($C269,$N$1))</f>
        <v xml:space="preserve"> </v>
      </c>
      <c r="O269" s="11"/>
      <c r="P269" s="7"/>
    </row>
    <row r="270" spans="1:16" x14ac:dyDescent="0.35">
      <c r="A270" s="7"/>
      <c r="C270" s="31" t="str">
        <f>IF(指数列表!B267="","",指数列表!B267)</f>
        <v/>
      </c>
      <c r="D270" s="36" t="str">
        <f>IF(C270="","",[1]!s_info_name(C270))</f>
        <v/>
      </c>
      <c r="E270" s="25" t="str">
        <f>IF(C270="","",[1]!s_dq_close(C270,$N$1))</f>
        <v/>
      </c>
      <c r="F270" s="28" t="str">
        <f>IF($C270=""," ",[1]!i_pq_pctchange($C270,F$6,$N$1))</f>
        <v xml:space="preserve"> </v>
      </c>
      <c r="G270" s="28" t="str">
        <f>IF($C270=""," ",[1]!i_pq_pctchange($C270,G$6,$N$1))</f>
        <v xml:space="preserve"> </v>
      </c>
      <c r="H270" s="28" t="str">
        <f>IF($C270=""," ",[1]!i_pq_pctchange($C270,H$6,$N$1))</f>
        <v xml:space="preserve"> </v>
      </c>
      <c r="I270" s="28" t="str">
        <f>IF($C270=""," ",[1]!i_pq_pctchange($C270,I$6,$N$1))</f>
        <v xml:space="preserve"> </v>
      </c>
      <c r="J270" s="28" t="str">
        <f>IF($C270=""," ",[1]!i_pq_pctchange($C270,J$6,$N$1))</f>
        <v xml:space="preserve"> </v>
      </c>
      <c r="K270" s="28" t="str">
        <f>IF($C270=""," ",[1]!i_pq_pctchange($C270,K$6,$N$1))</f>
        <v xml:space="preserve"> </v>
      </c>
      <c r="L270" s="28" t="str">
        <f>IF(C270=""," ",[1]!s_wq_pctchange($C270,$N$1))</f>
        <v xml:space="preserve"> </v>
      </c>
      <c r="M270" s="28" t="str">
        <f>IF(C270=""," ",[1]!s_mq_pctchange($C270,$N$1))</f>
        <v xml:space="preserve"> </v>
      </c>
      <c r="N270" s="28" t="str">
        <f>IF(C270=""," ",[1]!s_yq_pctchange($C270,$N$1))</f>
        <v xml:space="preserve"> </v>
      </c>
      <c r="O270" s="11"/>
      <c r="P270" s="7"/>
    </row>
    <row r="271" spans="1:16" x14ac:dyDescent="0.35">
      <c r="A271" s="7"/>
      <c r="C271" s="30" t="str">
        <f>IF(指数列表!B268="","",指数列表!B268)</f>
        <v/>
      </c>
      <c r="D271" s="35" t="str">
        <f>IF(C271="","",[1]!s_info_name(C271))</f>
        <v/>
      </c>
      <c r="E271" s="24" t="str">
        <f>IF(C271="","",[1]!s_dq_close(C271,$N$1))</f>
        <v/>
      </c>
      <c r="F271" s="28" t="str">
        <f>IF($C271=""," ",[1]!i_pq_pctchange($C271,F$6,$N$1))</f>
        <v xml:space="preserve"> </v>
      </c>
      <c r="G271" s="28" t="str">
        <f>IF($C271=""," ",[1]!i_pq_pctchange($C271,G$6,$N$1))</f>
        <v xml:space="preserve"> </v>
      </c>
      <c r="H271" s="28" t="str">
        <f>IF($C271=""," ",[1]!i_pq_pctchange($C271,H$6,$N$1))</f>
        <v xml:space="preserve"> </v>
      </c>
      <c r="I271" s="28" t="str">
        <f>IF($C271=""," ",[1]!i_pq_pctchange($C271,I$6,$N$1))</f>
        <v xml:space="preserve"> </v>
      </c>
      <c r="J271" s="28" t="str">
        <f>IF($C271=""," ",[1]!i_pq_pctchange($C271,J$6,$N$1))</f>
        <v xml:space="preserve"> </v>
      </c>
      <c r="K271" s="28" t="str">
        <f>IF($C271=""," ",[1]!i_pq_pctchange($C271,K$6,$N$1))</f>
        <v xml:space="preserve"> </v>
      </c>
      <c r="L271" s="28" t="str">
        <f>IF(C271=""," ",[1]!s_wq_pctchange($C271,$N$1))</f>
        <v xml:space="preserve"> </v>
      </c>
      <c r="M271" s="28" t="str">
        <f>IF(C271=""," ",[1]!s_mq_pctchange($C271,$N$1))</f>
        <v xml:space="preserve"> </v>
      </c>
      <c r="N271" s="28" t="str">
        <f>IF(C271=""," ",[1]!s_yq_pctchange($C271,$N$1))</f>
        <v xml:space="preserve"> </v>
      </c>
      <c r="O271" s="11"/>
      <c r="P271" s="7"/>
    </row>
    <row r="272" spans="1:16" x14ac:dyDescent="0.35">
      <c r="A272" s="7"/>
      <c r="C272" s="31" t="str">
        <f>IF(指数列表!B269="","",指数列表!B269)</f>
        <v/>
      </c>
      <c r="D272" s="36" t="str">
        <f>IF(C272="","",[1]!s_info_name(C272))</f>
        <v/>
      </c>
      <c r="E272" s="25" t="str">
        <f>IF(C272="","",[1]!s_dq_close(C272,$N$1))</f>
        <v/>
      </c>
      <c r="F272" s="28" t="str">
        <f>IF($C272=""," ",[1]!i_pq_pctchange($C272,F$6,$N$1))</f>
        <v xml:space="preserve"> </v>
      </c>
      <c r="G272" s="28" t="str">
        <f>IF($C272=""," ",[1]!i_pq_pctchange($C272,G$6,$N$1))</f>
        <v xml:space="preserve"> </v>
      </c>
      <c r="H272" s="28" t="str">
        <f>IF($C272=""," ",[1]!i_pq_pctchange($C272,H$6,$N$1))</f>
        <v xml:space="preserve"> </v>
      </c>
      <c r="I272" s="28" t="str">
        <f>IF($C272=""," ",[1]!i_pq_pctchange($C272,I$6,$N$1))</f>
        <v xml:space="preserve"> </v>
      </c>
      <c r="J272" s="28" t="str">
        <f>IF($C272=""," ",[1]!i_pq_pctchange($C272,J$6,$N$1))</f>
        <v xml:space="preserve"> </v>
      </c>
      <c r="K272" s="28" t="str">
        <f>IF($C272=""," ",[1]!i_pq_pctchange($C272,K$6,$N$1))</f>
        <v xml:space="preserve"> </v>
      </c>
      <c r="L272" s="28" t="str">
        <f>IF(C272=""," ",[1]!s_wq_pctchange($C272,$N$1))</f>
        <v xml:space="preserve"> </v>
      </c>
      <c r="M272" s="28" t="str">
        <f>IF(C272=""," ",[1]!s_mq_pctchange($C272,$N$1))</f>
        <v xml:space="preserve"> </v>
      </c>
      <c r="N272" s="28" t="str">
        <f>IF(C272=""," ",[1]!s_yq_pctchange($C272,$N$1))</f>
        <v xml:space="preserve"> </v>
      </c>
      <c r="O272" s="11"/>
      <c r="P272" s="7"/>
    </row>
    <row r="273" spans="1:16" x14ac:dyDescent="0.35">
      <c r="A273" s="7"/>
      <c r="C273" s="30" t="str">
        <f>IF(指数列表!B270="","",指数列表!B270)</f>
        <v/>
      </c>
      <c r="D273" s="35" t="str">
        <f>IF(C273="","",[1]!s_info_name(C273))</f>
        <v/>
      </c>
      <c r="E273" s="24" t="str">
        <f>IF(C273="","",[1]!s_dq_close(C273,$N$1))</f>
        <v/>
      </c>
      <c r="F273" s="28" t="str">
        <f>IF($C273=""," ",[1]!i_pq_pctchange($C273,F$6,$N$1))</f>
        <v xml:space="preserve"> </v>
      </c>
      <c r="G273" s="28" t="str">
        <f>IF($C273=""," ",[1]!i_pq_pctchange($C273,G$6,$N$1))</f>
        <v xml:space="preserve"> </v>
      </c>
      <c r="H273" s="28" t="str">
        <f>IF($C273=""," ",[1]!i_pq_pctchange($C273,H$6,$N$1))</f>
        <v xml:space="preserve"> </v>
      </c>
      <c r="I273" s="28" t="str">
        <f>IF($C273=""," ",[1]!i_pq_pctchange($C273,I$6,$N$1))</f>
        <v xml:space="preserve"> </v>
      </c>
      <c r="J273" s="28" t="str">
        <f>IF($C273=""," ",[1]!i_pq_pctchange($C273,J$6,$N$1))</f>
        <v xml:space="preserve"> </v>
      </c>
      <c r="K273" s="28" t="str">
        <f>IF($C273=""," ",[1]!i_pq_pctchange($C273,K$6,$N$1))</f>
        <v xml:space="preserve"> </v>
      </c>
      <c r="L273" s="28" t="str">
        <f>IF(C273=""," ",[1]!s_wq_pctchange($C273,$N$1))</f>
        <v xml:space="preserve"> </v>
      </c>
      <c r="M273" s="28" t="str">
        <f>IF(C273=""," ",[1]!s_mq_pctchange($C273,$N$1))</f>
        <v xml:space="preserve"> </v>
      </c>
      <c r="N273" s="28" t="str">
        <f>IF(C273=""," ",[1]!s_yq_pctchange($C273,$N$1))</f>
        <v xml:space="preserve"> </v>
      </c>
      <c r="O273" s="11"/>
      <c r="P273" s="7"/>
    </row>
    <row r="274" spans="1:16" x14ac:dyDescent="0.35">
      <c r="A274" s="7"/>
      <c r="C274" s="31" t="str">
        <f>IF(指数列表!B271="","",指数列表!B271)</f>
        <v/>
      </c>
      <c r="D274" s="36" t="str">
        <f>IF(C274="","",[1]!s_info_name(C274))</f>
        <v/>
      </c>
      <c r="E274" s="25" t="str">
        <f>IF(C274="","",[1]!s_dq_close(C274,$N$1))</f>
        <v/>
      </c>
      <c r="F274" s="28" t="str">
        <f>IF($C274=""," ",[1]!i_pq_pctchange($C274,F$6,$N$1))</f>
        <v xml:space="preserve"> </v>
      </c>
      <c r="G274" s="28" t="str">
        <f>IF($C274=""," ",[1]!i_pq_pctchange($C274,G$6,$N$1))</f>
        <v xml:space="preserve"> </v>
      </c>
      <c r="H274" s="28" t="str">
        <f>IF($C274=""," ",[1]!i_pq_pctchange($C274,H$6,$N$1))</f>
        <v xml:space="preserve"> </v>
      </c>
      <c r="I274" s="28" t="str">
        <f>IF($C274=""," ",[1]!i_pq_pctchange($C274,I$6,$N$1))</f>
        <v xml:space="preserve"> </v>
      </c>
      <c r="J274" s="28" t="str">
        <f>IF($C274=""," ",[1]!i_pq_pctchange($C274,J$6,$N$1))</f>
        <v xml:space="preserve"> </v>
      </c>
      <c r="K274" s="28" t="str">
        <f>IF($C274=""," ",[1]!i_pq_pctchange($C274,K$6,$N$1))</f>
        <v xml:space="preserve"> </v>
      </c>
      <c r="L274" s="28" t="str">
        <f>IF(C274=""," ",[1]!s_wq_pctchange($C274,$N$1))</f>
        <v xml:space="preserve"> </v>
      </c>
      <c r="M274" s="28" t="str">
        <f>IF(C274=""," ",[1]!s_mq_pctchange($C274,$N$1))</f>
        <v xml:space="preserve"> </v>
      </c>
      <c r="N274" s="28" t="str">
        <f>IF(C274=""," ",[1]!s_yq_pctchange($C274,$N$1))</f>
        <v xml:space="preserve"> </v>
      </c>
      <c r="O274" s="11"/>
      <c r="P274" s="7"/>
    </row>
    <row r="275" spans="1:16" x14ac:dyDescent="0.35">
      <c r="A275" s="7"/>
      <c r="C275" s="30" t="str">
        <f>IF(指数列表!B272="","",指数列表!B272)</f>
        <v/>
      </c>
      <c r="D275" s="35" t="str">
        <f>IF(C275="","",[1]!s_info_name(C275))</f>
        <v/>
      </c>
      <c r="E275" s="24" t="str">
        <f>IF(C275="","",[1]!s_dq_close(C275,$N$1))</f>
        <v/>
      </c>
      <c r="F275" s="28" t="str">
        <f>IF($C275=""," ",[1]!i_pq_pctchange($C275,F$6,$N$1))</f>
        <v xml:space="preserve"> </v>
      </c>
      <c r="G275" s="28" t="str">
        <f>IF($C275=""," ",[1]!i_pq_pctchange($C275,G$6,$N$1))</f>
        <v xml:space="preserve"> </v>
      </c>
      <c r="H275" s="28" t="str">
        <f>IF($C275=""," ",[1]!i_pq_pctchange($C275,H$6,$N$1))</f>
        <v xml:space="preserve"> </v>
      </c>
      <c r="I275" s="28" t="str">
        <f>IF($C275=""," ",[1]!i_pq_pctchange($C275,I$6,$N$1))</f>
        <v xml:space="preserve"> </v>
      </c>
      <c r="J275" s="28" t="str">
        <f>IF($C275=""," ",[1]!i_pq_pctchange($C275,J$6,$N$1))</f>
        <v xml:space="preserve"> </v>
      </c>
      <c r="K275" s="28" t="str">
        <f>IF($C275=""," ",[1]!i_pq_pctchange($C275,K$6,$N$1))</f>
        <v xml:space="preserve"> </v>
      </c>
      <c r="L275" s="28" t="str">
        <f>IF(C275=""," ",[1]!s_wq_pctchange($C275,$N$1))</f>
        <v xml:space="preserve"> </v>
      </c>
      <c r="M275" s="28" t="str">
        <f>IF(C275=""," ",[1]!s_mq_pctchange($C275,$N$1))</f>
        <v xml:space="preserve"> </v>
      </c>
      <c r="N275" s="28" t="str">
        <f>IF(C275=""," ",[1]!s_yq_pctchange($C275,$N$1))</f>
        <v xml:space="preserve"> </v>
      </c>
      <c r="O275" s="11"/>
      <c r="P275" s="7"/>
    </row>
    <row r="276" spans="1:16" x14ac:dyDescent="0.35">
      <c r="A276" s="7"/>
      <c r="C276" s="31" t="str">
        <f>IF(指数列表!B273="","",指数列表!B273)</f>
        <v/>
      </c>
      <c r="D276" s="36" t="str">
        <f>IF(C276="","",[1]!s_info_name(C276))</f>
        <v/>
      </c>
      <c r="E276" s="25" t="str">
        <f>IF(C276="","",[1]!s_dq_close(C276,$N$1))</f>
        <v/>
      </c>
      <c r="F276" s="28" t="str">
        <f>IF($C276=""," ",[1]!i_pq_pctchange($C276,F$6,$N$1))</f>
        <v xml:space="preserve"> </v>
      </c>
      <c r="G276" s="28" t="str">
        <f>IF($C276=""," ",[1]!i_pq_pctchange($C276,G$6,$N$1))</f>
        <v xml:space="preserve"> </v>
      </c>
      <c r="H276" s="28" t="str">
        <f>IF($C276=""," ",[1]!i_pq_pctchange($C276,H$6,$N$1))</f>
        <v xml:space="preserve"> </v>
      </c>
      <c r="I276" s="28" t="str">
        <f>IF($C276=""," ",[1]!i_pq_pctchange($C276,I$6,$N$1))</f>
        <v xml:space="preserve"> </v>
      </c>
      <c r="J276" s="28" t="str">
        <f>IF($C276=""," ",[1]!i_pq_pctchange($C276,J$6,$N$1))</f>
        <v xml:space="preserve"> </v>
      </c>
      <c r="K276" s="28" t="str">
        <f>IF($C276=""," ",[1]!i_pq_pctchange($C276,K$6,$N$1))</f>
        <v xml:space="preserve"> </v>
      </c>
      <c r="L276" s="28" t="str">
        <f>IF(C276=""," ",[1]!s_wq_pctchange($C276,$N$1))</f>
        <v xml:space="preserve"> </v>
      </c>
      <c r="M276" s="28" t="str">
        <f>IF(C276=""," ",[1]!s_mq_pctchange($C276,$N$1))</f>
        <v xml:space="preserve"> </v>
      </c>
      <c r="N276" s="28" t="str">
        <f>IF(C276=""," ",[1]!s_yq_pctchange($C276,$N$1))</f>
        <v xml:space="preserve"> </v>
      </c>
      <c r="O276" s="11"/>
      <c r="P276" s="7"/>
    </row>
    <row r="277" spans="1:16" x14ac:dyDescent="0.35">
      <c r="A277" s="7"/>
      <c r="C277" s="30" t="str">
        <f>IF(指数列表!B274="","",指数列表!B274)</f>
        <v/>
      </c>
      <c r="D277" s="35" t="str">
        <f>IF(C277="","",[1]!s_info_name(C277))</f>
        <v/>
      </c>
      <c r="E277" s="24" t="str">
        <f>IF(C277="","",[1]!s_dq_close(C277,$N$1))</f>
        <v/>
      </c>
      <c r="F277" s="28" t="str">
        <f>IF($C277=""," ",[1]!i_pq_pctchange($C277,F$6,$N$1))</f>
        <v xml:space="preserve"> </v>
      </c>
      <c r="G277" s="28" t="str">
        <f>IF($C277=""," ",[1]!i_pq_pctchange($C277,G$6,$N$1))</f>
        <v xml:space="preserve"> </v>
      </c>
      <c r="H277" s="28" t="str">
        <f>IF($C277=""," ",[1]!i_pq_pctchange($C277,H$6,$N$1))</f>
        <v xml:space="preserve"> </v>
      </c>
      <c r="I277" s="28" t="str">
        <f>IF($C277=""," ",[1]!i_pq_pctchange($C277,I$6,$N$1))</f>
        <v xml:space="preserve"> </v>
      </c>
      <c r="J277" s="28" t="str">
        <f>IF($C277=""," ",[1]!i_pq_pctchange($C277,J$6,$N$1))</f>
        <v xml:space="preserve"> </v>
      </c>
      <c r="K277" s="28" t="str">
        <f>IF($C277=""," ",[1]!i_pq_pctchange($C277,K$6,$N$1))</f>
        <v xml:space="preserve"> </v>
      </c>
      <c r="L277" s="28" t="str">
        <f>IF(C277=""," ",[1]!s_wq_pctchange($C277,$N$1))</f>
        <v xml:space="preserve"> </v>
      </c>
      <c r="M277" s="28" t="str">
        <f>IF(C277=""," ",[1]!s_mq_pctchange($C277,$N$1))</f>
        <v xml:space="preserve"> </v>
      </c>
      <c r="N277" s="28" t="str">
        <f>IF(C277=""," ",[1]!s_yq_pctchange($C277,$N$1))</f>
        <v xml:space="preserve"> </v>
      </c>
      <c r="O277" s="11"/>
      <c r="P277" s="7"/>
    </row>
    <row r="278" spans="1:16" x14ac:dyDescent="0.35">
      <c r="A278" s="7"/>
      <c r="C278" s="31" t="str">
        <f>IF(指数列表!B275="","",指数列表!B275)</f>
        <v/>
      </c>
      <c r="D278" s="36" t="str">
        <f>IF(C278="","",[1]!s_info_name(C278))</f>
        <v/>
      </c>
      <c r="E278" s="25" t="str">
        <f>IF(C278="","",[1]!s_dq_close(C278,$N$1))</f>
        <v/>
      </c>
      <c r="F278" s="28" t="str">
        <f>IF($C278=""," ",[1]!i_pq_pctchange($C278,F$6,$N$1))</f>
        <v xml:space="preserve"> </v>
      </c>
      <c r="G278" s="28" t="str">
        <f>IF($C278=""," ",[1]!i_pq_pctchange($C278,G$6,$N$1))</f>
        <v xml:space="preserve"> </v>
      </c>
      <c r="H278" s="28" t="str">
        <f>IF($C278=""," ",[1]!i_pq_pctchange($C278,H$6,$N$1))</f>
        <v xml:space="preserve"> </v>
      </c>
      <c r="I278" s="28" t="str">
        <f>IF($C278=""," ",[1]!i_pq_pctchange($C278,I$6,$N$1))</f>
        <v xml:space="preserve"> </v>
      </c>
      <c r="J278" s="28" t="str">
        <f>IF($C278=""," ",[1]!i_pq_pctchange($C278,J$6,$N$1))</f>
        <v xml:space="preserve"> </v>
      </c>
      <c r="K278" s="28" t="str">
        <f>IF($C278=""," ",[1]!i_pq_pctchange($C278,K$6,$N$1))</f>
        <v xml:space="preserve"> </v>
      </c>
      <c r="L278" s="28" t="str">
        <f>IF(C278=""," ",[1]!s_wq_pctchange($C278,$N$1))</f>
        <v xml:space="preserve"> </v>
      </c>
      <c r="M278" s="28" t="str">
        <f>IF(C278=""," ",[1]!s_mq_pctchange($C278,$N$1))</f>
        <v xml:space="preserve"> </v>
      </c>
      <c r="N278" s="28" t="str">
        <f>IF(C278=""," ",[1]!s_yq_pctchange($C278,$N$1))</f>
        <v xml:space="preserve"> </v>
      </c>
      <c r="O278" s="11"/>
      <c r="P278" s="7"/>
    </row>
    <row r="279" spans="1:16" x14ac:dyDescent="0.35">
      <c r="A279" s="7"/>
      <c r="C279" s="30" t="str">
        <f>IF(指数列表!B276="","",指数列表!B276)</f>
        <v/>
      </c>
      <c r="D279" s="35" t="str">
        <f>IF(C279="","",[1]!s_info_name(C279))</f>
        <v/>
      </c>
      <c r="E279" s="24" t="str">
        <f>IF(C279="","",[1]!s_dq_close(C279,$N$1))</f>
        <v/>
      </c>
      <c r="F279" s="28" t="str">
        <f>IF($C279=""," ",[1]!i_pq_pctchange($C279,F$6,$N$1))</f>
        <v xml:space="preserve"> </v>
      </c>
      <c r="G279" s="28" t="str">
        <f>IF($C279=""," ",[1]!i_pq_pctchange($C279,G$6,$N$1))</f>
        <v xml:space="preserve"> </v>
      </c>
      <c r="H279" s="28" t="str">
        <f>IF($C279=""," ",[1]!i_pq_pctchange($C279,H$6,$N$1))</f>
        <v xml:space="preserve"> </v>
      </c>
      <c r="I279" s="28" t="str">
        <f>IF($C279=""," ",[1]!i_pq_pctchange($C279,I$6,$N$1))</f>
        <v xml:space="preserve"> </v>
      </c>
      <c r="J279" s="28" t="str">
        <f>IF($C279=""," ",[1]!i_pq_pctchange($C279,J$6,$N$1))</f>
        <v xml:space="preserve"> </v>
      </c>
      <c r="K279" s="28" t="str">
        <f>IF($C279=""," ",[1]!i_pq_pctchange($C279,K$6,$N$1))</f>
        <v xml:space="preserve"> </v>
      </c>
      <c r="L279" s="28" t="str">
        <f>IF(C279=""," ",[1]!s_wq_pctchange($C279,$N$1))</f>
        <v xml:space="preserve"> </v>
      </c>
      <c r="M279" s="28" t="str">
        <f>IF(C279=""," ",[1]!s_mq_pctchange($C279,$N$1))</f>
        <v xml:space="preserve"> </v>
      </c>
      <c r="N279" s="28" t="str">
        <f>IF(C279=""," ",[1]!s_yq_pctchange($C279,$N$1))</f>
        <v xml:space="preserve"> </v>
      </c>
      <c r="O279" s="11"/>
      <c r="P279" s="7"/>
    </row>
    <row r="280" spans="1:16" x14ac:dyDescent="0.35">
      <c r="A280" s="7"/>
      <c r="C280" s="31" t="str">
        <f>IF(指数列表!B277="","",指数列表!B277)</f>
        <v/>
      </c>
      <c r="D280" s="36" t="str">
        <f>IF(C280="","",[1]!s_info_name(C280))</f>
        <v/>
      </c>
      <c r="E280" s="25" t="str">
        <f>IF(C280="","",[1]!s_dq_close(C280,$N$1))</f>
        <v/>
      </c>
      <c r="F280" s="28" t="str">
        <f>IF($C280=""," ",[1]!i_pq_pctchange($C280,F$6,$N$1))</f>
        <v xml:space="preserve"> </v>
      </c>
      <c r="G280" s="28" t="str">
        <f>IF($C280=""," ",[1]!i_pq_pctchange($C280,G$6,$N$1))</f>
        <v xml:space="preserve"> </v>
      </c>
      <c r="H280" s="28" t="str">
        <f>IF($C280=""," ",[1]!i_pq_pctchange($C280,H$6,$N$1))</f>
        <v xml:space="preserve"> </v>
      </c>
      <c r="I280" s="28" t="str">
        <f>IF($C280=""," ",[1]!i_pq_pctchange($C280,I$6,$N$1))</f>
        <v xml:space="preserve"> </v>
      </c>
      <c r="J280" s="28" t="str">
        <f>IF($C280=""," ",[1]!i_pq_pctchange($C280,J$6,$N$1))</f>
        <v xml:space="preserve"> </v>
      </c>
      <c r="K280" s="28" t="str">
        <f>IF($C280=""," ",[1]!i_pq_pctchange($C280,K$6,$N$1))</f>
        <v xml:space="preserve"> </v>
      </c>
      <c r="L280" s="28" t="str">
        <f>IF(C280=""," ",[1]!s_wq_pctchange($C280,$N$1))</f>
        <v xml:space="preserve"> </v>
      </c>
      <c r="M280" s="28" t="str">
        <f>IF(C280=""," ",[1]!s_mq_pctchange($C280,$N$1))</f>
        <v xml:space="preserve"> </v>
      </c>
      <c r="N280" s="28" t="str">
        <f>IF(C280=""," ",[1]!s_yq_pctchange($C280,$N$1))</f>
        <v xml:space="preserve"> </v>
      </c>
      <c r="O280" s="11"/>
      <c r="P280" s="7"/>
    </row>
    <row r="281" spans="1:16" x14ac:dyDescent="0.35">
      <c r="A281" s="7"/>
      <c r="C281" s="30" t="str">
        <f>IF(指数列表!B278="","",指数列表!B278)</f>
        <v/>
      </c>
      <c r="D281" s="35" t="str">
        <f>IF(C281="","",[1]!s_info_name(C281))</f>
        <v/>
      </c>
      <c r="E281" s="24" t="str">
        <f>IF(C281="","",[1]!s_dq_close(C281,$N$1))</f>
        <v/>
      </c>
      <c r="F281" s="28" t="str">
        <f>IF($C281=""," ",[1]!i_pq_pctchange($C281,F$6,$N$1))</f>
        <v xml:space="preserve"> </v>
      </c>
      <c r="G281" s="28" t="str">
        <f>IF($C281=""," ",[1]!i_pq_pctchange($C281,G$6,$N$1))</f>
        <v xml:space="preserve"> </v>
      </c>
      <c r="H281" s="28" t="str">
        <f>IF($C281=""," ",[1]!i_pq_pctchange($C281,H$6,$N$1))</f>
        <v xml:space="preserve"> </v>
      </c>
      <c r="I281" s="28" t="str">
        <f>IF($C281=""," ",[1]!i_pq_pctchange($C281,I$6,$N$1))</f>
        <v xml:space="preserve"> </v>
      </c>
      <c r="J281" s="28" t="str">
        <f>IF($C281=""," ",[1]!i_pq_pctchange($C281,J$6,$N$1))</f>
        <v xml:space="preserve"> </v>
      </c>
      <c r="K281" s="28" t="str">
        <f>IF($C281=""," ",[1]!i_pq_pctchange($C281,K$6,$N$1))</f>
        <v xml:space="preserve"> </v>
      </c>
      <c r="L281" s="28" t="str">
        <f>IF(C281=""," ",[1]!s_wq_pctchange($C281,$N$1))</f>
        <v xml:space="preserve"> </v>
      </c>
      <c r="M281" s="28" t="str">
        <f>IF(C281=""," ",[1]!s_mq_pctchange($C281,$N$1))</f>
        <v xml:space="preserve"> </v>
      </c>
      <c r="N281" s="28" t="str">
        <f>IF(C281=""," ",[1]!s_yq_pctchange($C281,$N$1))</f>
        <v xml:space="preserve"> </v>
      </c>
      <c r="O281" s="11"/>
      <c r="P281" s="7"/>
    </row>
    <row r="282" spans="1:16" x14ac:dyDescent="0.35">
      <c r="A282" s="7"/>
      <c r="C282" s="31" t="str">
        <f>IF(指数列表!B279="","",指数列表!B279)</f>
        <v/>
      </c>
      <c r="D282" s="36" t="str">
        <f>IF(C282="","",[1]!s_info_name(C282))</f>
        <v/>
      </c>
      <c r="E282" s="25" t="str">
        <f>IF(C282="","",[1]!s_dq_close(C282,$N$1))</f>
        <v/>
      </c>
      <c r="F282" s="28" t="str">
        <f>IF($C282=""," ",[1]!i_pq_pctchange($C282,F$6,$N$1))</f>
        <v xml:space="preserve"> </v>
      </c>
      <c r="G282" s="28" t="str">
        <f>IF($C282=""," ",[1]!i_pq_pctchange($C282,G$6,$N$1))</f>
        <v xml:space="preserve"> </v>
      </c>
      <c r="H282" s="28" t="str">
        <f>IF($C282=""," ",[1]!i_pq_pctchange($C282,H$6,$N$1))</f>
        <v xml:space="preserve"> </v>
      </c>
      <c r="I282" s="28" t="str">
        <f>IF($C282=""," ",[1]!i_pq_pctchange($C282,I$6,$N$1))</f>
        <v xml:space="preserve"> </v>
      </c>
      <c r="J282" s="28" t="str">
        <f>IF($C282=""," ",[1]!i_pq_pctchange($C282,J$6,$N$1))</f>
        <v xml:space="preserve"> </v>
      </c>
      <c r="K282" s="28" t="str">
        <f>IF($C282=""," ",[1]!i_pq_pctchange($C282,K$6,$N$1))</f>
        <v xml:space="preserve"> </v>
      </c>
      <c r="L282" s="28" t="str">
        <f>IF(C282=""," ",[1]!s_wq_pctchange($C282,$N$1))</f>
        <v xml:space="preserve"> </v>
      </c>
      <c r="M282" s="28" t="str">
        <f>IF(C282=""," ",[1]!s_mq_pctchange($C282,$N$1))</f>
        <v xml:space="preserve"> </v>
      </c>
      <c r="N282" s="28" t="str">
        <f>IF(C282=""," ",[1]!s_yq_pctchange($C282,$N$1))</f>
        <v xml:space="preserve"> </v>
      </c>
      <c r="O282" s="11"/>
      <c r="P282" s="7"/>
    </row>
    <row r="283" spans="1:16" x14ac:dyDescent="0.35">
      <c r="A283" s="7"/>
      <c r="C283" s="30" t="str">
        <f>IF(指数列表!B280="","",指数列表!B280)</f>
        <v/>
      </c>
      <c r="D283" s="35" t="str">
        <f>IF(C283="","",[1]!s_info_name(C283))</f>
        <v/>
      </c>
      <c r="E283" s="24" t="str">
        <f>IF(C283="","",[1]!s_dq_close(C283,$N$1))</f>
        <v/>
      </c>
      <c r="F283" s="28" t="str">
        <f>IF($C283=""," ",[1]!i_pq_pctchange($C283,F$6,$N$1))</f>
        <v xml:space="preserve"> </v>
      </c>
      <c r="G283" s="28" t="str">
        <f>IF($C283=""," ",[1]!i_pq_pctchange($C283,G$6,$N$1))</f>
        <v xml:space="preserve"> </v>
      </c>
      <c r="H283" s="28" t="str">
        <f>IF($C283=""," ",[1]!i_pq_pctchange($C283,H$6,$N$1))</f>
        <v xml:space="preserve"> </v>
      </c>
      <c r="I283" s="28" t="str">
        <f>IF($C283=""," ",[1]!i_pq_pctchange($C283,I$6,$N$1))</f>
        <v xml:space="preserve"> </v>
      </c>
      <c r="J283" s="28" t="str">
        <f>IF($C283=""," ",[1]!i_pq_pctchange($C283,J$6,$N$1))</f>
        <v xml:space="preserve"> </v>
      </c>
      <c r="K283" s="28" t="str">
        <f>IF($C283=""," ",[1]!i_pq_pctchange($C283,K$6,$N$1))</f>
        <v xml:space="preserve"> </v>
      </c>
      <c r="L283" s="28" t="str">
        <f>IF(C283=""," ",[1]!s_wq_pctchange($C283,$N$1))</f>
        <v xml:space="preserve"> </v>
      </c>
      <c r="M283" s="28" t="str">
        <f>IF(C283=""," ",[1]!s_mq_pctchange($C283,$N$1))</f>
        <v xml:space="preserve"> </v>
      </c>
      <c r="N283" s="28" t="str">
        <f>IF(C283=""," ",[1]!s_yq_pctchange($C283,$N$1))</f>
        <v xml:space="preserve"> </v>
      </c>
      <c r="O283" s="11"/>
      <c r="P283" s="7"/>
    </row>
    <row r="284" spans="1:16" x14ac:dyDescent="0.35">
      <c r="A284" s="7"/>
      <c r="C284" s="31" t="str">
        <f>IF(指数列表!B281="","",指数列表!B281)</f>
        <v/>
      </c>
      <c r="D284" s="36" t="str">
        <f>IF(C284="","",[1]!s_info_name(C284))</f>
        <v/>
      </c>
      <c r="E284" s="25" t="str">
        <f>IF(C284="","",[1]!s_dq_close(C284,$N$1))</f>
        <v/>
      </c>
      <c r="F284" s="28" t="str">
        <f>IF($C284=""," ",[1]!i_pq_pctchange($C284,F$6,$N$1))</f>
        <v xml:space="preserve"> </v>
      </c>
      <c r="G284" s="28" t="str">
        <f>IF($C284=""," ",[1]!i_pq_pctchange($C284,G$6,$N$1))</f>
        <v xml:space="preserve"> </v>
      </c>
      <c r="H284" s="28" t="str">
        <f>IF($C284=""," ",[1]!i_pq_pctchange($C284,H$6,$N$1))</f>
        <v xml:space="preserve"> </v>
      </c>
      <c r="I284" s="28" t="str">
        <f>IF($C284=""," ",[1]!i_pq_pctchange($C284,I$6,$N$1))</f>
        <v xml:space="preserve"> </v>
      </c>
      <c r="J284" s="28" t="str">
        <f>IF($C284=""," ",[1]!i_pq_pctchange($C284,J$6,$N$1))</f>
        <v xml:space="preserve"> </v>
      </c>
      <c r="K284" s="28" t="str">
        <f>IF($C284=""," ",[1]!i_pq_pctchange($C284,K$6,$N$1))</f>
        <v xml:space="preserve"> </v>
      </c>
      <c r="L284" s="28" t="str">
        <f>IF(C284=""," ",[1]!s_wq_pctchange($C284,$N$1))</f>
        <v xml:space="preserve"> </v>
      </c>
      <c r="M284" s="28" t="str">
        <f>IF(C284=""," ",[1]!s_mq_pctchange($C284,$N$1))</f>
        <v xml:space="preserve"> </v>
      </c>
      <c r="N284" s="28" t="str">
        <f>IF(C284=""," ",[1]!s_yq_pctchange($C284,$N$1))</f>
        <v xml:space="preserve"> </v>
      </c>
      <c r="O284" s="11"/>
      <c r="P284" s="7"/>
    </row>
    <row r="285" spans="1:16" x14ac:dyDescent="0.35">
      <c r="A285" s="7"/>
      <c r="C285" s="30" t="str">
        <f>IF(指数列表!B282="","",指数列表!B282)</f>
        <v/>
      </c>
      <c r="D285" s="35" t="str">
        <f>IF(C285="","",[1]!s_info_name(C285))</f>
        <v/>
      </c>
      <c r="E285" s="24" t="str">
        <f>IF(C285="","",[1]!s_dq_close(C285,$N$1))</f>
        <v/>
      </c>
      <c r="F285" s="28" t="str">
        <f>IF($C285=""," ",[1]!i_pq_pctchange($C285,F$6,$N$1))</f>
        <v xml:space="preserve"> </v>
      </c>
      <c r="G285" s="28" t="str">
        <f>IF($C285=""," ",[1]!i_pq_pctchange($C285,G$6,$N$1))</f>
        <v xml:space="preserve"> </v>
      </c>
      <c r="H285" s="28" t="str">
        <f>IF($C285=""," ",[1]!i_pq_pctchange($C285,H$6,$N$1))</f>
        <v xml:space="preserve"> </v>
      </c>
      <c r="I285" s="28" t="str">
        <f>IF($C285=""," ",[1]!i_pq_pctchange($C285,I$6,$N$1))</f>
        <v xml:space="preserve"> </v>
      </c>
      <c r="J285" s="28" t="str">
        <f>IF($C285=""," ",[1]!i_pq_pctchange($C285,J$6,$N$1))</f>
        <v xml:space="preserve"> </v>
      </c>
      <c r="K285" s="28" t="str">
        <f>IF($C285=""," ",[1]!i_pq_pctchange($C285,K$6,$N$1))</f>
        <v xml:space="preserve"> </v>
      </c>
      <c r="L285" s="28" t="str">
        <f>IF(C285=""," ",[1]!s_wq_pctchange($C285,$N$1))</f>
        <v xml:space="preserve"> </v>
      </c>
      <c r="M285" s="28" t="str">
        <f>IF(C285=""," ",[1]!s_mq_pctchange($C285,$N$1))</f>
        <v xml:space="preserve"> </v>
      </c>
      <c r="N285" s="28" t="str">
        <f>IF(C285=""," ",[1]!s_yq_pctchange($C285,$N$1))</f>
        <v xml:space="preserve"> </v>
      </c>
      <c r="O285" s="11"/>
      <c r="P285" s="7"/>
    </row>
    <row r="286" spans="1:16" x14ac:dyDescent="0.35">
      <c r="A286" s="7"/>
      <c r="C286" s="31" t="str">
        <f>IF(指数列表!B283="","",指数列表!B283)</f>
        <v/>
      </c>
      <c r="D286" s="36" t="str">
        <f>IF(C286="","",[1]!s_info_name(C286))</f>
        <v/>
      </c>
      <c r="E286" s="25" t="str">
        <f>IF(C286="","",[1]!s_dq_close(C286,$N$1))</f>
        <v/>
      </c>
      <c r="F286" s="28" t="str">
        <f>IF($C286=""," ",[1]!i_pq_pctchange($C286,F$6,$N$1))</f>
        <v xml:space="preserve"> </v>
      </c>
      <c r="G286" s="28" t="str">
        <f>IF($C286=""," ",[1]!i_pq_pctchange($C286,G$6,$N$1))</f>
        <v xml:space="preserve"> </v>
      </c>
      <c r="H286" s="28" t="str">
        <f>IF($C286=""," ",[1]!i_pq_pctchange($C286,H$6,$N$1))</f>
        <v xml:space="preserve"> </v>
      </c>
      <c r="I286" s="28" t="str">
        <f>IF($C286=""," ",[1]!i_pq_pctchange($C286,I$6,$N$1))</f>
        <v xml:space="preserve"> </v>
      </c>
      <c r="J286" s="28" t="str">
        <f>IF($C286=""," ",[1]!i_pq_pctchange($C286,J$6,$N$1))</f>
        <v xml:space="preserve"> </v>
      </c>
      <c r="K286" s="28" t="str">
        <f>IF($C286=""," ",[1]!i_pq_pctchange($C286,K$6,$N$1))</f>
        <v xml:space="preserve"> </v>
      </c>
      <c r="L286" s="28" t="str">
        <f>IF(C286=""," ",[1]!s_wq_pctchange($C286,$N$1))</f>
        <v xml:space="preserve"> </v>
      </c>
      <c r="M286" s="28" t="str">
        <f>IF(C286=""," ",[1]!s_mq_pctchange($C286,$N$1))</f>
        <v xml:space="preserve"> </v>
      </c>
      <c r="N286" s="28" t="str">
        <f>IF(C286=""," ",[1]!s_yq_pctchange($C286,$N$1))</f>
        <v xml:space="preserve"> </v>
      </c>
      <c r="O286" s="11"/>
      <c r="P286" s="7"/>
    </row>
    <row r="287" spans="1:16" x14ac:dyDescent="0.35">
      <c r="A287" s="7"/>
      <c r="C287" s="30" t="str">
        <f>IF(指数列表!B284="","",指数列表!B284)</f>
        <v/>
      </c>
      <c r="D287" s="35" t="str">
        <f>IF(C287="","",[1]!s_info_name(C287))</f>
        <v/>
      </c>
      <c r="E287" s="24" t="str">
        <f>IF(C287="","",[1]!s_dq_close(C287,$N$1))</f>
        <v/>
      </c>
      <c r="F287" s="28" t="str">
        <f>IF($C287=""," ",[1]!i_pq_pctchange($C287,F$6,$N$1))</f>
        <v xml:space="preserve"> </v>
      </c>
      <c r="G287" s="28" t="str">
        <f>IF($C287=""," ",[1]!i_pq_pctchange($C287,G$6,$N$1))</f>
        <v xml:space="preserve"> </v>
      </c>
      <c r="H287" s="28" t="str">
        <f>IF($C287=""," ",[1]!i_pq_pctchange($C287,H$6,$N$1))</f>
        <v xml:space="preserve"> </v>
      </c>
      <c r="I287" s="28" t="str">
        <f>IF($C287=""," ",[1]!i_pq_pctchange($C287,I$6,$N$1))</f>
        <v xml:space="preserve"> </v>
      </c>
      <c r="J287" s="28" t="str">
        <f>IF($C287=""," ",[1]!i_pq_pctchange($C287,J$6,$N$1))</f>
        <v xml:space="preserve"> </v>
      </c>
      <c r="K287" s="28" t="str">
        <f>IF($C287=""," ",[1]!i_pq_pctchange($C287,K$6,$N$1))</f>
        <v xml:space="preserve"> </v>
      </c>
      <c r="L287" s="28" t="str">
        <f>IF(C287=""," ",[1]!s_wq_pctchange($C287,$N$1))</f>
        <v xml:space="preserve"> </v>
      </c>
      <c r="M287" s="28" t="str">
        <f>IF(C287=""," ",[1]!s_mq_pctchange($C287,$N$1))</f>
        <v xml:space="preserve"> </v>
      </c>
      <c r="N287" s="28" t="str">
        <f>IF(C287=""," ",[1]!s_yq_pctchange($C287,$N$1))</f>
        <v xml:space="preserve"> </v>
      </c>
      <c r="O287" s="11"/>
      <c r="P287" s="7"/>
    </row>
    <row r="288" spans="1:16" x14ac:dyDescent="0.35">
      <c r="A288" s="7"/>
      <c r="C288" s="31" t="str">
        <f>IF(指数列表!B285="","",指数列表!B285)</f>
        <v/>
      </c>
      <c r="D288" s="36" t="str">
        <f>IF(C288="","",[1]!s_info_name(C288))</f>
        <v/>
      </c>
      <c r="E288" s="25" t="str">
        <f>IF(C288="","",[1]!s_dq_close(C288,$N$1))</f>
        <v/>
      </c>
      <c r="F288" s="28" t="str">
        <f>IF($C288=""," ",[1]!i_pq_pctchange($C288,F$6,$N$1))</f>
        <v xml:space="preserve"> </v>
      </c>
      <c r="G288" s="28" t="str">
        <f>IF($C288=""," ",[1]!i_pq_pctchange($C288,G$6,$N$1))</f>
        <v xml:space="preserve"> </v>
      </c>
      <c r="H288" s="28" t="str">
        <f>IF($C288=""," ",[1]!i_pq_pctchange($C288,H$6,$N$1))</f>
        <v xml:space="preserve"> </v>
      </c>
      <c r="I288" s="28" t="str">
        <f>IF($C288=""," ",[1]!i_pq_pctchange($C288,I$6,$N$1))</f>
        <v xml:space="preserve"> </v>
      </c>
      <c r="J288" s="28" t="str">
        <f>IF($C288=""," ",[1]!i_pq_pctchange($C288,J$6,$N$1))</f>
        <v xml:space="preserve"> </v>
      </c>
      <c r="K288" s="28" t="str">
        <f>IF($C288=""," ",[1]!i_pq_pctchange($C288,K$6,$N$1))</f>
        <v xml:space="preserve"> </v>
      </c>
      <c r="L288" s="28" t="str">
        <f>IF(C288=""," ",[1]!s_wq_pctchange($C288,$N$1))</f>
        <v xml:space="preserve"> </v>
      </c>
      <c r="M288" s="28" t="str">
        <f>IF(C288=""," ",[1]!s_mq_pctchange($C288,$N$1))</f>
        <v xml:space="preserve"> </v>
      </c>
      <c r="N288" s="28" t="str">
        <f>IF(C288=""," ",[1]!s_yq_pctchange($C288,$N$1))</f>
        <v xml:space="preserve"> </v>
      </c>
      <c r="O288" s="11"/>
      <c r="P288" s="7"/>
    </row>
    <row r="289" spans="1:16" x14ac:dyDescent="0.35">
      <c r="A289" s="7"/>
      <c r="C289" s="30" t="str">
        <f>IF(指数列表!B286="","",指数列表!B286)</f>
        <v/>
      </c>
      <c r="D289" s="35" t="str">
        <f>IF(C289="","",[1]!s_info_name(C289))</f>
        <v/>
      </c>
      <c r="E289" s="24" t="str">
        <f>IF(C289="","",[1]!s_dq_close(C289,$N$1))</f>
        <v/>
      </c>
      <c r="F289" s="28" t="str">
        <f>IF($C289=""," ",[1]!i_pq_pctchange($C289,F$6,$N$1))</f>
        <v xml:space="preserve"> </v>
      </c>
      <c r="G289" s="28" t="str">
        <f>IF($C289=""," ",[1]!i_pq_pctchange($C289,G$6,$N$1))</f>
        <v xml:space="preserve"> </v>
      </c>
      <c r="H289" s="28" t="str">
        <f>IF($C289=""," ",[1]!i_pq_pctchange($C289,H$6,$N$1))</f>
        <v xml:space="preserve"> </v>
      </c>
      <c r="I289" s="28" t="str">
        <f>IF($C289=""," ",[1]!i_pq_pctchange($C289,I$6,$N$1))</f>
        <v xml:space="preserve"> </v>
      </c>
      <c r="J289" s="28" t="str">
        <f>IF($C289=""," ",[1]!i_pq_pctchange($C289,J$6,$N$1))</f>
        <v xml:space="preserve"> </v>
      </c>
      <c r="K289" s="28" t="str">
        <f>IF($C289=""," ",[1]!i_pq_pctchange($C289,K$6,$N$1))</f>
        <v xml:space="preserve"> </v>
      </c>
      <c r="L289" s="28" t="str">
        <f>IF(C289=""," ",[1]!s_wq_pctchange($C289,$N$1))</f>
        <v xml:space="preserve"> </v>
      </c>
      <c r="M289" s="28" t="str">
        <f>IF(C289=""," ",[1]!s_mq_pctchange($C289,$N$1))</f>
        <v xml:space="preserve"> </v>
      </c>
      <c r="N289" s="28" t="str">
        <f>IF(C289=""," ",[1]!s_yq_pctchange($C289,$N$1))</f>
        <v xml:space="preserve"> </v>
      </c>
      <c r="O289" s="11"/>
      <c r="P289" s="7"/>
    </row>
    <row r="290" spans="1:16" x14ac:dyDescent="0.35">
      <c r="A290" s="7"/>
      <c r="C290" s="31" t="str">
        <f>IF(指数列表!B287="","",指数列表!B287)</f>
        <v/>
      </c>
      <c r="D290" s="36" t="str">
        <f>IF(C290="","",[1]!s_info_name(C290))</f>
        <v/>
      </c>
      <c r="E290" s="25" t="str">
        <f>IF(C290="","",[1]!s_dq_close(C290,$N$1))</f>
        <v/>
      </c>
      <c r="F290" s="28" t="str">
        <f>IF($C290=""," ",[1]!i_pq_pctchange($C290,F$6,$N$1))</f>
        <v xml:space="preserve"> </v>
      </c>
      <c r="G290" s="28" t="str">
        <f>IF($C290=""," ",[1]!i_pq_pctchange($C290,G$6,$N$1))</f>
        <v xml:space="preserve"> </v>
      </c>
      <c r="H290" s="28" t="str">
        <f>IF($C290=""," ",[1]!i_pq_pctchange($C290,H$6,$N$1))</f>
        <v xml:space="preserve"> </v>
      </c>
      <c r="I290" s="28" t="str">
        <f>IF($C290=""," ",[1]!i_pq_pctchange($C290,I$6,$N$1))</f>
        <v xml:space="preserve"> </v>
      </c>
      <c r="J290" s="28" t="str">
        <f>IF($C290=""," ",[1]!i_pq_pctchange($C290,J$6,$N$1))</f>
        <v xml:space="preserve"> </v>
      </c>
      <c r="K290" s="28" t="str">
        <f>IF($C290=""," ",[1]!i_pq_pctchange($C290,K$6,$N$1))</f>
        <v xml:space="preserve"> </v>
      </c>
      <c r="L290" s="28" t="str">
        <f>IF(C290=""," ",[1]!s_wq_pctchange($C290,$N$1))</f>
        <v xml:space="preserve"> </v>
      </c>
      <c r="M290" s="28" t="str">
        <f>IF(C290=""," ",[1]!s_mq_pctchange($C290,$N$1))</f>
        <v xml:space="preserve"> </v>
      </c>
      <c r="N290" s="28" t="str">
        <f>IF(C290=""," ",[1]!s_yq_pctchange($C290,$N$1))</f>
        <v xml:space="preserve"> </v>
      </c>
      <c r="O290" s="11"/>
      <c r="P290" s="7"/>
    </row>
    <row r="291" spans="1:16" x14ac:dyDescent="0.35">
      <c r="A291" s="7"/>
      <c r="C291" s="30" t="str">
        <f>IF(指数列表!B288="","",指数列表!B288)</f>
        <v/>
      </c>
      <c r="D291" s="35" t="str">
        <f>IF(C291="","",[1]!s_info_name(C291))</f>
        <v/>
      </c>
      <c r="E291" s="24" t="str">
        <f>IF(C291="","",[1]!s_dq_close(C291,$N$1))</f>
        <v/>
      </c>
      <c r="F291" s="28" t="str">
        <f>IF($C291=""," ",[1]!i_pq_pctchange($C291,F$6,$N$1))</f>
        <v xml:space="preserve"> </v>
      </c>
      <c r="G291" s="28" t="str">
        <f>IF($C291=""," ",[1]!i_pq_pctchange($C291,G$6,$N$1))</f>
        <v xml:space="preserve"> </v>
      </c>
      <c r="H291" s="28" t="str">
        <f>IF($C291=""," ",[1]!i_pq_pctchange($C291,H$6,$N$1))</f>
        <v xml:space="preserve"> </v>
      </c>
      <c r="I291" s="28" t="str">
        <f>IF($C291=""," ",[1]!i_pq_pctchange($C291,I$6,$N$1))</f>
        <v xml:space="preserve"> </v>
      </c>
      <c r="J291" s="28" t="str">
        <f>IF($C291=""," ",[1]!i_pq_pctchange($C291,J$6,$N$1))</f>
        <v xml:space="preserve"> </v>
      </c>
      <c r="K291" s="28" t="str">
        <f>IF($C291=""," ",[1]!i_pq_pctchange($C291,K$6,$N$1))</f>
        <v xml:space="preserve"> </v>
      </c>
      <c r="L291" s="28" t="str">
        <f>IF(C291=""," ",[1]!s_wq_pctchange($C291,$N$1))</f>
        <v xml:space="preserve"> </v>
      </c>
      <c r="M291" s="28" t="str">
        <f>IF(C291=""," ",[1]!s_mq_pctchange($C291,$N$1))</f>
        <v xml:space="preserve"> </v>
      </c>
      <c r="N291" s="28" t="str">
        <f>IF(C291=""," ",[1]!s_yq_pctchange($C291,$N$1))</f>
        <v xml:space="preserve"> </v>
      </c>
      <c r="O291" s="11"/>
      <c r="P291" s="7"/>
    </row>
    <row r="292" spans="1:16" x14ac:dyDescent="0.35">
      <c r="A292" s="7"/>
      <c r="C292" s="31" t="str">
        <f>IF(指数列表!B289="","",指数列表!B289)</f>
        <v/>
      </c>
      <c r="D292" s="36" t="str">
        <f>IF(C292="","",[1]!s_info_name(C292))</f>
        <v/>
      </c>
      <c r="E292" s="25" t="str">
        <f>IF(C292="","",[1]!s_dq_close(C292,$N$1))</f>
        <v/>
      </c>
      <c r="F292" s="28" t="str">
        <f>IF($C292=""," ",[1]!i_pq_pctchange($C292,F$6,$N$1))</f>
        <v xml:space="preserve"> </v>
      </c>
      <c r="G292" s="28" t="str">
        <f>IF($C292=""," ",[1]!i_pq_pctchange($C292,G$6,$N$1))</f>
        <v xml:space="preserve"> </v>
      </c>
      <c r="H292" s="28" t="str">
        <f>IF($C292=""," ",[1]!i_pq_pctchange($C292,H$6,$N$1))</f>
        <v xml:space="preserve"> </v>
      </c>
      <c r="I292" s="28" t="str">
        <f>IF($C292=""," ",[1]!i_pq_pctchange($C292,I$6,$N$1))</f>
        <v xml:space="preserve"> </v>
      </c>
      <c r="J292" s="28" t="str">
        <f>IF($C292=""," ",[1]!i_pq_pctchange($C292,J$6,$N$1))</f>
        <v xml:space="preserve"> </v>
      </c>
      <c r="K292" s="28" t="str">
        <f>IF($C292=""," ",[1]!i_pq_pctchange($C292,K$6,$N$1))</f>
        <v xml:space="preserve"> </v>
      </c>
      <c r="L292" s="28" t="str">
        <f>IF(C292=""," ",[1]!s_wq_pctchange($C292,$N$1))</f>
        <v xml:space="preserve"> </v>
      </c>
      <c r="M292" s="28" t="str">
        <f>IF(C292=""," ",[1]!s_mq_pctchange($C292,$N$1))</f>
        <v xml:space="preserve"> </v>
      </c>
      <c r="N292" s="28" t="str">
        <f>IF(C292=""," ",[1]!s_yq_pctchange($C292,$N$1))</f>
        <v xml:space="preserve"> </v>
      </c>
      <c r="O292" s="11"/>
      <c r="P292" s="7"/>
    </row>
    <row r="293" spans="1:16" x14ac:dyDescent="0.35">
      <c r="A293" s="7"/>
      <c r="C293" s="30" t="str">
        <f>IF(指数列表!B290="","",指数列表!B290)</f>
        <v/>
      </c>
      <c r="D293" s="35" t="str">
        <f>IF(C293="","",[1]!s_info_name(C293))</f>
        <v/>
      </c>
      <c r="E293" s="24" t="str">
        <f>IF(C293="","",[1]!s_dq_close(C293,$N$1))</f>
        <v/>
      </c>
      <c r="F293" s="28" t="str">
        <f>IF($C293=""," ",[1]!i_pq_pctchange($C293,F$6,$N$1))</f>
        <v xml:space="preserve"> </v>
      </c>
      <c r="G293" s="28" t="str">
        <f>IF($C293=""," ",[1]!i_pq_pctchange($C293,G$6,$N$1))</f>
        <v xml:space="preserve"> </v>
      </c>
      <c r="H293" s="28" t="str">
        <f>IF($C293=""," ",[1]!i_pq_pctchange($C293,H$6,$N$1))</f>
        <v xml:space="preserve"> </v>
      </c>
      <c r="I293" s="28" t="str">
        <f>IF($C293=""," ",[1]!i_pq_pctchange($C293,I$6,$N$1))</f>
        <v xml:space="preserve"> </v>
      </c>
      <c r="J293" s="28" t="str">
        <f>IF($C293=""," ",[1]!i_pq_pctchange($C293,J$6,$N$1))</f>
        <v xml:space="preserve"> </v>
      </c>
      <c r="K293" s="28" t="str">
        <f>IF($C293=""," ",[1]!i_pq_pctchange($C293,K$6,$N$1))</f>
        <v xml:space="preserve"> </v>
      </c>
      <c r="L293" s="28" t="str">
        <f>IF(C293=""," ",[1]!s_wq_pctchange($C293,$N$1))</f>
        <v xml:space="preserve"> </v>
      </c>
      <c r="M293" s="28" t="str">
        <f>IF(C293=""," ",[1]!s_mq_pctchange($C293,$N$1))</f>
        <v xml:space="preserve"> </v>
      </c>
      <c r="N293" s="28" t="str">
        <f>IF(C293=""," ",[1]!s_yq_pctchange($C293,$N$1))</f>
        <v xml:space="preserve"> </v>
      </c>
      <c r="O293" s="11"/>
      <c r="P293" s="7"/>
    </row>
    <row r="294" spans="1:16" x14ac:dyDescent="0.35">
      <c r="A294" s="7"/>
      <c r="C294" s="31" t="str">
        <f>IF(指数列表!B291="","",指数列表!B291)</f>
        <v/>
      </c>
      <c r="D294" s="36" t="str">
        <f>IF(C294="","",[1]!s_info_name(C294))</f>
        <v/>
      </c>
      <c r="E294" s="25" t="str">
        <f>IF(C294="","",[1]!s_dq_close(C294,$N$1))</f>
        <v/>
      </c>
      <c r="F294" s="28" t="str">
        <f>IF($C294=""," ",[1]!i_pq_pctchange($C294,F$6,$N$1))</f>
        <v xml:space="preserve"> </v>
      </c>
      <c r="G294" s="28" t="str">
        <f>IF($C294=""," ",[1]!i_pq_pctchange($C294,G$6,$N$1))</f>
        <v xml:space="preserve"> </v>
      </c>
      <c r="H294" s="28" t="str">
        <f>IF($C294=""," ",[1]!i_pq_pctchange($C294,H$6,$N$1))</f>
        <v xml:space="preserve"> </v>
      </c>
      <c r="I294" s="28" t="str">
        <f>IF($C294=""," ",[1]!i_pq_pctchange($C294,I$6,$N$1))</f>
        <v xml:space="preserve"> </v>
      </c>
      <c r="J294" s="28" t="str">
        <f>IF($C294=""," ",[1]!i_pq_pctchange($C294,J$6,$N$1))</f>
        <v xml:space="preserve"> </v>
      </c>
      <c r="K294" s="28" t="str">
        <f>IF($C294=""," ",[1]!i_pq_pctchange($C294,K$6,$N$1))</f>
        <v xml:space="preserve"> </v>
      </c>
      <c r="L294" s="28" t="str">
        <f>IF(C294=""," ",[1]!s_wq_pctchange($C294,$N$1))</f>
        <v xml:space="preserve"> </v>
      </c>
      <c r="M294" s="28" t="str">
        <f>IF(C294=""," ",[1]!s_mq_pctchange($C294,$N$1))</f>
        <v xml:space="preserve"> </v>
      </c>
      <c r="N294" s="28" t="str">
        <f>IF(C294=""," ",[1]!s_yq_pctchange($C294,$N$1))</f>
        <v xml:space="preserve"> </v>
      </c>
      <c r="O294" s="11"/>
      <c r="P294" s="7"/>
    </row>
    <row r="295" spans="1:16" x14ac:dyDescent="0.35">
      <c r="A295" s="7"/>
      <c r="C295" s="30" t="str">
        <f>IF(指数列表!B292="","",指数列表!B292)</f>
        <v/>
      </c>
      <c r="D295" s="35" t="str">
        <f>IF(C295="","",[1]!s_info_name(C295))</f>
        <v/>
      </c>
      <c r="E295" s="24" t="str">
        <f>IF(C295="","",[1]!s_dq_close(C295,$N$1))</f>
        <v/>
      </c>
      <c r="F295" s="28" t="str">
        <f>IF($C295=""," ",[1]!i_pq_pctchange($C295,F$6,$N$1))</f>
        <v xml:space="preserve"> </v>
      </c>
      <c r="G295" s="28" t="str">
        <f>IF($C295=""," ",[1]!i_pq_pctchange($C295,G$6,$N$1))</f>
        <v xml:space="preserve"> </v>
      </c>
      <c r="H295" s="28" t="str">
        <f>IF($C295=""," ",[1]!i_pq_pctchange($C295,H$6,$N$1))</f>
        <v xml:space="preserve"> </v>
      </c>
      <c r="I295" s="28" t="str">
        <f>IF($C295=""," ",[1]!i_pq_pctchange($C295,I$6,$N$1))</f>
        <v xml:space="preserve"> </v>
      </c>
      <c r="J295" s="28" t="str">
        <f>IF($C295=""," ",[1]!i_pq_pctchange($C295,J$6,$N$1))</f>
        <v xml:space="preserve"> </v>
      </c>
      <c r="K295" s="28" t="str">
        <f>IF($C295=""," ",[1]!i_pq_pctchange($C295,K$6,$N$1))</f>
        <v xml:space="preserve"> </v>
      </c>
      <c r="L295" s="28" t="str">
        <f>IF(C295=""," ",[1]!s_wq_pctchange($C295,$N$1))</f>
        <v xml:space="preserve"> </v>
      </c>
      <c r="M295" s="28" t="str">
        <f>IF(C295=""," ",[1]!s_mq_pctchange($C295,$N$1))</f>
        <v xml:space="preserve"> </v>
      </c>
      <c r="N295" s="28" t="str">
        <f>IF(C295=""," ",[1]!s_yq_pctchange($C295,$N$1))</f>
        <v xml:space="preserve"> </v>
      </c>
      <c r="O295" s="11"/>
      <c r="P295" s="7"/>
    </row>
    <row r="296" spans="1:16" x14ac:dyDescent="0.35">
      <c r="A296" s="7"/>
      <c r="C296" s="31" t="str">
        <f>IF(指数列表!B293="","",指数列表!B293)</f>
        <v/>
      </c>
      <c r="D296" s="36" t="str">
        <f>IF(C296="","",[1]!s_info_name(C296))</f>
        <v/>
      </c>
      <c r="E296" s="25" t="str">
        <f>IF(C296="","",[1]!s_dq_close(C296,$N$1))</f>
        <v/>
      </c>
      <c r="F296" s="28" t="str">
        <f>IF($C296=""," ",[1]!i_pq_pctchange($C296,F$6,$N$1))</f>
        <v xml:space="preserve"> </v>
      </c>
      <c r="G296" s="28" t="str">
        <f>IF($C296=""," ",[1]!i_pq_pctchange($C296,G$6,$N$1))</f>
        <v xml:space="preserve"> </v>
      </c>
      <c r="H296" s="28" t="str">
        <f>IF($C296=""," ",[1]!i_pq_pctchange($C296,H$6,$N$1))</f>
        <v xml:space="preserve"> </v>
      </c>
      <c r="I296" s="28" t="str">
        <f>IF($C296=""," ",[1]!i_pq_pctchange($C296,I$6,$N$1))</f>
        <v xml:space="preserve"> </v>
      </c>
      <c r="J296" s="28" t="str">
        <f>IF($C296=""," ",[1]!i_pq_pctchange($C296,J$6,$N$1))</f>
        <v xml:space="preserve"> </v>
      </c>
      <c r="K296" s="28" t="str">
        <f>IF($C296=""," ",[1]!i_pq_pctchange($C296,K$6,$N$1))</f>
        <v xml:space="preserve"> </v>
      </c>
      <c r="L296" s="28" t="str">
        <f>IF(C296=""," ",[1]!s_wq_pctchange($C296,$N$1))</f>
        <v xml:space="preserve"> </v>
      </c>
      <c r="M296" s="28" t="str">
        <f>IF(C296=""," ",[1]!s_mq_pctchange($C296,$N$1))</f>
        <v xml:space="preserve"> </v>
      </c>
      <c r="N296" s="28" t="str">
        <f>IF(C296=""," ",[1]!s_yq_pctchange($C296,$N$1))</f>
        <v xml:space="preserve"> </v>
      </c>
      <c r="O296" s="11"/>
      <c r="P296" s="7"/>
    </row>
    <row r="297" spans="1:16" x14ac:dyDescent="0.35">
      <c r="A297" s="7"/>
      <c r="C297" s="30" t="str">
        <f>IF(指数列表!B294="","",指数列表!B294)</f>
        <v/>
      </c>
      <c r="D297" s="35" t="str">
        <f>IF(C297="","",[1]!s_info_name(C297))</f>
        <v/>
      </c>
      <c r="E297" s="24" t="str">
        <f>IF(C297="","",[1]!s_dq_close(C297,$N$1))</f>
        <v/>
      </c>
      <c r="F297" s="28" t="str">
        <f>IF($C297=""," ",[1]!i_pq_pctchange($C297,F$6,$N$1))</f>
        <v xml:space="preserve"> </v>
      </c>
      <c r="G297" s="28" t="str">
        <f>IF($C297=""," ",[1]!i_pq_pctchange($C297,G$6,$N$1))</f>
        <v xml:space="preserve"> </v>
      </c>
      <c r="H297" s="28" t="str">
        <f>IF($C297=""," ",[1]!i_pq_pctchange($C297,H$6,$N$1))</f>
        <v xml:space="preserve"> </v>
      </c>
      <c r="I297" s="28" t="str">
        <f>IF($C297=""," ",[1]!i_pq_pctchange($C297,I$6,$N$1))</f>
        <v xml:space="preserve"> </v>
      </c>
      <c r="J297" s="28" t="str">
        <f>IF($C297=""," ",[1]!i_pq_pctchange($C297,J$6,$N$1))</f>
        <v xml:space="preserve"> </v>
      </c>
      <c r="K297" s="28" t="str">
        <f>IF($C297=""," ",[1]!i_pq_pctchange($C297,K$6,$N$1))</f>
        <v xml:space="preserve"> </v>
      </c>
      <c r="L297" s="28" t="str">
        <f>IF(C297=""," ",[1]!s_wq_pctchange($C297,$N$1))</f>
        <v xml:space="preserve"> </v>
      </c>
      <c r="M297" s="28" t="str">
        <f>IF(C297=""," ",[1]!s_mq_pctchange($C297,$N$1))</f>
        <v xml:space="preserve"> </v>
      </c>
      <c r="N297" s="28" t="str">
        <f>IF(C297=""," ",[1]!s_yq_pctchange($C297,$N$1))</f>
        <v xml:space="preserve"> </v>
      </c>
      <c r="O297" s="11"/>
      <c r="P297" s="7"/>
    </row>
    <row r="298" spans="1:16" x14ac:dyDescent="0.35">
      <c r="A298" s="7"/>
      <c r="C298" s="31" t="str">
        <f>IF(指数列表!B295="","",指数列表!B295)</f>
        <v/>
      </c>
      <c r="D298" s="36" t="str">
        <f>IF(C298="","",[1]!s_info_name(C298))</f>
        <v/>
      </c>
      <c r="E298" s="25" t="str">
        <f>IF(C298="","",[1]!s_dq_close(C298,$N$1))</f>
        <v/>
      </c>
      <c r="F298" s="28" t="str">
        <f>IF($C298=""," ",[1]!i_pq_pctchange($C298,F$6,$N$1))</f>
        <v xml:space="preserve"> </v>
      </c>
      <c r="G298" s="28" t="str">
        <f>IF($C298=""," ",[1]!i_pq_pctchange($C298,G$6,$N$1))</f>
        <v xml:space="preserve"> </v>
      </c>
      <c r="H298" s="28" t="str">
        <f>IF($C298=""," ",[1]!i_pq_pctchange($C298,H$6,$N$1))</f>
        <v xml:space="preserve"> </v>
      </c>
      <c r="I298" s="28" t="str">
        <f>IF($C298=""," ",[1]!i_pq_pctchange($C298,I$6,$N$1))</f>
        <v xml:space="preserve"> </v>
      </c>
      <c r="J298" s="28" t="str">
        <f>IF($C298=""," ",[1]!i_pq_pctchange($C298,J$6,$N$1))</f>
        <v xml:space="preserve"> </v>
      </c>
      <c r="K298" s="28" t="str">
        <f>IF($C298=""," ",[1]!i_pq_pctchange($C298,K$6,$N$1))</f>
        <v xml:space="preserve"> </v>
      </c>
      <c r="L298" s="28" t="str">
        <f>IF(C298=""," ",[1]!s_wq_pctchange($C298,$N$1))</f>
        <v xml:space="preserve"> </v>
      </c>
      <c r="M298" s="28" t="str">
        <f>IF(C298=""," ",[1]!s_mq_pctchange($C298,$N$1))</f>
        <v xml:space="preserve"> </v>
      </c>
      <c r="N298" s="28" t="str">
        <f>IF(C298=""," ",[1]!s_yq_pctchange($C298,$N$1))</f>
        <v xml:space="preserve"> </v>
      </c>
      <c r="O298" s="11"/>
      <c r="P298" s="7"/>
    </row>
    <row r="299" spans="1:16" x14ac:dyDescent="0.35">
      <c r="A299" s="7"/>
      <c r="C299" s="30" t="str">
        <f>IF(指数列表!B296="","",指数列表!B296)</f>
        <v/>
      </c>
      <c r="D299" s="35" t="str">
        <f>IF(C299="","",[1]!s_info_name(C299))</f>
        <v/>
      </c>
      <c r="E299" s="24" t="str">
        <f>IF(C299="","",[1]!s_dq_close(C299,$N$1))</f>
        <v/>
      </c>
      <c r="F299" s="28" t="str">
        <f>IF($C299=""," ",[1]!i_pq_pctchange($C299,F$6,$N$1))</f>
        <v xml:space="preserve"> </v>
      </c>
      <c r="G299" s="28" t="str">
        <f>IF($C299=""," ",[1]!i_pq_pctchange($C299,G$6,$N$1))</f>
        <v xml:space="preserve"> </v>
      </c>
      <c r="H299" s="28" t="str">
        <f>IF($C299=""," ",[1]!i_pq_pctchange($C299,H$6,$N$1))</f>
        <v xml:space="preserve"> </v>
      </c>
      <c r="I299" s="28" t="str">
        <f>IF($C299=""," ",[1]!i_pq_pctchange($C299,I$6,$N$1))</f>
        <v xml:space="preserve"> </v>
      </c>
      <c r="J299" s="28" t="str">
        <f>IF($C299=""," ",[1]!i_pq_pctchange($C299,J$6,$N$1))</f>
        <v xml:space="preserve"> </v>
      </c>
      <c r="K299" s="28" t="str">
        <f>IF($C299=""," ",[1]!i_pq_pctchange($C299,K$6,$N$1))</f>
        <v xml:space="preserve"> </v>
      </c>
      <c r="L299" s="28" t="str">
        <f>IF(C299=""," ",[1]!s_wq_pctchange($C299,$N$1))</f>
        <v xml:space="preserve"> </v>
      </c>
      <c r="M299" s="28" t="str">
        <f>IF(C299=""," ",[1]!s_mq_pctchange($C299,$N$1))</f>
        <v xml:space="preserve"> </v>
      </c>
      <c r="N299" s="28" t="str">
        <f>IF(C299=""," ",[1]!s_yq_pctchange($C299,$N$1))</f>
        <v xml:space="preserve"> </v>
      </c>
      <c r="O299" s="11"/>
      <c r="P299" s="7"/>
    </row>
    <row r="300" spans="1:16" x14ac:dyDescent="0.35">
      <c r="A300" s="7"/>
      <c r="C300" s="31" t="str">
        <f>IF(指数列表!B297="","",指数列表!B297)</f>
        <v/>
      </c>
      <c r="D300" s="36" t="str">
        <f>IF(C300="","",[1]!s_info_name(C300))</f>
        <v/>
      </c>
      <c r="E300" s="25" t="str">
        <f>IF(C300="","",[1]!s_dq_close(C300,$N$1))</f>
        <v/>
      </c>
      <c r="F300" s="28" t="str">
        <f>IF($C300=""," ",[1]!i_pq_pctchange($C300,F$6,$N$1))</f>
        <v xml:space="preserve"> </v>
      </c>
      <c r="G300" s="28" t="str">
        <f>IF($C300=""," ",[1]!i_pq_pctchange($C300,G$6,$N$1))</f>
        <v xml:space="preserve"> </v>
      </c>
      <c r="H300" s="28" t="str">
        <f>IF($C300=""," ",[1]!i_pq_pctchange($C300,H$6,$N$1))</f>
        <v xml:space="preserve"> </v>
      </c>
      <c r="I300" s="28" t="str">
        <f>IF($C300=""," ",[1]!i_pq_pctchange($C300,I$6,$N$1))</f>
        <v xml:space="preserve"> </v>
      </c>
      <c r="J300" s="28" t="str">
        <f>IF($C300=""," ",[1]!i_pq_pctchange($C300,J$6,$N$1))</f>
        <v xml:space="preserve"> </v>
      </c>
      <c r="K300" s="28" t="str">
        <f>IF($C300=""," ",[1]!i_pq_pctchange($C300,K$6,$N$1))</f>
        <v xml:space="preserve"> </v>
      </c>
      <c r="L300" s="28" t="str">
        <f>IF(C300=""," ",[1]!s_wq_pctchange($C300,$N$1))</f>
        <v xml:space="preserve"> </v>
      </c>
      <c r="M300" s="28" t="str">
        <f>IF(C300=""," ",[1]!s_mq_pctchange($C300,$N$1))</f>
        <v xml:space="preserve"> </v>
      </c>
      <c r="N300" s="28" t="str">
        <f>IF(C300=""," ",[1]!s_yq_pctchange($C300,$N$1))</f>
        <v xml:space="preserve"> </v>
      </c>
      <c r="O300" s="11"/>
      <c r="P300" s="7"/>
    </row>
    <row r="301" spans="1:16" x14ac:dyDescent="0.35">
      <c r="A301" s="7"/>
      <c r="C301" s="30" t="str">
        <f>IF(指数列表!B298="","",指数列表!B298)</f>
        <v/>
      </c>
      <c r="D301" s="35" t="str">
        <f>IF(C301="","",[1]!s_info_name(C301))</f>
        <v/>
      </c>
      <c r="E301" s="24" t="str">
        <f>IF(C301="","",[1]!s_dq_close(C301,$N$1))</f>
        <v/>
      </c>
      <c r="F301" s="28" t="str">
        <f>IF($C301=""," ",[1]!i_pq_pctchange($C301,F$6,$N$1))</f>
        <v xml:space="preserve"> </v>
      </c>
      <c r="G301" s="28" t="str">
        <f>IF($C301=""," ",[1]!i_pq_pctchange($C301,G$6,$N$1))</f>
        <v xml:space="preserve"> </v>
      </c>
      <c r="H301" s="28" t="str">
        <f>IF($C301=""," ",[1]!i_pq_pctchange($C301,H$6,$N$1))</f>
        <v xml:space="preserve"> </v>
      </c>
      <c r="I301" s="28" t="str">
        <f>IF($C301=""," ",[1]!i_pq_pctchange($C301,I$6,$N$1))</f>
        <v xml:space="preserve"> </v>
      </c>
      <c r="J301" s="28" t="str">
        <f>IF($C301=""," ",[1]!i_pq_pctchange($C301,J$6,$N$1))</f>
        <v xml:space="preserve"> </v>
      </c>
      <c r="K301" s="28" t="str">
        <f>IF($C301=""," ",[1]!i_pq_pctchange($C301,K$6,$N$1))</f>
        <v xml:space="preserve"> </v>
      </c>
      <c r="L301" s="28" t="str">
        <f>IF(C301=""," ",[1]!s_wq_pctchange($C301,$N$1))</f>
        <v xml:space="preserve"> </v>
      </c>
      <c r="M301" s="28" t="str">
        <f>IF(C301=""," ",[1]!s_mq_pctchange($C301,$N$1))</f>
        <v xml:space="preserve"> </v>
      </c>
      <c r="N301" s="28" t="str">
        <f>IF(C301=""," ",[1]!s_yq_pctchange($C301,$N$1))</f>
        <v xml:space="preserve"> </v>
      </c>
      <c r="O301" s="11"/>
      <c r="P301" s="7"/>
    </row>
    <row r="302" spans="1:16" x14ac:dyDescent="0.35">
      <c r="A302" s="7"/>
      <c r="C302" s="31" t="str">
        <f>IF(指数列表!B299="","",指数列表!B299)</f>
        <v/>
      </c>
      <c r="D302" s="36" t="str">
        <f>IF(C302="","",[1]!s_info_name(C302))</f>
        <v/>
      </c>
      <c r="E302" s="25" t="str">
        <f>IF(C302="","",[1]!s_dq_close(C302,$N$1))</f>
        <v/>
      </c>
      <c r="F302" s="28" t="str">
        <f>IF($C302=""," ",[1]!i_pq_pctchange($C302,F$6,$N$1))</f>
        <v xml:space="preserve"> </v>
      </c>
      <c r="G302" s="28" t="str">
        <f>IF($C302=""," ",[1]!i_pq_pctchange($C302,G$6,$N$1))</f>
        <v xml:space="preserve"> </v>
      </c>
      <c r="H302" s="28" t="str">
        <f>IF($C302=""," ",[1]!i_pq_pctchange($C302,H$6,$N$1))</f>
        <v xml:space="preserve"> </v>
      </c>
      <c r="I302" s="28" t="str">
        <f>IF($C302=""," ",[1]!i_pq_pctchange($C302,I$6,$N$1))</f>
        <v xml:space="preserve"> </v>
      </c>
      <c r="J302" s="28" t="str">
        <f>IF($C302=""," ",[1]!i_pq_pctchange($C302,J$6,$N$1))</f>
        <v xml:space="preserve"> </v>
      </c>
      <c r="K302" s="28" t="str">
        <f>IF($C302=""," ",[1]!i_pq_pctchange($C302,K$6,$N$1))</f>
        <v xml:space="preserve"> </v>
      </c>
      <c r="L302" s="28" t="str">
        <f>IF(C302=""," ",[1]!s_wq_pctchange($C302,$N$1))</f>
        <v xml:space="preserve"> </v>
      </c>
      <c r="M302" s="28" t="str">
        <f>IF(C302=""," ",[1]!s_mq_pctchange($C302,$N$1))</f>
        <v xml:space="preserve"> </v>
      </c>
      <c r="N302" s="28" t="str">
        <f>IF(C302=""," ",[1]!s_yq_pctchange($C302,$N$1))</f>
        <v xml:space="preserve"> </v>
      </c>
      <c r="O302" s="11"/>
      <c r="P302" s="7"/>
    </row>
    <row r="303" spans="1:16" x14ac:dyDescent="0.35">
      <c r="A303" s="7"/>
      <c r="C303" s="30" t="str">
        <f>IF(指数列表!B300="","",指数列表!B300)</f>
        <v/>
      </c>
      <c r="D303" s="35" t="str">
        <f>IF(C303="","",[1]!s_info_name(C303))</f>
        <v/>
      </c>
      <c r="E303" s="24" t="str">
        <f>IF(C303="","",[1]!s_dq_close(C303,$N$1))</f>
        <v/>
      </c>
      <c r="F303" s="28" t="str">
        <f>IF($C303=""," ",[1]!i_pq_pctchange($C303,F$6,$N$1))</f>
        <v xml:space="preserve"> </v>
      </c>
      <c r="G303" s="28" t="str">
        <f>IF($C303=""," ",[1]!i_pq_pctchange($C303,G$6,$N$1))</f>
        <v xml:space="preserve"> </v>
      </c>
      <c r="H303" s="28" t="str">
        <f>IF($C303=""," ",[1]!i_pq_pctchange($C303,H$6,$N$1))</f>
        <v xml:space="preserve"> </v>
      </c>
      <c r="I303" s="28" t="str">
        <f>IF($C303=""," ",[1]!i_pq_pctchange($C303,I$6,$N$1))</f>
        <v xml:space="preserve"> </v>
      </c>
      <c r="J303" s="28" t="str">
        <f>IF($C303=""," ",[1]!i_pq_pctchange($C303,J$6,$N$1))</f>
        <v xml:space="preserve"> </v>
      </c>
      <c r="K303" s="28" t="str">
        <f>IF($C303=""," ",[1]!i_pq_pctchange($C303,K$6,$N$1))</f>
        <v xml:space="preserve"> </v>
      </c>
      <c r="L303" s="28" t="str">
        <f>IF(C303=""," ",[1]!s_wq_pctchange($C303,$N$1))</f>
        <v xml:space="preserve"> </v>
      </c>
      <c r="M303" s="28" t="str">
        <f>IF(C303=""," ",[1]!s_mq_pctchange($C303,$N$1))</f>
        <v xml:space="preserve"> </v>
      </c>
      <c r="N303" s="28" t="str">
        <f>IF(C303=""," ",[1]!s_yq_pctchange($C303,$N$1))</f>
        <v xml:space="preserve"> </v>
      </c>
      <c r="O303" s="11"/>
      <c r="P303" s="7"/>
    </row>
    <row r="304" spans="1:16" x14ac:dyDescent="0.35">
      <c r="A304" s="7"/>
      <c r="C304" s="31" t="str">
        <f>IF(指数列表!B301="","",指数列表!B301)</f>
        <v/>
      </c>
      <c r="D304" s="36" t="str">
        <f>IF(C304="","",[1]!s_info_name(C304))</f>
        <v/>
      </c>
      <c r="E304" s="25" t="str">
        <f>IF(C304="","",[1]!s_dq_close(C304,$N$1))</f>
        <v/>
      </c>
      <c r="F304" s="28" t="str">
        <f>IF($C304=""," ",[1]!i_pq_pctchange($C304,F$6,$N$1))</f>
        <v xml:space="preserve"> </v>
      </c>
      <c r="G304" s="28" t="str">
        <f>IF($C304=""," ",[1]!i_pq_pctchange($C304,G$6,$N$1))</f>
        <v xml:space="preserve"> </v>
      </c>
      <c r="H304" s="28" t="str">
        <f>IF($C304=""," ",[1]!i_pq_pctchange($C304,H$6,$N$1))</f>
        <v xml:space="preserve"> </v>
      </c>
      <c r="I304" s="28" t="str">
        <f>IF($C304=""," ",[1]!i_pq_pctchange($C304,I$6,$N$1))</f>
        <v xml:space="preserve"> </v>
      </c>
      <c r="J304" s="28" t="str">
        <f>IF($C304=""," ",[1]!i_pq_pctchange($C304,J$6,$N$1))</f>
        <v xml:space="preserve"> </v>
      </c>
      <c r="K304" s="28" t="str">
        <f>IF($C304=""," ",[1]!i_pq_pctchange($C304,K$6,$N$1))</f>
        <v xml:space="preserve"> </v>
      </c>
      <c r="L304" s="28" t="str">
        <f>IF(C304=""," ",[1]!s_wq_pctchange($C304,$N$1))</f>
        <v xml:space="preserve"> </v>
      </c>
      <c r="M304" s="28" t="str">
        <f>IF(C304=""," ",[1]!s_mq_pctchange($C304,$N$1))</f>
        <v xml:space="preserve"> </v>
      </c>
      <c r="N304" s="28" t="str">
        <f>IF(C304=""," ",[1]!s_yq_pctchange($C304,$N$1))</f>
        <v xml:space="preserve"> </v>
      </c>
      <c r="O304" s="11"/>
      <c r="P304" s="7"/>
    </row>
    <row r="305" spans="1:16" x14ac:dyDescent="0.35">
      <c r="A305" s="7"/>
      <c r="C305" s="30" t="str">
        <f>IF(指数列表!B302="","",指数列表!B302)</f>
        <v/>
      </c>
      <c r="D305" s="35" t="str">
        <f>IF(C305="","",[1]!s_info_name(C305))</f>
        <v/>
      </c>
      <c r="E305" s="24" t="str">
        <f>IF(C305="","",[1]!s_dq_close(C305,$N$1))</f>
        <v/>
      </c>
      <c r="F305" s="28" t="str">
        <f>IF($C305=""," ",[1]!i_pq_pctchange($C305,F$6,$N$1))</f>
        <v xml:space="preserve"> </v>
      </c>
      <c r="G305" s="28" t="str">
        <f>IF($C305=""," ",[1]!i_pq_pctchange($C305,G$6,$N$1))</f>
        <v xml:space="preserve"> </v>
      </c>
      <c r="H305" s="28" t="str">
        <f>IF($C305=""," ",[1]!i_pq_pctchange($C305,H$6,$N$1))</f>
        <v xml:space="preserve"> </v>
      </c>
      <c r="I305" s="28" t="str">
        <f>IF($C305=""," ",[1]!i_pq_pctchange($C305,I$6,$N$1))</f>
        <v xml:space="preserve"> </v>
      </c>
      <c r="J305" s="28" t="str">
        <f>IF($C305=""," ",[1]!i_pq_pctchange($C305,J$6,$N$1))</f>
        <v xml:space="preserve"> </v>
      </c>
      <c r="K305" s="28" t="str">
        <f>IF($C305=""," ",[1]!i_pq_pctchange($C305,K$6,$N$1))</f>
        <v xml:space="preserve"> </v>
      </c>
      <c r="L305" s="28" t="str">
        <f>IF(C305=""," ",[1]!s_wq_pctchange($C305,$N$1))</f>
        <v xml:space="preserve"> </v>
      </c>
      <c r="M305" s="28" t="str">
        <f>IF(C305=""," ",[1]!s_mq_pctchange($C305,$N$1))</f>
        <v xml:space="preserve"> </v>
      </c>
      <c r="N305" s="28" t="str">
        <f>IF(C305=""," ",[1]!s_yq_pctchange($C305,$N$1))</f>
        <v xml:space="preserve"> </v>
      </c>
      <c r="O305" s="11"/>
      <c r="P305" s="7"/>
    </row>
    <row r="306" spans="1:16" x14ac:dyDescent="0.35">
      <c r="A306" s="7"/>
      <c r="C306" s="31" t="str">
        <f>IF(指数列表!B303="","",指数列表!B303)</f>
        <v/>
      </c>
      <c r="D306" s="36" t="str">
        <f>IF(C306="","",[1]!s_info_name(C306))</f>
        <v/>
      </c>
      <c r="E306" s="25" t="str">
        <f>IF(C306="","",[1]!s_dq_close(C306,$N$1))</f>
        <v/>
      </c>
      <c r="F306" s="28" t="str">
        <f>IF($C306=""," ",[1]!i_pq_pctchange($C306,F$6,$N$1))</f>
        <v xml:space="preserve"> </v>
      </c>
      <c r="G306" s="28" t="str">
        <f>IF($C306=""," ",[1]!i_pq_pctchange($C306,G$6,$N$1))</f>
        <v xml:space="preserve"> </v>
      </c>
      <c r="H306" s="28" t="str">
        <f>IF($C306=""," ",[1]!i_pq_pctchange($C306,H$6,$N$1))</f>
        <v xml:space="preserve"> </v>
      </c>
      <c r="I306" s="28" t="str">
        <f>IF($C306=""," ",[1]!i_pq_pctchange($C306,I$6,$N$1))</f>
        <v xml:space="preserve"> </v>
      </c>
      <c r="J306" s="28" t="str">
        <f>IF($C306=""," ",[1]!i_pq_pctchange($C306,J$6,$N$1))</f>
        <v xml:space="preserve"> </v>
      </c>
      <c r="K306" s="28" t="str">
        <f>IF($C306=""," ",[1]!i_pq_pctchange($C306,K$6,$N$1))</f>
        <v xml:space="preserve"> </v>
      </c>
      <c r="L306" s="28" t="str">
        <f>IF(C306=""," ",[1]!s_wq_pctchange($C306,$N$1))</f>
        <v xml:space="preserve"> </v>
      </c>
      <c r="M306" s="28" t="str">
        <f>IF(C306=""," ",[1]!s_mq_pctchange($C306,$N$1))</f>
        <v xml:space="preserve"> </v>
      </c>
      <c r="N306" s="28" t="str">
        <f>IF(C306=""," ",[1]!s_yq_pctchange($C306,$N$1))</f>
        <v xml:space="preserve"> </v>
      </c>
      <c r="O306" s="11"/>
      <c r="P306" s="7"/>
    </row>
    <row r="307" spans="1:16" x14ac:dyDescent="0.35">
      <c r="A307" s="7"/>
      <c r="C307" s="30" t="str">
        <f>IF(指数列表!B304="","",指数列表!B304)</f>
        <v/>
      </c>
      <c r="D307" s="35" t="str">
        <f>IF(C307="","",[1]!s_info_name(C307))</f>
        <v/>
      </c>
      <c r="E307" s="24" t="str">
        <f>IF(C307="","",[1]!s_dq_close(C307,$N$1))</f>
        <v/>
      </c>
      <c r="F307" s="28" t="str">
        <f>IF($C307=""," ",[1]!i_pq_pctchange($C307,F$6,$N$1))</f>
        <v xml:space="preserve"> </v>
      </c>
      <c r="G307" s="28" t="str">
        <f>IF($C307=""," ",[1]!i_pq_pctchange($C307,G$6,$N$1))</f>
        <v xml:space="preserve"> </v>
      </c>
      <c r="H307" s="28" t="str">
        <f>IF($C307=""," ",[1]!i_pq_pctchange($C307,H$6,$N$1))</f>
        <v xml:space="preserve"> </v>
      </c>
      <c r="I307" s="28" t="str">
        <f>IF($C307=""," ",[1]!i_pq_pctchange($C307,I$6,$N$1))</f>
        <v xml:space="preserve"> </v>
      </c>
      <c r="J307" s="28" t="str">
        <f>IF($C307=""," ",[1]!i_pq_pctchange($C307,J$6,$N$1))</f>
        <v xml:space="preserve"> </v>
      </c>
      <c r="K307" s="28" t="str">
        <f>IF($C307=""," ",[1]!i_pq_pctchange($C307,K$6,$N$1))</f>
        <v xml:space="preserve"> </v>
      </c>
      <c r="L307" s="28" t="str">
        <f>IF(C307=""," ",[1]!s_wq_pctchange($C307,$N$1))</f>
        <v xml:space="preserve"> </v>
      </c>
      <c r="M307" s="28" t="str">
        <f>IF(C307=""," ",[1]!s_mq_pctchange($C307,$N$1))</f>
        <v xml:space="preserve"> </v>
      </c>
      <c r="N307" s="28" t="str">
        <f>IF(C307=""," ",[1]!s_yq_pctchange($C307,$N$1))</f>
        <v xml:space="preserve"> </v>
      </c>
      <c r="O307" s="11"/>
      <c r="P307" s="7"/>
    </row>
    <row r="308" spans="1:16" x14ac:dyDescent="0.35">
      <c r="A308" s="7"/>
      <c r="C308" s="31" t="str">
        <f>IF(指数列表!B305="","",指数列表!B305)</f>
        <v/>
      </c>
      <c r="D308" s="36" t="str">
        <f>IF(C308="","",[1]!s_info_name(C308))</f>
        <v/>
      </c>
      <c r="E308" s="25" t="str">
        <f>IF(C308="","",[1]!s_dq_close(C308,$N$1))</f>
        <v/>
      </c>
      <c r="F308" s="28" t="str">
        <f>IF($C308=""," ",[1]!i_pq_pctchange($C308,F$6,$N$1))</f>
        <v xml:space="preserve"> </v>
      </c>
      <c r="G308" s="28" t="str">
        <f>IF($C308=""," ",[1]!i_pq_pctchange($C308,G$6,$N$1))</f>
        <v xml:space="preserve"> </v>
      </c>
      <c r="H308" s="28" t="str">
        <f>IF($C308=""," ",[1]!i_pq_pctchange($C308,H$6,$N$1))</f>
        <v xml:space="preserve"> </v>
      </c>
      <c r="I308" s="28" t="str">
        <f>IF($C308=""," ",[1]!i_pq_pctchange($C308,I$6,$N$1))</f>
        <v xml:space="preserve"> </v>
      </c>
      <c r="J308" s="28" t="str">
        <f>IF($C308=""," ",[1]!i_pq_pctchange($C308,J$6,$N$1))</f>
        <v xml:space="preserve"> </v>
      </c>
      <c r="K308" s="28" t="str">
        <f>IF($C308=""," ",[1]!i_pq_pctchange($C308,K$6,$N$1))</f>
        <v xml:space="preserve"> </v>
      </c>
      <c r="L308" s="28" t="str">
        <f>IF(C308=""," ",[1]!s_wq_pctchange($C308,$N$1))</f>
        <v xml:space="preserve"> </v>
      </c>
      <c r="M308" s="28" t="str">
        <f>IF(C308=""," ",[1]!s_mq_pctchange($C308,$N$1))</f>
        <v xml:space="preserve"> </v>
      </c>
      <c r="N308" s="28" t="str">
        <f>IF(C308=""," ",[1]!s_yq_pctchange($C308,$N$1))</f>
        <v xml:space="preserve"> </v>
      </c>
      <c r="O308" s="11"/>
      <c r="P308" s="7"/>
    </row>
    <row r="309" spans="1:16" x14ac:dyDescent="0.35">
      <c r="A309" s="7"/>
      <c r="C309" s="30" t="str">
        <f>IF(指数列表!B306="","",指数列表!B306)</f>
        <v/>
      </c>
      <c r="D309" s="35" t="str">
        <f>IF(C309="","",[1]!s_info_name(C309))</f>
        <v/>
      </c>
      <c r="E309" s="24" t="str">
        <f>IF(C309="","",[1]!s_dq_close(C309,$N$1))</f>
        <v/>
      </c>
      <c r="F309" s="28" t="str">
        <f>IF($C309=""," ",[1]!i_pq_pctchange($C309,F$6,$N$1))</f>
        <v xml:space="preserve"> </v>
      </c>
      <c r="G309" s="28" t="str">
        <f>IF($C309=""," ",[1]!i_pq_pctchange($C309,G$6,$N$1))</f>
        <v xml:space="preserve"> </v>
      </c>
      <c r="H309" s="28" t="str">
        <f>IF($C309=""," ",[1]!i_pq_pctchange($C309,H$6,$N$1))</f>
        <v xml:space="preserve"> </v>
      </c>
      <c r="I309" s="28" t="str">
        <f>IF($C309=""," ",[1]!i_pq_pctchange($C309,I$6,$N$1))</f>
        <v xml:space="preserve"> </v>
      </c>
      <c r="J309" s="28" t="str">
        <f>IF($C309=""," ",[1]!i_pq_pctchange($C309,J$6,$N$1))</f>
        <v xml:space="preserve"> </v>
      </c>
      <c r="K309" s="28" t="str">
        <f>IF($C309=""," ",[1]!i_pq_pctchange($C309,K$6,$N$1))</f>
        <v xml:space="preserve"> </v>
      </c>
      <c r="L309" s="28" t="str">
        <f>IF(C309=""," ",[1]!s_wq_pctchange($C309,$N$1))</f>
        <v xml:space="preserve"> </v>
      </c>
      <c r="M309" s="28" t="str">
        <f>IF(C309=""," ",[1]!s_mq_pctchange($C309,$N$1))</f>
        <v xml:space="preserve"> </v>
      </c>
      <c r="N309" s="28" t="str">
        <f>IF(C309=""," ",[1]!s_yq_pctchange($C309,$N$1))</f>
        <v xml:space="preserve"> </v>
      </c>
      <c r="O309" s="11"/>
      <c r="P309" s="7"/>
    </row>
    <row r="310" spans="1:16" x14ac:dyDescent="0.35">
      <c r="A310" s="7"/>
      <c r="C310" s="31" t="str">
        <f>IF(指数列表!B307="","",指数列表!B307)</f>
        <v/>
      </c>
      <c r="D310" s="36" t="str">
        <f>IF(C310="","",[1]!s_info_name(C310))</f>
        <v/>
      </c>
      <c r="E310" s="25" t="str">
        <f>IF(C310="","",[1]!s_dq_close(C310,$N$1))</f>
        <v/>
      </c>
      <c r="F310" s="28" t="str">
        <f>IF($C310=""," ",[1]!i_pq_pctchange($C310,F$6,$N$1))</f>
        <v xml:space="preserve"> </v>
      </c>
      <c r="G310" s="28" t="str">
        <f>IF($C310=""," ",[1]!i_pq_pctchange($C310,G$6,$N$1))</f>
        <v xml:space="preserve"> </v>
      </c>
      <c r="H310" s="28" t="str">
        <f>IF($C310=""," ",[1]!i_pq_pctchange($C310,H$6,$N$1))</f>
        <v xml:space="preserve"> </v>
      </c>
      <c r="I310" s="28" t="str">
        <f>IF($C310=""," ",[1]!i_pq_pctchange($C310,I$6,$N$1))</f>
        <v xml:space="preserve"> </v>
      </c>
      <c r="J310" s="28" t="str">
        <f>IF($C310=""," ",[1]!i_pq_pctchange($C310,J$6,$N$1))</f>
        <v xml:space="preserve"> </v>
      </c>
      <c r="K310" s="28" t="str">
        <f>IF($C310=""," ",[1]!i_pq_pctchange($C310,K$6,$N$1))</f>
        <v xml:space="preserve"> </v>
      </c>
      <c r="L310" s="28" t="str">
        <f>IF(C310=""," ",[1]!s_wq_pctchange($C310,$N$1))</f>
        <v xml:space="preserve"> </v>
      </c>
      <c r="M310" s="28" t="str">
        <f>IF(C310=""," ",[1]!s_mq_pctchange($C310,$N$1))</f>
        <v xml:space="preserve"> </v>
      </c>
      <c r="N310" s="28" t="str">
        <f>IF(C310=""," ",[1]!s_yq_pctchange($C310,$N$1))</f>
        <v xml:space="preserve"> </v>
      </c>
      <c r="O310" s="11"/>
      <c r="P310" s="7"/>
    </row>
    <row r="311" spans="1:16" x14ac:dyDescent="0.35">
      <c r="A311" s="7"/>
      <c r="C311" s="30" t="str">
        <f>IF(指数列表!B308="","",指数列表!B308)</f>
        <v/>
      </c>
      <c r="D311" s="35" t="str">
        <f>IF(C311="","",[1]!s_info_name(C311))</f>
        <v/>
      </c>
      <c r="E311" s="24" t="str">
        <f>IF(C311="","",[1]!s_dq_close(C311,$N$1))</f>
        <v/>
      </c>
      <c r="F311" s="28" t="str">
        <f>IF($C311=""," ",[1]!i_pq_pctchange($C311,F$6,$N$1))</f>
        <v xml:space="preserve"> </v>
      </c>
      <c r="G311" s="28" t="str">
        <f>IF($C311=""," ",[1]!i_pq_pctchange($C311,G$6,$N$1))</f>
        <v xml:space="preserve"> </v>
      </c>
      <c r="H311" s="28" t="str">
        <f>IF($C311=""," ",[1]!i_pq_pctchange($C311,H$6,$N$1))</f>
        <v xml:space="preserve"> </v>
      </c>
      <c r="I311" s="28" t="str">
        <f>IF($C311=""," ",[1]!i_pq_pctchange($C311,I$6,$N$1))</f>
        <v xml:space="preserve"> </v>
      </c>
      <c r="J311" s="28" t="str">
        <f>IF($C311=""," ",[1]!i_pq_pctchange($C311,J$6,$N$1))</f>
        <v xml:space="preserve"> </v>
      </c>
      <c r="K311" s="28" t="str">
        <f>IF($C311=""," ",[1]!i_pq_pctchange($C311,K$6,$N$1))</f>
        <v xml:space="preserve"> </v>
      </c>
      <c r="L311" s="28" t="str">
        <f>IF(C311=""," ",[1]!s_wq_pctchange($C311,$N$1))</f>
        <v xml:space="preserve"> </v>
      </c>
      <c r="M311" s="28" t="str">
        <f>IF(C311=""," ",[1]!s_mq_pctchange($C311,$N$1))</f>
        <v xml:space="preserve"> </v>
      </c>
      <c r="N311" s="28" t="str">
        <f>IF(C311=""," ",[1]!s_yq_pctchange($C311,$N$1))</f>
        <v xml:space="preserve"> </v>
      </c>
      <c r="O311" s="11"/>
      <c r="P311" s="7"/>
    </row>
    <row r="312" spans="1:16" x14ac:dyDescent="0.35">
      <c r="A312" s="7"/>
      <c r="C312" s="31" t="str">
        <f>IF(指数列表!B309="","",指数列表!B309)</f>
        <v/>
      </c>
      <c r="D312" s="36" t="str">
        <f>IF(C312="","",[1]!s_info_name(C312))</f>
        <v/>
      </c>
      <c r="E312" s="25" t="str">
        <f>IF(C312="","",[1]!s_dq_close(C312,$N$1))</f>
        <v/>
      </c>
      <c r="F312" s="28" t="str">
        <f>IF($C312=""," ",[1]!i_pq_pctchange($C312,F$6,$N$1))</f>
        <v xml:space="preserve"> </v>
      </c>
      <c r="G312" s="28" t="str">
        <f>IF($C312=""," ",[1]!i_pq_pctchange($C312,G$6,$N$1))</f>
        <v xml:space="preserve"> </v>
      </c>
      <c r="H312" s="28" t="str">
        <f>IF($C312=""," ",[1]!i_pq_pctchange($C312,H$6,$N$1))</f>
        <v xml:space="preserve"> </v>
      </c>
      <c r="I312" s="28" t="str">
        <f>IF($C312=""," ",[1]!i_pq_pctchange($C312,I$6,$N$1))</f>
        <v xml:space="preserve"> </v>
      </c>
      <c r="J312" s="28" t="str">
        <f>IF($C312=""," ",[1]!i_pq_pctchange($C312,J$6,$N$1))</f>
        <v xml:space="preserve"> </v>
      </c>
      <c r="K312" s="28" t="str">
        <f>IF($C312=""," ",[1]!i_pq_pctchange($C312,K$6,$N$1))</f>
        <v xml:space="preserve"> </v>
      </c>
      <c r="L312" s="28" t="str">
        <f>IF(C312=""," ",[1]!s_wq_pctchange($C312,$N$1))</f>
        <v xml:space="preserve"> </v>
      </c>
      <c r="M312" s="28" t="str">
        <f>IF(C312=""," ",[1]!s_mq_pctchange($C312,$N$1))</f>
        <v xml:space="preserve"> </v>
      </c>
      <c r="N312" s="28" t="str">
        <f>IF(C312=""," ",[1]!s_yq_pctchange($C312,$N$1))</f>
        <v xml:space="preserve"> </v>
      </c>
      <c r="O312" s="11"/>
      <c r="P312" s="7"/>
    </row>
    <row r="313" spans="1:16" x14ac:dyDescent="0.35">
      <c r="A313" s="7"/>
      <c r="C313" s="30" t="str">
        <f>IF(指数列表!B310="","",指数列表!B310)</f>
        <v/>
      </c>
      <c r="D313" s="35" t="str">
        <f>IF(C313="","",[1]!s_info_name(C313))</f>
        <v/>
      </c>
      <c r="E313" s="24" t="str">
        <f>IF(C313="","",[1]!s_dq_close(C313,$N$1))</f>
        <v/>
      </c>
      <c r="F313" s="28" t="str">
        <f>IF($C313=""," ",[1]!i_pq_pctchange($C313,F$6,$N$1))</f>
        <v xml:space="preserve"> </v>
      </c>
      <c r="G313" s="28" t="str">
        <f>IF($C313=""," ",[1]!i_pq_pctchange($C313,G$6,$N$1))</f>
        <v xml:space="preserve"> </v>
      </c>
      <c r="H313" s="28" t="str">
        <f>IF($C313=""," ",[1]!i_pq_pctchange($C313,H$6,$N$1))</f>
        <v xml:space="preserve"> </v>
      </c>
      <c r="I313" s="28" t="str">
        <f>IF($C313=""," ",[1]!i_pq_pctchange($C313,I$6,$N$1))</f>
        <v xml:space="preserve"> </v>
      </c>
      <c r="J313" s="28" t="str">
        <f>IF($C313=""," ",[1]!i_pq_pctchange($C313,J$6,$N$1))</f>
        <v xml:space="preserve"> </v>
      </c>
      <c r="K313" s="28" t="str">
        <f>IF($C313=""," ",[1]!i_pq_pctchange($C313,K$6,$N$1))</f>
        <v xml:space="preserve"> </v>
      </c>
      <c r="L313" s="28" t="str">
        <f>IF(C313=""," ",[1]!s_wq_pctchange($C313,$N$1))</f>
        <v xml:space="preserve"> </v>
      </c>
      <c r="M313" s="28" t="str">
        <f>IF(C313=""," ",[1]!s_mq_pctchange($C313,$N$1))</f>
        <v xml:space="preserve"> </v>
      </c>
      <c r="N313" s="28" t="str">
        <f>IF(C313=""," ",[1]!s_yq_pctchange($C313,$N$1))</f>
        <v xml:space="preserve"> </v>
      </c>
      <c r="O313" s="11"/>
      <c r="P313" s="7"/>
    </row>
    <row r="314" spans="1:16" x14ac:dyDescent="0.35">
      <c r="A314" s="7"/>
      <c r="C314" s="31" t="str">
        <f>IF(指数列表!B311="","",指数列表!B311)</f>
        <v/>
      </c>
      <c r="D314" s="36" t="str">
        <f>IF(C314="","",[1]!s_info_name(C314))</f>
        <v/>
      </c>
      <c r="E314" s="25" t="str">
        <f>IF(C314="","",[1]!s_dq_close(C314,$N$1))</f>
        <v/>
      </c>
      <c r="F314" s="28" t="str">
        <f>IF($C314=""," ",[1]!i_pq_pctchange($C314,F$6,$N$1))</f>
        <v xml:space="preserve"> </v>
      </c>
      <c r="G314" s="28" t="str">
        <f>IF($C314=""," ",[1]!i_pq_pctchange($C314,G$6,$N$1))</f>
        <v xml:space="preserve"> </v>
      </c>
      <c r="H314" s="28" t="str">
        <f>IF($C314=""," ",[1]!i_pq_pctchange($C314,H$6,$N$1))</f>
        <v xml:space="preserve"> </v>
      </c>
      <c r="I314" s="28" t="str">
        <f>IF($C314=""," ",[1]!i_pq_pctchange($C314,I$6,$N$1))</f>
        <v xml:space="preserve"> </v>
      </c>
      <c r="J314" s="28" t="str">
        <f>IF($C314=""," ",[1]!i_pq_pctchange($C314,J$6,$N$1))</f>
        <v xml:space="preserve"> </v>
      </c>
      <c r="K314" s="28" t="str">
        <f>IF($C314=""," ",[1]!i_pq_pctchange($C314,K$6,$N$1))</f>
        <v xml:space="preserve"> </v>
      </c>
      <c r="L314" s="28" t="str">
        <f>IF(C314=""," ",[1]!s_wq_pctchange($C314,$N$1))</f>
        <v xml:space="preserve"> </v>
      </c>
      <c r="M314" s="28" t="str">
        <f>IF(C314=""," ",[1]!s_mq_pctchange($C314,$N$1))</f>
        <v xml:space="preserve"> </v>
      </c>
      <c r="N314" s="28" t="str">
        <f>IF(C314=""," ",[1]!s_yq_pctchange($C314,$N$1))</f>
        <v xml:space="preserve"> </v>
      </c>
      <c r="O314" s="11"/>
      <c r="P314" s="7"/>
    </row>
    <row r="315" spans="1:16" x14ac:dyDescent="0.35">
      <c r="A315" s="7"/>
      <c r="C315" s="30" t="str">
        <f>IF(指数列表!B312="","",指数列表!B312)</f>
        <v/>
      </c>
      <c r="D315" s="35" t="str">
        <f>IF(C315="","",[1]!s_info_name(C315))</f>
        <v/>
      </c>
      <c r="E315" s="24" t="str">
        <f>IF(C315="","",[1]!s_dq_close(C315,$N$1))</f>
        <v/>
      </c>
      <c r="F315" s="28" t="str">
        <f>IF($C315=""," ",[1]!i_pq_pctchange($C315,F$6,$N$1))</f>
        <v xml:space="preserve"> </v>
      </c>
      <c r="G315" s="28" t="str">
        <f>IF($C315=""," ",[1]!i_pq_pctchange($C315,G$6,$N$1))</f>
        <v xml:space="preserve"> </v>
      </c>
      <c r="H315" s="28" t="str">
        <f>IF($C315=""," ",[1]!i_pq_pctchange($C315,H$6,$N$1))</f>
        <v xml:space="preserve"> </v>
      </c>
      <c r="I315" s="28" t="str">
        <f>IF($C315=""," ",[1]!i_pq_pctchange($C315,I$6,$N$1))</f>
        <v xml:space="preserve"> </v>
      </c>
      <c r="J315" s="28" t="str">
        <f>IF($C315=""," ",[1]!i_pq_pctchange($C315,J$6,$N$1))</f>
        <v xml:space="preserve"> </v>
      </c>
      <c r="K315" s="28" t="str">
        <f>IF($C315=""," ",[1]!i_pq_pctchange($C315,K$6,$N$1))</f>
        <v xml:space="preserve"> </v>
      </c>
      <c r="L315" s="28" t="str">
        <f>IF(C315=""," ",[1]!s_wq_pctchange($C315,$N$1))</f>
        <v xml:space="preserve"> </v>
      </c>
      <c r="M315" s="28" t="str">
        <f>IF(C315=""," ",[1]!s_mq_pctchange($C315,$N$1))</f>
        <v xml:space="preserve"> </v>
      </c>
      <c r="N315" s="28" t="str">
        <f>IF(C315=""," ",[1]!s_yq_pctchange($C315,$N$1))</f>
        <v xml:space="preserve"> </v>
      </c>
      <c r="O315" s="11"/>
      <c r="P315" s="7"/>
    </row>
    <row r="316" spans="1:16" x14ac:dyDescent="0.35">
      <c r="A316" s="7"/>
      <c r="C316" s="31" t="str">
        <f>IF(指数列表!B313="","",指数列表!B313)</f>
        <v/>
      </c>
      <c r="D316" s="36" t="str">
        <f>IF(C316="","",[1]!s_info_name(C316))</f>
        <v/>
      </c>
      <c r="E316" s="25" t="str">
        <f>IF(C316="","",[1]!s_dq_close(C316,$N$1))</f>
        <v/>
      </c>
      <c r="F316" s="28" t="str">
        <f>IF($C316=""," ",[1]!i_pq_pctchange($C316,F$6,$N$1))</f>
        <v xml:space="preserve"> </v>
      </c>
      <c r="G316" s="28" t="str">
        <f>IF($C316=""," ",[1]!i_pq_pctchange($C316,G$6,$N$1))</f>
        <v xml:space="preserve"> </v>
      </c>
      <c r="H316" s="28" t="str">
        <f>IF($C316=""," ",[1]!i_pq_pctchange($C316,H$6,$N$1))</f>
        <v xml:space="preserve"> </v>
      </c>
      <c r="I316" s="28" t="str">
        <f>IF($C316=""," ",[1]!i_pq_pctchange($C316,I$6,$N$1))</f>
        <v xml:space="preserve"> </v>
      </c>
      <c r="J316" s="28" t="str">
        <f>IF($C316=""," ",[1]!i_pq_pctchange($C316,J$6,$N$1))</f>
        <v xml:space="preserve"> </v>
      </c>
      <c r="K316" s="28" t="str">
        <f>IF($C316=""," ",[1]!i_pq_pctchange($C316,K$6,$N$1))</f>
        <v xml:space="preserve"> </v>
      </c>
      <c r="L316" s="28" t="str">
        <f>IF(C316=""," ",[1]!s_wq_pctchange($C316,$N$1))</f>
        <v xml:space="preserve"> </v>
      </c>
      <c r="M316" s="28" t="str">
        <f>IF(C316=""," ",[1]!s_mq_pctchange($C316,$N$1))</f>
        <v xml:space="preserve"> </v>
      </c>
      <c r="N316" s="28" t="str">
        <f>IF(C316=""," ",[1]!s_yq_pctchange($C316,$N$1))</f>
        <v xml:space="preserve"> </v>
      </c>
      <c r="O316" s="11"/>
      <c r="P316" s="7"/>
    </row>
    <row r="317" spans="1:16" x14ac:dyDescent="0.35">
      <c r="A317" s="7"/>
      <c r="C317" s="30" t="str">
        <f>IF(指数列表!B314="","",指数列表!B314)</f>
        <v/>
      </c>
      <c r="D317" s="35" t="str">
        <f>IF(C317="","",[1]!s_info_name(C317))</f>
        <v/>
      </c>
      <c r="E317" s="24" t="str">
        <f>IF(C317="","",[1]!s_dq_close(C317,$N$1))</f>
        <v/>
      </c>
      <c r="F317" s="28" t="str">
        <f>IF($C317=""," ",[1]!i_pq_pctchange($C317,F$6,$N$1))</f>
        <v xml:space="preserve"> </v>
      </c>
      <c r="G317" s="28" t="str">
        <f>IF($C317=""," ",[1]!i_pq_pctchange($C317,G$6,$N$1))</f>
        <v xml:space="preserve"> </v>
      </c>
      <c r="H317" s="28" t="str">
        <f>IF($C317=""," ",[1]!i_pq_pctchange($C317,H$6,$N$1))</f>
        <v xml:space="preserve"> </v>
      </c>
      <c r="I317" s="28" t="str">
        <f>IF($C317=""," ",[1]!i_pq_pctchange($C317,I$6,$N$1))</f>
        <v xml:space="preserve"> </v>
      </c>
      <c r="J317" s="28" t="str">
        <f>IF($C317=""," ",[1]!i_pq_pctchange($C317,J$6,$N$1))</f>
        <v xml:space="preserve"> </v>
      </c>
      <c r="K317" s="28" t="str">
        <f>IF($C317=""," ",[1]!i_pq_pctchange($C317,K$6,$N$1))</f>
        <v xml:space="preserve"> </v>
      </c>
      <c r="L317" s="28" t="str">
        <f>IF(C317=""," ",[1]!s_wq_pctchange($C317,$N$1))</f>
        <v xml:space="preserve"> </v>
      </c>
      <c r="M317" s="28" t="str">
        <f>IF(C317=""," ",[1]!s_mq_pctchange($C317,$N$1))</f>
        <v xml:space="preserve"> </v>
      </c>
      <c r="N317" s="28" t="str">
        <f>IF(C317=""," ",[1]!s_yq_pctchange($C317,$N$1))</f>
        <v xml:space="preserve"> </v>
      </c>
      <c r="O317" s="11"/>
      <c r="P317" s="7"/>
    </row>
    <row r="318" spans="1:16" x14ac:dyDescent="0.35">
      <c r="A318" s="7"/>
      <c r="C318" s="31" t="str">
        <f>IF(指数列表!B315="","",指数列表!B315)</f>
        <v/>
      </c>
      <c r="D318" s="36" t="str">
        <f>IF(C318="","",[1]!s_info_name(C318))</f>
        <v/>
      </c>
      <c r="E318" s="25" t="str">
        <f>IF(C318="","",[1]!s_dq_close(C318,$N$1))</f>
        <v/>
      </c>
      <c r="F318" s="28" t="str">
        <f>IF($C318=""," ",[1]!i_pq_pctchange($C318,F$6,$N$1))</f>
        <v xml:space="preserve"> </v>
      </c>
      <c r="G318" s="28" t="str">
        <f>IF($C318=""," ",[1]!i_pq_pctchange($C318,G$6,$N$1))</f>
        <v xml:space="preserve"> </v>
      </c>
      <c r="H318" s="28" t="str">
        <f>IF($C318=""," ",[1]!i_pq_pctchange($C318,H$6,$N$1))</f>
        <v xml:space="preserve"> </v>
      </c>
      <c r="I318" s="28" t="str">
        <f>IF($C318=""," ",[1]!i_pq_pctchange($C318,I$6,$N$1))</f>
        <v xml:space="preserve"> </v>
      </c>
      <c r="J318" s="28" t="str">
        <f>IF($C318=""," ",[1]!i_pq_pctchange($C318,J$6,$N$1))</f>
        <v xml:space="preserve"> </v>
      </c>
      <c r="K318" s="28" t="str">
        <f>IF($C318=""," ",[1]!i_pq_pctchange($C318,K$6,$N$1))</f>
        <v xml:space="preserve"> </v>
      </c>
      <c r="L318" s="28" t="str">
        <f>IF(C318=""," ",[1]!s_wq_pctchange($C318,$N$1))</f>
        <v xml:space="preserve"> </v>
      </c>
      <c r="M318" s="28" t="str">
        <f>IF(C318=""," ",[1]!s_mq_pctchange($C318,$N$1))</f>
        <v xml:space="preserve"> </v>
      </c>
      <c r="N318" s="28" t="str">
        <f>IF(C318=""," ",[1]!s_yq_pctchange($C318,$N$1))</f>
        <v xml:space="preserve"> </v>
      </c>
      <c r="O318" s="11"/>
      <c r="P318" s="7"/>
    </row>
    <row r="319" spans="1:16" x14ac:dyDescent="0.35">
      <c r="A319" s="7"/>
      <c r="C319" s="30" t="str">
        <f>IF(指数列表!B316="","",指数列表!B316)</f>
        <v/>
      </c>
      <c r="D319" s="35" t="str">
        <f>IF(C319="","",[1]!s_info_name(C319))</f>
        <v/>
      </c>
      <c r="E319" s="24" t="str">
        <f>IF(C319="","",[1]!s_dq_close(C319,$N$1))</f>
        <v/>
      </c>
      <c r="F319" s="28" t="str">
        <f>IF($C319=""," ",[1]!i_pq_pctchange($C319,F$6,$N$1))</f>
        <v xml:space="preserve"> </v>
      </c>
      <c r="G319" s="28" t="str">
        <f>IF($C319=""," ",[1]!i_pq_pctchange($C319,G$6,$N$1))</f>
        <v xml:space="preserve"> </v>
      </c>
      <c r="H319" s="28" t="str">
        <f>IF($C319=""," ",[1]!i_pq_pctchange($C319,H$6,$N$1))</f>
        <v xml:space="preserve"> </v>
      </c>
      <c r="I319" s="28" t="str">
        <f>IF($C319=""," ",[1]!i_pq_pctchange($C319,I$6,$N$1))</f>
        <v xml:space="preserve"> </v>
      </c>
      <c r="J319" s="28" t="str">
        <f>IF($C319=""," ",[1]!i_pq_pctchange($C319,J$6,$N$1))</f>
        <v xml:space="preserve"> </v>
      </c>
      <c r="K319" s="28" t="str">
        <f>IF($C319=""," ",[1]!i_pq_pctchange($C319,K$6,$N$1))</f>
        <v xml:space="preserve"> </v>
      </c>
      <c r="L319" s="28" t="str">
        <f>IF(C319=""," ",[1]!s_wq_pctchange($C319,$N$1))</f>
        <v xml:space="preserve"> </v>
      </c>
      <c r="M319" s="28" t="str">
        <f>IF(C319=""," ",[1]!s_mq_pctchange($C319,$N$1))</f>
        <v xml:space="preserve"> </v>
      </c>
      <c r="N319" s="28" t="str">
        <f>IF(C319=""," ",[1]!s_yq_pctchange($C319,$N$1))</f>
        <v xml:space="preserve"> </v>
      </c>
      <c r="O319" s="11"/>
      <c r="P319" s="7"/>
    </row>
    <row r="320" spans="1:16" x14ac:dyDescent="0.35">
      <c r="A320" s="7"/>
      <c r="C320" s="31" t="str">
        <f>IF(指数列表!B317="","",指数列表!B317)</f>
        <v/>
      </c>
      <c r="D320" s="36" t="str">
        <f>IF(C320="","",[1]!s_info_name(C320))</f>
        <v/>
      </c>
      <c r="E320" s="25" t="str">
        <f>IF(C320="","",[1]!s_dq_close(C320,$N$1))</f>
        <v/>
      </c>
      <c r="F320" s="28" t="str">
        <f>IF($C320=""," ",[1]!i_pq_pctchange($C320,F$6,$N$1))</f>
        <v xml:space="preserve"> </v>
      </c>
      <c r="G320" s="28" t="str">
        <f>IF($C320=""," ",[1]!i_pq_pctchange($C320,G$6,$N$1))</f>
        <v xml:space="preserve"> </v>
      </c>
      <c r="H320" s="28" t="str">
        <f>IF($C320=""," ",[1]!i_pq_pctchange($C320,H$6,$N$1))</f>
        <v xml:space="preserve"> </v>
      </c>
      <c r="I320" s="28" t="str">
        <f>IF($C320=""," ",[1]!i_pq_pctchange($C320,I$6,$N$1))</f>
        <v xml:space="preserve"> </v>
      </c>
      <c r="J320" s="28" t="str">
        <f>IF($C320=""," ",[1]!i_pq_pctchange($C320,J$6,$N$1))</f>
        <v xml:space="preserve"> </v>
      </c>
      <c r="K320" s="28" t="str">
        <f>IF($C320=""," ",[1]!i_pq_pctchange($C320,K$6,$N$1))</f>
        <v xml:space="preserve"> </v>
      </c>
      <c r="L320" s="28" t="str">
        <f>IF(C320=""," ",[1]!s_wq_pctchange($C320,$N$1))</f>
        <v xml:space="preserve"> </v>
      </c>
      <c r="M320" s="28" t="str">
        <f>IF(C320=""," ",[1]!s_mq_pctchange($C320,$N$1))</f>
        <v xml:space="preserve"> </v>
      </c>
      <c r="N320" s="28" t="str">
        <f>IF(C320=""," ",[1]!s_yq_pctchange($C320,$N$1))</f>
        <v xml:space="preserve"> </v>
      </c>
      <c r="O320" s="11"/>
      <c r="P320" s="7"/>
    </row>
    <row r="321" spans="1:16" x14ac:dyDescent="0.35">
      <c r="A321" s="7"/>
      <c r="C321" s="30" t="str">
        <f>IF(指数列表!B318="","",指数列表!B318)</f>
        <v/>
      </c>
      <c r="D321" s="35" t="str">
        <f>IF(C321="","",[1]!s_info_name(C321))</f>
        <v/>
      </c>
      <c r="E321" s="24" t="str">
        <f>IF(C321="","",[1]!s_dq_close(C321,$N$1))</f>
        <v/>
      </c>
      <c r="F321" s="28" t="str">
        <f>IF($C321=""," ",[1]!i_pq_pctchange($C321,F$6,$N$1))</f>
        <v xml:space="preserve"> </v>
      </c>
      <c r="G321" s="28" t="str">
        <f>IF($C321=""," ",[1]!i_pq_pctchange($C321,G$6,$N$1))</f>
        <v xml:space="preserve"> </v>
      </c>
      <c r="H321" s="28" t="str">
        <f>IF($C321=""," ",[1]!i_pq_pctchange($C321,H$6,$N$1))</f>
        <v xml:space="preserve"> </v>
      </c>
      <c r="I321" s="28" t="str">
        <f>IF($C321=""," ",[1]!i_pq_pctchange($C321,I$6,$N$1))</f>
        <v xml:space="preserve"> </v>
      </c>
      <c r="J321" s="28" t="str">
        <f>IF($C321=""," ",[1]!i_pq_pctchange($C321,J$6,$N$1))</f>
        <v xml:space="preserve"> </v>
      </c>
      <c r="K321" s="28" t="str">
        <f>IF($C321=""," ",[1]!i_pq_pctchange($C321,K$6,$N$1))</f>
        <v xml:space="preserve"> </v>
      </c>
      <c r="L321" s="28" t="str">
        <f>IF(C321=""," ",[1]!s_wq_pctchange($C321,$N$1))</f>
        <v xml:space="preserve"> </v>
      </c>
      <c r="M321" s="28" t="str">
        <f>IF(C321=""," ",[1]!s_mq_pctchange($C321,$N$1))</f>
        <v xml:space="preserve"> </v>
      </c>
      <c r="N321" s="28" t="str">
        <f>IF(C321=""," ",[1]!s_yq_pctchange($C321,$N$1))</f>
        <v xml:space="preserve"> </v>
      </c>
      <c r="O321" s="11"/>
      <c r="P321" s="7"/>
    </row>
    <row r="322" spans="1:16" x14ac:dyDescent="0.35">
      <c r="A322" s="7"/>
      <c r="C322" s="31" t="str">
        <f>IF(指数列表!B319="","",指数列表!B319)</f>
        <v/>
      </c>
      <c r="D322" s="36" t="str">
        <f>IF(C322="","",[1]!s_info_name(C322))</f>
        <v/>
      </c>
      <c r="E322" s="25" t="str">
        <f>IF(C322="","",[1]!s_dq_close(C322,$N$1))</f>
        <v/>
      </c>
      <c r="F322" s="28" t="str">
        <f>IF($C322=""," ",[1]!i_pq_pctchange($C322,F$6,$N$1))</f>
        <v xml:space="preserve"> </v>
      </c>
      <c r="G322" s="28" t="str">
        <f>IF($C322=""," ",[1]!i_pq_pctchange($C322,G$6,$N$1))</f>
        <v xml:space="preserve"> </v>
      </c>
      <c r="H322" s="28" t="str">
        <f>IF($C322=""," ",[1]!i_pq_pctchange($C322,H$6,$N$1))</f>
        <v xml:space="preserve"> </v>
      </c>
      <c r="I322" s="28" t="str">
        <f>IF($C322=""," ",[1]!i_pq_pctchange($C322,I$6,$N$1))</f>
        <v xml:space="preserve"> </v>
      </c>
      <c r="J322" s="28" t="str">
        <f>IF($C322=""," ",[1]!i_pq_pctchange($C322,J$6,$N$1))</f>
        <v xml:space="preserve"> </v>
      </c>
      <c r="K322" s="28" t="str">
        <f>IF($C322=""," ",[1]!i_pq_pctchange($C322,K$6,$N$1))</f>
        <v xml:space="preserve"> </v>
      </c>
      <c r="L322" s="28" t="str">
        <f>IF(C322=""," ",[1]!s_wq_pctchange($C322,$N$1))</f>
        <v xml:space="preserve"> </v>
      </c>
      <c r="M322" s="28" t="str">
        <f>IF(C322=""," ",[1]!s_mq_pctchange($C322,$N$1))</f>
        <v xml:space="preserve"> </v>
      </c>
      <c r="N322" s="28" t="str">
        <f>IF(C322=""," ",[1]!s_yq_pctchange($C322,$N$1))</f>
        <v xml:space="preserve"> </v>
      </c>
      <c r="O322" s="11"/>
      <c r="P322" s="7"/>
    </row>
    <row r="323" spans="1:16" x14ac:dyDescent="0.35">
      <c r="A323" s="7"/>
      <c r="C323" s="30" t="str">
        <f>IF(指数列表!B320="","",指数列表!B320)</f>
        <v/>
      </c>
      <c r="D323" s="35" t="str">
        <f>IF(C323="","",[1]!s_info_name(C323))</f>
        <v/>
      </c>
      <c r="E323" s="24" t="str">
        <f>IF(C323="","",[1]!s_dq_close(C323,$N$1))</f>
        <v/>
      </c>
      <c r="F323" s="28" t="str">
        <f>IF($C323=""," ",[1]!i_pq_pctchange($C323,F$6,$N$1))</f>
        <v xml:space="preserve"> </v>
      </c>
      <c r="G323" s="28" t="str">
        <f>IF($C323=""," ",[1]!i_pq_pctchange($C323,G$6,$N$1))</f>
        <v xml:space="preserve"> </v>
      </c>
      <c r="H323" s="28" t="str">
        <f>IF($C323=""," ",[1]!i_pq_pctchange($C323,H$6,$N$1))</f>
        <v xml:space="preserve"> </v>
      </c>
      <c r="I323" s="28" t="str">
        <f>IF($C323=""," ",[1]!i_pq_pctchange($C323,I$6,$N$1))</f>
        <v xml:space="preserve"> </v>
      </c>
      <c r="J323" s="28" t="str">
        <f>IF($C323=""," ",[1]!i_pq_pctchange($C323,J$6,$N$1))</f>
        <v xml:space="preserve"> </v>
      </c>
      <c r="K323" s="28" t="str">
        <f>IF($C323=""," ",[1]!i_pq_pctchange($C323,K$6,$N$1))</f>
        <v xml:space="preserve"> </v>
      </c>
      <c r="L323" s="28" t="str">
        <f>IF(C323=""," ",[1]!s_wq_pctchange($C323,$N$1))</f>
        <v xml:space="preserve"> </v>
      </c>
      <c r="M323" s="28" t="str">
        <f>IF(C323=""," ",[1]!s_mq_pctchange($C323,$N$1))</f>
        <v xml:space="preserve"> </v>
      </c>
      <c r="N323" s="28" t="str">
        <f>IF(C323=""," ",[1]!s_yq_pctchange($C323,$N$1))</f>
        <v xml:space="preserve"> </v>
      </c>
      <c r="O323" s="11"/>
      <c r="P323" s="7"/>
    </row>
    <row r="324" spans="1:16" x14ac:dyDescent="0.35">
      <c r="A324" s="7"/>
      <c r="C324" s="31" t="str">
        <f>IF(指数列表!B321="","",指数列表!B321)</f>
        <v/>
      </c>
      <c r="D324" s="36" t="str">
        <f>IF(C324="","",[1]!s_info_name(C324))</f>
        <v/>
      </c>
      <c r="E324" s="25" t="str">
        <f>IF(C324="","",[1]!s_dq_close(C324,$N$1))</f>
        <v/>
      </c>
      <c r="F324" s="28" t="str">
        <f>IF($C324=""," ",[1]!i_pq_pctchange($C324,F$6,$N$1))</f>
        <v xml:space="preserve"> </v>
      </c>
      <c r="G324" s="28" t="str">
        <f>IF($C324=""," ",[1]!i_pq_pctchange($C324,G$6,$N$1))</f>
        <v xml:space="preserve"> </v>
      </c>
      <c r="H324" s="28" t="str">
        <f>IF($C324=""," ",[1]!i_pq_pctchange($C324,H$6,$N$1))</f>
        <v xml:space="preserve"> </v>
      </c>
      <c r="I324" s="28" t="str">
        <f>IF($C324=""," ",[1]!i_pq_pctchange($C324,I$6,$N$1))</f>
        <v xml:space="preserve"> </v>
      </c>
      <c r="J324" s="28" t="str">
        <f>IF($C324=""," ",[1]!i_pq_pctchange($C324,J$6,$N$1))</f>
        <v xml:space="preserve"> </v>
      </c>
      <c r="K324" s="28" t="str">
        <f>IF($C324=""," ",[1]!i_pq_pctchange($C324,K$6,$N$1))</f>
        <v xml:space="preserve"> </v>
      </c>
      <c r="L324" s="28" t="str">
        <f>IF(C324=""," ",[1]!s_wq_pctchange($C324,$N$1))</f>
        <v xml:space="preserve"> </v>
      </c>
      <c r="M324" s="28" t="str">
        <f>IF(C324=""," ",[1]!s_mq_pctchange($C324,$N$1))</f>
        <v xml:space="preserve"> </v>
      </c>
      <c r="N324" s="28" t="str">
        <f>IF(C324=""," ",[1]!s_yq_pctchange($C324,$N$1))</f>
        <v xml:space="preserve"> </v>
      </c>
      <c r="O324" s="11"/>
      <c r="P324" s="7"/>
    </row>
    <row r="325" spans="1:16" x14ac:dyDescent="0.35">
      <c r="A325" s="7"/>
      <c r="C325" s="30" t="str">
        <f>IF(指数列表!B322="","",指数列表!B322)</f>
        <v/>
      </c>
      <c r="D325" s="35" t="str">
        <f>IF(C325="","",[1]!s_info_name(C325))</f>
        <v/>
      </c>
      <c r="E325" s="24" t="str">
        <f>IF(C325="","",[1]!s_dq_close(C325,$N$1))</f>
        <v/>
      </c>
      <c r="F325" s="28" t="str">
        <f>IF($C325=""," ",[1]!i_pq_pctchange($C325,F$6,$N$1))</f>
        <v xml:space="preserve"> </v>
      </c>
      <c r="G325" s="28" t="str">
        <f>IF($C325=""," ",[1]!i_pq_pctchange($C325,G$6,$N$1))</f>
        <v xml:space="preserve"> </v>
      </c>
      <c r="H325" s="28" t="str">
        <f>IF($C325=""," ",[1]!i_pq_pctchange($C325,H$6,$N$1))</f>
        <v xml:space="preserve"> </v>
      </c>
      <c r="I325" s="28" t="str">
        <f>IF($C325=""," ",[1]!i_pq_pctchange($C325,I$6,$N$1))</f>
        <v xml:space="preserve"> </v>
      </c>
      <c r="J325" s="28" t="str">
        <f>IF($C325=""," ",[1]!i_pq_pctchange($C325,J$6,$N$1))</f>
        <v xml:space="preserve"> </v>
      </c>
      <c r="K325" s="28" t="str">
        <f>IF($C325=""," ",[1]!i_pq_pctchange($C325,K$6,$N$1))</f>
        <v xml:space="preserve"> </v>
      </c>
      <c r="L325" s="28" t="str">
        <f>IF(C325=""," ",[1]!s_wq_pctchange($C325,$N$1))</f>
        <v xml:space="preserve"> </v>
      </c>
      <c r="M325" s="28" t="str">
        <f>IF(C325=""," ",[1]!s_mq_pctchange($C325,$N$1))</f>
        <v xml:space="preserve"> </v>
      </c>
      <c r="N325" s="28" t="str">
        <f>IF(C325=""," ",[1]!s_yq_pctchange($C325,$N$1))</f>
        <v xml:space="preserve"> </v>
      </c>
      <c r="O325" s="11"/>
      <c r="P325" s="7"/>
    </row>
    <row r="326" spans="1:16" x14ac:dyDescent="0.35">
      <c r="A326" s="7"/>
      <c r="C326" s="31" t="str">
        <f>IF(指数列表!B323="","",指数列表!B323)</f>
        <v/>
      </c>
      <c r="D326" s="36" t="str">
        <f>IF(C326="","",[1]!s_info_name(C326))</f>
        <v/>
      </c>
      <c r="E326" s="25" t="str">
        <f>IF(C326="","",[1]!s_dq_close(C326,$N$1))</f>
        <v/>
      </c>
      <c r="F326" s="28" t="str">
        <f>IF($C326=""," ",[1]!i_pq_pctchange($C326,F$6,$N$1))</f>
        <v xml:space="preserve"> </v>
      </c>
      <c r="G326" s="28" t="str">
        <f>IF($C326=""," ",[1]!i_pq_pctchange($C326,G$6,$N$1))</f>
        <v xml:space="preserve"> </v>
      </c>
      <c r="H326" s="28" t="str">
        <f>IF($C326=""," ",[1]!i_pq_pctchange($C326,H$6,$N$1))</f>
        <v xml:space="preserve"> </v>
      </c>
      <c r="I326" s="28" t="str">
        <f>IF($C326=""," ",[1]!i_pq_pctchange($C326,I$6,$N$1))</f>
        <v xml:space="preserve"> </v>
      </c>
      <c r="J326" s="28" t="str">
        <f>IF($C326=""," ",[1]!i_pq_pctchange($C326,J$6,$N$1))</f>
        <v xml:space="preserve"> </v>
      </c>
      <c r="K326" s="28" t="str">
        <f>IF($C326=""," ",[1]!i_pq_pctchange($C326,K$6,$N$1))</f>
        <v xml:space="preserve"> </v>
      </c>
      <c r="L326" s="28" t="str">
        <f>IF(C326=""," ",[1]!s_wq_pctchange($C326,$N$1))</f>
        <v xml:space="preserve"> </v>
      </c>
      <c r="M326" s="28" t="str">
        <f>IF(C326=""," ",[1]!s_mq_pctchange($C326,$N$1))</f>
        <v xml:space="preserve"> </v>
      </c>
      <c r="N326" s="28" t="str">
        <f>IF(C326=""," ",[1]!s_yq_pctchange($C326,$N$1))</f>
        <v xml:space="preserve"> </v>
      </c>
      <c r="O326" s="11"/>
      <c r="P326" s="7"/>
    </row>
    <row r="327" spans="1:16" x14ac:dyDescent="0.35">
      <c r="A327" s="7"/>
      <c r="C327" s="30" t="str">
        <f>IF(指数列表!B324="","",指数列表!B324)</f>
        <v/>
      </c>
      <c r="D327" s="35" t="str">
        <f>IF(C327="","",[1]!s_info_name(C327))</f>
        <v/>
      </c>
      <c r="E327" s="24" t="str">
        <f>IF(C327="","",[1]!s_dq_close(C327,$N$1))</f>
        <v/>
      </c>
      <c r="F327" s="28" t="str">
        <f>IF($C327=""," ",[1]!i_pq_pctchange($C327,F$6,$N$1))</f>
        <v xml:space="preserve"> </v>
      </c>
      <c r="G327" s="28" t="str">
        <f>IF($C327=""," ",[1]!i_pq_pctchange($C327,G$6,$N$1))</f>
        <v xml:space="preserve"> </v>
      </c>
      <c r="H327" s="28" t="str">
        <f>IF($C327=""," ",[1]!i_pq_pctchange($C327,H$6,$N$1))</f>
        <v xml:space="preserve"> </v>
      </c>
      <c r="I327" s="28" t="str">
        <f>IF($C327=""," ",[1]!i_pq_pctchange($C327,I$6,$N$1))</f>
        <v xml:space="preserve"> </v>
      </c>
      <c r="J327" s="28" t="str">
        <f>IF($C327=""," ",[1]!i_pq_pctchange($C327,J$6,$N$1))</f>
        <v xml:space="preserve"> </v>
      </c>
      <c r="K327" s="28" t="str">
        <f>IF($C327=""," ",[1]!i_pq_pctchange($C327,K$6,$N$1))</f>
        <v xml:space="preserve"> </v>
      </c>
      <c r="L327" s="28" t="str">
        <f>IF(C327=""," ",[1]!s_wq_pctchange($C327,$N$1))</f>
        <v xml:space="preserve"> </v>
      </c>
      <c r="M327" s="28" t="str">
        <f>IF(C327=""," ",[1]!s_mq_pctchange($C327,$N$1))</f>
        <v xml:space="preserve"> </v>
      </c>
      <c r="N327" s="28" t="str">
        <f>IF(C327=""," ",[1]!s_yq_pctchange($C327,$N$1))</f>
        <v xml:space="preserve"> </v>
      </c>
      <c r="O327" s="11"/>
      <c r="P327" s="7"/>
    </row>
    <row r="328" spans="1:16" x14ac:dyDescent="0.35">
      <c r="A328" s="7"/>
      <c r="C328" s="31" t="str">
        <f>IF(指数列表!B325="","",指数列表!B325)</f>
        <v/>
      </c>
      <c r="D328" s="36" t="str">
        <f>IF(C328="","",[1]!s_info_name(C328))</f>
        <v/>
      </c>
      <c r="E328" s="25" t="str">
        <f>IF(C328="","",[1]!s_dq_close(C328,$N$1))</f>
        <v/>
      </c>
      <c r="F328" s="28" t="str">
        <f>IF($C328=""," ",[1]!i_pq_pctchange($C328,F$6,$N$1))</f>
        <v xml:space="preserve"> </v>
      </c>
      <c r="G328" s="28" t="str">
        <f>IF($C328=""," ",[1]!i_pq_pctchange($C328,G$6,$N$1))</f>
        <v xml:space="preserve"> </v>
      </c>
      <c r="H328" s="28" t="str">
        <f>IF($C328=""," ",[1]!i_pq_pctchange($C328,H$6,$N$1))</f>
        <v xml:space="preserve"> </v>
      </c>
      <c r="I328" s="28" t="str">
        <f>IF($C328=""," ",[1]!i_pq_pctchange($C328,I$6,$N$1))</f>
        <v xml:space="preserve"> </v>
      </c>
      <c r="J328" s="28" t="str">
        <f>IF($C328=""," ",[1]!i_pq_pctchange($C328,J$6,$N$1))</f>
        <v xml:space="preserve"> </v>
      </c>
      <c r="K328" s="28" t="str">
        <f>IF($C328=""," ",[1]!i_pq_pctchange($C328,K$6,$N$1))</f>
        <v xml:space="preserve"> </v>
      </c>
      <c r="L328" s="28" t="str">
        <f>IF(C328=""," ",[1]!s_wq_pctchange($C328,$N$1))</f>
        <v xml:space="preserve"> </v>
      </c>
      <c r="M328" s="28" t="str">
        <f>IF(C328=""," ",[1]!s_mq_pctchange($C328,$N$1))</f>
        <v xml:space="preserve"> </v>
      </c>
      <c r="N328" s="28" t="str">
        <f>IF(C328=""," ",[1]!s_yq_pctchange($C328,$N$1))</f>
        <v xml:space="preserve"> </v>
      </c>
      <c r="O328" s="11"/>
      <c r="P328" s="7"/>
    </row>
    <row r="329" spans="1:16" x14ac:dyDescent="0.35">
      <c r="A329" s="7"/>
      <c r="C329" s="30" t="str">
        <f>IF(指数列表!B326="","",指数列表!B326)</f>
        <v/>
      </c>
      <c r="D329" s="35" t="str">
        <f>IF(C329="","",[1]!s_info_name(C329))</f>
        <v/>
      </c>
      <c r="E329" s="24" t="str">
        <f>IF(C329="","",[1]!s_dq_close(C329,$N$1))</f>
        <v/>
      </c>
      <c r="F329" s="28" t="str">
        <f>IF($C329=""," ",[1]!i_pq_pctchange($C329,F$6,$N$1))</f>
        <v xml:space="preserve"> </v>
      </c>
      <c r="G329" s="28" t="str">
        <f>IF($C329=""," ",[1]!i_pq_pctchange($C329,G$6,$N$1))</f>
        <v xml:space="preserve"> </v>
      </c>
      <c r="H329" s="28" t="str">
        <f>IF($C329=""," ",[1]!i_pq_pctchange($C329,H$6,$N$1))</f>
        <v xml:space="preserve"> </v>
      </c>
      <c r="I329" s="28" t="str">
        <f>IF($C329=""," ",[1]!i_pq_pctchange($C329,I$6,$N$1))</f>
        <v xml:space="preserve"> </v>
      </c>
      <c r="J329" s="28" t="str">
        <f>IF($C329=""," ",[1]!i_pq_pctchange($C329,J$6,$N$1))</f>
        <v xml:space="preserve"> </v>
      </c>
      <c r="K329" s="28" t="str">
        <f>IF($C329=""," ",[1]!i_pq_pctchange($C329,K$6,$N$1))</f>
        <v xml:space="preserve"> </v>
      </c>
      <c r="L329" s="28" t="str">
        <f>IF(C329=""," ",[1]!s_wq_pctchange($C329,$N$1))</f>
        <v xml:space="preserve"> </v>
      </c>
      <c r="M329" s="28" t="str">
        <f>IF(C329=""," ",[1]!s_mq_pctchange($C329,$N$1))</f>
        <v xml:space="preserve"> </v>
      </c>
      <c r="N329" s="28" t="str">
        <f>IF(C329=""," ",[1]!s_yq_pctchange($C329,$N$1))</f>
        <v xml:space="preserve"> </v>
      </c>
      <c r="O329" s="11"/>
      <c r="P329" s="7"/>
    </row>
    <row r="330" spans="1:16" x14ac:dyDescent="0.35">
      <c r="A330" s="7"/>
      <c r="C330" s="31" t="str">
        <f>IF(指数列表!B327="","",指数列表!B327)</f>
        <v/>
      </c>
      <c r="D330" s="36" t="str">
        <f>IF(C330="","",[1]!s_info_name(C330))</f>
        <v/>
      </c>
      <c r="E330" s="25" t="str">
        <f>IF(C330="","",[1]!s_dq_close(C330,$N$1))</f>
        <v/>
      </c>
      <c r="F330" s="28" t="str">
        <f>IF($C330=""," ",[1]!i_pq_pctchange($C330,F$6,$N$1))</f>
        <v xml:space="preserve"> </v>
      </c>
      <c r="G330" s="28" t="str">
        <f>IF($C330=""," ",[1]!i_pq_pctchange($C330,G$6,$N$1))</f>
        <v xml:space="preserve"> </v>
      </c>
      <c r="H330" s="28" t="str">
        <f>IF($C330=""," ",[1]!i_pq_pctchange($C330,H$6,$N$1))</f>
        <v xml:space="preserve"> </v>
      </c>
      <c r="I330" s="28" t="str">
        <f>IF($C330=""," ",[1]!i_pq_pctchange($C330,I$6,$N$1))</f>
        <v xml:space="preserve"> </v>
      </c>
      <c r="J330" s="28" t="str">
        <f>IF($C330=""," ",[1]!i_pq_pctchange($C330,J$6,$N$1))</f>
        <v xml:space="preserve"> </v>
      </c>
      <c r="K330" s="28" t="str">
        <f>IF($C330=""," ",[1]!i_pq_pctchange($C330,K$6,$N$1))</f>
        <v xml:space="preserve"> </v>
      </c>
      <c r="L330" s="28" t="str">
        <f>IF(C330=""," ",[1]!s_wq_pctchange($C330,$N$1))</f>
        <v xml:space="preserve"> </v>
      </c>
      <c r="M330" s="28" t="str">
        <f>IF(C330=""," ",[1]!s_mq_pctchange($C330,$N$1))</f>
        <v xml:space="preserve"> </v>
      </c>
      <c r="N330" s="28" t="str">
        <f>IF(C330=""," ",[1]!s_yq_pctchange($C330,$N$1))</f>
        <v xml:space="preserve"> </v>
      </c>
      <c r="O330" s="11"/>
      <c r="P330" s="7"/>
    </row>
    <row r="331" spans="1:16" x14ac:dyDescent="0.35">
      <c r="A331" s="7"/>
      <c r="C331" s="30" t="str">
        <f>IF(指数列表!B328="","",指数列表!B328)</f>
        <v/>
      </c>
      <c r="D331" s="35" t="str">
        <f>IF(C331="","",[1]!s_info_name(C331))</f>
        <v/>
      </c>
      <c r="E331" s="24" t="str">
        <f>IF(C331="","",[1]!s_dq_close(C331,$N$1))</f>
        <v/>
      </c>
      <c r="F331" s="28" t="str">
        <f>IF($C331=""," ",[1]!i_pq_pctchange($C331,F$6,$N$1))</f>
        <v xml:space="preserve"> </v>
      </c>
      <c r="G331" s="28" t="str">
        <f>IF($C331=""," ",[1]!i_pq_pctchange($C331,G$6,$N$1))</f>
        <v xml:space="preserve"> </v>
      </c>
      <c r="H331" s="28" t="str">
        <f>IF($C331=""," ",[1]!i_pq_pctchange($C331,H$6,$N$1))</f>
        <v xml:space="preserve"> </v>
      </c>
      <c r="I331" s="28" t="str">
        <f>IF($C331=""," ",[1]!i_pq_pctchange($C331,I$6,$N$1))</f>
        <v xml:space="preserve"> </v>
      </c>
      <c r="J331" s="28" t="str">
        <f>IF($C331=""," ",[1]!i_pq_pctchange($C331,J$6,$N$1))</f>
        <v xml:space="preserve"> </v>
      </c>
      <c r="K331" s="28" t="str">
        <f>IF($C331=""," ",[1]!i_pq_pctchange($C331,K$6,$N$1))</f>
        <v xml:space="preserve"> </v>
      </c>
      <c r="L331" s="28" t="str">
        <f>IF(C331=""," ",[1]!s_wq_pctchange($C331,$N$1))</f>
        <v xml:space="preserve"> </v>
      </c>
      <c r="M331" s="28" t="str">
        <f>IF(C331=""," ",[1]!s_mq_pctchange($C331,$N$1))</f>
        <v xml:space="preserve"> </v>
      </c>
      <c r="N331" s="28" t="str">
        <f>IF(C331=""," ",[1]!s_yq_pctchange($C331,$N$1))</f>
        <v xml:space="preserve"> </v>
      </c>
      <c r="O331" s="11"/>
      <c r="P331" s="7"/>
    </row>
    <row r="332" spans="1:16" x14ac:dyDescent="0.35">
      <c r="A332" s="7"/>
      <c r="C332" s="31" t="str">
        <f>IF(指数列表!B329="","",指数列表!B329)</f>
        <v/>
      </c>
      <c r="D332" s="36" t="str">
        <f>IF(C332="","",[1]!s_info_name(C332))</f>
        <v/>
      </c>
      <c r="E332" s="25" t="str">
        <f>IF(C332="","",[1]!s_dq_close(C332,$N$1))</f>
        <v/>
      </c>
      <c r="F332" s="28" t="str">
        <f>IF($C332=""," ",[1]!i_pq_pctchange($C332,F$6,$N$1))</f>
        <v xml:space="preserve"> </v>
      </c>
      <c r="G332" s="28" t="str">
        <f>IF($C332=""," ",[1]!i_pq_pctchange($C332,G$6,$N$1))</f>
        <v xml:space="preserve"> </v>
      </c>
      <c r="H332" s="28" t="str">
        <f>IF($C332=""," ",[1]!i_pq_pctchange($C332,H$6,$N$1))</f>
        <v xml:space="preserve"> </v>
      </c>
      <c r="I332" s="28" t="str">
        <f>IF($C332=""," ",[1]!i_pq_pctchange($C332,I$6,$N$1))</f>
        <v xml:space="preserve"> </v>
      </c>
      <c r="J332" s="28" t="str">
        <f>IF($C332=""," ",[1]!i_pq_pctchange($C332,J$6,$N$1))</f>
        <v xml:space="preserve"> </v>
      </c>
      <c r="K332" s="28" t="str">
        <f>IF($C332=""," ",[1]!i_pq_pctchange($C332,K$6,$N$1))</f>
        <v xml:space="preserve"> </v>
      </c>
      <c r="L332" s="28" t="str">
        <f>IF(C332=""," ",[1]!s_wq_pctchange($C332,$N$1))</f>
        <v xml:space="preserve"> </v>
      </c>
      <c r="M332" s="28" t="str">
        <f>IF(C332=""," ",[1]!s_mq_pctchange($C332,$N$1))</f>
        <v xml:space="preserve"> </v>
      </c>
      <c r="N332" s="28" t="str">
        <f>IF(C332=""," ",[1]!s_yq_pctchange($C332,$N$1))</f>
        <v xml:space="preserve"> </v>
      </c>
      <c r="O332" s="11"/>
      <c r="P332" s="7"/>
    </row>
    <row r="333" spans="1:16" x14ac:dyDescent="0.35">
      <c r="A333" s="7"/>
      <c r="C333" s="30" t="str">
        <f>IF(指数列表!B330="","",指数列表!B330)</f>
        <v/>
      </c>
      <c r="D333" s="35" t="str">
        <f>IF(C333="","",[1]!s_info_name(C333))</f>
        <v/>
      </c>
      <c r="E333" s="24" t="str">
        <f>IF(C333="","",[1]!s_dq_close(C333,$N$1))</f>
        <v/>
      </c>
      <c r="F333" s="28" t="str">
        <f>IF($C333=""," ",[1]!i_pq_pctchange($C333,F$6,$N$1))</f>
        <v xml:space="preserve"> </v>
      </c>
      <c r="G333" s="28" t="str">
        <f>IF($C333=""," ",[1]!i_pq_pctchange($C333,G$6,$N$1))</f>
        <v xml:space="preserve"> </v>
      </c>
      <c r="H333" s="28" t="str">
        <f>IF($C333=""," ",[1]!i_pq_pctchange($C333,H$6,$N$1))</f>
        <v xml:space="preserve"> </v>
      </c>
      <c r="I333" s="28" t="str">
        <f>IF($C333=""," ",[1]!i_pq_pctchange($C333,I$6,$N$1))</f>
        <v xml:space="preserve"> </v>
      </c>
      <c r="J333" s="28" t="str">
        <f>IF($C333=""," ",[1]!i_pq_pctchange($C333,J$6,$N$1))</f>
        <v xml:space="preserve"> </v>
      </c>
      <c r="K333" s="28" t="str">
        <f>IF($C333=""," ",[1]!i_pq_pctchange($C333,K$6,$N$1))</f>
        <v xml:space="preserve"> </v>
      </c>
      <c r="L333" s="28" t="str">
        <f>IF(C333=""," ",[1]!s_wq_pctchange($C333,$N$1))</f>
        <v xml:space="preserve"> </v>
      </c>
      <c r="M333" s="28" t="str">
        <f>IF(C333=""," ",[1]!s_mq_pctchange($C333,$N$1))</f>
        <v xml:space="preserve"> </v>
      </c>
      <c r="N333" s="28" t="str">
        <f>IF(C333=""," ",[1]!s_yq_pctchange($C333,$N$1))</f>
        <v xml:space="preserve"> </v>
      </c>
      <c r="O333" s="11"/>
      <c r="P333" s="7"/>
    </row>
    <row r="334" spans="1:16" x14ac:dyDescent="0.35">
      <c r="A334" s="7"/>
      <c r="C334" s="31" t="str">
        <f>IF(指数列表!B331="","",指数列表!B331)</f>
        <v/>
      </c>
      <c r="D334" s="36" t="str">
        <f>IF(C334="","",[1]!s_info_name(C334))</f>
        <v/>
      </c>
      <c r="E334" s="25" t="str">
        <f>IF(C334="","",[1]!s_dq_close(C334,$N$1))</f>
        <v/>
      </c>
      <c r="F334" s="28" t="str">
        <f>IF($C334=""," ",[1]!i_pq_pctchange($C334,F$6,$N$1))</f>
        <v xml:space="preserve"> </v>
      </c>
      <c r="G334" s="28" t="str">
        <f>IF($C334=""," ",[1]!i_pq_pctchange($C334,G$6,$N$1))</f>
        <v xml:space="preserve"> </v>
      </c>
      <c r="H334" s="28" t="str">
        <f>IF($C334=""," ",[1]!i_pq_pctchange($C334,H$6,$N$1))</f>
        <v xml:space="preserve"> </v>
      </c>
      <c r="I334" s="28" t="str">
        <f>IF($C334=""," ",[1]!i_pq_pctchange($C334,I$6,$N$1))</f>
        <v xml:space="preserve"> </v>
      </c>
      <c r="J334" s="28" t="str">
        <f>IF($C334=""," ",[1]!i_pq_pctchange($C334,J$6,$N$1))</f>
        <v xml:space="preserve"> </v>
      </c>
      <c r="K334" s="28" t="str">
        <f>IF($C334=""," ",[1]!i_pq_pctchange($C334,K$6,$N$1))</f>
        <v xml:space="preserve"> </v>
      </c>
      <c r="L334" s="28" t="str">
        <f>IF(C334=""," ",[1]!s_wq_pctchange($C334,$N$1))</f>
        <v xml:space="preserve"> </v>
      </c>
      <c r="M334" s="28" t="str">
        <f>IF(C334=""," ",[1]!s_mq_pctchange($C334,$N$1))</f>
        <v xml:space="preserve"> </v>
      </c>
      <c r="N334" s="28" t="str">
        <f>IF(C334=""," ",[1]!s_yq_pctchange($C334,$N$1))</f>
        <v xml:space="preserve"> </v>
      </c>
      <c r="O334" s="11"/>
      <c r="P334" s="7"/>
    </row>
    <row r="335" spans="1:16" x14ac:dyDescent="0.35">
      <c r="A335" s="7"/>
      <c r="C335" s="30" t="str">
        <f>IF(指数列表!B332="","",指数列表!B332)</f>
        <v/>
      </c>
      <c r="D335" s="35" t="str">
        <f>IF(C335="","",[1]!s_info_name(C335))</f>
        <v/>
      </c>
      <c r="E335" s="24" t="str">
        <f>IF(C335="","",[1]!s_dq_close(C335,$N$1))</f>
        <v/>
      </c>
      <c r="F335" s="28" t="str">
        <f>IF($C335=""," ",[1]!i_pq_pctchange($C335,F$6,$N$1))</f>
        <v xml:space="preserve"> </v>
      </c>
      <c r="G335" s="28" t="str">
        <f>IF($C335=""," ",[1]!i_pq_pctchange($C335,G$6,$N$1))</f>
        <v xml:space="preserve"> </v>
      </c>
      <c r="H335" s="28" t="str">
        <f>IF($C335=""," ",[1]!i_pq_pctchange($C335,H$6,$N$1))</f>
        <v xml:space="preserve"> </v>
      </c>
      <c r="I335" s="28" t="str">
        <f>IF($C335=""," ",[1]!i_pq_pctchange($C335,I$6,$N$1))</f>
        <v xml:space="preserve"> </v>
      </c>
      <c r="J335" s="28" t="str">
        <f>IF($C335=""," ",[1]!i_pq_pctchange($C335,J$6,$N$1))</f>
        <v xml:space="preserve"> </v>
      </c>
      <c r="K335" s="28" t="str">
        <f>IF($C335=""," ",[1]!i_pq_pctchange($C335,K$6,$N$1))</f>
        <v xml:space="preserve"> </v>
      </c>
      <c r="L335" s="28" t="str">
        <f>IF(C335=""," ",[1]!s_wq_pctchange($C335,$N$1))</f>
        <v xml:space="preserve"> </v>
      </c>
      <c r="M335" s="28" t="str">
        <f>IF(C335=""," ",[1]!s_mq_pctchange($C335,$N$1))</f>
        <v xml:space="preserve"> </v>
      </c>
      <c r="N335" s="28" t="str">
        <f>IF(C335=""," ",[1]!s_yq_pctchange($C335,$N$1))</f>
        <v xml:space="preserve"> </v>
      </c>
      <c r="O335" s="11"/>
      <c r="P335" s="7"/>
    </row>
    <row r="336" spans="1:16" x14ac:dyDescent="0.35">
      <c r="A336" s="7"/>
      <c r="C336" s="31" t="str">
        <f>IF(指数列表!B333="","",指数列表!B333)</f>
        <v/>
      </c>
      <c r="D336" s="36" t="str">
        <f>IF(C336="","",[1]!s_info_name(C336))</f>
        <v/>
      </c>
      <c r="E336" s="25" t="str">
        <f>IF(C336="","",[1]!s_dq_close(C336,$N$1))</f>
        <v/>
      </c>
      <c r="F336" s="28" t="str">
        <f>IF($C336=""," ",[1]!i_pq_pctchange($C336,F$6,$N$1))</f>
        <v xml:space="preserve"> </v>
      </c>
      <c r="G336" s="28" t="str">
        <f>IF($C336=""," ",[1]!i_pq_pctchange($C336,G$6,$N$1))</f>
        <v xml:space="preserve"> </v>
      </c>
      <c r="H336" s="28" t="str">
        <f>IF($C336=""," ",[1]!i_pq_pctchange($C336,H$6,$N$1))</f>
        <v xml:space="preserve"> </v>
      </c>
      <c r="I336" s="28" t="str">
        <f>IF($C336=""," ",[1]!i_pq_pctchange($C336,I$6,$N$1))</f>
        <v xml:space="preserve"> </v>
      </c>
      <c r="J336" s="28" t="str">
        <f>IF($C336=""," ",[1]!i_pq_pctchange($C336,J$6,$N$1))</f>
        <v xml:space="preserve"> </v>
      </c>
      <c r="K336" s="28" t="str">
        <f>IF($C336=""," ",[1]!i_pq_pctchange($C336,K$6,$N$1))</f>
        <v xml:space="preserve"> </v>
      </c>
      <c r="L336" s="28" t="str">
        <f>IF(C336=""," ",[1]!s_wq_pctchange($C336,$N$1))</f>
        <v xml:space="preserve"> </v>
      </c>
      <c r="M336" s="28" t="str">
        <f>IF(C336=""," ",[1]!s_mq_pctchange($C336,$N$1))</f>
        <v xml:space="preserve"> </v>
      </c>
      <c r="N336" s="28" t="str">
        <f>IF(C336=""," ",[1]!s_yq_pctchange($C336,$N$1))</f>
        <v xml:space="preserve"> </v>
      </c>
      <c r="O336" s="11"/>
      <c r="P336" s="7"/>
    </row>
    <row r="337" spans="1:16" x14ac:dyDescent="0.35">
      <c r="A337" s="7"/>
      <c r="C337" s="30" t="str">
        <f>IF(指数列表!B334="","",指数列表!B334)</f>
        <v/>
      </c>
      <c r="D337" s="35" t="str">
        <f>IF(C337="","",[1]!s_info_name(C337))</f>
        <v/>
      </c>
      <c r="E337" s="24" t="str">
        <f>IF(C337="","",[1]!s_dq_close(C337,$N$1))</f>
        <v/>
      </c>
      <c r="F337" s="28" t="str">
        <f>IF($C337=""," ",[1]!i_pq_pctchange($C337,F$6,$N$1))</f>
        <v xml:space="preserve"> </v>
      </c>
      <c r="G337" s="28" t="str">
        <f>IF($C337=""," ",[1]!i_pq_pctchange($C337,G$6,$N$1))</f>
        <v xml:space="preserve"> </v>
      </c>
      <c r="H337" s="28" t="str">
        <f>IF($C337=""," ",[1]!i_pq_pctchange($C337,H$6,$N$1))</f>
        <v xml:space="preserve"> </v>
      </c>
      <c r="I337" s="28" t="str">
        <f>IF($C337=""," ",[1]!i_pq_pctchange($C337,I$6,$N$1))</f>
        <v xml:space="preserve"> </v>
      </c>
      <c r="J337" s="28" t="str">
        <f>IF($C337=""," ",[1]!i_pq_pctchange($C337,J$6,$N$1))</f>
        <v xml:space="preserve"> </v>
      </c>
      <c r="K337" s="28" t="str">
        <f>IF($C337=""," ",[1]!i_pq_pctchange($C337,K$6,$N$1))</f>
        <v xml:space="preserve"> </v>
      </c>
      <c r="L337" s="28" t="str">
        <f>IF(C337=""," ",[1]!s_wq_pctchange($C337,$N$1))</f>
        <v xml:space="preserve"> </v>
      </c>
      <c r="M337" s="28" t="str">
        <f>IF(C337=""," ",[1]!s_mq_pctchange($C337,$N$1))</f>
        <v xml:space="preserve"> </v>
      </c>
      <c r="N337" s="28" t="str">
        <f>IF(C337=""," ",[1]!s_yq_pctchange($C337,$N$1))</f>
        <v xml:space="preserve"> </v>
      </c>
      <c r="O337" s="11"/>
      <c r="P337" s="7"/>
    </row>
    <row r="338" spans="1:16" x14ac:dyDescent="0.35">
      <c r="A338" s="7"/>
      <c r="C338" s="31" t="str">
        <f>IF(指数列表!B335="","",指数列表!B335)</f>
        <v/>
      </c>
      <c r="D338" s="36" t="str">
        <f>IF(C338="","",[1]!s_info_name(C338))</f>
        <v/>
      </c>
      <c r="E338" s="25" t="str">
        <f>IF(C338="","",[1]!s_dq_close(C338,$N$1))</f>
        <v/>
      </c>
      <c r="F338" s="28" t="str">
        <f>IF($C338=""," ",[1]!i_pq_pctchange($C338,F$6,$N$1))</f>
        <v xml:space="preserve"> </v>
      </c>
      <c r="G338" s="28" t="str">
        <f>IF($C338=""," ",[1]!i_pq_pctchange($C338,G$6,$N$1))</f>
        <v xml:space="preserve"> </v>
      </c>
      <c r="H338" s="28" t="str">
        <f>IF($C338=""," ",[1]!i_pq_pctchange($C338,H$6,$N$1))</f>
        <v xml:space="preserve"> </v>
      </c>
      <c r="I338" s="28" t="str">
        <f>IF($C338=""," ",[1]!i_pq_pctchange($C338,I$6,$N$1))</f>
        <v xml:space="preserve"> </v>
      </c>
      <c r="J338" s="28" t="str">
        <f>IF($C338=""," ",[1]!i_pq_pctchange($C338,J$6,$N$1))</f>
        <v xml:space="preserve"> </v>
      </c>
      <c r="K338" s="28" t="str">
        <f>IF($C338=""," ",[1]!i_pq_pctchange($C338,K$6,$N$1))</f>
        <v xml:space="preserve"> </v>
      </c>
      <c r="L338" s="28" t="str">
        <f>IF(C338=""," ",[1]!s_wq_pctchange($C338,$N$1))</f>
        <v xml:space="preserve"> </v>
      </c>
      <c r="M338" s="28" t="str">
        <f>IF(C338=""," ",[1]!s_mq_pctchange($C338,$N$1))</f>
        <v xml:space="preserve"> </v>
      </c>
      <c r="N338" s="28" t="str">
        <f>IF(C338=""," ",[1]!s_yq_pctchange($C338,$N$1))</f>
        <v xml:space="preserve"> </v>
      </c>
      <c r="O338" s="11"/>
      <c r="P338" s="7"/>
    </row>
    <row r="339" spans="1:16" x14ac:dyDescent="0.35">
      <c r="A339" s="7"/>
      <c r="C339" s="30" t="str">
        <f>IF(指数列表!B336="","",指数列表!B336)</f>
        <v/>
      </c>
      <c r="D339" s="35" t="str">
        <f>IF(C339="","",[1]!s_info_name(C339))</f>
        <v/>
      </c>
      <c r="E339" s="24" t="str">
        <f>IF(C339="","",[1]!s_dq_close(C339,$N$1))</f>
        <v/>
      </c>
      <c r="F339" s="28" t="str">
        <f>IF($C339=""," ",[1]!i_pq_pctchange($C339,F$6,$N$1))</f>
        <v xml:space="preserve"> </v>
      </c>
      <c r="G339" s="28" t="str">
        <f>IF($C339=""," ",[1]!i_pq_pctchange($C339,G$6,$N$1))</f>
        <v xml:space="preserve"> </v>
      </c>
      <c r="H339" s="28" t="str">
        <f>IF($C339=""," ",[1]!i_pq_pctchange($C339,H$6,$N$1))</f>
        <v xml:space="preserve"> </v>
      </c>
      <c r="I339" s="28" t="str">
        <f>IF($C339=""," ",[1]!i_pq_pctchange($C339,I$6,$N$1))</f>
        <v xml:space="preserve"> </v>
      </c>
      <c r="J339" s="28" t="str">
        <f>IF($C339=""," ",[1]!i_pq_pctchange($C339,J$6,$N$1))</f>
        <v xml:space="preserve"> </v>
      </c>
      <c r="K339" s="28" t="str">
        <f>IF($C339=""," ",[1]!i_pq_pctchange($C339,K$6,$N$1))</f>
        <v xml:space="preserve"> </v>
      </c>
      <c r="L339" s="28" t="str">
        <f>IF(C339=""," ",[1]!s_wq_pctchange($C339,$N$1))</f>
        <v xml:space="preserve"> </v>
      </c>
      <c r="M339" s="28" t="str">
        <f>IF(C339=""," ",[1]!s_mq_pctchange($C339,$N$1))</f>
        <v xml:space="preserve"> </v>
      </c>
      <c r="N339" s="28" t="str">
        <f>IF(C339=""," ",[1]!s_yq_pctchange($C339,$N$1))</f>
        <v xml:space="preserve"> </v>
      </c>
      <c r="O339" s="11"/>
      <c r="P339" s="7"/>
    </row>
    <row r="340" spans="1:16" x14ac:dyDescent="0.35">
      <c r="A340" s="7"/>
      <c r="C340" s="31" t="str">
        <f>IF(指数列表!B337="","",指数列表!B337)</f>
        <v/>
      </c>
      <c r="D340" s="36" t="str">
        <f>IF(C340="","",[1]!s_info_name(C340))</f>
        <v/>
      </c>
      <c r="E340" s="25" t="str">
        <f>IF(C340="","",[1]!s_dq_close(C340,$N$1))</f>
        <v/>
      </c>
      <c r="F340" s="28" t="str">
        <f>IF($C340=""," ",[1]!i_pq_pctchange($C340,F$6,$N$1))</f>
        <v xml:space="preserve"> </v>
      </c>
      <c r="G340" s="28" t="str">
        <f>IF($C340=""," ",[1]!i_pq_pctchange($C340,G$6,$N$1))</f>
        <v xml:space="preserve"> </v>
      </c>
      <c r="H340" s="28" t="str">
        <f>IF($C340=""," ",[1]!i_pq_pctchange($C340,H$6,$N$1))</f>
        <v xml:space="preserve"> </v>
      </c>
      <c r="I340" s="28" t="str">
        <f>IF($C340=""," ",[1]!i_pq_pctchange($C340,I$6,$N$1))</f>
        <v xml:space="preserve"> </v>
      </c>
      <c r="J340" s="28" t="str">
        <f>IF($C340=""," ",[1]!i_pq_pctchange($C340,J$6,$N$1))</f>
        <v xml:space="preserve"> </v>
      </c>
      <c r="K340" s="28" t="str">
        <f>IF($C340=""," ",[1]!i_pq_pctchange($C340,K$6,$N$1))</f>
        <v xml:space="preserve"> </v>
      </c>
      <c r="L340" s="28" t="str">
        <f>IF(C340=""," ",[1]!s_wq_pctchange($C340,$N$1))</f>
        <v xml:space="preserve"> </v>
      </c>
      <c r="M340" s="28" t="str">
        <f>IF(C340=""," ",[1]!s_mq_pctchange($C340,$N$1))</f>
        <v xml:space="preserve"> </v>
      </c>
      <c r="N340" s="28" t="str">
        <f>IF(C340=""," ",[1]!s_yq_pctchange($C340,$N$1))</f>
        <v xml:space="preserve"> </v>
      </c>
      <c r="O340" s="11"/>
      <c r="P340" s="7"/>
    </row>
    <row r="341" spans="1:16" x14ac:dyDescent="0.35">
      <c r="A341" s="7"/>
      <c r="C341" s="30" t="str">
        <f>IF(指数列表!B338="","",指数列表!B338)</f>
        <v/>
      </c>
      <c r="D341" s="35" t="str">
        <f>IF(C341="","",[1]!s_info_name(C341))</f>
        <v/>
      </c>
      <c r="E341" s="24" t="str">
        <f>IF(C341="","",[1]!s_dq_close(C341,$N$1))</f>
        <v/>
      </c>
      <c r="F341" s="28" t="str">
        <f>IF($C341=""," ",[1]!i_pq_pctchange($C341,F$6,$N$1))</f>
        <v xml:space="preserve"> </v>
      </c>
      <c r="G341" s="28" t="str">
        <f>IF($C341=""," ",[1]!i_pq_pctchange($C341,G$6,$N$1))</f>
        <v xml:space="preserve"> </v>
      </c>
      <c r="H341" s="28" t="str">
        <f>IF($C341=""," ",[1]!i_pq_pctchange($C341,H$6,$N$1))</f>
        <v xml:space="preserve"> </v>
      </c>
      <c r="I341" s="28" t="str">
        <f>IF($C341=""," ",[1]!i_pq_pctchange($C341,I$6,$N$1))</f>
        <v xml:space="preserve"> </v>
      </c>
      <c r="J341" s="28" t="str">
        <f>IF($C341=""," ",[1]!i_pq_pctchange($C341,J$6,$N$1))</f>
        <v xml:space="preserve"> </v>
      </c>
      <c r="K341" s="28" t="str">
        <f>IF($C341=""," ",[1]!i_pq_pctchange($C341,K$6,$N$1))</f>
        <v xml:space="preserve"> </v>
      </c>
      <c r="L341" s="28" t="str">
        <f>IF(C341=""," ",[1]!s_wq_pctchange($C341,$N$1))</f>
        <v xml:space="preserve"> </v>
      </c>
      <c r="M341" s="28" t="str">
        <f>IF(C341=""," ",[1]!s_mq_pctchange($C341,$N$1))</f>
        <v xml:space="preserve"> </v>
      </c>
      <c r="N341" s="28" t="str">
        <f>IF(C341=""," ",[1]!s_yq_pctchange($C341,$N$1))</f>
        <v xml:space="preserve"> </v>
      </c>
      <c r="O341" s="11"/>
      <c r="P341" s="7"/>
    </row>
    <row r="342" spans="1:16" x14ac:dyDescent="0.35">
      <c r="A342" s="7"/>
      <c r="C342" s="31" t="str">
        <f>IF(指数列表!B339="","",指数列表!B339)</f>
        <v/>
      </c>
      <c r="D342" s="36" t="str">
        <f>IF(C342="","",[1]!s_info_name(C342))</f>
        <v/>
      </c>
      <c r="E342" s="25" t="str">
        <f>IF(C342="","",[1]!s_dq_close(C342,$N$1))</f>
        <v/>
      </c>
      <c r="F342" s="28" t="str">
        <f>IF($C342=""," ",[1]!i_pq_pctchange($C342,F$6,$N$1))</f>
        <v xml:space="preserve"> </v>
      </c>
      <c r="G342" s="28" t="str">
        <f>IF($C342=""," ",[1]!i_pq_pctchange($C342,G$6,$N$1))</f>
        <v xml:space="preserve"> </v>
      </c>
      <c r="H342" s="28" t="str">
        <f>IF($C342=""," ",[1]!i_pq_pctchange($C342,H$6,$N$1))</f>
        <v xml:space="preserve"> </v>
      </c>
      <c r="I342" s="28" t="str">
        <f>IF($C342=""," ",[1]!i_pq_pctchange($C342,I$6,$N$1))</f>
        <v xml:space="preserve"> </v>
      </c>
      <c r="J342" s="28" t="str">
        <f>IF($C342=""," ",[1]!i_pq_pctchange($C342,J$6,$N$1))</f>
        <v xml:space="preserve"> </v>
      </c>
      <c r="K342" s="28" t="str">
        <f>IF($C342=""," ",[1]!i_pq_pctchange($C342,K$6,$N$1))</f>
        <v xml:space="preserve"> </v>
      </c>
      <c r="L342" s="28" t="str">
        <f>IF(C342=""," ",[1]!s_wq_pctchange($C342,$N$1))</f>
        <v xml:space="preserve"> </v>
      </c>
      <c r="M342" s="28" t="str">
        <f>IF(C342=""," ",[1]!s_mq_pctchange($C342,$N$1))</f>
        <v xml:space="preserve"> </v>
      </c>
      <c r="N342" s="28" t="str">
        <f>IF(C342=""," ",[1]!s_yq_pctchange($C342,$N$1))</f>
        <v xml:space="preserve"> </v>
      </c>
      <c r="O342" s="11"/>
      <c r="P342" s="7"/>
    </row>
    <row r="343" spans="1:16" x14ac:dyDescent="0.35">
      <c r="A343" s="7"/>
      <c r="C343" s="30" t="str">
        <f>IF(指数列表!B340="","",指数列表!B340)</f>
        <v/>
      </c>
      <c r="D343" s="35" t="str">
        <f>IF(C343="","",[1]!s_info_name(C343))</f>
        <v/>
      </c>
      <c r="E343" s="24" t="str">
        <f>IF(C343="","",[1]!s_dq_close(C343,$N$1))</f>
        <v/>
      </c>
      <c r="F343" s="28" t="str">
        <f>IF($C343=""," ",[1]!i_pq_pctchange($C343,F$6,$N$1))</f>
        <v xml:space="preserve"> </v>
      </c>
      <c r="G343" s="28" t="str">
        <f>IF($C343=""," ",[1]!i_pq_pctchange($C343,G$6,$N$1))</f>
        <v xml:space="preserve"> </v>
      </c>
      <c r="H343" s="28" t="str">
        <f>IF($C343=""," ",[1]!i_pq_pctchange($C343,H$6,$N$1))</f>
        <v xml:space="preserve"> </v>
      </c>
      <c r="I343" s="28" t="str">
        <f>IF($C343=""," ",[1]!i_pq_pctchange($C343,I$6,$N$1))</f>
        <v xml:space="preserve"> </v>
      </c>
      <c r="J343" s="28" t="str">
        <f>IF($C343=""," ",[1]!i_pq_pctchange($C343,J$6,$N$1))</f>
        <v xml:space="preserve"> </v>
      </c>
      <c r="K343" s="28" t="str">
        <f>IF($C343=""," ",[1]!i_pq_pctchange($C343,K$6,$N$1))</f>
        <v xml:space="preserve"> </v>
      </c>
      <c r="L343" s="28" t="str">
        <f>IF(C343=""," ",[1]!s_wq_pctchange($C343,$N$1))</f>
        <v xml:space="preserve"> </v>
      </c>
      <c r="M343" s="28" t="str">
        <f>IF(C343=""," ",[1]!s_mq_pctchange($C343,$N$1))</f>
        <v xml:space="preserve"> </v>
      </c>
      <c r="N343" s="28" t="str">
        <f>IF(C343=""," ",[1]!s_yq_pctchange($C343,$N$1))</f>
        <v xml:space="preserve"> </v>
      </c>
      <c r="O343" s="11"/>
      <c r="P343" s="7"/>
    </row>
    <row r="344" spans="1:16" x14ac:dyDescent="0.35">
      <c r="A344" s="7"/>
      <c r="C344" s="31" t="str">
        <f>IF(指数列表!B341="","",指数列表!B341)</f>
        <v/>
      </c>
      <c r="D344" s="36" t="str">
        <f>IF(C344="","",[1]!s_info_name(C344))</f>
        <v/>
      </c>
      <c r="E344" s="25" t="str">
        <f>IF(C344="","",[1]!s_dq_close(C344,$N$1))</f>
        <v/>
      </c>
      <c r="F344" s="28" t="str">
        <f>IF($C344=""," ",[1]!i_pq_pctchange($C344,F$6,$N$1))</f>
        <v xml:space="preserve"> </v>
      </c>
      <c r="G344" s="28" t="str">
        <f>IF($C344=""," ",[1]!i_pq_pctchange($C344,G$6,$N$1))</f>
        <v xml:space="preserve"> </v>
      </c>
      <c r="H344" s="28" t="str">
        <f>IF($C344=""," ",[1]!i_pq_pctchange($C344,H$6,$N$1))</f>
        <v xml:space="preserve"> </v>
      </c>
      <c r="I344" s="28" t="str">
        <f>IF($C344=""," ",[1]!i_pq_pctchange($C344,I$6,$N$1))</f>
        <v xml:space="preserve"> </v>
      </c>
      <c r="J344" s="28" t="str">
        <f>IF($C344=""," ",[1]!i_pq_pctchange($C344,J$6,$N$1))</f>
        <v xml:space="preserve"> </v>
      </c>
      <c r="K344" s="28" t="str">
        <f>IF($C344=""," ",[1]!i_pq_pctchange($C344,K$6,$N$1))</f>
        <v xml:space="preserve"> </v>
      </c>
      <c r="L344" s="28" t="str">
        <f>IF(C344=""," ",[1]!s_wq_pctchange($C344,$N$1))</f>
        <v xml:space="preserve"> </v>
      </c>
      <c r="M344" s="28" t="str">
        <f>IF(C344=""," ",[1]!s_mq_pctchange($C344,$N$1))</f>
        <v xml:space="preserve"> </v>
      </c>
      <c r="N344" s="28" t="str">
        <f>IF(C344=""," ",[1]!s_yq_pctchange($C344,$N$1))</f>
        <v xml:space="preserve"> </v>
      </c>
      <c r="O344" s="11"/>
      <c r="P344" s="7"/>
    </row>
    <row r="345" spans="1:16" x14ac:dyDescent="0.35">
      <c r="A345" s="7"/>
      <c r="C345" s="30" t="str">
        <f>IF(指数列表!B342="","",指数列表!B342)</f>
        <v/>
      </c>
      <c r="D345" s="35" t="str">
        <f>IF(C345="","",[1]!s_info_name(C345))</f>
        <v/>
      </c>
      <c r="E345" s="24" t="str">
        <f>IF(C345="","",[1]!s_dq_close(C345,$N$1))</f>
        <v/>
      </c>
      <c r="F345" s="28" t="str">
        <f>IF($C345=""," ",[1]!i_pq_pctchange($C345,F$6,$N$1))</f>
        <v xml:space="preserve"> </v>
      </c>
      <c r="G345" s="28" t="str">
        <f>IF($C345=""," ",[1]!i_pq_pctchange($C345,G$6,$N$1))</f>
        <v xml:space="preserve"> </v>
      </c>
      <c r="H345" s="28" t="str">
        <f>IF($C345=""," ",[1]!i_pq_pctchange($C345,H$6,$N$1))</f>
        <v xml:space="preserve"> </v>
      </c>
      <c r="I345" s="28" t="str">
        <f>IF($C345=""," ",[1]!i_pq_pctchange($C345,I$6,$N$1))</f>
        <v xml:space="preserve"> </v>
      </c>
      <c r="J345" s="28" t="str">
        <f>IF($C345=""," ",[1]!i_pq_pctchange($C345,J$6,$N$1))</f>
        <v xml:space="preserve"> </v>
      </c>
      <c r="K345" s="28" t="str">
        <f>IF($C345=""," ",[1]!i_pq_pctchange($C345,K$6,$N$1))</f>
        <v xml:space="preserve"> </v>
      </c>
      <c r="L345" s="28" t="str">
        <f>IF(C345=""," ",[1]!s_wq_pctchange($C345,$N$1))</f>
        <v xml:space="preserve"> </v>
      </c>
      <c r="M345" s="28" t="str">
        <f>IF(C345=""," ",[1]!s_mq_pctchange($C345,$N$1))</f>
        <v xml:space="preserve"> </v>
      </c>
      <c r="N345" s="28" t="str">
        <f>IF(C345=""," ",[1]!s_yq_pctchange($C345,$N$1))</f>
        <v xml:space="preserve"> </v>
      </c>
      <c r="O345" s="11"/>
      <c r="P345" s="7"/>
    </row>
    <row r="346" spans="1:16" x14ac:dyDescent="0.35">
      <c r="A346" s="7"/>
      <c r="C346" s="31" t="str">
        <f>IF(指数列表!B343="","",指数列表!B343)</f>
        <v/>
      </c>
      <c r="D346" s="36" t="str">
        <f>IF(C346="","",[1]!s_info_name(C346))</f>
        <v/>
      </c>
      <c r="E346" s="25" t="str">
        <f>IF(C346="","",[1]!s_dq_close(C346,$N$1))</f>
        <v/>
      </c>
      <c r="F346" s="28" t="str">
        <f>IF($C346=""," ",[1]!i_pq_pctchange($C346,F$6,$N$1))</f>
        <v xml:space="preserve"> </v>
      </c>
      <c r="G346" s="28" t="str">
        <f>IF($C346=""," ",[1]!i_pq_pctchange($C346,G$6,$N$1))</f>
        <v xml:space="preserve"> </v>
      </c>
      <c r="H346" s="28" t="str">
        <f>IF($C346=""," ",[1]!i_pq_pctchange($C346,H$6,$N$1))</f>
        <v xml:space="preserve"> </v>
      </c>
      <c r="I346" s="28" t="str">
        <f>IF($C346=""," ",[1]!i_pq_pctchange($C346,I$6,$N$1))</f>
        <v xml:space="preserve"> </v>
      </c>
      <c r="J346" s="28" t="str">
        <f>IF($C346=""," ",[1]!i_pq_pctchange($C346,J$6,$N$1))</f>
        <v xml:space="preserve"> </v>
      </c>
      <c r="K346" s="28" t="str">
        <f>IF($C346=""," ",[1]!i_pq_pctchange($C346,K$6,$N$1))</f>
        <v xml:space="preserve"> </v>
      </c>
      <c r="L346" s="28" t="str">
        <f>IF(C346=""," ",[1]!s_wq_pctchange($C346,$N$1))</f>
        <v xml:space="preserve"> </v>
      </c>
      <c r="M346" s="28" t="str">
        <f>IF(C346=""," ",[1]!s_mq_pctchange($C346,$N$1))</f>
        <v xml:space="preserve"> </v>
      </c>
      <c r="N346" s="28" t="str">
        <f>IF(C346=""," ",[1]!s_yq_pctchange($C346,$N$1))</f>
        <v xml:space="preserve"> </v>
      </c>
      <c r="O346" s="11"/>
      <c r="P346" s="7"/>
    </row>
    <row r="347" spans="1:16" x14ac:dyDescent="0.35">
      <c r="A347" s="7"/>
      <c r="C347" s="30" t="str">
        <f>IF(指数列表!B344="","",指数列表!B344)</f>
        <v/>
      </c>
      <c r="D347" s="35" t="str">
        <f>IF(C347="","",[1]!s_info_name(C347))</f>
        <v/>
      </c>
      <c r="E347" s="24" t="str">
        <f>IF(C347="","",[1]!s_dq_close(C347,$N$1))</f>
        <v/>
      </c>
      <c r="F347" s="28" t="str">
        <f>IF($C347=""," ",[1]!i_pq_pctchange($C347,F$6,$N$1))</f>
        <v xml:space="preserve"> </v>
      </c>
      <c r="G347" s="28" t="str">
        <f>IF($C347=""," ",[1]!i_pq_pctchange($C347,G$6,$N$1))</f>
        <v xml:space="preserve"> </v>
      </c>
      <c r="H347" s="28" t="str">
        <f>IF($C347=""," ",[1]!i_pq_pctchange($C347,H$6,$N$1))</f>
        <v xml:space="preserve"> </v>
      </c>
      <c r="I347" s="28" t="str">
        <f>IF($C347=""," ",[1]!i_pq_pctchange($C347,I$6,$N$1))</f>
        <v xml:space="preserve"> </v>
      </c>
      <c r="J347" s="28" t="str">
        <f>IF($C347=""," ",[1]!i_pq_pctchange($C347,J$6,$N$1))</f>
        <v xml:space="preserve"> </v>
      </c>
      <c r="K347" s="28" t="str">
        <f>IF($C347=""," ",[1]!i_pq_pctchange($C347,K$6,$N$1))</f>
        <v xml:space="preserve"> </v>
      </c>
      <c r="L347" s="28" t="str">
        <f>IF(C347=""," ",[1]!s_wq_pctchange($C347,$N$1))</f>
        <v xml:space="preserve"> </v>
      </c>
      <c r="M347" s="28" t="str">
        <f>IF(C347=""," ",[1]!s_mq_pctchange($C347,$N$1))</f>
        <v xml:space="preserve"> </v>
      </c>
      <c r="N347" s="28" t="str">
        <f>IF(C347=""," ",[1]!s_yq_pctchange($C347,$N$1))</f>
        <v xml:space="preserve"> </v>
      </c>
      <c r="O347" s="11"/>
      <c r="P347" s="7"/>
    </row>
    <row r="348" spans="1:16" x14ac:dyDescent="0.35">
      <c r="A348" s="7"/>
      <c r="C348" s="31" t="str">
        <f>IF(指数列表!B345="","",指数列表!B345)</f>
        <v/>
      </c>
      <c r="D348" s="36" t="str">
        <f>IF(C348="","",[1]!s_info_name(C348))</f>
        <v/>
      </c>
      <c r="E348" s="25" t="str">
        <f>IF(C348="","",[1]!s_dq_close(C348,$N$1))</f>
        <v/>
      </c>
      <c r="F348" s="28" t="str">
        <f>IF($C348=""," ",[1]!i_pq_pctchange($C348,F$6,$N$1))</f>
        <v xml:space="preserve"> </v>
      </c>
      <c r="G348" s="28" t="str">
        <f>IF($C348=""," ",[1]!i_pq_pctchange($C348,G$6,$N$1))</f>
        <v xml:space="preserve"> </v>
      </c>
      <c r="H348" s="28" t="str">
        <f>IF($C348=""," ",[1]!i_pq_pctchange($C348,H$6,$N$1))</f>
        <v xml:space="preserve"> </v>
      </c>
      <c r="I348" s="28" t="str">
        <f>IF($C348=""," ",[1]!i_pq_pctchange($C348,I$6,$N$1))</f>
        <v xml:space="preserve"> </v>
      </c>
      <c r="J348" s="28" t="str">
        <f>IF($C348=""," ",[1]!i_pq_pctchange($C348,J$6,$N$1))</f>
        <v xml:space="preserve"> </v>
      </c>
      <c r="K348" s="28" t="str">
        <f>IF($C348=""," ",[1]!i_pq_pctchange($C348,K$6,$N$1))</f>
        <v xml:space="preserve"> </v>
      </c>
      <c r="L348" s="28" t="str">
        <f>IF(C348=""," ",[1]!s_wq_pctchange($C348,$N$1))</f>
        <v xml:space="preserve"> </v>
      </c>
      <c r="M348" s="28" t="str">
        <f>IF(C348=""," ",[1]!s_mq_pctchange($C348,$N$1))</f>
        <v xml:space="preserve"> </v>
      </c>
      <c r="N348" s="28" t="str">
        <f>IF(C348=""," ",[1]!s_yq_pctchange($C348,$N$1))</f>
        <v xml:space="preserve"> </v>
      </c>
      <c r="O348" s="11"/>
      <c r="P348" s="7"/>
    </row>
    <row r="349" spans="1:16" x14ac:dyDescent="0.35">
      <c r="A349" s="7"/>
      <c r="C349" s="30" t="str">
        <f>IF(指数列表!B346="","",指数列表!B346)</f>
        <v/>
      </c>
      <c r="D349" s="35" t="str">
        <f>IF(C349="","",[1]!s_info_name(C349))</f>
        <v/>
      </c>
      <c r="E349" s="24" t="str">
        <f>IF(C349="","",[1]!s_dq_close(C349,$N$1))</f>
        <v/>
      </c>
      <c r="F349" s="28" t="str">
        <f>IF($C349=""," ",[1]!i_pq_pctchange($C349,F$6,$N$1))</f>
        <v xml:space="preserve"> </v>
      </c>
      <c r="G349" s="28" t="str">
        <f>IF($C349=""," ",[1]!i_pq_pctchange($C349,G$6,$N$1))</f>
        <v xml:space="preserve"> </v>
      </c>
      <c r="H349" s="28" t="str">
        <f>IF($C349=""," ",[1]!i_pq_pctchange($C349,H$6,$N$1))</f>
        <v xml:space="preserve"> </v>
      </c>
      <c r="I349" s="28" t="str">
        <f>IF($C349=""," ",[1]!i_pq_pctchange($C349,I$6,$N$1))</f>
        <v xml:space="preserve"> </v>
      </c>
      <c r="J349" s="28" t="str">
        <f>IF($C349=""," ",[1]!i_pq_pctchange($C349,J$6,$N$1))</f>
        <v xml:space="preserve"> </v>
      </c>
      <c r="K349" s="28" t="str">
        <f>IF($C349=""," ",[1]!i_pq_pctchange($C349,K$6,$N$1))</f>
        <v xml:space="preserve"> </v>
      </c>
      <c r="L349" s="28" t="str">
        <f>IF(C349=""," ",[1]!s_wq_pctchange($C349,$N$1))</f>
        <v xml:space="preserve"> </v>
      </c>
      <c r="M349" s="28" t="str">
        <f>IF(C349=""," ",[1]!s_mq_pctchange($C349,$N$1))</f>
        <v xml:space="preserve"> </v>
      </c>
      <c r="N349" s="28" t="str">
        <f>IF(C349=""," ",[1]!s_yq_pctchange($C349,$N$1))</f>
        <v xml:space="preserve"> </v>
      </c>
      <c r="O349" s="11"/>
      <c r="P349" s="7"/>
    </row>
    <row r="350" spans="1:16" x14ac:dyDescent="0.35">
      <c r="A350" s="7"/>
      <c r="C350" s="31" t="str">
        <f>IF(指数列表!B347="","",指数列表!B347)</f>
        <v/>
      </c>
      <c r="D350" s="36" t="str">
        <f>IF(C350="","",[1]!s_info_name(C350))</f>
        <v/>
      </c>
      <c r="E350" s="25" t="str">
        <f>IF(C350="","",[1]!s_dq_close(C350,$N$1))</f>
        <v/>
      </c>
      <c r="F350" s="28" t="str">
        <f>IF($C350=""," ",[1]!i_pq_pctchange($C350,F$6,$N$1))</f>
        <v xml:space="preserve"> </v>
      </c>
      <c r="G350" s="28" t="str">
        <f>IF($C350=""," ",[1]!i_pq_pctchange($C350,G$6,$N$1))</f>
        <v xml:space="preserve"> </v>
      </c>
      <c r="H350" s="28" t="str">
        <f>IF($C350=""," ",[1]!i_pq_pctchange($C350,H$6,$N$1))</f>
        <v xml:space="preserve"> </v>
      </c>
      <c r="I350" s="28" t="str">
        <f>IF($C350=""," ",[1]!i_pq_pctchange($C350,I$6,$N$1))</f>
        <v xml:space="preserve"> </v>
      </c>
      <c r="J350" s="28" t="str">
        <f>IF($C350=""," ",[1]!i_pq_pctchange($C350,J$6,$N$1))</f>
        <v xml:space="preserve"> </v>
      </c>
      <c r="K350" s="28" t="str">
        <f>IF($C350=""," ",[1]!i_pq_pctchange($C350,K$6,$N$1))</f>
        <v xml:space="preserve"> </v>
      </c>
      <c r="L350" s="28" t="str">
        <f>IF(C350=""," ",[1]!s_wq_pctchange($C350,$N$1))</f>
        <v xml:space="preserve"> </v>
      </c>
      <c r="M350" s="28" t="str">
        <f>IF(C350=""," ",[1]!s_mq_pctchange($C350,$N$1))</f>
        <v xml:space="preserve"> </v>
      </c>
      <c r="N350" s="28" t="str">
        <f>IF(C350=""," ",[1]!s_yq_pctchange($C350,$N$1))</f>
        <v xml:space="preserve"> </v>
      </c>
      <c r="O350" s="11"/>
      <c r="P350" s="7"/>
    </row>
    <row r="351" spans="1:16" x14ac:dyDescent="0.35">
      <c r="A351" s="7"/>
      <c r="C351" s="30" t="str">
        <f>IF(指数列表!B348="","",指数列表!B348)</f>
        <v/>
      </c>
      <c r="D351" s="35" t="str">
        <f>IF(C351="","",[1]!s_info_name(C351))</f>
        <v/>
      </c>
      <c r="E351" s="24" t="str">
        <f>IF(C351="","",[1]!s_dq_close(C351,$N$1))</f>
        <v/>
      </c>
      <c r="F351" s="28" t="str">
        <f>IF($C351=""," ",[1]!i_pq_pctchange($C351,F$6,$N$1))</f>
        <v xml:space="preserve"> </v>
      </c>
      <c r="G351" s="28" t="str">
        <f>IF($C351=""," ",[1]!i_pq_pctchange($C351,G$6,$N$1))</f>
        <v xml:space="preserve"> </v>
      </c>
      <c r="H351" s="28" t="str">
        <f>IF($C351=""," ",[1]!i_pq_pctchange($C351,H$6,$N$1))</f>
        <v xml:space="preserve"> </v>
      </c>
      <c r="I351" s="28" t="str">
        <f>IF($C351=""," ",[1]!i_pq_pctchange($C351,I$6,$N$1))</f>
        <v xml:space="preserve"> </v>
      </c>
      <c r="J351" s="28" t="str">
        <f>IF($C351=""," ",[1]!i_pq_pctchange($C351,J$6,$N$1))</f>
        <v xml:space="preserve"> </v>
      </c>
      <c r="K351" s="28" t="str">
        <f>IF($C351=""," ",[1]!i_pq_pctchange($C351,K$6,$N$1))</f>
        <v xml:space="preserve"> </v>
      </c>
      <c r="L351" s="28" t="str">
        <f>IF(C351=""," ",[1]!s_wq_pctchange($C351,$N$1))</f>
        <v xml:space="preserve"> </v>
      </c>
      <c r="M351" s="28" t="str">
        <f>IF(C351=""," ",[1]!s_mq_pctchange($C351,$N$1))</f>
        <v xml:space="preserve"> </v>
      </c>
      <c r="N351" s="28" t="str">
        <f>IF(C351=""," ",[1]!s_yq_pctchange($C351,$N$1))</f>
        <v xml:space="preserve"> </v>
      </c>
      <c r="O351" s="11"/>
      <c r="P351" s="7"/>
    </row>
    <row r="352" spans="1:16" x14ac:dyDescent="0.35">
      <c r="A352" s="7"/>
      <c r="C352" s="31" t="str">
        <f>IF(指数列表!B349="","",指数列表!B349)</f>
        <v/>
      </c>
      <c r="D352" s="36" t="str">
        <f>IF(C352="","",[1]!s_info_name(C352))</f>
        <v/>
      </c>
      <c r="E352" s="25" t="str">
        <f>IF(C352="","",[1]!s_dq_close(C352,$N$1))</f>
        <v/>
      </c>
      <c r="F352" s="28" t="str">
        <f>IF($C352=""," ",[1]!i_pq_pctchange($C352,F$6,$N$1))</f>
        <v xml:space="preserve"> </v>
      </c>
      <c r="G352" s="28" t="str">
        <f>IF($C352=""," ",[1]!i_pq_pctchange($C352,G$6,$N$1))</f>
        <v xml:space="preserve"> </v>
      </c>
      <c r="H352" s="28" t="str">
        <f>IF($C352=""," ",[1]!i_pq_pctchange($C352,H$6,$N$1))</f>
        <v xml:space="preserve"> </v>
      </c>
      <c r="I352" s="28" t="str">
        <f>IF($C352=""," ",[1]!i_pq_pctchange($C352,I$6,$N$1))</f>
        <v xml:space="preserve"> </v>
      </c>
      <c r="J352" s="28" t="str">
        <f>IF($C352=""," ",[1]!i_pq_pctchange($C352,J$6,$N$1))</f>
        <v xml:space="preserve"> </v>
      </c>
      <c r="K352" s="28" t="str">
        <f>IF($C352=""," ",[1]!i_pq_pctchange($C352,K$6,$N$1))</f>
        <v xml:space="preserve"> </v>
      </c>
      <c r="L352" s="28" t="str">
        <f>IF(C352=""," ",[1]!s_wq_pctchange($C352,$N$1))</f>
        <v xml:space="preserve"> </v>
      </c>
      <c r="M352" s="28" t="str">
        <f>IF(C352=""," ",[1]!s_mq_pctchange($C352,$N$1))</f>
        <v xml:space="preserve"> </v>
      </c>
      <c r="N352" s="28" t="str">
        <f>IF(C352=""," ",[1]!s_yq_pctchange($C352,$N$1))</f>
        <v xml:space="preserve"> </v>
      </c>
      <c r="O352" s="11"/>
      <c r="P352" s="7"/>
    </row>
    <row r="353" spans="1:16" x14ac:dyDescent="0.35">
      <c r="A353" s="7"/>
      <c r="C353" s="30" t="str">
        <f>IF(指数列表!B350="","",指数列表!B350)</f>
        <v/>
      </c>
      <c r="D353" s="35" t="str">
        <f>IF(C353="","",[1]!s_info_name(C353))</f>
        <v/>
      </c>
      <c r="E353" s="24" t="str">
        <f>IF(C353="","",[1]!s_dq_close(C353,$N$1))</f>
        <v/>
      </c>
      <c r="F353" s="28" t="str">
        <f>IF($C353=""," ",[1]!i_pq_pctchange($C353,F$6,$N$1))</f>
        <v xml:space="preserve"> </v>
      </c>
      <c r="G353" s="28" t="str">
        <f>IF($C353=""," ",[1]!i_pq_pctchange($C353,G$6,$N$1))</f>
        <v xml:space="preserve"> </v>
      </c>
      <c r="H353" s="28" t="str">
        <f>IF($C353=""," ",[1]!i_pq_pctchange($C353,H$6,$N$1))</f>
        <v xml:space="preserve"> </v>
      </c>
      <c r="I353" s="28" t="str">
        <f>IF($C353=""," ",[1]!i_pq_pctchange($C353,I$6,$N$1))</f>
        <v xml:space="preserve"> </v>
      </c>
      <c r="J353" s="28" t="str">
        <f>IF($C353=""," ",[1]!i_pq_pctchange($C353,J$6,$N$1))</f>
        <v xml:space="preserve"> </v>
      </c>
      <c r="K353" s="28" t="str">
        <f>IF($C353=""," ",[1]!i_pq_pctchange($C353,K$6,$N$1))</f>
        <v xml:space="preserve"> </v>
      </c>
      <c r="L353" s="28" t="str">
        <f>IF(C353=""," ",[1]!s_wq_pctchange($C353,$N$1))</f>
        <v xml:space="preserve"> </v>
      </c>
      <c r="M353" s="28" t="str">
        <f>IF(C353=""," ",[1]!s_mq_pctchange($C353,$N$1))</f>
        <v xml:space="preserve"> </v>
      </c>
      <c r="N353" s="28" t="str">
        <f>IF(C353=""," ",[1]!s_yq_pctchange($C353,$N$1))</f>
        <v xml:space="preserve"> </v>
      </c>
      <c r="O353" s="11"/>
      <c r="P353" s="7"/>
    </row>
    <row r="354" spans="1:16" x14ac:dyDescent="0.35">
      <c r="A354" s="7"/>
      <c r="C354" s="31" t="str">
        <f>IF(指数列表!B351="","",指数列表!B351)</f>
        <v/>
      </c>
      <c r="D354" s="36" t="str">
        <f>IF(C354="","",[1]!s_info_name(C354))</f>
        <v/>
      </c>
      <c r="E354" s="25" t="str">
        <f>IF(C354="","",[1]!s_dq_close(C354,$N$1))</f>
        <v/>
      </c>
      <c r="F354" s="28" t="str">
        <f>IF($C354=""," ",[1]!i_pq_pctchange($C354,F$6,$N$1))</f>
        <v xml:space="preserve"> </v>
      </c>
      <c r="G354" s="28" t="str">
        <f>IF($C354=""," ",[1]!i_pq_pctchange($C354,G$6,$N$1))</f>
        <v xml:space="preserve"> </v>
      </c>
      <c r="H354" s="28" t="str">
        <f>IF($C354=""," ",[1]!i_pq_pctchange($C354,H$6,$N$1))</f>
        <v xml:space="preserve"> </v>
      </c>
      <c r="I354" s="28" t="str">
        <f>IF($C354=""," ",[1]!i_pq_pctchange($C354,I$6,$N$1))</f>
        <v xml:space="preserve"> </v>
      </c>
      <c r="J354" s="28" t="str">
        <f>IF($C354=""," ",[1]!i_pq_pctchange($C354,J$6,$N$1))</f>
        <v xml:space="preserve"> </v>
      </c>
      <c r="K354" s="28" t="str">
        <f>IF($C354=""," ",[1]!i_pq_pctchange($C354,K$6,$N$1))</f>
        <v xml:space="preserve"> </v>
      </c>
      <c r="L354" s="28" t="str">
        <f>IF(C354=""," ",[1]!s_wq_pctchange($C354,$N$1))</f>
        <v xml:space="preserve"> </v>
      </c>
      <c r="M354" s="28" t="str">
        <f>IF(C354=""," ",[1]!s_mq_pctchange($C354,$N$1))</f>
        <v xml:space="preserve"> </v>
      </c>
      <c r="N354" s="28" t="str">
        <f>IF(C354=""," ",[1]!s_yq_pctchange($C354,$N$1))</f>
        <v xml:space="preserve"> </v>
      </c>
      <c r="O354" s="11"/>
      <c r="P354" s="7"/>
    </row>
    <row r="355" spans="1:16" x14ac:dyDescent="0.35">
      <c r="A355" s="7"/>
      <c r="C355" s="30" t="str">
        <f>IF(指数列表!B352="","",指数列表!B352)</f>
        <v/>
      </c>
      <c r="D355" s="35" t="str">
        <f>IF(C355="","",[1]!s_info_name(C355))</f>
        <v/>
      </c>
      <c r="E355" s="24" t="str">
        <f>IF(C355="","",[1]!s_dq_close(C355,$N$1))</f>
        <v/>
      </c>
      <c r="F355" s="28" t="str">
        <f>IF($C355=""," ",[1]!i_pq_pctchange($C355,F$6,$N$1))</f>
        <v xml:space="preserve"> </v>
      </c>
      <c r="G355" s="28" t="str">
        <f>IF($C355=""," ",[1]!i_pq_pctchange($C355,G$6,$N$1))</f>
        <v xml:space="preserve"> </v>
      </c>
      <c r="H355" s="28" t="str">
        <f>IF($C355=""," ",[1]!i_pq_pctchange($C355,H$6,$N$1))</f>
        <v xml:space="preserve"> </v>
      </c>
      <c r="I355" s="28" t="str">
        <f>IF($C355=""," ",[1]!i_pq_pctchange($C355,I$6,$N$1))</f>
        <v xml:space="preserve"> </v>
      </c>
      <c r="J355" s="28" t="str">
        <f>IF($C355=""," ",[1]!i_pq_pctchange($C355,J$6,$N$1))</f>
        <v xml:space="preserve"> </v>
      </c>
      <c r="K355" s="28" t="str">
        <f>IF($C355=""," ",[1]!i_pq_pctchange($C355,K$6,$N$1))</f>
        <v xml:space="preserve"> </v>
      </c>
      <c r="L355" s="28" t="str">
        <f>IF(C355=""," ",[1]!s_wq_pctchange($C355,$N$1))</f>
        <v xml:space="preserve"> </v>
      </c>
      <c r="M355" s="28" t="str">
        <f>IF(C355=""," ",[1]!s_mq_pctchange($C355,$N$1))</f>
        <v xml:space="preserve"> </v>
      </c>
      <c r="N355" s="28" t="str">
        <f>IF(C355=""," ",[1]!s_yq_pctchange($C355,$N$1))</f>
        <v xml:space="preserve"> </v>
      </c>
      <c r="O355" s="11"/>
      <c r="P355" s="7"/>
    </row>
    <row r="356" spans="1:16" x14ac:dyDescent="0.35">
      <c r="A356" s="7"/>
      <c r="C356" s="31" t="str">
        <f>IF(指数列表!B353="","",指数列表!B353)</f>
        <v/>
      </c>
      <c r="D356" s="36" t="str">
        <f>IF(C356="","",[1]!s_info_name(C356))</f>
        <v/>
      </c>
      <c r="E356" s="25" t="str">
        <f>IF(C356="","",[1]!s_dq_close(C356,$N$1))</f>
        <v/>
      </c>
      <c r="F356" s="28" t="str">
        <f>IF($C356=""," ",[1]!i_pq_pctchange($C356,F$6,$N$1))</f>
        <v xml:space="preserve"> </v>
      </c>
      <c r="G356" s="28" t="str">
        <f>IF($C356=""," ",[1]!i_pq_pctchange($C356,G$6,$N$1))</f>
        <v xml:space="preserve"> </v>
      </c>
      <c r="H356" s="28" t="str">
        <f>IF($C356=""," ",[1]!i_pq_pctchange($C356,H$6,$N$1))</f>
        <v xml:space="preserve"> </v>
      </c>
      <c r="I356" s="28" t="str">
        <f>IF($C356=""," ",[1]!i_pq_pctchange($C356,I$6,$N$1))</f>
        <v xml:space="preserve"> </v>
      </c>
      <c r="J356" s="28" t="str">
        <f>IF($C356=""," ",[1]!i_pq_pctchange($C356,J$6,$N$1))</f>
        <v xml:space="preserve"> </v>
      </c>
      <c r="K356" s="28" t="str">
        <f>IF($C356=""," ",[1]!i_pq_pctchange($C356,K$6,$N$1))</f>
        <v xml:space="preserve"> </v>
      </c>
      <c r="L356" s="28" t="str">
        <f>IF(C356=""," ",[1]!s_wq_pctchange($C356,$N$1))</f>
        <v xml:space="preserve"> </v>
      </c>
      <c r="M356" s="28" t="str">
        <f>IF(C356=""," ",[1]!s_mq_pctchange($C356,$N$1))</f>
        <v xml:space="preserve"> </v>
      </c>
      <c r="N356" s="28" t="str">
        <f>IF(C356=""," ",[1]!s_yq_pctchange($C356,$N$1))</f>
        <v xml:space="preserve"> </v>
      </c>
      <c r="O356" s="11"/>
      <c r="P356" s="7"/>
    </row>
    <row r="357" spans="1:16" x14ac:dyDescent="0.35">
      <c r="A357" s="7"/>
      <c r="C357" s="30" t="str">
        <f>IF(指数列表!B354="","",指数列表!B354)</f>
        <v/>
      </c>
      <c r="D357" s="35" t="str">
        <f>IF(C357="","",[1]!s_info_name(C357))</f>
        <v/>
      </c>
      <c r="E357" s="24" t="str">
        <f>IF(C357="","",[1]!s_dq_close(C357,$N$1))</f>
        <v/>
      </c>
      <c r="F357" s="28" t="str">
        <f>IF($C357=""," ",[1]!i_pq_pctchange($C357,F$6,$N$1))</f>
        <v xml:space="preserve"> </v>
      </c>
      <c r="G357" s="28" t="str">
        <f>IF($C357=""," ",[1]!i_pq_pctchange($C357,G$6,$N$1))</f>
        <v xml:space="preserve"> </v>
      </c>
      <c r="H357" s="28" t="str">
        <f>IF($C357=""," ",[1]!i_pq_pctchange($C357,H$6,$N$1))</f>
        <v xml:space="preserve"> </v>
      </c>
      <c r="I357" s="28" t="str">
        <f>IF($C357=""," ",[1]!i_pq_pctchange($C357,I$6,$N$1))</f>
        <v xml:space="preserve"> </v>
      </c>
      <c r="J357" s="28" t="str">
        <f>IF($C357=""," ",[1]!i_pq_pctchange($C357,J$6,$N$1))</f>
        <v xml:space="preserve"> </v>
      </c>
      <c r="K357" s="28" t="str">
        <f>IF($C357=""," ",[1]!i_pq_pctchange($C357,K$6,$N$1))</f>
        <v xml:space="preserve"> </v>
      </c>
      <c r="L357" s="28" t="str">
        <f>IF(C357=""," ",[1]!s_wq_pctchange($C357,$N$1))</f>
        <v xml:space="preserve"> </v>
      </c>
      <c r="M357" s="28" t="str">
        <f>IF(C357=""," ",[1]!s_mq_pctchange($C357,$N$1))</f>
        <v xml:space="preserve"> </v>
      </c>
      <c r="N357" s="28" t="str">
        <f>IF(C357=""," ",[1]!s_yq_pctchange($C357,$N$1))</f>
        <v xml:space="preserve"> </v>
      </c>
      <c r="O357" s="11"/>
      <c r="P357" s="7"/>
    </row>
    <row r="358" spans="1:16" x14ac:dyDescent="0.35">
      <c r="A358" s="7"/>
      <c r="C358" s="31" t="str">
        <f>IF(指数列表!B355="","",指数列表!B355)</f>
        <v/>
      </c>
      <c r="D358" s="36" t="str">
        <f>IF(C358="","",[1]!s_info_name(C358))</f>
        <v/>
      </c>
      <c r="E358" s="25" t="str">
        <f>IF(C358="","",[1]!s_dq_close(C358,$N$1))</f>
        <v/>
      </c>
      <c r="F358" s="28" t="str">
        <f>IF($C358=""," ",[1]!i_pq_pctchange($C358,F$6,$N$1))</f>
        <v xml:space="preserve"> </v>
      </c>
      <c r="G358" s="28" t="str">
        <f>IF($C358=""," ",[1]!i_pq_pctchange($C358,G$6,$N$1))</f>
        <v xml:space="preserve"> </v>
      </c>
      <c r="H358" s="28" t="str">
        <f>IF($C358=""," ",[1]!i_pq_pctchange($C358,H$6,$N$1))</f>
        <v xml:space="preserve"> </v>
      </c>
      <c r="I358" s="28" t="str">
        <f>IF($C358=""," ",[1]!i_pq_pctchange($C358,I$6,$N$1))</f>
        <v xml:space="preserve"> </v>
      </c>
      <c r="J358" s="28" t="str">
        <f>IF($C358=""," ",[1]!i_pq_pctchange($C358,J$6,$N$1))</f>
        <v xml:space="preserve"> </v>
      </c>
      <c r="K358" s="28" t="str">
        <f>IF($C358=""," ",[1]!i_pq_pctchange($C358,K$6,$N$1))</f>
        <v xml:space="preserve"> </v>
      </c>
      <c r="L358" s="28" t="str">
        <f>IF(C358=""," ",[1]!s_wq_pctchange($C358,$N$1))</f>
        <v xml:space="preserve"> </v>
      </c>
      <c r="M358" s="28" t="str">
        <f>IF(C358=""," ",[1]!s_mq_pctchange($C358,$N$1))</f>
        <v xml:space="preserve"> </v>
      </c>
      <c r="N358" s="28" t="str">
        <f>IF(C358=""," ",[1]!s_yq_pctchange($C358,$N$1))</f>
        <v xml:space="preserve"> </v>
      </c>
      <c r="O358" s="11"/>
      <c r="P358" s="7"/>
    </row>
    <row r="359" spans="1:16" x14ac:dyDescent="0.35">
      <c r="A359" s="7"/>
      <c r="C359" s="30" t="str">
        <f>IF(指数列表!B356="","",指数列表!B356)</f>
        <v/>
      </c>
      <c r="D359" s="35" t="str">
        <f>IF(C359="","",[1]!s_info_name(C359))</f>
        <v/>
      </c>
      <c r="E359" s="24" t="str">
        <f>IF(C359="","",[1]!s_dq_close(C359,$N$1))</f>
        <v/>
      </c>
      <c r="F359" s="28" t="str">
        <f>IF($C359=""," ",[1]!i_pq_pctchange($C359,F$6,$N$1))</f>
        <v xml:space="preserve"> </v>
      </c>
      <c r="G359" s="28" t="str">
        <f>IF($C359=""," ",[1]!i_pq_pctchange($C359,G$6,$N$1))</f>
        <v xml:space="preserve"> </v>
      </c>
      <c r="H359" s="28" t="str">
        <f>IF($C359=""," ",[1]!i_pq_pctchange($C359,H$6,$N$1))</f>
        <v xml:space="preserve"> </v>
      </c>
      <c r="I359" s="28" t="str">
        <f>IF($C359=""," ",[1]!i_pq_pctchange($C359,I$6,$N$1))</f>
        <v xml:space="preserve"> </v>
      </c>
      <c r="J359" s="28" t="str">
        <f>IF($C359=""," ",[1]!i_pq_pctchange($C359,J$6,$N$1))</f>
        <v xml:space="preserve"> </v>
      </c>
      <c r="K359" s="28" t="str">
        <f>IF($C359=""," ",[1]!i_pq_pctchange($C359,K$6,$N$1))</f>
        <v xml:space="preserve"> </v>
      </c>
      <c r="L359" s="28" t="str">
        <f>IF(C359=""," ",[1]!s_wq_pctchange($C359,$N$1))</f>
        <v xml:space="preserve"> </v>
      </c>
      <c r="M359" s="28" t="str">
        <f>IF(C359=""," ",[1]!s_mq_pctchange($C359,$N$1))</f>
        <v xml:space="preserve"> </v>
      </c>
      <c r="N359" s="28" t="str">
        <f>IF(C359=""," ",[1]!s_yq_pctchange($C359,$N$1))</f>
        <v xml:space="preserve"> </v>
      </c>
      <c r="O359" s="11"/>
      <c r="P359" s="7"/>
    </row>
    <row r="360" spans="1:16" x14ac:dyDescent="0.35">
      <c r="A360" s="7"/>
      <c r="C360" s="31" t="str">
        <f>IF(指数列表!B357="","",指数列表!B357)</f>
        <v/>
      </c>
      <c r="D360" s="36" t="str">
        <f>IF(C360="","",[1]!s_info_name(C360))</f>
        <v/>
      </c>
      <c r="E360" s="25" t="str">
        <f>IF(C360="","",[1]!s_dq_close(C360,$N$1))</f>
        <v/>
      </c>
      <c r="F360" s="28" t="str">
        <f>IF($C360=""," ",[1]!i_pq_pctchange($C360,F$6,$N$1))</f>
        <v xml:space="preserve"> </v>
      </c>
      <c r="G360" s="28" t="str">
        <f>IF($C360=""," ",[1]!i_pq_pctchange($C360,G$6,$N$1))</f>
        <v xml:space="preserve"> </v>
      </c>
      <c r="H360" s="28" t="str">
        <f>IF($C360=""," ",[1]!i_pq_pctchange($C360,H$6,$N$1))</f>
        <v xml:space="preserve"> </v>
      </c>
      <c r="I360" s="28" t="str">
        <f>IF($C360=""," ",[1]!i_pq_pctchange($C360,I$6,$N$1))</f>
        <v xml:space="preserve"> </v>
      </c>
      <c r="J360" s="28" t="str">
        <f>IF($C360=""," ",[1]!i_pq_pctchange($C360,J$6,$N$1))</f>
        <v xml:space="preserve"> </v>
      </c>
      <c r="K360" s="28" t="str">
        <f>IF($C360=""," ",[1]!i_pq_pctchange($C360,K$6,$N$1))</f>
        <v xml:space="preserve"> </v>
      </c>
      <c r="L360" s="28" t="str">
        <f>IF(C360=""," ",[1]!s_wq_pctchange($C360,$N$1))</f>
        <v xml:space="preserve"> </v>
      </c>
      <c r="M360" s="28" t="str">
        <f>IF(C360=""," ",[1]!s_mq_pctchange($C360,$N$1))</f>
        <v xml:space="preserve"> </v>
      </c>
      <c r="N360" s="28" t="str">
        <f>IF(C360=""," ",[1]!s_yq_pctchange($C360,$N$1))</f>
        <v xml:space="preserve"> </v>
      </c>
      <c r="O360" s="11"/>
      <c r="P360" s="7"/>
    </row>
    <row r="361" spans="1:16" x14ac:dyDescent="0.35">
      <c r="A361" s="7"/>
      <c r="C361" s="30" t="str">
        <f>IF(指数列表!B358="","",指数列表!B358)</f>
        <v/>
      </c>
      <c r="D361" s="35" t="str">
        <f>IF(C361="","",[1]!s_info_name(C361))</f>
        <v/>
      </c>
      <c r="E361" s="24" t="str">
        <f>IF(C361="","",[1]!s_dq_close(C361,$N$1))</f>
        <v/>
      </c>
      <c r="F361" s="28" t="str">
        <f>IF($C361=""," ",[1]!i_pq_pctchange($C361,F$6,$N$1))</f>
        <v xml:space="preserve"> </v>
      </c>
      <c r="G361" s="28" t="str">
        <f>IF($C361=""," ",[1]!i_pq_pctchange($C361,G$6,$N$1))</f>
        <v xml:space="preserve"> </v>
      </c>
      <c r="H361" s="28" t="str">
        <f>IF($C361=""," ",[1]!i_pq_pctchange($C361,H$6,$N$1))</f>
        <v xml:space="preserve"> </v>
      </c>
      <c r="I361" s="28" t="str">
        <f>IF($C361=""," ",[1]!i_pq_pctchange($C361,I$6,$N$1))</f>
        <v xml:space="preserve"> </v>
      </c>
      <c r="J361" s="28" t="str">
        <f>IF($C361=""," ",[1]!i_pq_pctchange($C361,J$6,$N$1))</f>
        <v xml:space="preserve"> </v>
      </c>
      <c r="K361" s="28" t="str">
        <f>IF($C361=""," ",[1]!i_pq_pctchange($C361,K$6,$N$1))</f>
        <v xml:space="preserve"> </v>
      </c>
      <c r="L361" s="28" t="str">
        <f>IF(C361=""," ",[1]!s_wq_pctchange($C361,$N$1))</f>
        <v xml:space="preserve"> </v>
      </c>
      <c r="M361" s="28" t="str">
        <f>IF(C361=""," ",[1]!s_mq_pctchange($C361,$N$1))</f>
        <v xml:space="preserve"> </v>
      </c>
      <c r="N361" s="28" t="str">
        <f>IF(C361=""," ",[1]!s_yq_pctchange($C361,$N$1))</f>
        <v xml:space="preserve"> </v>
      </c>
      <c r="O361" s="11"/>
      <c r="P361" s="7"/>
    </row>
    <row r="362" spans="1:16" x14ac:dyDescent="0.35">
      <c r="A362" s="7"/>
      <c r="C362" s="31" t="str">
        <f>IF(指数列表!B359="","",指数列表!B359)</f>
        <v/>
      </c>
      <c r="D362" s="36" t="str">
        <f>IF(C362="","",[1]!s_info_name(C362))</f>
        <v/>
      </c>
      <c r="E362" s="25" t="str">
        <f>IF(C362="","",[1]!s_dq_close(C362,$N$1))</f>
        <v/>
      </c>
      <c r="F362" s="28" t="str">
        <f>IF($C362=""," ",[1]!i_pq_pctchange($C362,F$6,$N$1))</f>
        <v xml:space="preserve"> </v>
      </c>
      <c r="G362" s="28" t="str">
        <f>IF($C362=""," ",[1]!i_pq_pctchange($C362,G$6,$N$1))</f>
        <v xml:space="preserve"> </v>
      </c>
      <c r="H362" s="28" t="str">
        <f>IF($C362=""," ",[1]!i_pq_pctchange($C362,H$6,$N$1))</f>
        <v xml:space="preserve"> </v>
      </c>
      <c r="I362" s="28" t="str">
        <f>IF($C362=""," ",[1]!i_pq_pctchange($C362,I$6,$N$1))</f>
        <v xml:space="preserve"> </v>
      </c>
      <c r="J362" s="28" t="str">
        <f>IF($C362=""," ",[1]!i_pq_pctchange($C362,J$6,$N$1))</f>
        <v xml:space="preserve"> </v>
      </c>
      <c r="K362" s="28" t="str">
        <f>IF($C362=""," ",[1]!i_pq_pctchange($C362,K$6,$N$1))</f>
        <v xml:space="preserve"> </v>
      </c>
      <c r="L362" s="28" t="str">
        <f>IF(C362=""," ",[1]!s_wq_pctchange($C362,$N$1))</f>
        <v xml:space="preserve"> </v>
      </c>
      <c r="M362" s="28" t="str">
        <f>IF(C362=""," ",[1]!s_mq_pctchange($C362,$N$1))</f>
        <v xml:space="preserve"> </v>
      </c>
      <c r="N362" s="28" t="str">
        <f>IF(C362=""," ",[1]!s_yq_pctchange($C362,$N$1))</f>
        <v xml:space="preserve"> </v>
      </c>
      <c r="O362" s="11"/>
      <c r="P362" s="7"/>
    </row>
    <row r="363" spans="1:16" x14ac:dyDescent="0.35">
      <c r="A363" s="7"/>
      <c r="C363" s="30" t="str">
        <f>IF(指数列表!B360="","",指数列表!B360)</f>
        <v/>
      </c>
      <c r="D363" s="35" t="str">
        <f>IF(C363="","",[1]!s_info_name(C363))</f>
        <v/>
      </c>
      <c r="E363" s="24" t="str">
        <f>IF(C363="","",[1]!s_dq_close(C363,$N$1))</f>
        <v/>
      </c>
      <c r="F363" s="28" t="str">
        <f>IF($C363=""," ",[1]!i_pq_pctchange($C363,F$6,$N$1))</f>
        <v xml:space="preserve"> </v>
      </c>
      <c r="G363" s="28" t="str">
        <f>IF($C363=""," ",[1]!i_pq_pctchange($C363,G$6,$N$1))</f>
        <v xml:space="preserve"> </v>
      </c>
      <c r="H363" s="28" t="str">
        <f>IF($C363=""," ",[1]!i_pq_pctchange($C363,H$6,$N$1))</f>
        <v xml:space="preserve"> </v>
      </c>
      <c r="I363" s="28" t="str">
        <f>IF($C363=""," ",[1]!i_pq_pctchange($C363,I$6,$N$1))</f>
        <v xml:space="preserve"> </v>
      </c>
      <c r="J363" s="28" t="str">
        <f>IF($C363=""," ",[1]!i_pq_pctchange($C363,J$6,$N$1))</f>
        <v xml:space="preserve"> </v>
      </c>
      <c r="K363" s="28" t="str">
        <f>IF($C363=""," ",[1]!i_pq_pctchange($C363,K$6,$N$1))</f>
        <v xml:space="preserve"> </v>
      </c>
      <c r="L363" s="28" t="str">
        <f>IF(C363=""," ",[1]!s_wq_pctchange($C363,$N$1))</f>
        <v xml:space="preserve"> </v>
      </c>
      <c r="M363" s="28" t="str">
        <f>IF(C363=""," ",[1]!s_mq_pctchange($C363,$N$1))</f>
        <v xml:space="preserve"> </v>
      </c>
      <c r="N363" s="28" t="str">
        <f>IF(C363=""," ",[1]!s_yq_pctchange($C363,$N$1))</f>
        <v xml:space="preserve"> </v>
      </c>
      <c r="O363" s="11"/>
      <c r="P363" s="7"/>
    </row>
    <row r="364" spans="1:16" x14ac:dyDescent="0.35">
      <c r="A364" s="7"/>
      <c r="C364" s="31" t="str">
        <f>IF(指数列表!B361="","",指数列表!B361)</f>
        <v/>
      </c>
      <c r="D364" s="36" t="str">
        <f>IF(C364="","",[1]!s_info_name(C364))</f>
        <v/>
      </c>
      <c r="E364" s="25" t="str">
        <f>IF(C364="","",[1]!s_dq_close(C364,$N$1))</f>
        <v/>
      </c>
      <c r="F364" s="28" t="str">
        <f>IF($C364=""," ",[1]!i_pq_pctchange($C364,F$6,$N$1))</f>
        <v xml:space="preserve"> </v>
      </c>
      <c r="G364" s="28" t="str">
        <f>IF($C364=""," ",[1]!i_pq_pctchange($C364,G$6,$N$1))</f>
        <v xml:space="preserve"> </v>
      </c>
      <c r="H364" s="28" t="str">
        <f>IF($C364=""," ",[1]!i_pq_pctchange($C364,H$6,$N$1))</f>
        <v xml:space="preserve"> </v>
      </c>
      <c r="I364" s="28" t="str">
        <f>IF($C364=""," ",[1]!i_pq_pctchange($C364,I$6,$N$1))</f>
        <v xml:space="preserve"> </v>
      </c>
      <c r="J364" s="28" t="str">
        <f>IF($C364=""," ",[1]!i_pq_pctchange($C364,J$6,$N$1))</f>
        <v xml:space="preserve"> </v>
      </c>
      <c r="K364" s="28" t="str">
        <f>IF($C364=""," ",[1]!i_pq_pctchange($C364,K$6,$N$1))</f>
        <v xml:space="preserve"> </v>
      </c>
      <c r="L364" s="28" t="str">
        <f>IF(C364=""," ",[1]!s_wq_pctchange($C364,$N$1))</f>
        <v xml:space="preserve"> </v>
      </c>
      <c r="M364" s="28" t="str">
        <f>IF(C364=""," ",[1]!s_mq_pctchange($C364,$N$1))</f>
        <v xml:space="preserve"> </v>
      </c>
      <c r="N364" s="28" t="str">
        <f>IF(C364=""," ",[1]!s_yq_pctchange($C364,$N$1))</f>
        <v xml:space="preserve"> </v>
      </c>
      <c r="O364" s="11"/>
      <c r="P364" s="7"/>
    </row>
    <row r="365" spans="1:16" x14ac:dyDescent="0.35">
      <c r="A365" s="7"/>
      <c r="C365" s="30" t="str">
        <f>IF(指数列表!B362="","",指数列表!B362)</f>
        <v/>
      </c>
      <c r="D365" s="35" t="str">
        <f>IF(C365="","",[1]!s_info_name(C365))</f>
        <v/>
      </c>
      <c r="E365" s="24" t="str">
        <f>IF(C365="","",[1]!s_dq_close(C365,$N$1))</f>
        <v/>
      </c>
      <c r="F365" s="28" t="str">
        <f>IF($C365=""," ",[1]!i_pq_pctchange($C365,F$6,$N$1))</f>
        <v xml:space="preserve"> </v>
      </c>
      <c r="G365" s="28" t="str">
        <f>IF($C365=""," ",[1]!i_pq_pctchange($C365,G$6,$N$1))</f>
        <v xml:space="preserve"> </v>
      </c>
      <c r="H365" s="28" t="str">
        <f>IF($C365=""," ",[1]!i_pq_pctchange($C365,H$6,$N$1))</f>
        <v xml:space="preserve"> </v>
      </c>
      <c r="I365" s="28" t="str">
        <f>IF($C365=""," ",[1]!i_pq_pctchange($C365,I$6,$N$1))</f>
        <v xml:space="preserve"> </v>
      </c>
      <c r="J365" s="28" t="str">
        <f>IF($C365=""," ",[1]!i_pq_pctchange($C365,J$6,$N$1))</f>
        <v xml:space="preserve"> </v>
      </c>
      <c r="K365" s="28" t="str">
        <f>IF($C365=""," ",[1]!i_pq_pctchange($C365,K$6,$N$1))</f>
        <v xml:space="preserve"> </v>
      </c>
      <c r="L365" s="28" t="str">
        <f>IF(C365=""," ",[1]!s_wq_pctchange($C365,$N$1))</f>
        <v xml:space="preserve"> </v>
      </c>
      <c r="M365" s="28" t="str">
        <f>IF(C365=""," ",[1]!s_mq_pctchange($C365,$N$1))</f>
        <v xml:space="preserve"> </v>
      </c>
      <c r="N365" s="28" t="str">
        <f>IF(C365=""," ",[1]!s_yq_pctchange($C365,$N$1))</f>
        <v xml:space="preserve"> </v>
      </c>
      <c r="O365" s="11"/>
      <c r="P365" s="7"/>
    </row>
    <row r="366" spans="1:16" x14ac:dyDescent="0.35">
      <c r="A366" s="7"/>
      <c r="C366" s="31" t="str">
        <f>IF(指数列表!B363="","",指数列表!B363)</f>
        <v/>
      </c>
      <c r="D366" s="36" t="str">
        <f>IF(C366="","",[1]!s_info_name(C366))</f>
        <v/>
      </c>
      <c r="E366" s="25" t="str">
        <f>IF(C366="","",[1]!s_dq_close(C366,$N$1))</f>
        <v/>
      </c>
      <c r="F366" s="28" t="str">
        <f>IF($C366=""," ",[1]!i_pq_pctchange($C366,F$6,$N$1))</f>
        <v xml:space="preserve"> </v>
      </c>
      <c r="G366" s="28" t="str">
        <f>IF($C366=""," ",[1]!i_pq_pctchange($C366,G$6,$N$1))</f>
        <v xml:space="preserve"> </v>
      </c>
      <c r="H366" s="28" t="str">
        <f>IF($C366=""," ",[1]!i_pq_pctchange($C366,H$6,$N$1))</f>
        <v xml:space="preserve"> </v>
      </c>
      <c r="I366" s="28" t="str">
        <f>IF($C366=""," ",[1]!i_pq_pctchange($C366,I$6,$N$1))</f>
        <v xml:space="preserve"> </v>
      </c>
      <c r="J366" s="28" t="str">
        <f>IF($C366=""," ",[1]!i_pq_pctchange($C366,J$6,$N$1))</f>
        <v xml:space="preserve"> </v>
      </c>
      <c r="K366" s="28" t="str">
        <f>IF($C366=""," ",[1]!i_pq_pctchange($C366,K$6,$N$1))</f>
        <v xml:space="preserve"> </v>
      </c>
      <c r="L366" s="28" t="str">
        <f>IF(C366=""," ",[1]!s_wq_pctchange($C366,$N$1))</f>
        <v xml:space="preserve"> </v>
      </c>
      <c r="M366" s="28" t="str">
        <f>IF(C366=""," ",[1]!s_mq_pctchange($C366,$N$1))</f>
        <v xml:space="preserve"> </v>
      </c>
      <c r="N366" s="28" t="str">
        <f>IF(C366=""," ",[1]!s_yq_pctchange($C366,$N$1))</f>
        <v xml:space="preserve"> </v>
      </c>
      <c r="O366" s="11"/>
      <c r="P366" s="7"/>
    </row>
    <row r="367" spans="1:16" x14ac:dyDescent="0.35">
      <c r="A367" s="7"/>
      <c r="C367" s="30" t="str">
        <f>IF(指数列表!B364="","",指数列表!B364)</f>
        <v/>
      </c>
      <c r="D367" s="35" t="str">
        <f>IF(C367="","",[1]!s_info_name(C367))</f>
        <v/>
      </c>
      <c r="E367" s="24" t="str">
        <f>IF(C367="","",[1]!s_dq_close(C367,$N$1))</f>
        <v/>
      </c>
      <c r="F367" s="28" t="str">
        <f>IF($C367=""," ",[1]!i_pq_pctchange($C367,F$6,$N$1))</f>
        <v xml:space="preserve"> </v>
      </c>
      <c r="G367" s="28" t="str">
        <f>IF($C367=""," ",[1]!i_pq_pctchange($C367,G$6,$N$1))</f>
        <v xml:space="preserve"> </v>
      </c>
      <c r="H367" s="28" t="str">
        <f>IF($C367=""," ",[1]!i_pq_pctchange($C367,H$6,$N$1))</f>
        <v xml:space="preserve"> </v>
      </c>
      <c r="I367" s="28" t="str">
        <f>IF($C367=""," ",[1]!i_pq_pctchange($C367,I$6,$N$1))</f>
        <v xml:space="preserve"> </v>
      </c>
      <c r="J367" s="28" t="str">
        <f>IF($C367=""," ",[1]!i_pq_pctchange($C367,J$6,$N$1))</f>
        <v xml:space="preserve"> </v>
      </c>
      <c r="K367" s="28" t="str">
        <f>IF($C367=""," ",[1]!i_pq_pctchange($C367,K$6,$N$1))</f>
        <v xml:space="preserve"> </v>
      </c>
      <c r="L367" s="28" t="str">
        <f>IF(C367=""," ",[1]!s_wq_pctchange($C367,$N$1))</f>
        <v xml:space="preserve"> </v>
      </c>
      <c r="M367" s="28" t="str">
        <f>IF(C367=""," ",[1]!s_mq_pctchange($C367,$N$1))</f>
        <v xml:space="preserve"> </v>
      </c>
      <c r="N367" s="28" t="str">
        <f>IF(C367=""," ",[1]!s_yq_pctchange($C367,$N$1))</f>
        <v xml:space="preserve"> </v>
      </c>
      <c r="O367" s="11"/>
      <c r="P367" s="7"/>
    </row>
    <row r="368" spans="1:16" x14ac:dyDescent="0.35">
      <c r="A368" s="7"/>
      <c r="C368" s="31" t="str">
        <f>IF(指数列表!B365="","",指数列表!B365)</f>
        <v/>
      </c>
      <c r="D368" s="36" t="str">
        <f>IF(C368="","",[1]!s_info_name(C368))</f>
        <v/>
      </c>
      <c r="E368" s="25" t="str">
        <f>IF(C368="","",[1]!s_dq_close(C368,$N$1))</f>
        <v/>
      </c>
      <c r="F368" s="28" t="str">
        <f>IF($C368=""," ",[1]!i_pq_pctchange($C368,F$6,$N$1))</f>
        <v xml:space="preserve"> </v>
      </c>
      <c r="G368" s="28" t="str">
        <f>IF($C368=""," ",[1]!i_pq_pctchange($C368,G$6,$N$1))</f>
        <v xml:space="preserve"> </v>
      </c>
      <c r="H368" s="28" t="str">
        <f>IF($C368=""," ",[1]!i_pq_pctchange($C368,H$6,$N$1))</f>
        <v xml:space="preserve"> </v>
      </c>
      <c r="I368" s="28" t="str">
        <f>IF($C368=""," ",[1]!i_pq_pctchange($C368,I$6,$N$1))</f>
        <v xml:space="preserve"> </v>
      </c>
      <c r="J368" s="28" t="str">
        <f>IF($C368=""," ",[1]!i_pq_pctchange($C368,J$6,$N$1))</f>
        <v xml:space="preserve"> </v>
      </c>
      <c r="K368" s="28" t="str">
        <f>IF($C368=""," ",[1]!i_pq_pctchange($C368,K$6,$N$1))</f>
        <v xml:space="preserve"> </v>
      </c>
      <c r="L368" s="28" t="str">
        <f>IF(C368=""," ",[1]!s_wq_pctchange($C368,$N$1))</f>
        <v xml:space="preserve"> </v>
      </c>
      <c r="M368" s="28" t="str">
        <f>IF(C368=""," ",[1]!s_mq_pctchange($C368,$N$1))</f>
        <v xml:space="preserve"> </v>
      </c>
      <c r="N368" s="28" t="str">
        <f>IF(C368=""," ",[1]!s_yq_pctchange($C368,$N$1))</f>
        <v xml:space="preserve"> </v>
      </c>
      <c r="O368" s="11"/>
      <c r="P368" s="7"/>
    </row>
    <row r="369" spans="1:16" x14ac:dyDescent="0.35">
      <c r="A369" s="7"/>
      <c r="C369" s="30" t="str">
        <f>IF(指数列表!B366="","",指数列表!B366)</f>
        <v/>
      </c>
      <c r="D369" s="35" t="str">
        <f>IF(C369="","",[1]!s_info_name(C369))</f>
        <v/>
      </c>
      <c r="E369" s="24" t="str">
        <f>IF(C369="","",[1]!s_dq_close(C369,$N$1))</f>
        <v/>
      </c>
      <c r="F369" s="28" t="str">
        <f>IF($C369=""," ",[1]!i_pq_pctchange($C369,F$6,$N$1))</f>
        <v xml:space="preserve"> </v>
      </c>
      <c r="G369" s="28" t="str">
        <f>IF($C369=""," ",[1]!i_pq_pctchange($C369,G$6,$N$1))</f>
        <v xml:space="preserve"> </v>
      </c>
      <c r="H369" s="28" t="str">
        <f>IF($C369=""," ",[1]!i_pq_pctchange($C369,H$6,$N$1))</f>
        <v xml:space="preserve"> </v>
      </c>
      <c r="I369" s="28" t="str">
        <f>IF($C369=""," ",[1]!i_pq_pctchange($C369,I$6,$N$1))</f>
        <v xml:space="preserve"> </v>
      </c>
      <c r="J369" s="28" t="str">
        <f>IF($C369=""," ",[1]!i_pq_pctchange($C369,J$6,$N$1))</f>
        <v xml:space="preserve"> </v>
      </c>
      <c r="K369" s="28" t="str">
        <f>IF($C369=""," ",[1]!i_pq_pctchange($C369,K$6,$N$1))</f>
        <v xml:space="preserve"> </v>
      </c>
      <c r="L369" s="28" t="str">
        <f>IF(C369=""," ",[1]!s_wq_pctchange($C369,$N$1))</f>
        <v xml:space="preserve"> </v>
      </c>
      <c r="M369" s="28" t="str">
        <f>IF(C369=""," ",[1]!s_mq_pctchange($C369,$N$1))</f>
        <v xml:space="preserve"> </v>
      </c>
      <c r="N369" s="28" t="str">
        <f>IF(C369=""," ",[1]!s_yq_pctchange($C369,$N$1))</f>
        <v xml:space="preserve"> </v>
      </c>
      <c r="O369" s="11"/>
      <c r="P369" s="7"/>
    </row>
    <row r="370" spans="1:16" x14ac:dyDescent="0.35">
      <c r="A370" s="7"/>
      <c r="C370" s="31" t="str">
        <f>IF(指数列表!B367="","",指数列表!B367)</f>
        <v/>
      </c>
      <c r="D370" s="36" t="str">
        <f>IF(C370="","",[1]!s_info_name(C370))</f>
        <v/>
      </c>
      <c r="E370" s="25" t="str">
        <f>IF(C370="","",[1]!s_dq_close(C370,$N$1))</f>
        <v/>
      </c>
      <c r="F370" s="28" t="str">
        <f>IF($C370=""," ",[1]!i_pq_pctchange($C370,F$6,$N$1))</f>
        <v xml:space="preserve"> </v>
      </c>
      <c r="G370" s="28" t="str">
        <f>IF($C370=""," ",[1]!i_pq_pctchange($C370,G$6,$N$1))</f>
        <v xml:space="preserve"> </v>
      </c>
      <c r="H370" s="28" t="str">
        <f>IF($C370=""," ",[1]!i_pq_pctchange($C370,H$6,$N$1))</f>
        <v xml:space="preserve"> </v>
      </c>
      <c r="I370" s="28" t="str">
        <f>IF($C370=""," ",[1]!i_pq_pctchange($C370,I$6,$N$1))</f>
        <v xml:space="preserve"> </v>
      </c>
      <c r="J370" s="28" t="str">
        <f>IF($C370=""," ",[1]!i_pq_pctchange($C370,J$6,$N$1))</f>
        <v xml:space="preserve"> </v>
      </c>
      <c r="K370" s="28" t="str">
        <f>IF($C370=""," ",[1]!i_pq_pctchange($C370,K$6,$N$1))</f>
        <v xml:space="preserve"> </v>
      </c>
      <c r="L370" s="28" t="str">
        <f>IF(C370=""," ",[1]!s_wq_pctchange($C370,$N$1))</f>
        <v xml:space="preserve"> </v>
      </c>
      <c r="M370" s="28" t="str">
        <f>IF(C370=""," ",[1]!s_mq_pctchange($C370,$N$1))</f>
        <v xml:space="preserve"> </v>
      </c>
      <c r="N370" s="28" t="str">
        <f>IF(C370=""," ",[1]!s_yq_pctchange($C370,$N$1))</f>
        <v xml:space="preserve"> </v>
      </c>
      <c r="O370" s="11"/>
      <c r="P370" s="7"/>
    </row>
    <row r="371" spans="1:16" x14ac:dyDescent="0.35">
      <c r="A371" s="7"/>
      <c r="C371" s="30" t="str">
        <f>IF(指数列表!B368="","",指数列表!B368)</f>
        <v/>
      </c>
      <c r="D371" s="35" t="str">
        <f>IF(C371="","",[1]!s_info_name(C371))</f>
        <v/>
      </c>
      <c r="E371" s="24" t="str">
        <f>IF(C371="","",[1]!s_dq_close(C371,$N$1))</f>
        <v/>
      </c>
      <c r="F371" s="28" t="str">
        <f>IF($C371=""," ",[1]!i_pq_pctchange($C371,F$6,$N$1))</f>
        <v xml:space="preserve"> </v>
      </c>
      <c r="G371" s="28" t="str">
        <f>IF($C371=""," ",[1]!i_pq_pctchange($C371,G$6,$N$1))</f>
        <v xml:space="preserve"> </v>
      </c>
      <c r="H371" s="28" t="str">
        <f>IF($C371=""," ",[1]!i_pq_pctchange($C371,H$6,$N$1))</f>
        <v xml:space="preserve"> </v>
      </c>
      <c r="I371" s="28" t="str">
        <f>IF($C371=""," ",[1]!i_pq_pctchange($C371,I$6,$N$1))</f>
        <v xml:space="preserve"> </v>
      </c>
      <c r="J371" s="28" t="str">
        <f>IF($C371=""," ",[1]!i_pq_pctchange($C371,J$6,$N$1))</f>
        <v xml:space="preserve"> </v>
      </c>
      <c r="K371" s="28" t="str">
        <f>IF($C371=""," ",[1]!i_pq_pctchange($C371,K$6,$N$1))</f>
        <v xml:space="preserve"> </v>
      </c>
      <c r="L371" s="28" t="str">
        <f>IF(C371=""," ",[1]!s_wq_pctchange($C371,$N$1))</f>
        <v xml:space="preserve"> </v>
      </c>
      <c r="M371" s="28" t="str">
        <f>IF(C371=""," ",[1]!s_mq_pctchange($C371,$N$1))</f>
        <v xml:space="preserve"> </v>
      </c>
      <c r="N371" s="28" t="str">
        <f>IF(C371=""," ",[1]!s_yq_pctchange($C371,$N$1))</f>
        <v xml:space="preserve"> </v>
      </c>
      <c r="O371" s="11"/>
      <c r="P371" s="7"/>
    </row>
    <row r="372" spans="1:16" x14ac:dyDescent="0.35">
      <c r="A372" s="7"/>
      <c r="C372" s="31" t="str">
        <f>IF(指数列表!B369="","",指数列表!B369)</f>
        <v/>
      </c>
      <c r="D372" s="36" t="str">
        <f>IF(C372="","",[1]!s_info_name(C372))</f>
        <v/>
      </c>
      <c r="E372" s="25" t="str">
        <f>IF(C372="","",[1]!s_dq_close(C372,$N$1))</f>
        <v/>
      </c>
      <c r="F372" s="28" t="str">
        <f>IF($C372=""," ",[1]!i_pq_pctchange($C372,F$6,$N$1))</f>
        <v xml:space="preserve"> </v>
      </c>
      <c r="G372" s="28" t="str">
        <f>IF($C372=""," ",[1]!i_pq_pctchange($C372,G$6,$N$1))</f>
        <v xml:space="preserve"> </v>
      </c>
      <c r="H372" s="28" t="str">
        <f>IF($C372=""," ",[1]!i_pq_pctchange($C372,H$6,$N$1))</f>
        <v xml:space="preserve"> </v>
      </c>
      <c r="I372" s="28" t="str">
        <f>IF($C372=""," ",[1]!i_pq_pctchange($C372,I$6,$N$1))</f>
        <v xml:space="preserve"> </v>
      </c>
      <c r="J372" s="28" t="str">
        <f>IF($C372=""," ",[1]!i_pq_pctchange($C372,J$6,$N$1))</f>
        <v xml:space="preserve"> </v>
      </c>
      <c r="K372" s="28" t="str">
        <f>IF($C372=""," ",[1]!i_pq_pctchange($C372,K$6,$N$1))</f>
        <v xml:space="preserve"> </v>
      </c>
      <c r="L372" s="28" t="str">
        <f>IF(C372=""," ",[1]!s_wq_pctchange($C372,$N$1))</f>
        <v xml:space="preserve"> </v>
      </c>
      <c r="M372" s="28" t="str">
        <f>IF(C372=""," ",[1]!s_mq_pctchange($C372,$N$1))</f>
        <v xml:space="preserve"> </v>
      </c>
      <c r="N372" s="28" t="str">
        <f>IF(C372=""," ",[1]!s_yq_pctchange($C372,$N$1))</f>
        <v xml:space="preserve"> </v>
      </c>
      <c r="O372" s="11"/>
      <c r="P372" s="7"/>
    </row>
    <row r="373" spans="1:16" x14ac:dyDescent="0.35">
      <c r="A373" s="7"/>
      <c r="C373" s="30" t="str">
        <f>IF(指数列表!B370="","",指数列表!B370)</f>
        <v/>
      </c>
      <c r="D373" s="35" t="str">
        <f>IF(C373="","",[1]!s_info_name(C373))</f>
        <v/>
      </c>
      <c r="E373" s="24" t="str">
        <f>IF(C373="","",[1]!s_dq_close(C373,$N$1))</f>
        <v/>
      </c>
      <c r="F373" s="28" t="str">
        <f>IF($C373=""," ",[1]!i_pq_pctchange($C373,F$6,$N$1))</f>
        <v xml:space="preserve"> </v>
      </c>
      <c r="G373" s="28" t="str">
        <f>IF($C373=""," ",[1]!i_pq_pctchange($C373,G$6,$N$1))</f>
        <v xml:space="preserve"> </v>
      </c>
      <c r="H373" s="28" t="str">
        <f>IF($C373=""," ",[1]!i_pq_pctchange($C373,H$6,$N$1))</f>
        <v xml:space="preserve"> </v>
      </c>
      <c r="I373" s="28" t="str">
        <f>IF($C373=""," ",[1]!i_pq_pctchange($C373,I$6,$N$1))</f>
        <v xml:space="preserve"> </v>
      </c>
      <c r="J373" s="28" t="str">
        <f>IF($C373=""," ",[1]!i_pq_pctchange($C373,J$6,$N$1))</f>
        <v xml:space="preserve"> </v>
      </c>
      <c r="K373" s="28" t="str">
        <f>IF($C373=""," ",[1]!i_pq_pctchange($C373,K$6,$N$1))</f>
        <v xml:space="preserve"> </v>
      </c>
      <c r="L373" s="28" t="str">
        <f>IF(C373=""," ",[1]!s_wq_pctchange($C373,$N$1))</f>
        <v xml:space="preserve"> </v>
      </c>
      <c r="M373" s="28" t="str">
        <f>IF(C373=""," ",[1]!s_mq_pctchange($C373,$N$1))</f>
        <v xml:space="preserve"> </v>
      </c>
      <c r="N373" s="28" t="str">
        <f>IF(C373=""," ",[1]!s_yq_pctchange($C373,$N$1))</f>
        <v xml:space="preserve"> </v>
      </c>
      <c r="O373" s="11"/>
      <c r="P373" s="7"/>
    </row>
    <row r="374" spans="1:16" x14ac:dyDescent="0.35">
      <c r="A374" s="7"/>
      <c r="C374" s="31" t="str">
        <f>IF(指数列表!B371="","",指数列表!B371)</f>
        <v/>
      </c>
      <c r="D374" s="36" t="str">
        <f>IF(C374="","",[1]!s_info_name(C374))</f>
        <v/>
      </c>
      <c r="E374" s="25" t="str">
        <f>IF(C374="","",[1]!s_dq_close(C374,$N$1))</f>
        <v/>
      </c>
      <c r="F374" s="28" t="str">
        <f>IF($C374=""," ",[1]!i_pq_pctchange($C374,F$6,$N$1))</f>
        <v xml:space="preserve"> </v>
      </c>
      <c r="G374" s="28" t="str">
        <f>IF($C374=""," ",[1]!i_pq_pctchange($C374,G$6,$N$1))</f>
        <v xml:space="preserve"> </v>
      </c>
      <c r="H374" s="28" t="str">
        <f>IF($C374=""," ",[1]!i_pq_pctchange($C374,H$6,$N$1))</f>
        <v xml:space="preserve"> </v>
      </c>
      <c r="I374" s="28" t="str">
        <f>IF($C374=""," ",[1]!i_pq_pctchange($C374,I$6,$N$1))</f>
        <v xml:space="preserve"> </v>
      </c>
      <c r="J374" s="28" t="str">
        <f>IF($C374=""," ",[1]!i_pq_pctchange($C374,J$6,$N$1))</f>
        <v xml:space="preserve"> </v>
      </c>
      <c r="K374" s="28" t="str">
        <f>IF($C374=""," ",[1]!i_pq_pctchange($C374,K$6,$N$1))</f>
        <v xml:space="preserve"> </v>
      </c>
      <c r="L374" s="28" t="str">
        <f>IF(C374=""," ",[1]!s_wq_pctchange($C374,$N$1))</f>
        <v xml:space="preserve"> </v>
      </c>
      <c r="M374" s="28" t="str">
        <f>IF(C374=""," ",[1]!s_mq_pctchange($C374,$N$1))</f>
        <v xml:space="preserve"> </v>
      </c>
      <c r="N374" s="28" t="str">
        <f>IF(C374=""," ",[1]!s_yq_pctchange($C374,$N$1))</f>
        <v xml:space="preserve"> </v>
      </c>
      <c r="O374" s="11"/>
      <c r="P374" s="7"/>
    </row>
    <row r="375" spans="1:16" x14ac:dyDescent="0.35">
      <c r="A375" s="7"/>
      <c r="C375" s="30" t="str">
        <f>IF(指数列表!B372="","",指数列表!B372)</f>
        <v/>
      </c>
      <c r="D375" s="35" t="str">
        <f>IF(C375="","",[1]!s_info_name(C375))</f>
        <v/>
      </c>
      <c r="E375" s="24" t="str">
        <f>IF(C375="","",[1]!s_dq_close(C375,$N$1))</f>
        <v/>
      </c>
      <c r="F375" s="28" t="str">
        <f>IF($C375=""," ",[1]!i_pq_pctchange($C375,F$6,$N$1))</f>
        <v xml:space="preserve"> </v>
      </c>
      <c r="G375" s="28" t="str">
        <f>IF($C375=""," ",[1]!i_pq_pctchange($C375,G$6,$N$1))</f>
        <v xml:space="preserve"> </v>
      </c>
      <c r="H375" s="28" t="str">
        <f>IF($C375=""," ",[1]!i_pq_pctchange($C375,H$6,$N$1))</f>
        <v xml:space="preserve"> </v>
      </c>
      <c r="I375" s="28" t="str">
        <f>IF($C375=""," ",[1]!i_pq_pctchange($C375,I$6,$N$1))</f>
        <v xml:space="preserve"> </v>
      </c>
      <c r="J375" s="28" t="str">
        <f>IF($C375=""," ",[1]!i_pq_pctchange($C375,J$6,$N$1))</f>
        <v xml:space="preserve"> </v>
      </c>
      <c r="K375" s="28" t="str">
        <f>IF($C375=""," ",[1]!i_pq_pctchange($C375,K$6,$N$1))</f>
        <v xml:space="preserve"> </v>
      </c>
      <c r="L375" s="28" t="str">
        <f>IF(C375=""," ",[1]!s_wq_pctchange($C375,$N$1))</f>
        <v xml:space="preserve"> </v>
      </c>
      <c r="M375" s="28" t="str">
        <f>IF(C375=""," ",[1]!s_mq_pctchange($C375,$N$1))</f>
        <v xml:space="preserve"> </v>
      </c>
      <c r="N375" s="28" t="str">
        <f>IF(C375=""," ",[1]!s_yq_pctchange($C375,$N$1))</f>
        <v xml:space="preserve"> </v>
      </c>
      <c r="O375" s="11"/>
      <c r="P375" s="7"/>
    </row>
    <row r="376" spans="1:16" x14ac:dyDescent="0.35">
      <c r="A376" s="7"/>
      <c r="C376" s="31" t="str">
        <f>IF(指数列表!B373="","",指数列表!B373)</f>
        <v/>
      </c>
      <c r="D376" s="36" t="str">
        <f>IF(C376="","",[1]!s_info_name(C376))</f>
        <v/>
      </c>
      <c r="E376" s="25" t="str">
        <f>IF(C376="","",[1]!s_dq_close(C376,$N$1))</f>
        <v/>
      </c>
      <c r="F376" s="28" t="str">
        <f>IF($C376=""," ",[1]!i_pq_pctchange($C376,F$6,$N$1))</f>
        <v xml:space="preserve"> </v>
      </c>
      <c r="G376" s="28" t="str">
        <f>IF($C376=""," ",[1]!i_pq_pctchange($C376,G$6,$N$1))</f>
        <v xml:space="preserve"> </v>
      </c>
      <c r="H376" s="28" t="str">
        <f>IF($C376=""," ",[1]!i_pq_pctchange($C376,H$6,$N$1))</f>
        <v xml:space="preserve"> </v>
      </c>
      <c r="I376" s="28" t="str">
        <f>IF($C376=""," ",[1]!i_pq_pctchange($C376,I$6,$N$1))</f>
        <v xml:space="preserve"> </v>
      </c>
      <c r="J376" s="28" t="str">
        <f>IF($C376=""," ",[1]!i_pq_pctchange($C376,J$6,$N$1))</f>
        <v xml:space="preserve"> </v>
      </c>
      <c r="K376" s="28" t="str">
        <f>IF($C376=""," ",[1]!i_pq_pctchange($C376,K$6,$N$1))</f>
        <v xml:space="preserve"> </v>
      </c>
      <c r="L376" s="28" t="str">
        <f>IF(C376=""," ",[1]!s_wq_pctchange($C376,$N$1))</f>
        <v xml:space="preserve"> </v>
      </c>
      <c r="M376" s="28" t="str">
        <f>IF(C376=""," ",[1]!s_mq_pctchange($C376,$N$1))</f>
        <v xml:space="preserve"> </v>
      </c>
      <c r="N376" s="28" t="str">
        <f>IF(C376=""," ",[1]!s_yq_pctchange($C376,$N$1))</f>
        <v xml:space="preserve"> </v>
      </c>
      <c r="O376" s="11"/>
      <c r="P376" s="7"/>
    </row>
    <row r="377" spans="1:16" x14ac:dyDescent="0.35">
      <c r="A377" s="7"/>
      <c r="C377" s="30" t="str">
        <f>IF(指数列表!B374="","",指数列表!B374)</f>
        <v/>
      </c>
      <c r="D377" s="35" t="str">
        <f>IF(C377="","",[1]!s_info_name(C377))</f>
        <v/>
      </c>
      <c r="E377" s="24" t="str">
        <f>IF(C377="","",[1]!s_dq_close(C377,$N$1))</f>
        <v/>
      </c>
      <c r="F377" s="28" t="str">
        <f>IF($C377=""," ",[1]!i_pq_pctchange($C377,F$6,$N$1))</f>
        <v xml:space="preserve"> </v>
      </c>
      <c r="G377" s="28" t="str">
        <f>IF($C377=""," ",[1]!i_pq_pctchange($C377,G$6,$N$1))</f>
        <v xml:space="preserve"> </v>
      </c>
      <c r="H377" s="28" t="str">
        <f>IF($C377=""," ",[1]!i_pq_pctchange($C377,H$6,$N$1))</f>
        <v xml:space="preserve"> </v>
      </c>
      <c r="I377" s="28" t="str">
        <f>IF($C377=""," ",[1]!i_pq_pctchange($C377,I$6,$N$1))</f>
        <v xml:space="preserve"> </v>
      </c>
      <c r="J377" s="28" t="str">
        <f>IF($C377=""," ",[1]!i_pq_pctchange($C377,J$6,$N$1))</f>
        <v xml:space="preserve"> </v>
      </c>
      <c r="K377" s="28" t="str">
        <f>IF($C377=""," ",[1]!i_pq_pctchange($C377,K$6,$N$1))</f>
        <v xml:space="preserve"> </v>
      </c>
      <c r="L377" s="28" t="str">
        <f>IF(C377=""," ",[1]!s_wq_pctchange($C377,$N$1))</f>
        <v xml:space="preserve"> </v>
      </c>
      <c r="M377" s="28" t="str">
        <f>IF(C377=""," ",[1]!s_mq_pctchange($C377,$N$1))</f>
        <v xml:space="preserve"> </v>
      </c>
      <c r="N377" s="28" t="str">
        <f>IF(C377=""," ",[1]!s_yq_pctchange($C377,$N$1))</f>
        <v xml:space="preserve"> </v>
      </c>
      <c r="O377" s="11"/>
      <c r="P377" s="7"/>
    </row>
    <row r="378" spans="1:16" x14ac:dyDescent="0.35">
      <c r="A378" s="7"/>
      <c r="C378" s="31" t="str">
        <f>IF(指数列表!B375="","",指数列表!B375)</f>
        <v/>
      </c>
      <c r="D378" s="36" t="str">
        <f>IF(C378="","",[1]!s_info_name(C378))</f>
        <v/>
      </c>
      <c r="E378" s="25" t="str">
        <f>IF(C378="","",[1]!s_dq_close(C378,$N$1))</f>
        <v/>
      </c>
      <c r="F378" s="28" t="str">
        <f>IF($C378=""," ",[1]!i_pq_pctchange($C378,F$6,$N$1))</f>
        <v xml:space="preserve"> </v>
      </c>
      <c r="G378" s="28" t="str">
        <f>IF($C378=""," ",[1]!i_pq_pctchange($C378,G$6,$N$1))</f>
        <v xml:space="preserve"> </v>
      </c>
      <c r="H378" s="28" t="str">
        <f>IF($C378=""," ",[1]!i_pq_pctchange($C378,H$6,$N$1))</f>
        <v xml:space="preserve"> </v>
      </c>
      <c r="I378" s="28" t="str">
        <f>IF($C378=""," ",[1]!i_pq_pctchange($C378,I$6,$N$1))</f>
        <v xml:space="preserve"> </v>
      </c>
      <c r="J378" s="28" t="str">
        <f>IF($C378=""," ",[1]!i_pq_pctchange($C378,J$6,$N$1))</f>
        <v xml:space="preserve"> </v>
      </c>
      <c r="K378" s="28" t="str">
        <f>IF($C378=""," ",[1]!i_pq_pctchange($C378,K$6,$N$1))</f>
        <v xml:space="preserve"> </v>
      </c>
      <c r="L378" s="28" t="str">
        <f>IF(C378=""," ",[1]!s_wq_pctchange($C378,$N$1))</f>
        <v xml:space="preserve"> </v>
      </c>
      <c r="M378" s="28" t="str">
        <f>IF(C378=""," ",[1]!s_mq_pctchange($C378,$N$1))</f>
        <v xml:space="preserve"> </v>
      </c>
      <c r="N378" s="28" t="str">
        <f>IF(C378=""," ",[1]!s_yq_pctchange($C378,$N$1))</f>
        <v xml:space="preserve"> </v>
      </c>
      <c r="O378" s="11"/>
      <c r="P378" s="7"/>
    </row>
    <row r="379" spans="1:16" x14ac:dyDescent="0.35">
      <c r="A379" s="7"/>
      <c r="C379" s="30" t="str">
        <f>IF(指数列表!B376="","",指数列表!B376)</f>
        <v/>
      </c>
      <c r="D379" s="35" t="str">
        <f>IF(C379="","",[1]!s_info_name(C379))</f>
        <v/>
      </c>
      <c r="E379" s="24" t="str">
        <f>IF(C379="","",[1]!s_dq_close(C379,$N$1))</f>
        <v/>
      </c>
      <c r="F379" s="28" t="str">
        <f>IF($C379=""," ",[1]!i_pq_pctchange($C379,F$6,$N$1))</f>
        <v xml:space="preserve"> </v>
      </c>
      <c r="G379" s="28" t="str">
        <f>IF($C379=""," ",[1]!i_pq_pctchange($C379,G$6,$N$1))</f>
        <v xml:space="preserve"> </v>
      </c>
      <c r="H379" s="28" t="str">
        <f>IF($C379=""," ",[1]!i_pq_pctchange($C379,H$6,$N$1))</f>
        <v xml:space="preserve"> </v>
      </c>
      <c r="I379" s="28" t="str">
        <f>IF($C379=""," ",[1]!i_pq_pctchange($C379,I$6,$N$1))</f>
        <v xml:space="preserve"> </v>
      </c>
      <c r="J379" s="28" t="str">
        <f>IF($C379=""," ",[1]!i_pq_pctchange($C379,J$6,$N$1))</f>
        <v xml:space="preserve"> </v>
      </c>
      <c r="K379" s="28" t="str">
        <f>IF($C379=""," ",[1]!i_pq_pctchange($C379,K$6,$N$1))</f>
        <v xml:space="preserve"> </v>
      </c>
      <c r="L379" s="28" t="str">
        <f>IF(C379=""," ",[1]!s_wq_pctchange($C379,$N$1))</f>
        <v xml:space="preserve"> </v>
      </c>
      <c r="M379" s="28" t="str">
        <f>IF(C379=""," ",[1]!s_mq_pctchange($C379,$N$1))</f>
        <v xml:space="preserve"> </v>
      </c>
      <c r="N379" s="28" t="str">
        <f>IF(C379=""," ",[1]!s_yq_pctchange($C379,$N$1))</f>
        <v xml:space="preserve"> </v>
      </c>
      <c r="O379" s="11"/>
      <c r="P379" s="7"/>
    </row>
    <row r="380" spans="1:16" x14ac:dyDescent="0.35">
      <c r="A380" s="7"/>
      <c r="C380" s="31" t="str">
        <f>IF(指数列表!B377="","",指数列表!B377)</f>
        <v/>
      </c>
      <c r="D380" s="36" t="str">
        <f>IF(C380="","",[1]!s_info_name(C380))</f>
        <v/>
      </c>
      <c r="E380" s="25" t="str">
        <f>IF(C380="","",[1]!s_dq_close(C380,$N$1))</f>
        <v/>
      </c>
      <c r="F380" s="28" t="str">
        <f>IF($C380=""," ",[1]!i_pq_pctchange($C380,F$6,$N$1))</f>
        <v xml:space="preserve"> </v>
      </c>
      <c r="G380" s="28" t="str">
        <f>IF($C380=""," ",[1]!i_pq_pctchange($C380,G$6,$N$1))</f>
        <v xml:space="preserve"> </v>
      </c>
      <c r="H380" s="28" t="str">
        <f>IF($C380=""," ",[1]!i_pq_pctchange($C380,H$6,$N$1))</f>
        <v xml:space="preserve"> </v>
      </c>
      <c r="I380" s="28" t="str">
        <f>IF($C380=""," ",[1]!i_pq_pctchange($C380,I$6,$N$1))</f>
        <v xml:space="preserve"> </v>
      </c>
      <c r="J380" s="28" t="str">
        <f>IF($C380=""," ",[1]!i_pq_pctchange($C380,J$6,$N$1))</f>
        <v xml:space="preserve"> </v>
      </c>
      <c r="K380" s="28" t="str">
        <f>IF($C380=""," ",[1]!i_pq_pctchange($C380,K$6,$N$1))</f>
        <v xml:space="preserve"> </v>
      </c>
      <c r="L380" s="28" t="str">
        <f>IF(C380=""," ",[1]!s_wq_pctchange($C380,$N$1))</f>
        <v xml:space="preserve"> </v>
      </c>
      <c r="M380" s="28" t="str">
        <f>IF(C380=""," ",[1]!s_mq_pctchange($C380,$N$1))</f>
        <v xml:space="preserve"> </v>
      </c>
      <c r="N380" s="28" t="str">
        <f>IF(C380=""," ",[1]!s_yq_pctchange($C380,$N$1))</f>
        <v xml:space="preserve"> </v>
      </c>
      <c r="O380" s="11"/>
      <c r="P380" s="7"/>
    </row>
    <row r="381" spans="1:16" x14ac:dyDescent="0.35">
      <c r="A381" s="7"/>
      <c r="C381" s="30" t="str">
        <f>IF(指数列表!B378="","",指数列表!B378)</f>
        <v/>
      </c>
      <c r="D381" s="35" t="str">
        <f>IF(C381="","",[1]!s_info_name(C381))</f>
        <v/>
      </c>
      <c r="E381" s="24" t="str">
        <f>IF(C381="","",[1]!s_dq_close(C381,$N$1))</f>
        <v/>
      </c>
      <c r="F381" s="28" t="str">
        <f>IF($C381=""," ",[1]!i_pq_pctchange($C381,F$6,$N$1))</f>
        <v xml:space="preserve"> </v>
      </c>
      <c r="G381" s="28" t="str">
        <f>IF($C381=""," ",[1]!i_pq_pctchange($C381,G$6,$N$1))</f>
        <v xml:space="preserve"> </v>
      </c>
      <c r="H381" s="28" t="str">
        <f>IF($C381=""," ",[1]!i_pq_pctchange($C381,H$6,$N$1))</f>
        <v xml:space="preserve"> </v>
      </c>
      <c r="I381" s="28" t="str">
        <f>IF($C381=""," ",[1]!i_pq_pctchange($C381,I$6,$N$1))</f>
        <v xml:space="preserve"> </v>
      </c>
      <c r="J381" s="28" t="str">
        <f>IF($C381=""," ",[1]!i_pq_pctchange($C381,J$6,$N$1))</f>
        <v xml:space="preserve"> </v>
      </c>
      <c r="K381" s="28" t="str">
        <f>IF($C381=""," ",[1]!i_pq_pctchange($C381,K$6,$N$1))</f>
        <v xml:space="preserve"> </v>
      </c>
      <c r="L381" s="28" t="str">
        <f>IF(C381=""," ",[1]!s_wq_pctchange($C381,$N$1))</f>
        <v xml:space="preserve"> </v>
      </c>
      <c r="M381" s="28" t="str">
        <f>IF(C381=""," ",[1]!s_mq_pctchange($C381,$N$1))</f>
        <v xml:space="preserve"> </v>
      </c>
      <c r="N381" s="28" t="str">
        <f>IF(C381=""," ",[1]!s_yq_pctchange($C381,$N$1))</f>
        <v xml:space="preserve"> </v>
      </c>
      <c r="O381" s="11"/>
      <c r="P381" s="7"/>
    </row>
    <row r="382" spans="1:16" x14ac:dyDescent="0.35">
      <c r="A382" s="7"/>
      <c r="C382" s="31" t="str">
        <f>IF(指数列表!B379="","",指数列表!B379)</f>
        <v/>
      </c>
      <c r="D382" s="36" t="str">
        <f>IF(C382="","",[1]!s_info_name(C382))</f>
        <v/>
      </c>
      <c r="E382" s="25" t="str">
        <f>IF(C382="","",[1]!s_dq_close(C382,$N$1))</f>
        <v/>
      </c>
      <c r="F382" s="28" t="str">
        <f>IF($C382=""," ",[1]!i_pq_pctchange($C382,F$6,$N$1))</f>
        <v xml:space="preserve"> </v>
      </c>
      <c r="G382" s="28" t="str">
        <f>IF($C382=""," ",[1]!i_pq_pctchange($C382,G$6,$N$1))</f>
        <v xml:space="preserve"> </v>
      </c>
      <c r="H382" s="28" t="str">
        <f>IF($C382=""," ",[1]!i_pq_pctchange($C382,H$6,$N$1))</f>
        <v xml:space="preserve"> </v>
      </c>
      <c r="I382" s="28" t="str">
        <f>IF($C382=""," ",[1]!i_pq_pctchange($C382,I$6,$N$1))</f>
        <v xml:space="preserve"> </v>
      </c>
      <c r="J382" s="28" t="str">
        <f>IF($C382=""," ",[1]!i_pq_pctchange($C382,J$6,$N$1))</f>
        <v xml:space="preserve"> </v>
      </c>
      <c r="K382" s="28" t="str">
        <f>IF($C382=""," ",[1]!i_pq_pctchange($C382,K$6,$N$1))</f>
        <v xml:space="preserve"> </v>
      </c>
      <c r="L382" s="28" t="str">
        <f>IF(C382=""," ",[1]!s_wq_pctchange($C382,$N$1))</f>
        <v xml:space="preserve"> </v>
      </c>
      <c r="M382" s="28" t="str">
        <f>IF(C382=""," ",[1]!s_mq_pctchange($C382,$N$1))</f>
        <v xml:space="preserve"> </v>
      </c>
      <c r="N382" s="28" t="str">
        <f>IF(C382=""," ",[1]!s_yq_pctchange($C382,$N$1))</f>
        <v xml:space="preserve"> </v>
      </c>
      <c r="O382" s="11"/>
      <c r="P382" s="7"/>
    </row>
    <row r="383" spans="1:16" x14ac:dyDescent="0.35">
      <c r="A383" s="7"/>
      <c r="C383" s="30" t="str">
        <f>IF(指数列表!B380="","",指数列表!B380)</f>
        <v/>
      </c>
      <c r="D383" s="35" t="str">
        <f>IF(C383="","",[1]!s_info_name(C383))</f>
        <v/>
      </c>
      <c r="E383" s="24" t="str">
        <f>IF(C383="","",[1]!s_dq_close(C383,$N$1))</f>
        <v/>
      </c>
      <c r="F383" s="28" t="str">
        <f>IF($C383=""," ",[1]!i_pq_pctchange($C383,F$6,$N$1))</f>
        <v xml:space="preserve"> </v>
      </c>
      <c r="G383" s="28" t="str">
        <f>IF($C383=""," ",[1]!i_pq_pctchange($C383,G$6,$N$1))</f>
        <v xml:space="preserve"> </v>
      </c>
      <c r="H383" s="28" t="str">
        <f>IF($C383=""," ",[1]!i_pq_pctchange($C383,H$6,$N$1))</f>
        <v xml:space="preserve"> </v>
      </c>
      <c r="I383" s="28" t="str">
        <f>IF($C383=""," ",[1]!i_pq_pctchange($C383,I$6,$N$1))</f>
        <v xml:space="preserve"> </v>
      </c>
      <c r="J383" s="28" t="str">
        <f>IF($C383=""," ",[1]!i_pq_pctchange($C383,J$6,$N$1))</f>
        <v xml:space="preserve"> </v>
      </c>
      <c r="K383" s="28" t="str">
        <f>IF($C383=""," ",[1]!i_pq_pctchange($C383,K$6,$N$1))</f>
        <v xml:space="preserve"> </v>
      </c>
      <c r="L383" s="28" t="str">
        <f>IF(C383=""," ",[1]!s_wq_pctchange($C383,$N$1))</f>
        <v xml:space="preserve"> </v>
      </c>
      <c r="M383" s="28" t="str">
        <f>IF(C383=""," ",[1]!s_mq_pctchange($C383,$N$1))</f>
        <v xml:space="preserve"> </v>
      </c>
      <c r="N383" s="28" t="str">
        <f>IF(C383=""," ",[1]!s_yq_pctchange($C383,$N$1))</f>
        <v xml:space="preserve"> </v>
      </c>
      <c r="O383" s="11"/>
      <c r="P383" s="7"/>
    </row>
    <row r="384" spans="1:16" x14ac:dyDescent="0.35">
      <c r="A384" s="7"/>
      <c r="C384" s="31" t="str">
        <f>IF(指数列表!B381="","",指数列表!B381)</f>
        <v/>
      </c>
      <c r="D384" s="36" t="str">
        <f>IF(C384="","",[1]!s_info_name(C384))</f>
        <v/>
      </c>
      <c r="E384" s="25" t="str">
        <f>IF(C384="","",[1]!s_dq_close(C384,$N$1))</f>
        <v/>
      </c>
      <c r="F384" s="28" t="str">
        <f>IF($C384=""," ",[1]!i_pq_pctchange($C384,F$6,$N$1))</f>
        <v xml:space="preserve"> </v>
      </c>
      <c r="G384" s="28" t="str">
        <f>IF($C384=""," ",[1]!i_pq_pctchange($C384,G$6,$N$1))</f>
        <v xml:space="preserve"> </v>
      </c>
      <c r="H384" s="28" t="str">
        <f>IF($C384=""," ",[1]!i_pq_pctchange($C384,H$6,$N$1))</f>
        <v xml:space="preserve"> </v>
      </c>
      <c r="I384" s="28" t="str">
        <f>IF($C384=""," ",[1]!i_pq_pctchange($C384,I$6,$N$1))</f>
        <v xml:space="preserve"> </v>
      </c>
      <c r="J384" s="28" t="str">
        <f>IF($C384=""," ",[1]!i_pq_pctchange($C384,J$6,$N$1))</f>
        <v xml:space="preserve"> </v>
      </c>
      <c r="K384" s="28" t="str">
        <f>IF($C384=""," ",[1]!i_pq_pctchange($C384,K$6,$N$1))</f>
        <v xml:space="preserve"> </v>
      </c>
      <c r="L384" s="28" t="str">
        <f>IF(C384=""," ",[1]!s_wq_pctchange($C384,$N$1))</f>
        <v xml:space="preserve"> </v>
      </c>
      <c r="M384" s="28" t="str">
        <f>IF(C384=""," ",[1]!s_mq_pctchange($C384,$N$1))</f>
        <v xml:space="preserve"> </v>
      </c>
      <c r="N384" s="28" t="str">
        <f>IF(C384=""," ",[1]!s_yq_pctchange($C384,$N$1))</f>
        <v xml:space="preserve"> </v>
      </c>
      <c r="O384" s="11"/>
      <c r="P384" s="7"/>
    </row>
    <row r="385" spans="1:16" x14ac:dyDescent="0.35">
      <c r="A385" s="7"/>
      <c r="C385" s="30" t="str">
        <f>IF(指数列表!B382="","",指数列表!B382)</f>
        <v/>
      </c>
      <c r="D385" s="35" t="str">
        <f>IF(C385="","",[1]!s_info_name(C385))</f>
        <v/>
      </c>
      <c r="E385" s="24" t="str">
        <f>IF(C385="","",[1]!s_dq_close(C385,$N$1))</f>
        <v/>
      </c>
      <c r="F385" s="28" t="str">
        <f>IF($C385=""," ",[1]!i_pq_pctchange($C385,F$6,$N$1))</f>
        <v xml:space="preserve"> </v>
      </c>
      <c r="G385" s="28" t="str">
        <f>IF($C385=""," ",[1]!i_pq_pctchange($C385,G$6,$N$1))</f>
        <v xml:space="preserve"> </v>
      </c>
      <c r="H385" s="28" t="str">
        <f>IF($C385=""," ",[1]!i_pq_pctchange($C385,H$6,$N$1))</f>
        <v xml:space="preserve"> </v>
      </c>
      <c r="I385" s="28" t="str">
        <f>IF($C385=""," ",[1]!i_pq_pctchange($C385,I$6,$N$1))</f>
        <v xml:space="preserve"> </v>
      </c>
      <c r="J385" s="28" t="str">
        <f>IF($C385=""," ",[1]!i_pq_pctchange($C385,J$6,$N$1))</f>
        <v xml:space="preserve"> </v>
      </c>
      <c r="K385" s="28" t="str">
        <f>IF($C385=""," ",[1]!i_pq_pctchange($C385,K$6,$N$1))</f>
        <v xml:space="preserve"> </v>
      </c>
      <c r="L385" s="28" t="str">
        <f>IF(C385=""," ",[1]!s_wq_pctchange($C385,$N$1))</f>
        <v xml:space="preserve"> </v>
      </c>
      <c r="M385" s="28" t="str">
        <f>IF(C385=""," ",[1]!s_mq_pctchange($C385,$N$1))</f>
        <v xml:space="preserve"> </v>
      </c>
      <c r="N385" s="28" t="str">
        <f>IF(C385=""," ",[1]!s_yq_pctchange($C385,$N$1))</f>
        <v xml:space="preserve"> </v>
      </c>
      <c r="O385" s="11"/>
      <c r="P385" s="7"/>
    </row>
    <row r="386" spans="1:16" x14ac:dyDescent="0.35">
      <c r="A386" s="7"/>
      <c r="C386" s="31" t="str">
        <f>IF(指数列表!B383="","",指数列表!B383)</f>
        <v/>
      </c>
      <c r="D386" s="36" t="str">
        <f>IF(C386="","",[1]!s_info_name(C386))</f>
        <v/>
      </c>
      <c r="E386" s="25" t="str">
        <f>IF(C386="","",[1]!s_dq_close(C386,$N$1))</f>
        <v/>
      </c>
      <c r="F386" s="28" t="str">
        <f>IF($C386=""," ",[1]!i_pq_pctchange($C386,F$6,$N$1))</f>
        <v xml:space="preserve"> </v>
      </c>
      <c r="G386" s="28" t="str">
        <f>IF($C386=""," ",[1]!i_pq_pctchange($C386,G$6,$N$1))</f>
        <v xml:space="preserve"> </v>
      </c>
      <c r="H386" s="28" t="str">
        <f>IF($C386=""," ",[1]!i_pq_pctchange($C386,H$6,$N$1))</f>
        <v xml:space="preserve"> </v>
      </c>
      <c r="I386" s="28" t="str">
        <f>IF($C386=""," ",[1]!i_pq_pctchange($C386,I$6,$N$1))</f>
        <v xml:space="preserve"> </v>
      </c>
      <c r="J386" s="28" t="str">
        <f>IF($C386=""," ",[1]!i_pq_pctchange($C386,J$6,$N$1))</f>
        <v xml:space="preserve"> </v>
      </c>
      <c r="K386" s="28" t="str">
        <f>IF($C386=""," ",[1]!i_pq_pctchange($C386,K$6,$N$1))</f>
        <v xml:space="preserve"> </v>
      </c>
      <c r="L386" s="28" t="str">
        <f>IF(C386=""," ",[1]!s_wq_pctchange($C386,$N$1))</f>
        <v xml:space="preserve"> </v>
      </c>
      <c r="M386" s="28" t="str">
        <f>IF(C386=""," ",[1]!s_mq_pctchange($C386,$N$1))</f>
        <v xml:space="preserve"> </v>
      </c>
      <c r="N386" s="28" t="str">
        <f>IF(C386=""," ",[1]!s_yq_pctchange($C386,$N$1))</f>
        <v xml:space="preserve"> </v>
      </c>
      <c r="O386" s="11"/>
      <c r="P386" s="7"/>
    </row>
    <row r="387" spans="1:16" x14ac:dyDescent="0.35">
      <c r="A387" s="7"/>
      <c r="C387" s="30" t="str">
        <f>IF(指数列表!B384="","",指数列表!B384)</f>
        <v/>
      </c>
      <c r="D387" s="35" t="str">
        <f>IF(C387="","",[1]!s_info_name(C387))</f>
        <v/>
      </c>
      <c r="E387" s="24" t="str">
        <f>IF(C387="","",[1]!s_dq_close(C387,$N$1))</f>
        <v/>
      </c>
      <c r="F387" s="28" t="str">
        <f>IF($C387=""," ",[1]!i_pq_pctchange($C387,F$6,$N$1))</f>
        <v xml:space="preserve"> </v>
      </c>
      <c r="G387" s="28" t="str">
        <f>IF($C387=""," ",[1]!i_pq_pctchange($C387,G$6,$N$1))</f>
        <v xml:space="preserve"> </v>
      </c>
      <c r="H387" s="28" t="str">
        <f>IF($C387=""," ",[1]!i_pq_pctchange($C387,H$6,$N$1))</f>
        <v xml:space="preserve"> </v>
      </c>
      <c r="I387" s="28" t="str">
        <f>IF($C387=""," ",[1]!i_pq_pctchange($C387,I$6,$N$1))</f>
        <v xml:space="preserve"> </v>
      </c>
      <c r="J387" s="28" t="str">
        <f>IF($C387=""," ",[1]!i_pq_pctchange($C387,J$6,$N$1))</f>
        <v xml:space="preserve"> </v>
      </c>
      <c r="K387" s="28" t="str">
        <f>IF($C387=""," ",[1]!i_pq_pctchange($C387,K$6,$N$1))</f>
        <v xml:space="preserve"> </v>
      </c>
      <c r="L387" s="28" t="str">
        <f>IF(C387=""," ",[1]!s_wq_pctchange($C387,$N$1))</f>
        <v xml:space="preserve"> </v>
      </c>
      <c r="M387" s="28" t="str">
        <f>IF(C387=""," ",[1]!s_mq_pctchange($C387,$N$1))</f>
        <v xml:space="preserve"> </v>
      </c>
      <c r="N387" s="28" t="str">
        <f>IF(C387=""," ",[1]!s_yq_pctchange($C387,$N$1))</f>
        <v xml:space="preserve"> </v>
      </c>
      <c r="O387" s="11"/>
      <c r="P387" s="7"/>
    </row>
    <row r="388" spans="1:16" x14ac:dyDescent="0.35">
      <c r="A388" s="7"/>
      <c r="C388" s="31" t="str">
        <f>IF(指数列表!B385="","",指数列表!B385)</f>
        <v/>
      </c>
      <c r="D388" s="36" t="str">
        <f>IF(C388="","",[1]!s_info_name(C388))</f>
        <v/>
      </c>
      <c r="E388" s="25" t="str">
        <f>IF(C388="","",[1]!s_dq_close(C388,$N$1))</f>
        <v/>
      </c>
      <c r="F388" s="28" t="str">
        <f>IF($C388=""," ",[1]!i_pq_pctchange($C388,F$6,$N$1))</f>
        <v xml:space="preserve"> </v>
      </c>
      <c r="G388" s="28" t="str">
        <f>IF($C388=""," ",[1]!i_pq_pctchange($C388,G$6,$N$1))</f>
        <v xml:space="preserve"> </v>
      </c>
      <c r="H388" s="28" t="str">
        <f>IF($C388=""," ",[1]!i_pq_pctchange($C388,H$6,$N$1))</f>
        <v xml:space="preserve"> </v>
      </c>
      <c r="I388" s="28" t="str">
        <f>IF($C388=""," ",[1]!i_pq_pctchange($C388,I$6,$N$1))</f>
        <v xml:space="preserve"> </v>
      </c>
      <c r="J388" s="28" t="str">
        <f>IF($C388=""," ",[1]!i_pq_pctchange($C388,J$6,$N$1))</f>
        <v xml:space="preserve"> </v>
      </c>
      <c r="K388" s="28" t="str">
        <f>IF($C388=""," ",[1]!i_pq_pctchange($C388,K$6,$N$1))</f>
        <v xml:space="preserve"> </v>
      </c>
      <c r="L388" s="28" t="str">
        <f>IF(C388=""," ",[1]!s_wq_pctchange($C388,$N$1))</f>
        <v xml:space="preserve"> </v>
      </c>
      <c r="M388" s="28" t="str">
        <f>IF(C388=""," ",[1]!s_mq_pctchange($C388,$N$1))</f>
        <v xml:space="preserve"> </v>
      </c>
      <c r="N388" s="28" t="str">
        <f>IF(C388=""," ",[1]!s_yq_pctchange($C388,$N$1))</f>
        <v xml:space="preserve"> </v>
      </c>
      <c r="O388" s="11"/>
      <c r="P388" s="7"/>
    </row>
    <row r="389" spans="1:16" x14ac:dyDescent="0.35">
      <c r="A389" s="7"/>
      <c r="C389" s="30" t="str">
        <f>IF(指数列表!B386="","",指数列表!B386)</f>
        <v/>
      </c>
      <c r="D389" s="35" t="str">
        <f>IF(C389="","",[1]!s_info_name(C389))</f>
        <v/>
      </c>
      <c r="E389" s="24" t="str">
        <f>IF(C389="","",[1]!s_dq_close(C389,$N$1))</f>
        <v/>
      </c>
      <c r="F389" s="28" t="str">
        <f>IF($C389=""," ",[1]!i_pq_pctchange($C389,F$6,$N$1))</f>
        <v xml:space="preserve"> </v>
      </c>
      <c r="G389" s="28" t="str">
        <f>IF($C389=""," ",[1]!i_pq_pctchange($C389,G$6,$N$1))</f>
        <v xml:space="preserve"> </v>
      </c>
      <c r="H389" s="28" t="str">
        <f>IF($C389=""," ",[1]!i_pq_pctchange($C389,H$6,$N$1))</f>
        <v xml:space="preserve"> </v>
      </c>
      <c r="I389" s="28" t="str">
        <f>IF($C389=""," ",[1]!i_pq_pctchange($C389,I$6,$N$1))</f>
        <v xml:space="preserve"> </v>
      </c>
      <c r="J389" s="28" t="str">
        <f>IF($C389=""," ",[1]!i_pq_pctchange($C389,J$6,$N$1))</f>
        <v xml:space="preserve"> </v>
      </c>
      <c r="K389" s="28" t="str">
        <f>IF($C389=""," ",[1]!i_pq_pctchange($C389,K$6,$N$1))</f>
        <v xml:space="preserve"> </v>
      </c>
      <c r="L389" s="28" t="str">
        <f>IF(C389=""," ",[1]!s_wq_pctchange($C389,$N$1))</f>
        <v xml:space="preserve"> </v>
      </c>
      <c r="M389" s="28" t="str">
        <f>IF(C389=""," ",[1]!s_mq_pctchange($C389,$N$1))</f>
        <v xml:space="preserve"> </v>
      </c>
      <c r="N389" s="28" t="str">
        <f>IF(C389=""," ",[1]!s_yq_pctchange($C389,$N$1))</f>
        <v xml:space="preserve"> </v>
      </c>
      <c r="O389" s="11"/>
      <c r="P389" s="7"/>
    </row>
    <row r="390" spans="1:16" x14ac:dyDescent="0.35">
      <c r="A390" s="7"/>
      <c r="C390" s="31" t="str">
        <f>IF(指数列表!B387="","",指数列表!B387)</f>
        <v/>
      </c>
      <c r="D390" s="36" t="str">
        <f>IF(C390="","",[1]!s_info_name(C390))</f>
        <v/>
      </c>
      <c r="E390" s="25" t="str">
        <f>IF(C390="","",[1]!s_dq_close(C390,$N$1))</f>
        <v/>
      </c>
      <c r="F390" s="28" t="str">
        <f>IF($C390=""," ",[1]!i_pq_pctchange($C390,F$6,$N$1))</f>
        <v xml:space="preserve"> </v>
      </c>
      <c r="G390" s="28" t="str">
        <f>IF($C390=""," ",[1]!i_pq_pctchange($C390,G$6,$N$1))</f>
        <v xml:space="preserve"> </v>
      </c>
      <c r="H390" s="28" t="str">
        <f>IF($C390=""," ",[1]!i_pq_pctchange($C390,H$6,$N$1))</f>
        <v xml:space="preserve"> </v>
      </c>
      <c r="I390" s="28" t="str">
        <f>IF($C390=""," ",[1]!i_pq_pctchange($C390,I$6,$N$1))</f>
        <v xml:space="preserve"> </v>
      </c>
      <c r="J390" s="28" t="str">
        <f>IF($C390=""," ",[1]!i_pq_pctchange($C390,J$6,$N$1))</f>
        <v xml:space="preserve"> </v>
      </c>
      <c r="K390" s="28" t="str">
        <f>IF($C390=""," ",[1]!i_pq_pctchange($C390,K$6,$N$1))</f>
        <v xml:space="preserve"> </v>
      </c>
      <c r="L390" s="28" t="str">
        <f>IF(C390=""," ",[1]!s_wq_pctchange($C390,$N$1))</f>
        <v xml:space="preserve"> </v>
      </c>
      <c r="M390" s="28" t="str">
        <f>IF(C390=""," ",[1]!s_mq_pctchange($C390,$N$1))</f>
        <v xml:space="preserve"> </v>
      </c>
      <c r="N390" s="28" t="str">
        <f>IF(C390=""," ",[1]!s_yq_pctchange($C390,$N$1))</f>
        <v xml:space="preserve"> </v>
      </c>
      <c r="O390" s="11"/>
      <c r="P390" s="7"/>
    </row>
    <row r="391" spans="1:16" x14ac:dyDescent="0.35">
      <c r="A391" s="7"/>
      <c r="C391" s="30" t="str">
        <f>IF(指数列表!B388="","",指数列表!B388)</f>
        <v/>
      </c>
      <c r="D391" s="35" t="str">
        <f>IF(C391="","",[1]!s_info_name(C391))</f>
        <v/>
      </c>
      <c r="E391" s="24" t="str">
        <f>IF(C391="","",[1]!s_dq_close(C391,$N$1))</f>
        <v/>
      </c>
      <c r="F391" s="28" t="str">
        <f>IF($C391=""," ",[1]!i_pq_pctchange($C391,F$6,$N$1))</f>
        <v xml:space="preserve"> </v>
      </c>
      <c r="G391" s="28" t="str">
        <f>IF($C391=""," ",[1]!i_pq_pctchange($C391,G$6,$N$1))</f>
        <v xml:space="preserve"> </v>
      </c>
      <c r="H391" s="28" t="str">
        <f>IF($C391=""," ",[1]!i_pq_pctchange($C391,H$6,$N$1))</f>
        <v xml:space="preserve"> </v>
      </c>
      <c r="I391" s="28" t="str">
        <f>IF($C391=""," ",[1]!i_pq_pctchange($C391,I$6,$N$1))</f>
        <v xml:space="preserve"> </v>
      </c>
      <c r="J391" s="28" t="str">
        <f>IF($C391=""," ",[1]!i_pq_pctchange($C391,J$6,$N$1))</f>
        <v xml:space="preserve"> </v>
      </c>
      <c r="K391" s="28" t="str">
        <f>IF($C391=""," ",[1]!i_pq_pctchange($C391,K$6,$N$1))</f>
        <v xml:space="preserve"> </v>
      </c>
      <c r="L391" s="28" t="str">
        <f>IF(C391=""," ",[1]!s_wq_pctchange($C391,$N$1))</f>
        <v xml:space="preserve"> </v>
      </c>
      <c r="M391" s="28" t="str">
        <f>IF(C391=""," ",[1]!s_mq_pctchange($C391,$N$1))</f>
        <v xml:space="preserve"> </v>
      </c>
      <c r="N391" s="28" t="str">
        <f>IF(C391=""," ",[1]!s_yq_pctchange($C391,$N$1))</f>
        <v xml:space="preserve"> </v>
      </c>
      <c r="O391" s="11"/>
      <c r="P391" s="7"/>
    </row>
    <row r="392" spans="1:16" x14ac:dyDescent="0.35">
      <c r="A392" s="7"/>
      <c r="C392" s="31" t="str">
        <f>IF(指数列表!B389="","",指数列表!B389)</f>
        <v/>
      </c>
      <c r="D392" s="36" t="str">
        <f>IF(C392="","",[1]!s_info_name(C392))</f>
        <v/>
      </c>
      <c r="E392" s="25" t="str">
        <f>IF(C392="","",[1]!s_dq_close(C392,$N$1))</f>
        <v/>
      </c>
      <c r="F392" s="28" t="str">
        <f>IF($C392=""," ",[1]!i_pq_pctchange($C392,F$6,$N$1))</f>
        <v xml:space="preserve"> </v>
      </c>
      <c r="G392" s="28" t="str">
        <f>IF($C392=""," ",[1]!i_pq_pctchange($C392,G$6,$N$1))</f>
        <v xml:space="preserve"> </v>
      </c>
      <c r="H392" s="28" t="str">
        <f>IF($C392=""," ",[1]!i_pq_pctchange($C392,H$6,$N$1))</f>
        <v xml:space="preserve"> </v>
      </c>
      <c r="I392" s="28" t="str">
        <f>IF($C392=""," ",[1]!i_pq_pctchange($C392,I$6,$N$1))</f>
        <v xml:space="preserve"> </v>
      </c>
      <c r="J392" s="28" t="str">
        <f>IF($C392=""," ",[1]!i_pq_pctchange($C392,J$6,$N$1))</f>
        <v xml:space="preserve"> </v>
      </c>
      <c r="K392" s="28" t="str">
        <f>IF($C392=""," ",[1]!i_pq_pctchange($C392,K$6,$N$1))</f>
        <v xml:space="preserve"> </v>
      </c>
      <c r="L392" s="28" t="str">
        <f>IF(C392=""," ",[1]!s_wq_pctchange($C392,$N$1))</f>
        <v xml:space="preserve"> </v>
      </c>
      <c r="M392" s="28" t="str">
        <f>IF(C392=""," ",[1]!s_mq_pctchange($C392,$N$1))</f>
        <v xml:space="preserve"> </v>
      </c>
      <c r="N392" s="28" t="str">
        <f>IF(C392=""," ",[1]!s_yq_pctchange($C392,$N$1))</f>
        <v xml:space="preserve"> </v>
      </c>
      <c r="O392" s="11"/>
      <c r="P392" s="7"/>
    </row>
    <row r="393" spans="1:16" x14ac:dyDescent="0.35">
      <c r="A393" s="7"/>
      <c r="C393" s="30" t="str">
        <f>IF(指数列表!B390="","",指数列表!B390)</f>
        <v/>
      </c>
      <c r="D393" s="35" t="str">
        <f>IF(C393="","",[1]!s_info_name(C393))</f>
        <v/>
      </c>
      <c r="E393" s="24" t="str">
        <f>IF(C393="","",[1]!s_dq_close(C393,$N$1))</f>
        <v/>
      </c>
      <c r="F393" s="28" t="str">
        <f>IF($C393=""," ",[1]!i_pq_pctchange($C393,F$6,$N$1))</f>
        <v xml:space="preserve"> </v>
      </c>
      <c r="G393" s="28" t="str">
        <f>IF($C393=""," ",[1]!i_pq_pctchange($C393,G$6,$N$1))</f>
        <v xml:space="preserve"> </v>
      </c>
      <c r="H393" s="28" t="str">
        <f>IF($C393=""," ",[1]!i_pq_pctchange($C393,H$6,$N$1))</f>
        <v xml:space="preserve"> </v>
      </c>
      <c r="I393" s="28" t="str">
        <f>IF($C393=""," ",[1]!i_pq_pctchange($C393,I$6,$N$1))</f>
        <v xml:space="preserve"> </v>
      </c>
      <c r="J393" s="28" t="str">
        <f>IF($C393=""," ",[1]!i_pq_pctchange($C393,J$6,$N$1))</f>
        <v xml:space="preserve"> </v>
      </c>
      <c r="K393" s="28" t="str">
        <f>IF($C393=""," ",[1]!i_pq_pctchange($C393,K$6,$N$1))</f>
        <v xml:space="preserve"> </v>
      </c>
      <c r="L393" s="28" t="str">
        <f>IF(C393=""," ",[1]!s_wq_pctchange($C393,$N$1))</f>
        <v xml:space="preserve"> </v>
      </c>
      <c r="M393" s="28" t="str">
        <f>IF(C393=""," ",[1]!s_mq_pctchange($C393,$N$1))</f>
        <v xml:space="preserve"> </v>
      </c>
      <c r="N393" s="28" t="str">
        <f>IF(C393=""," ",[1]!s_yq_pctchange($C393,$N$1))</f>
        <v xml:space="preserve"> </v>
      </c>
      <c r="O393" s="11"/>
      <c r="P393" s="7"/>
    </row>
    <row r="394" spans="1:16" x14ac:dyDescent="0.35">
      <c r="A394" s="7"/>
      <c r="C394" s="31" t="str">
        <f>IF(指数列表!B391="","",指数列表!B391)</f>
        <v/>
      </c>
      <c r="D394" s="36" t="str">
        <f>IF(C394="","",[1]!s_info_name(C394))</f>
        <v/>
      </c>
      <c r="E394" s="25" t="str">
        <f>IF(C394="","",[1]!s_dq_close(C394,$N$1))</f>
        <v/>
      </c>
      <c r="F394" s="28" t="str">
        <f>IF($C394=""," ",[1]!i_pq_pctchange($C394,F$6,$N$1))</f>
        <v xml:space="preserve"> </v>
      </c>
      <c r="G394" s="28" t="str">
        <f>IF($C394=""," ",[1]!i_pq_pctchange($C394,G$6,$N$1))</f>
        <v xml:space="preserve"> </v>
      </c>
      <c r="H394" s="28" t="str">
        <f>IF($C394=""," ",[1]!i_pq_pctchange($C394,H$6,$N$1))</f>
        <v xml:space="preserve"> </v>
      </c>
      <c r="I394" s="28" t="str">
        <f>IF($C394=""," ",[1]!i_pq_pctchange($C394,I$6,$N$1))</f>
        <v xml:space="preserve"> </v>
      </c>
      <c r="J394" s="28" t="str">
        <f>IF($C394=""," ",[1]!i_pq_pctchange($C394,J$6,$N$1))</f>
        <v xml:space="preserve"> </v>
      </c>
      <c r="K394" s="28" t="str">
        <f>IF($C394=""," ",[1]!i_pq_pctchange($C394,K$6,$N$1))</f>
        <v xml:space="preserve"> </v>
      </c>
      <c r="L394" s="28" t="str">
        <f>IF(C394=""," ",[1]!s_wq_pctchange($C394,$N$1))</f>
        <v xml:space="preserve"> </v>
      </c>
      <c r="M394" s="28" t="str">
        <f>IF(C394=""," ",[1]!s_mq_pctchange($C394,$N$1))</f>
        <v xml:space="preserve"> </v>
      </c>
      <c r="N394" s="28" t="str">
        <f>IF(C394=""," ",[1]!s_yq_pctchange($C394,$N$1))</f>
        <v xml:space="preserve"> </v>
      </c>
      <c r="O394" s="11"/>
      <c r="P394" s="7"/>
    </row>
    <row r="395" spans="1:16" x14ac:dyDescent="0.35">
      <c r="A395" s="7"/>
      <c r="C395" s="30" t="str">
        <f>IF(指数列表!B392="","",指数列表!B392)</f>
        <v/>
      </c>
      <c r="D395" s="35" t="str">
        <f>IF(C395="","",[1]!s_info_name(C395))</f>
        <v/>
      </c>
      <c r="E395" s="24" t="str">
        <f>IF(C395="","",[1]!s_dq_close(C395,$N$1))</f>
        <v/>
      </c>
      <c r="F395" s="28" t="str">
        <f>IF($C395=""," ",[1]!i_pq_pctchange($C395,F$6,$N$1))</f>
        <v xml:space="preserve"> </v>
      </c>
      <c r="G395" s="28" t="str">
        <f>IF($C395=""," ",[1]!i_pq_pctchange($C395,G$6,$N$1))</f>
        <v xml:space="preserve"> </v>
      </c>
      <c r="H395" s="28" t="str">
        <f>IF($C395=""," ",[1]!i_pq_pctchange($C395,H$6,$N$1))</f>
        <v xml:space="preserve"> </v>
      </c>
      <c r="I395" s="28" t="str">
        <f>IF($C395=""," ",[1]!i_pq_pctchange($C395,I$6,$N$1))</f>
        <v xml:space="preserve"> </v>
      </c>
      <c r="J395" s="28" t="str">
        <f>IF($C395=""," ",[1]!i_pq_pctchange($C395,J$6,$N$1))</f>
        <v xml:space="preserve"> </v>
      </c>
      <c r="K395" s="28" t="str">
        <f>IF($C395=""," ",[1]!i_pq_pctchange($C395,K$6,$N$1))</f>
        <v xml:space="preserve"> </v>
      </c>
      <c r="L395" s="28" t="str">
        <f>IF(C395=""," ",[1]!s_wq_pctchange($C395,$N$1))</f>
        <v xml:space="preserve"> </v>
      </c>
      <c r="M395" s="28" t="str">
        <f>IF(C395=""," ",[1]!s_mq_pctchange($C395,$N$1))</f>
        <v xml:space="preserve"> </v>
      </c>
      <c r="N395" s="28" t="str">
        <f>IF(C395=""," ",[1]!s_yq_pctchange($C395,$N$1))</f>
        <v xml:space="preserve"> </v>
      </c>
      <c r="O395" s="11"/>
      <c r="P395" s="7"/>
    </row>
    <row r="396" spans="1:16" x14ac:dyDescent="0.35">
      <c r="A396" s="7"/>
      <c r="C396" s="31" t="str">
        <f>IF(指数列表!B393="","",指数列表!B393)</f>
        <v/>
      </c>
      <c r="D396" s="36" t="str">
        <f>IF(C396="","",[1]!s_info_name(C396))</f>
        <v/>
      </c>
      <c r="E396" s="25" t="str">
        <f>IF(C396="","",[1]!s_dq_close(C396,$N$1))</f>
        <v/>
      </c>
      <c r="F396" s="28" t="str">
        <f>IF($C396=""," ",[1]!i_pq_pctchange($C396,F$6,$N$1))</f>
        <v xml:space="preserve"> </v>
      </c>
      <c r="G396" s="28" t="str">
        <f>IF($C396=""," ",[1]!i_pq_pctchange($C396,G$6,$N$1))</f>
        <v xml:space="preserve"> </v>
      </c>
      <c r="H396" s="28" t="str">
        <f>IF($C396=""," ",[1]!i_pq_pctchange($C396,H$6,$N$1))</f>
        <v xml:space="preserve"> </v>
      </c>
      <c r="I396" s="28" t="str">
        <f>IF($C396=""," ",[1]!i_pq_pctchange($C396,I$6,$N$1))</f>
        <v xml:space="preserve"> </v>
      </c>
      <c r="J396" s="28" t="str">
        <f>IF($C396=""," ",[1]!i_pq_pctchange($C396,J$6,$N$1))</f>
        <v xml:space="preserve"> </v>
      </c>
      <c r="K396" s="28" t="str">
        <f>IF($C396=""," ",[1]!i_pq_pctchange($C396,K$6,$N$1))</f>
        <v xml:space="preserve"> </v>
      </c>
      <c r="L396" s="28" t="str">
        <f>IF(C396=""," ",[1]!s_wq_pctchange($C396,$N$1))</f>
        <v xml:space="preserve"> </v>
      </c>
      <c r="M396" s="28" t="str">
        <f>IF(C396=""," ",[1]!s_mq_pctchange($C396,$N$1))</f>
        <v xml:space="preserve"> </v>
      </c>
      <c r="N396" s="28" t="str">
        <f>IF(C396=""," ",[1]!s_yq_pctchange($C396,$N$1))</f>
        <v xml:space="preserve"> </v>
      </c>
      <c r="O396" s="11"/>
      <c r="P396" s="7"/>
    </row>
    <row r="397" spans="1:16" x14ac:dyDescent="0.35">
      <c r="A397" s="7"/>
      <c r="C397" s="30" t="str">
        <f>IF(指数列表!B394="","",指数列表!B394)</f>
        <v/>
      </c>
      <c r="D397" s="35" t="str">
        <f>IF(C397="","",[1]!s_info_name(C397))</f>
        <v/>
      </c>
      <c r="E397" s="24" t="str">
        <f>IF(C397="","",[1]!s_dq_close(C397,$N$1))</f>
        <v/>
      </c>
      <c r="F397" s="28" t="str">
        <f>IF($C397=""," ",[1]!i_pq_pctchange($C397,F$6,$N$1))</f>
        <v xml:space="preserve"> </v>
      </c>
      <c r="G397" s="28" t="str">
        <f>IF($C397=""," ",[1]!i_pq_pctchange($C397,G$6,$N$1))</f>
        <v xml:space="preserve"> </v>
      </c>
      <c r="H397" s="28" t="str">
        <f>IF($C397=""," ",[1]!i_pq_pctchange($C397,H$6,$N$1))</f>
        <v xml:space="preserve"> </v>
      </c>
      <c r="I397" s="28" t="str">
        <f>IF($C397=""," ",[1]!i_pq_pctchange($C397,I$6,$N$1))</f>
        <v xml:space="preserve"> </v>
      </c>
      <c r="J397" s="28" t="str">
        <f>IF($C397=""," ",[1]!i_pq_pctchange($C397,J$6,$N$1))</f>
        <v xml:space="preserve"> </v>
      </c>
      <c r="K397" s="28" t="str">
        <f>IF($C397=""," ",[1]!i_pq_pctchange($C397,K$6,$N$1))</f>
        <v xml:space="preserve"> </v>
      </c>
      <c r="L397" s="28" t="str">
        <f>IF(C397=""," ",[1]!s_wq_pctchange($C397,$N$1))</f>
        <v xml:space="preserve"> </v>
      </c>
      <c r="M397" s="28" t="str">
        <f>IF(C397=""," ",[1]!s_mq_pctchange($C397,$N$1))</f>
        <v xml:space="preserve"> </v>
      </c>
      <c r="N397" s="28" t="str">
        <f>IF(C397=""," ",[1]!s_yq_pctchange($C397,$N$1))</f>
        <v xml:space="preserve"> </v>
      </c>
      <c r="O397" s="11"/>
      <c r="P397" s="7"/>
    </row>
    <row r="398" spans="1:16" x14ac:dyDescent="0.35">
      <c r="A398" s="7"/>
      <c r="C398" s="31" t="str">
        <f>IF(指数列表!B395="","",指数列表!B395)</f>
        <v/>
      </c>
      <c r="D398" s="36" t="str">
        <f>IF(C398="","",[1]!s_info_name(C398))</f>
        <v/>
      </c>
      <c r="E398" s="25" t="str">
        <f>IF(C398="","",[1]!s_dq_close(C398,$N$1))</f>
        <v/>
      </c>
      <c r="F398" s="28" t="str">
        <f>IF($C398=""," ",[1]!i_pq_pctchange($C398,F$6,$N$1))</f>
        <v xml:space="preserve"> </v>
      </c>
      <c r="G398" s="28" t="str">
        <f>IF($C398=""," ",[1]!i_pq_pctchange($C398,G$6,$N$1))</f>
        <v xml:space="preserve"> </v>
      </c>
      <c r="H398" s="28" t="str">
        <f>IF($C398=""," ",[1]!i_pq_pctchange($C398,H$6,$N$1))</f>
        <v xml:space="preserve"> </v>
      </c>
      <c r="I398" s="28" t="str">
        <f>IF($C398=""," ",[1]!i_pq_pctchange($C398,I$6,$N$1))</f>
        <v xml:space="preserve"> </v>
      </c>
      <c r="J398" s="28" t="str">
        <f>IF($C398=""," ",[1]!i_pq_pctchange($C398,J$6,$N$1))</f>
        <v xml:space="preserve"> </v>
      </c>
      <c r="K398" s="28" t="str">
        <f>IF($C398=""," ",[1]!i_pq_pctchange($C398,K$6,$N$1))</f>
        <v xml:space="preserve"> </v>
      </c>
      <c r="L398" s="28" t="str">
        <f>IF(C398=""," ",[1]!s_wq_pctchange($C398,$N$1))</f>
        <v xml:space="preserve"> </v>
      </c>
      <c r="M398" s="28" t="str">
        <f>IF(C398=""," ",[1]!s_mq_pctchange($C398,$N$1))</f>
        <v xml:space="preserve"> </v>
      </c>
      <c r="N398" s="28" t="str">
        <f>IF(C398=""," ",[1]!s_yq_pctchange($C398,$N$1))</f>
        <v xml:space="preserve"> </v>
      </c>
      <c r="O398" s="11"/>
      <c r="P398" s="7"/>
    </row>
    <row r="399" spans="1:16" x14ac:dyDescent="0.35">
      <c r="A399" s="7"/>
      <c r="C399" s="30" t="str">
        <f>IF(指数列表!B396="","",指数列表!B396)</f>
        <v/>
      </c>
      <c r="D399" s="35" t="str">
        <f>IF(C399="","",[1]!s_info_name(C399))</f>
        <v/>
      </c>
      <c r="E399" s="24" t="str">
        <f>IF(C399="","",[1]!s_dq_close(C399,$N$1))</f>
        <v/>
      </c>
      <c r="F399" s="28" t="str">
        <f>IF($C399=""," ",[1]!i_pq_pctchange($C399,F$6,$N$1))</f>
        <v xml:space="preserve"> </v>
      </c>
      <c r="G399" s="28" t="str">
        <f>IF($C399=""," ",[1]!i_pq_pctchange($C399,G$6,$N$1))</f>
        <v xml:space="preserve"> </v>
      </c>
      <c r="H399" s="28" t="str">
        <f>IF($C399=""," ",[1]!i_pq_pctchange($C399,H$6,$N$1))</f>
        <v xml:space="preserve"> </v>
      </c>
      <c r="I399" s="28" t="str">
        <f>IF($C399=""," ",[1]!i_pq_pctchange($C399,I$6,$N$1))</f>
        <v xml:space="preserve"> </v>
      </c>
      <c r="J399" s="28" t="str">
        <f>IF($C399=""," ",[1]!i_pq_pctchange($C399,J$6,$N$1))</f>
        <v xml:space="preserve"> </v>
      </c>
      <c r="K399" s="28" t="str">
        <f>IF($C399=""," ",[1]!i_pq_pctchange($C399,K$6,$N$1))</f>
        <v xml:space="preserve"> </v>
      </c>
      <c r="L399" s="28" t="str">
        <f>IF(C399=""," ",[1]!s_wq_pctchange($C399,$N$1))</f>
        <v xml:space="preserve"> </v>
      </c>
      <c r="M399" s="28" t="str">
        <f>IF(C399=""," ",[1]!s_mq_pctchange($C399,$N$1))</f>
        <v xml:space="preserve"> </v>
      </c>
      <c r="N399" s="28" t="str">
        <f>IF(C399=""," ",[1]!s_yq_pctchange($C399,$N$1))</f>
        <v xml:space="preserve"> </v>
      </c>
      <c r="O399" s="11"/>
      <c r="P399" s="7"/>
    </row>
    <row r="400" spans="1:16" x14ac:dyDescent="0.35">
      <c r="A400" s="7"/>
      <c r="C400" s="31" t="str">
        <f>IF(指数列表!B397="","",指数列表!B397)</f>
        <v/>
      </c>
      <c r="D400" s="36" t="str">
        <f>IF(C400="","",[1]!s_info_name(C400))</f>
        <v/>
      </c>
      <c r="E400" s="25" t="str">
        <f>IF(C400="","",[1]!s_dq_close(C400,$N$1))</f>
        <v/>
      </c>
      <c r="F400" s="28" t="str">
        <f>IF($C400=""," ",[1]!i_pq_pctchange($C400,F$6,$N$1))</f>
        <v xml:space="preserve"> </v>
      </c>
      <c r="G400" s="28" t="str">
        <f>IF($C400=""," ",[1]!i_pq_pctchange($C400,G$6,$N$1))</f>
        <v xml:space="preserve"> </v>
      </c>
      <c r="H400" s="28" t="str">
        <f>IF($C400=""," ",[1]!i_pq_pctchange($C400,H$6,$N$1))</f>
        <v xml:space="preserve"> </v>
      </c>
      <c r="I400" s="28" t="str">
        <f>IF($C400=""," ",[1]!i_pq_pctchange($C400,I$6,$N$1))</f>
        <v xml:space="preserve"> </v>
      </c>
      <c r="J400" s="28" t="str">
        <f>IF($C400=""," ",[1]!i_pq_pctchange($C400,J$6,$N$1))</f>
        <v xml:space="preserve"> </v>
      </c>
      <c r="K400" s="28" t="str">
        <f>IF($C400=""," ",[1]!i_pq_pctchange($C400,K$6,$N$1))</f>
        <v xml:space="preserve"> </v>
      </c>
      <c r="L400" s="28" t="str">
        <f>IF(C400=""," ",[1]!s_wq_pctchange($C400,$N$1))</f>
        <v xml:space="preserve"> </v>
      </c>
      <c r="M400" s="28" t="str">
        <f>IF(C400=""," ",[1]!s_mq_pctchange($C400,$N$1))</f>
        <v xml:space="preserve"> </v>
      </c>
      <c r="N400" s="28" t="str">
        <f>IF(C400=""," ",[1]!s_yq_pctchange($C400,$N$1))</f>
        <v xml:space="preserve"> </v>
      </c>
      <c r="O400" s="11"/>
      <c r="P400" s="7"/>
    </row>
    <row r="401" spans="1:16" x14ac:dyDescent="0.35">
      <c r="A401" s="7"/>
      <c r="C401" s="30" t="str">
        <f>IF(指数列表!B398="","",指数列表!B398)</f>
        <v/>
      </c>
      <c r="D401" s="35" t="str">
        <f>IF(C401="","",[1]!s_info_name(C401))</f>
        <v/>
      </c>
      <c r="E401" s="24" t="str">
        <f>IF(C401="","",[1]!s_dq_close(C401,$N$1))</f>
        <v/>
      </c>
      <c r="F401" s="28" t="str">
        <f>IF($C401=""," ",[1]!i_pq_pctchange($C401,F$6,$N$1))</f>
        <v xml:space="preserve"> </v>
      </c>
      <c r="G401" s="28" t="str">
        <f>IF($C401=""," ",[1]!i_pq_pctchange($C401,G$6,$N$1))</f>
        <v xml:space="preserve"> </v>
      </c>
      <c r="H401" s="28" t="str">
        <f>IF($C401=""," ",[1]!i_pq_pctchange($C401,H$6,$N$1))</f>
        <v xml:space="preserve"> </v>
      </c>
      <c r="I401" s="28" t="str">
        <f>IF($C401=""," ",[1]!i_pq_pctchange($C401,I$6,$N$1))</f>
        <v xml:space="preserve"> </v>
      </c>
      <c r="J401" s="28" t="str">
        <f>IF($C401=""," ",[1]!i_pq_pctchange($C401,J$6,$N$1))</f>
        <v xml:space="preserve"> </v>
      </c>
      <c r="K401" s="28" t="str">
        <f>IF($C401=""," ",[1]!i_pq_pctchange($C401,K$6,$N$1))</f>
        <v xml:space="preserve"> </v>
      </c>
      <c r="L401" s="28" t="str">
        <f>IF(C401=""," ",[1]!s_wq_pctchange($C401,$N$1))</f>
        <v xml:space="preserve"> </v>
      </c>
      <c r="M401" s="28" t="str">
        <f>IF(C401=""," ",[1]!s_mq_pctchange($C401,$N$1))</f>
        <v xml:space="preserve"> </v>
      </c>
      <c r="N401" s="28" t="str">
        <f>IF(C401=""," ",[1]!s_yq_pctchange($C401,$N$1))</f>
        <v xml:space="preserve"> </v>
      </c>
      <c r="O401" s="11"/>
      <c r="P401" s="7"/>
    </row>
    <row r="402" spans="1:16" x14ac:dyDescent="0.35">
      <c r="A402" s="7"/>
      <c r="C402" s="31" t="str">
        <f>IF(指数列表!B399="","",指数列表!B399)</f>
        <v/>
      </c>
      <c r="D402" s="36" t="str">
        <f>IF(C402="","",[1]!s_info_name(C402))</f>
        <v/>
      </c>
      <c r="E402" s="25" t="str">
        <f>IF(C402="","",[1]!s_dq_close(C402,$N$1))</f>
        <v/>
      </c>
      <c r="F402" s="28" t="str">
        <f>IF($C402=""," ",[1]!i_pq_pctchange($C402,F$6,$N$1))</f>
        <v xml:space="preserve"> </v>
      </c>
      <c r="G402" s="28" t="str">
        <f>IF($C402=""," ",[1]!i_pq_pctchange($C402,G$6,$N$1))</f>
        <v xml:space="preserve"> </v>
      </c>
      <c r="H402" s="28" t="str">
        <f>IF($C402=""," ",[1]!i_pq_pctchange($C402,H$6,$N$1))</f>
        <v xml:space="preserve"> </v>
      </c>
      <c r="I402" s="28" t="str">
        <f>IF($C402=""," ",[1]!i_pq_pctchange($C402,I$6,$N$1))</f>
        <v xml:space="preserve"> </v>
      </c>
      <c r="J402" s="28" t="str">
        <f>IF($C402=""," ",[1]!i_pq_pctchange($C402,J$6,$N$1))</f>
        <v xml:space="preserve"> </v>
      </c>
      <c r="K402" s="28" t="str">
        <f>IF($C402=""," ",[1]!i_pq_pctchange($C402,K$6,$N$1))</f>
        <v xml:space="preserve"> </v>
      </c>
      <c r="L402" s="28" t="str">
        <f>IF(C402=""," ",[1]!s_wq_pctchange($C402,$N$1))</f>
        <v xml:space="preserve"> </v>
      </c>
      <c r="M402" s="28" t="str">
        <f>IF(C402=""," ",[1]!s_mq_pctchange($C402,$N$1))</f>
        <v xml:space="preserve"> </v>
      </c>
      <c r="N402" s="28" t="str">
        <f>IF(C402=""," ",[1]!s_yq_pctchange($C402,$N$1))</f>
        <v xml:space="preserve"> </v>
      </c>
      <c r="O402" s="11"/>
      <c r="P402" s="7"/>
    </row>
    <row r="403" spans="1:16" x14ac:dyDescent="0.35">
      <c r="A403" s="7"/>
      <c r="C403" s="30" t="str">
        <f>IF(指数列表!B400="","",指数列表!B400)</f>
        <v/>
      </c>
      <c r="D403" s="35" t="str">
        <f>IF(C403="","",[1]!s_info_name(C403))</f>
        <v/>
      </c>
      <c r="E403" s="24" t="str">
        <f>IF(C403="","",[1]!s_dq_close(C403,$N$1))</f>
        <v/>
      </c>
      <c r="F403" s="28" t="str">
        <f>IF($C403=""," ",[1]!i_pq_pctchange($C403,F$6,$N$1))</f>
        <v xml:space="preserve"> </v>
      </c>
      <c r="G403" s="28" t="str">
        <f>IF($C403=""," ",[1]!i_pq_pctchange($C403,G$6,$N$1))</f>
        <v xml:space="preserve"> </v>
      </c>
      <c r="H403" s="28" t="str">
        <f>IF($C403=""," ",[1]!i_pq_pctchange($C403,H$6,$N$1))</f>
        <v xml:space="preserve"> </v>
      </c>
      <c r="I403" s="28" t="str">
        <f>IF($C403=""," ",[1]!i_pq_pctchange($C403,I$6,$N$1))</f>
        <v xml:space="preserve"> </v>
      </c>
      <c r="J403" s="28" t="str">
        <f>IF($C403=""," ",[1]!i_pq_pctchange($C403,J$6,$N$1))</f>
        <v xml:space="preserve"> </v>
      </c>
      <c r="K403" s="28" t="str">
        <f>IF($C403=""," ",[1]!i_pq_pctchange($C403,K$6,$N$1))</f>
        <v xml:space="preserve"> </v>
      </c>
      <c r="L403" s="28" t="str">
        <f>IF(C403=""," ",[1]!s_wq_pctchange($C403,$N$1))</f>
        <v xml:space="preserve"> </v>
      </c>
      <c r="M403" s="28" t="str">
        <f>IF(C403=""," ",[1]!s_mq_pctchange($C403,$N$1))</f>
        <v xml:space="preserve"> </v>
      </c>
      <c r="N403" s="28" t="str">
        <f>IF(C403=""," ",[1]!s_yq_pctchange($C403,$N$1))</f>
        <v xml:space="preserve"> </v>
      </c>
      <c r="O403" s="11"/>
      <c r="P403" s="7"/>
    </row>
    <row r="404" spans="1:16" x14ac:dyDescent="0.35">
      <c r="A404" s="7"/>
      <c r="C404" s="31" t="str">
        <f>IF(指数列表!B401="","",指数列表!B401)</f>
        <v/>
      </c>
      <c r="D404" s="36" t="str">
        <f>IF(C404="","",[1]!s_info_name(C404))</f>
        <v/>
      </c>
      <c r="E404" s="25" t="str">
        <f>IF(C404="","",[1]!s_dq_close(C404,$N$1))</f>
        <v/>
      </c>
      <c r="F404" s="28" t="str">
        <f>IF($C404=""," ",[1]!i_pq_pctchange($C404,F$6,$N$1))</f>
        <v xml:space="preserve"> </v>
      </c>
      <c r="G404" s="28" t="str">
        <f>IF($C404=""," ",[1]!i_pq_pctchange($C404,G$6,$N$1))</f>
        <v xml:space="preserve"> </v>
      </c>
      <c r="H404" s="28" t="str">
        <f>IF($C404=""," ",[1]!i_pq_pctchange($C404,H$6,$N$1))</f>
        <v xml:space="preserve"> </v>
      </c>
      <c r="I404" s="28" t="str">
        <f>IF($C404=""," ",[1]!i_pq_pctchange($C404,I$6,$N$1))</f>
        <v xml:space="preserve"> </v>
      </c>
      <c r="J404" s="28" t="str">
        <f>IF($C404=""," ",[1]!i_pq_pctchange($C404,J$6,$N$1))</f>
        <v xml:space="preserve"> </v>
      </c>
      <c r="K404" s="28" t="str">
        <f>IF($C404=""," ",[1]!i_pq_pctchange($C404,K$6,$N$1))</f>
        <v xml:space="preserve"> </v>
      </c>
      <c r="L404" s="28" t="str">
        <f>IF(C404=""," ",[1]!s_wq_pctchange($C404,$N$1))</f>
        <v xml:space="preserve"> </v>
      </c>
      <c r="M404" s="28" t="str">
        <f>IF(C404=""," ",[1]!s_mq_pctchange($C404,$N$1))</f>
        <v xml:space="preserve"> </v>
      </c>
      <c r="N404" s="28" t="str">
        <f>IF(C404=""," ",[1]!s_yq_pctchange($C404,$N$1))</f>
        <v xml:space="preserve"> </v>
      </c>
      <c r="O404" s="11"/>
      <c r="P404" s="7"/>
    </row>
    <row r="405" spans="1:16" x14ac:dyDescent="0.35">
      <c r="A405" s="7"/>
      <c r="C405" s="30" t="str">
        <f>IF(指数列表!B402="","",指数列表!B402)</f>
        <v/>
      </c>
      <c r="D405" s="35" t="str">
        <f>IF(C405="","",[1]!s_info_name(C405))</f>
        <v/>
      </c>
      <c r="E405" s="24" t="str">
        <f>IF(C405="","",[1]!s_dq_close(C405,$N$1))</f>
        <v/>
      </c>
      <c r="F405" s="28" t="str">
        <f>IF($C405=""," ",[1]!i_pq_pctchange($C405,F$6,$N$1))</f>
        <v xml:space="preserve"> </v>
      </c>
      <c r="G405" s="28" t="str">
        <f>IF($C405=""," ",[1]!i_pq_pctchange($C405,G$6,$N$1))</f>
        <v xml:space="preserve"> </v>
      </c>
      <c r="H405" s="28" t="str">
        <f>IF($C405=""," ",[1]!i_pq_pctchange($C405,H$6,$N$1))</f>
        <v xml:space="preserve"> </v>
      </c>
      <c r="I405" s="28" t="str">
        <f>IF($C405=""," ",[1]!i_pq_pctchange($C405,I$6,$N$1))</f>
        <v xml:space="preserve"> </v>
      </c>
      <c r="J405" s="28" t="str">
        <f>IF($C405=""," ",[1]!i_pq_pctchange($C405,J$6,$N$1))</f>
        <v xml:space="preserve"> </v>
      </c>
      <c r="K405" s="28" t="str">
        <f>IF($C405=""," ",[1]!i_pq_pctchange($C405,K$6,$N$1))</f>
        <v xml:space="preserve"> </v>
      </c>
      <c r="L405" s="28" t="str">
        <f>IF(C405=""," ",[1]!s_wq_pctchange($C405,$N$1))</f>
        <v xml:space="preserve"> </v>
      </c>
      <c r="M405" s="28" t="str">
        <f>IF(C405=""," ",[1]!s_mq_pctchange($C405,$N$1))</f>
        <v xml:space="preserve"> </v>
      </c>
      <c r="N405" s="28" t="str">
        <f>IF(C405=""," ",[1]!s_yq_pctchange($C405,$N$1))</f>
        <v xml:space="preserve"> </v>
      </c>
      <c r="O405" s="11"/>
      <c r="P405" s="7"/>
    </row>
    <row r="406" spans="1:16" x14ac:dyDescent="0.35">
      <c r="A406" s="7"/>
      <c r="C406" s="31" t="str">
        <f>IF(指数列表!B403="","",指数列表!B403)</f>
        <v/>
      </c>
      <c r="D406" s="36" t="str">
        <f>IF(C406="","",[1]!s_info_name(C406))</f>
        <v/>
      </c>
      <c r="E406" s="25" t="str">
        <f>IF(C406="","",[1]!s_dq_close(C406,$N$1))</f>
        <v/>
      </c>
      <c r="F406" s="28" t="str">
        <f>IF($C406=""," ",[1]!i_pq_pctchange($C406,F$6,$N$1))</f>
        <v xml:space="preserve"> </v>
      </c>
      <c r="G406" s="28" t="str">
        <f>IF($C406=""," ",[1]!i_pq_pctchange($C406,G$6,$N$1))</f>
        <v xml:space="preserve"> </v>
      </c>
      <c r="H406" s="28" t="str">
        <f>IF($C406=""," ",[1]!i_pq_pctchange($C406,H$6,$N$1))</f>
        <v xml:space="preserve"> </v>
      </c>
      <c r="I406" s="28" t="str">
        <f>IF($C406=""," ",[1]!i_pq_pctchange($C406,I$6,$N$1))</f>
        <v xml:space="preserve"> </v>
      </c>
      <c r="J406" s="28" t="str">
        <f>IF($C406=""," ",[1]!i_pq_pctchange($C406,J$6,$N$1))</f>
        <v xml:space="preserve"> </v>
      </c>
      <c r="K406" s="28" t="str">
        <f>IF($C406=""," ",[1]!i_pq_pctchange($C406,K$6,$N$1))</f>
        <v xml:space="preserve"> </v>
      </c>
      <c r="L406" s="28" t="str">
        <f>IF(C406=""," ",[1]!s_wq_pctchange($C406,$N$1))</f>
        <v xml:space="preserve"> </v>
      </c>
      <c r="M406" s="28" t="str">
        <f>IF(C406=""," ",[1]!s_mq_pctchange($C406,$N$1))</f>
        <v xml:space="preserve"> </v>
      </c>
      <c r="N406" s="28" t="str">
        <f>IF(C406=""," ",[1]!s_yq_pctchange($C406,$N$1))</f>
        <v xml:space="preserve"> </v>
      </c>
      <c r="O406" s="11"/>
      <c r="P406" s="7"/>
    </row>
    <row r="407" spans="1:16" x14ac:dyDescent="0.35">
      <c r="A407" s="7"/>
      <c r="C407" s="30" t="str">
        <f>IF(指数列表!B404="","",指数列表!B404)</f>
        <v/>
      </c>
      <c r="D407" s="35" t="str">
        <f>IF(C407="","",[1]!s_info_name(C407))</f>
        <v/>
      </c>
      <c r="E407" s="24" t="str">
        <f>IF(C407="","",[1]!s_dq_close(C407,$N$1))</f>
        <v/>
      </c>
      <c r="F407" s="28" t="str">
        <f>IF($C407=""," ",[1]!i_pq_pctchange($C407,F$6,$N$1))</f>
        <v xml:space="preserve"> </v>
      </c>
      <c r="G407" s="28" t="str">
        <f>IF($C407=""," ",[1]!i_pq_pctchange($C407,G$6,$N$1))</f>
        <v xml:space="preserve"> </v>
      </c>
      <c r="H407" s="28" t="str">
        <f>IF($C407=""," ",[1]!i_pq_pctchange($C407,H$6,$N$1))</f>
        <v xml:space="preserve"> </v>
      </c>
      <c r="I407" s="28" t="str">
        <f>IF($C407=""," ",[1]!i_pq_pctchange($C407,I$6,$N$1))</f>
        <v xml:space="preserve"> </v>
      </c>
      <c r="J407" s="28" t="str">
        <f>IF($C407=""," ",[1]!i_pq_pctchange($C407,J$6,$N$1))</f>
        <v xml:space="preserve"> </v>
      </c>
      <c r="K407" s="28" t="str">
        <f>IF($C407=""," ",[1]!i_pq_pctchange($C407,K$6,$N$1))</f>
        <v xml:space="preserve"> </v>
      </c>
      <c r="L407" s="28" t="str">
        <f>IF(C407=""," ",[1]!s_wq_pctchange($C407,$N$1))</f>
        <v xml:space="preserve"> </v>
      </c>
      <c r="M407" s="28" t="str">
        <f>IF(C407=""," ",[1]!s_mq_pctchange($C407,$N$1))</f>
        <v xml:space="preserve"> </v>
      </c>
      <c r="N407" s="28" t="str">
        <f>IF(C407=""," ",[1]!s_yq_pctchange($C407,$N$1))</f>
        <v xml:space="preserve"> </v>
      </c>
      <c r="O407" s="11"/>
      <c r="P407" s="7"/>
    </row>
    <row r="408" spans="1:16" x14ac:dyDescent="0.35">
      <c r="A408" s="7"/>
      <c r="C408" s="31" t="str">
        <f>IF(指数列表!B405="","",指数列表!B405)</f>
        <v/>
      </c>
      <c r="D408" s="36" t="str">
        <f>IF(C408="","",[1]!s_info_name(C408))</f>
        <v/>
      </c>
      <c r="E408" s="25" t="str">
        <f>IF(C408="","",[1]!s_dq_close(C408,$N$1))</f>
        <v/>
      </c>
      <c r="F408" s="28" t="str">
        <f>IF($C408=""," ",[1]!i_pq_pctchange($C408,F$6,$N$1))</f>
        <v xml:space="preserve"> </v>
      </c>
      <c r="G408" s="28" t="str">
        <f>IF($C408=""," ",[1]!i_pq_pctchange($C408,G$6,$N$1))</f>
        <v xml:space="preserve"> </v>
      </c>
      <c r="H408" s="28" t="str">
        <f>IF($C408=""," ",[1]!i_pq_pctchange($C408,H$6,$N$1))</f>
        <v xml:space="preserve"> </v>
      </c>
      <c r="I408" s="28" t="str">
        <f>IF($C408=""," ",[1]!i_pq_pctchange($C408,I$6,$N$1))</f>
        <v xml:space="preserve"> </v>
      </c>
      <c r="J408" s="28" t="str">
        <f>IF($C408=""," ",[1]!i_pq_pctchange($C408,J$6,$N$1))</f>
        <v xml:space="preserve"> </v>
      </c>
      <c r="K408" s="28" t="str">
        <f>IF($C408=""," ",[1]!i_pq_pctchange($C408,K$6,$N$1))</f>
        <v xml:space="preserve"> </v>
      </c>
      <c r="L408" s="28" t="str">
        <f>IF(C408=""," ",[1]!s_wq_pctchange($C408,$N$1))</f>
        <v xml:space="preserve"> </v>
      </c>
      <c r="M408" s="28" t="str">
        <f>IF(C408=""," ",[1]!s_mq_pctchange($C408,$N$1))</f>
        <v xml:space="preserve"> </v>
      </c>
      <c r="N408" s="28" t="str">
        <f>IF(C408=""," ",[1]!s_yq_pctchange($C408,$N$1))</f>
        <v xml:space="preserve"> </v>
      </c>
      <c r="O408" s="11"/>
      <c r="P408" s="7"/>
    </row>
    <row r="409" spans="1:16" x14ac:dyDescent="0.35">
      <c r="A409" s="7"/>
      <c r="C409" s="30" t="str">
        <f>IF(指数列表!B406="","",指数列表!B406)</f>
        <v/>
      </c>
      <c r="D409" s="35" t="str">
        <f>IF(C409="","",[1]!s_info_name(C409))</f>
        <v/>
      </c>
      <c r="E409" s="24" t="str">
        <f>IF(C409="","",[1]!s_dq_close(C409,$N$1))</f>
        <v/>
      </c>
      <c r="F409" s="28" t="str">
        <f>IF($C409=""," ",[1]!i_pq_pctchange($C409,F$6,$N$1))</f>
        <v xml:space="preserve"> </v>
      </c>
      <c r="G409" s="28" t="str">
        <f>IF($C409=""," ",[1]!i_pq_pctchange($C409,G$6,$N$1))</f>
        <v xml:space="preserve"> </v>
      </c>
      <c r="H409" s="28" t="str">
        <f>IF($C409=""," ",[1]!i_pq_pctchange($C409,H$6,$N$1))</f>
        <v xml:space="preserve"> </v>
      </c>
      <c r="I409" s="28" t="str">
        <f>IF($C409=""," ",[1]!i_pq_pctchange($C409,I$6,$N$1))</f>
        <v xml:space="preserve"> </v>
      </c>
      <c r="J409" s="28" t="str">
        <f>IF($C409=""," ",[1]!i_pq_pctchange($C409,J$6,$N$1))</f>
        <v xml:space="preserve"> </v>
      </c>
      <c r="K409" s="28" t="str">
        <f>IF($C409=""," ",[1]!i_pq_pctchange($C409,K$6,$N$1))</f>
        <v xml:space="preserve"> </v>
      </c>
      <c r="L409" s="28" t="str">
        <f>IF(C409=""," ",[1]!s_wq_pctchange($C409,$N$1))</f>
        <v xml:space="preserve"> </v>
      </c>
      <c r="M409" s="28" t="str">
        <f>IF(C409=""," ",[1]!s_mq_pctchange($C409,$N$1))</f>
        <v xml:space="preserve"> </v>
      </c>
      <c r="N409" s="28" t="str">
        <f>IF(C409=""," ",[1]!s_yq_pctchange($C409,$N$1))</f>
        <v xml:space="preserve"> </v>
      </c>
      <c r="O409" s="11"/>
      <c r="P409" s="7"/>
    </row>
    <row r="410" spans="1:16" x14ac:dyDescent="0.35">
      <c r="A410" s="7"/>
      <c r="C410" s="31" t="str">
        <f>IF(指数列表!B407="","",指数列表!B407)</f>
        <v/>
      </c>
      <c r="D410" s="36" t="str">
        <f>IF(C410="","",[1]!s_info_name(C410))</f>
        <v/>
      </c>
      <c r="E410" s="25" t="str">
        <f>IF(C410="","",[1]!s_dq_close(C410,$N$1))</f>
        <v/>
      </c>
      <c r="F410" s="28" t="str">
        <f>IF($C410=""," ",[1]!i_pq_pctchange($C410,F$6,$N$1))</f>
        <v xml:space="preserve"> </v>
      </c>
      <c r="G410" s="28" t="str">
        <f>IF($C410=""," ",[1]!i_pq_pctchange($C410,G$6,$N$1))</f>
        <v xml:space="preserve"> </v>
      </c>
      <c r="H410" s="28" t="str">
        <f>IF($C410=""," ",[1]!i_pq_pctchange($C410,H$6,$N$1))</f>
        <v xml:space="preserve"> </v>
      </c>
      <c r="I410" s="28" t="str">
        <f>IF($C410=""," ",[1]!i_pq_pctchange($C410,I$6,$N$1))</f>
        <v xml:space="preserve"> </v>
      </c>
      <c r="J410" s="28" t="str">
        <f>IF($C410=""," ",[1]!i_pq_pctchange($C410,J$6,$N$1))</f>
        <v xml:space="preserve"> </v>
      </c>
      <c r="K410" s="28" t="str">
        <f>IF($C410=""," ",[1]!i_pq_pctchange($C410,K$6,$N$1))</f>
        <v xml:space="preserve"> </v>
      </c>
      <c r="L410" s="28" t="str">
        <f>IF(C410=""," ",[1]!s_wq_pctchange($C410,$N$1))</f>
        <v xml:space="preserve"> </v>
      </c>
      <c r="M410" s="28" t="str">
        <f>IF(C410=""," ",[1]!s_mq_pctchange($C410,$N$1))</f>
        <v xml:space="preserve"> </v>
      </c>
      <c r="N410" s="28" t="str">
        <f>IF(C410=""," ",[1]!s_yq_pctchange($C410,$N$1))</f>
        <v xml:space="preserve"> </v>
      </c>
      <c r="O410" s="11"/>
      <c r="P410" s="7"/>
    </row>
    <row r="411" spans="1:16" x14ac:dyDescent="0.35">
      <c r="A411" s="7"/>
      <c r="C411" s="30" t="str">
        <f>IF(指数列表!B408="","",指数列表!B408)</f>
        <v/>
      </c>
      <c r="D411" s="35" t="str">
        <f>IF(C411="","",[1]!s_info_name(C411))</f>
        <v/>
      </c>
      <c r="E411" s="24" t="str">
        <f>IF(C411="","",[1]!s_dq_close(C411,$N$1))</f>
        <v/>
      </c>
      <c r="F411" s="28" t="str">
        <f>IF($C411=""," ",[1]!i_pq_pctchange($C411,F$6,$N$1))</f>
        <v xml:space="preserve"> </v>
      </c>
      <c r="G411" s="28" t="str">
        <f>IF($C411=""," ",[1]!i_pq_pctchange($C411,G$6,$N$1))</f>
        <v xml:space="preserve"> </v>
      </c>
      <c r="H411" s="28" t="str">
        <f>IF($C411=""," ",[1]!i_pq_pctchange($C411,H$6,$N$1))</f>
        <v xml:space="preserve"> </v>
      </c>
      <c r="I411" s="28" t="str">
        <f>IF($C411=""," ",[1]!i_pq_pctchange($C411,I$6,$N$1))</f>
        <v xml:space="preserve"> </v>
      </c>
      <c r="J411" s="28" t="str">
        <f>IF($C411=""," ",[1]!i_pq_pctchange($C411,J$6,$N$1))</f>
        <v xml:space="preserve"> </v>
      </c>
      <c r="K411" s="28" t="str">
        <f>IF($C411=""," ",[1]!i_pq_pctchange($C411,K$6,$N$1))</f>
        <v xml:space="preserve"> </v>
      </c>
      <c r="L411" s="28" t="str">
        <f>IF(C411=""," ",[1]!s_wq_pctchange($C411,$N$1))</f>
        <v xml:space="preserve"> </v>
      </c>
      <c r="M411" s="28" t="str">
        <f>IF(C411=""," ",[1]!s_mq_pctchange($C411,$N$1))</f>
        <v xml:space="preserve"> </v>
      </c>
      <c r="N411" s="28" t="str">
        <f>IF(C411=""," ",[1]!s_yq_pctchange($C411,$N$1))</f>
        <v xml:space="preserve"> </v>
      </c>
      <c r="O411" s="11"/>
      <c r="P411" s="7"/>
    </row>
    <row r="412" spans="1:16" x14ac:dyDescent="0.35">
      <c r="A412" s="7"/>
      <c r="C412" s="31" t="str">
        <f>IF(指数列表!B409="","",指数列表!B409)</f>
        <v/>
      </c>
      <c r="D412" s="36" t="str">
        <f>IF(C412="","",[1]!s_info_name(C412))</f>
        <v/>
      </c>
      <c r="E412" s="25" t="str">
        <f>IF(C412="","",[1]!s_dq_close(C412,$N$1))</f>
        <v/>
      </c>
      <c r="F412" s="28" t="str">
        <f>IF($C412=""," ",[1]!i_pq_pctchange($C412,F$6,$N$1))</f>
        <v xml:space="preserve"> </v>
      </c>
      <c r="G412" s="28" t="str">
        <f>IF($C412=""," ",[1]!i_pq_pctchange($C412,G$6,$N$1))</f>
        <v xml:space="preserve"> </v>
      </c>
      <c r="H412" s="28" t="str">
        <f>IF($C412=""," ",[1]!i_pq_pctchange($C412,H$6,$N$1))</f>
        <v xml:space="preserve"> </v>
      </c>
      <c r="I412" s="28" t="str">
        <f>IF($C412=""," ",[1]!i_pq_pctchange($C412,I$6,$N$1))</f>
        <v xml:space="preserve"> </v>
      </c>
      <c r="J412" s="28" t="str">
        <f>IF($C412=""," ",[1]!i_pq_pctchange($C412,J$6,$N$1))</f>
        <v xml:space="preserve"> </v>
      </c>
      <c r="K412" s="28" t="str">
        <f>IF($C412=""," ",[1]!i_pq_pctchange($C412,K$6,$N$1))</f>
        <v xml:space="preserve"> </v>
      </c>
      <c r="L412" s="28" t="str">
        <f>IF(C412=""," ",[1]!s_wq_pctchange($C412,$N$1))</f>
        <v xml:space="preserve"> </v>
      </c>
      <c r="M412" s="28" t="str">
        <f>IF(C412=""," ",[1]!s_mq_pctchange($C412,$N$1))</f>
        <v xml:space="preserve"> </v>
      </c>
      <c r="N412" s="28" t="str">
        <f>IF(C412=""," ",[1]!s_yq_pctchange($C412,$N$1))</f>
        <v xml:space="preserve"> </v>
      </c>
      <c r="O412" s="11"/>
      <c r="P412" s="7"/>
    </row>
    <row r="413" spans="1:16" x14ac:dyDescent="0.35">
      <c r="A413" s="7"/>
      <c r="C413" s="30" t="str">
        <f>IF(指数列表!B410="","",指数列表!B410)</f>
        <v/>
      </c>
      <c r="D413" s="35" t="str">
        <f>IF(C413="","",[1]!s_info_name(C413))</f>
        <v/>
      </c>
      <c r="E413" s="24" t="str">
        <f>IF(C413="","",[1]!s_dq_close(C413,$N$1))</f>
        <v/>
      </c>
      <c r="F413" s="28" t="str">
        <f>IF($C413=""," ",[1]!i_pq_pctchange($C413,F$6,$N$1))</f>
        <v xml:space="preserve"> </v>
      </c>
      <c r="G413" s="28" t="str">
        <f>IF($C413=""," ",[1]!i_pq_pctchange($C413,G$6,$N$1))</f>
        <v xml:space="preserve"> </v>
      </c>
      <c r="H413" s="28" t="str">
        <f>IF($C413=""," ",[1]!i_pq_pctchange($C413,H$6,$N$1))</f>
        <v xml:space="preserve"> </v>
      </c>
      <c r="I413" s="28" t="str">
        <f>IF($C413=""," ",[1]!i_pq_pctchange($C413,I$6,$N$1))</f>
        <v xml:space="preserve"> </v>
      </c>
      <c r="J413" s="28" t="str">
        <f>IF($C413=""," ",[1]!i_pq_pctchange($C413,J$6,$N$1))</f>
        <v xml:space="preserve"> </v>
      </c>
      <c r="K413" s="28" t="str">
        <f>IF($C413=""," ",[1]!i_pq_pctchange($C413,K$6,$N$1))</f>
        <v xml:space="preserve"> </v>
      </c>
      <c r="L413" s="28" t="str">
        <f>IF(C413=""," ",[1]!s_wq_pctchange($C413,$N$1))</f>
        <v xml:space="preserve"> </v>
      </c>
      <c r="M413" s="28" t="str">
        <f>IF(C413=""," ",[1]!s_mq_pctchange($C413,$N$1))</f>
        <v xml:space="preserve"> </v>
      </c>
      <c r="N413" s="28" t="str">
        <f>IF(C413=""," ",[1]!s_yq_pctchange($C413,$N$1))</f>
        <v xml:space="preserve"> </v>
      </c>
      <c r="O413" s="11"/>
      <c r="P413" s="7"/>
    </row>
    <row r="414" spans="1:16" x14ac:dyDescent="0.35">
      <c r="A414" s="7"/>
      <c r="C414" s="31" t="str">
        <f>IF(指数列表!B411="","",指数列表!B411)</f>
        <v/>
      </c>
      <c r="D414" s="36" t="str">
        <f>IF(C414="","",[1]!s_info_name(C414))</f>
        <v/>
      </c>
      <c r="E414" s="25" t="str">
        <f>IF(C414="","",[1]!s_dq_close(C414,$N$1))</f>
        <v/>
      </c>
      <c r="F414" s="28" t="str">
        <f>IF($C414=""," ",[1]!i_pq_pctchange($C414,F$6,$N$1))</f>
        <v xml:space="preserve"> </v>
      </c>
      <c r="G414" s="28" t="str">
        <f>IF($C414=""," ",[1]!i_pq_pctchange($C414,G$6,$N$1))</f>
        <v xml:space="preserve"> </v>
      </c>
      <c r="H414" s="28" t="str">
        <f>IF($C414=""," ",[1]!i_pq_pctchange($C414,H$6,$N$1))</f>
        <v xml:space="preserve"> </v>
      </c>
      <c r="I414" s="28" t="str">
        <f>IF($C414=""," ",[1]!i_pq_pctchange($C414,I$6,$N$1))</f>
        <v xml:space="preserve"> </v>
      </c>
      <c r="J414" s="28" t="str">
        <f>IF($C414=""," ",[1]!i_pq_pctchange($C414,J$6,$N$1))</f>
        <v xml:space="preserve"> </v>
      </c>
      <c r="K414" s="28" t="str">
        <f>IF($C414=""," ",[1]!i_pq_pctchange($C414,K$6,$N$1))</f>
        <v xml:space="preserve"> </v>
      </c>
      <c r="L414" s="28" t="str">
        <f>IF(C414=""," ",[1]!s_wq_pctchange($C414,$N$1))</f>
        <v xml:space="preserve"> </v>
      </c>
      <c r="M414" s="28" t="str">
        <f>IF(C414=""," ",[1]!s_mq_pctchange($C414,$N$1))</f>
        <v xml:space="preserve"> </v>
      </c>
      <c r="N414" s="28" t="str">
        <f>IF(C414=""," ",[1]!s_yq_pctchange($C414,$N$1))</f>
        <v xml:space="preserve"> </v>
      </c>
      <c r="O414" s="11"/>
      <c r="P414" s="7"/>
    </row>
    <row r="415" spans="1:16" x14ac:dyDescent="0.35">
      <c r="A415" s="7"/>
      <c r="C415" s="30" t="str">
        <f>IF(指数列表!B412="","",指数列表!B412)</f>
        <v/>
      </c>
      <c r="D415" s="35" t="str">
        <f>IF(C415="","",[1]!s_info_name(C415))</f>
        <v/>
      </c>
      <c r="E415" s="24" t="str">
        <f>IF(C415="","",[1]!s_dq_close(C415,$N$1))</f>
        <v/>
      </c>
      <c r="F415" s="28" t="str">
        <f>IF($C415=""," ",[1]!i_pq_pctchange($C415,F$6,$N$1))</f>
        <v xml:space="preserve"> </v>
      </c>
      <c r="G415" s="28" t="str">
        <f>IF($C415=""," ",[1]!i_pq_pctchange($C415,G$6,$N$1))</f>
        <v xml:space="preserve"> </v>
      </c>
      <c r="H415" s="28" t="str">
        <f>IF($C415=""," ",[1]!i_pq_pctchange($C415,H$6,$N$1))</f>
        <v xml:space="preserve"> </v>
      </c>
      <c r="I415" s="28" t="str">
        <f>IF($C415=""," ",[1]!i_pq_pctchange($C415,I$6,$N$1))</f>
        <v xml:space="preserve"> </v>
      </c>
      <c r="J415" s="28" t="str">
        <f>IF($C415=""," ",[1]!i_pq_pctchange($C415,J$6,$N$1))</f>
        <v xml:space="preserve"> </v>
      </c>
      <c r="K415" s="28" t="str">
        <f>IF($C415=""," ",[1]!i_pq_pctchange($C415,K$6,$N$1))</f>
        <v xml:space="preserve"> </v>
      </c>
      <c r="L415" s="28" t="str">
        <f>IF(C415=""," ",[1]!s_wq_pctchange($C415,$N$1))</f>
        <v xml:space="preserve"> </v>
      </c>
      <c r="M415" s="28" t="str">
        <f>IF(C415=""," ",[1]!s_mq_pctchange($C415,$N$1))</f>
        <v xml:space="preserve"> </v>
      </c>
      <c r="N415" s="28" t="str">
        <f>IF(C415=""," ",[1]!s_yq_pctchange($C415,$N$1))</f>
        <v xml:space="preserve"> </v>
      </c>
      <c r="O415" s="11"/>
      <c r="P415" s="7"/>
    </row>
    <row r="416" spans="1:16" x14ac:dyDescent="0.35">
      <c r="A416" s="7"/>
      <c r="C416" s="31" t="str">
        <f>IF(指数列表!B413="","",指数列表!B413)</f>
        <v/>
      </c>
      <c r="D416" s="36" t="str">
        <f>IF(C416="","",[1]!s_info_name(C416))</f>
        <v/>
      </c>
      <c r="E416" s="25" t="str">
        <f>IF(C416="","",[1]!s_dq_close(C416,$N$1))</f>
        <v/>
      </c>
      <c r="F416" s="28" t="str">
        <f>IF($C416=""," ",[1]!i_pq_pctchange($C416,F$6,$N$1))</f>
        <v xml:space="preserve"> </v>
      </c>
      <c r="G416" s="28" t="str">
        <f>IF($C416=""," ",[1]!i_pq_pctchange($C416,G$6,$N$1))</f>
        <v xml:space="preserve"> </v>
      </c>
      <c r="H416" s="28" t="str">
        <f>IF($C416=""," ",[1]!i_pq_pctchange($C416,H$6,$N$1))</f>
        <v xml:space="preserve"> </v>
      </c>
      <c r="I416" s="28" t="str">
        <f>IF($C416=""," ",[1]!i_pq_pctchange($C416,I$6,$N$1))</f>
        <v xml:space="preserve"> </v>
      </c>
      <c r="J416" s="28" t="str">
        <f>IF($C416=""," ",[1]!i_pq_pctchange($C416,J$6,$N$1))</f>
        <v xml:space="preserve"> </v>
      </c>
      <c r="K416" s="28" t="str">
        <f>IF($C416=""," ",[1]!i_pq_pctchange($C416,K$6,$N$1))</f>
        <v xml:space="preserve"> </v>
      </c>
      <c r="L416" s="28" t="str">
        <f>IF(C416=""," ",[1]!s_wq_pctchange($C416,$N$1))</f>
        <v xml:space="preserve"> </v>
      </c>
      <c r="M416" s="28" t="str">
        <f>IF(C416=""," ",[1]!s_mq_pctchange($C416,$N$1))</f>
        <v xml:space="preserve"> </v>
      </c>
      <c r="N416" s="28" t="str">
        <f>IF(C416=""," ",[1]!s_yq_pctchange($C416,$N$1))</f>
        <v xml:space="preserve"> </v>
      </c>
      <c r="O416" s="11"/>
      <c r="P416" s="7"/>
    </row>
    <row r="417" spans="1:16" x14ac:dyDescent="0.35">
      <c r="A417" s="7"/>
      <c r="C417" s="30" t="str">
        <f>IF(指数列表!B414="","",指数列表!B414)</f>
        <v/>
      </c>
      <c r="D417" s="35" t="str">
        <f>IF(C417="","",[1]!s_info_name(C417))</f>
        <v/>
      </c>
      <c r="E417" s="24" t="str">
        <f>IF(C417="","",[1]!s_dq_close(C417,$N$1))</f>
        <v/>
      </c>
      <c r="F417" s="28" t="str">
        <f>IF($C417=""," ",[1]!i_pq_pctchange($C417,F$6,$N$1))</f>
        <v xml:space="preserve"> </v>
      </c>
      <c r="G417" s="28" t="str">
        <f>IF($C417=""," ",[1]!i_pq_pctchange($C417,G$6,$N$1))</f>
        <v xml:space="preserve"> </v>
      </c>
      <c r="H417" s="28" t="str">
        <f>IF($C417=""," ",[1]!i_pq_pctchange($C417,H$6,$N$1))</f>
        <v xml:space="preserve"> </v>
      </c>
      <c r="I417" s="28" t="str">
        <f>IF($C417=""," ",[1]!i_pq_pctchange($C417,I$6,$N$1))</f>
        <v xml:space="preserve"> </v>
      </c>
      <c r="J417" s="28" t="str">
        <f>IF($C417=""," ",[1]!i_pq_pctchange($C417,J$6,$N$1))</f>
        <v xml:space="preserve"> </v>
      </c>
      <c r="K417" s="28" t="str">
        <f>IF($C417=""," ",[1]!i_pq_pctchange($C417,K$6,$N$1))</f>
        <v xml:space="preserve"> </v>
      </c>
      <c r="L417" s="28" t="str">
        <f>IF(C417=""," ",[1]!s_wq_pctchange($C417,$N$1))</f>
        <v xml:space="preserve"> </v>
      </c>
      <c r="M417" s="28" t="str">
        <f>IF(C417=""," ",[1]!s_mq_pctchange($C417,$N$1))</f>
        <v xml:space="preserve"> </v>
      </c>
      <c r="N417" s="28" t="str">
        <f>IF(C417=""," ",[1]!s_yq_pctchange($C417,$N$1))</f>
        <v xml:space="preserve"> </v>
      </c>
      <c r="O417" s="11"/>
      <c r="P417" s="7"/>
    </row>
    <row r="418" spans="1:16" x14ac:dyDescent="0.35">
      <c r="A418" s="7"/>
      <c r="C418" s="31" t="str">
        <f>IF(指数列表!B415="","",指数列表!B415)</f>
        <v/>
      </c>
      <c r="D418" s="36" t="str">
        <f>IF(C418="","",[1]!s_info_name(C418))</f>
        <v/>
      </c>
      <c r="E418" s="25" t="str">
        <f>IF(C418="","",[1]!s_dq_close(C418,$N$1))</f>
        <v/>
      </c>
      <c r="F418" s="28" t="str">
        <f>IF($C418=""," ",[1]!i_pq_pctchange($C418,F$6,$N$1))</f>
        <v xml:space="preserve"> </v>
      </c>
      <c r="G418" s="28" t="str">
        <f>IF($C418=""," ",[1]!i_pq_pctchange($C418,G$6,$N$1))</f>
        <v xml:space="preserve"> </v>
      </c>
      <c r="H418" s="28" t="str">
        <f>IF($C418=""," ",[1]!i_pq_pctchange($C418,H$6,$N$1))</f>
        <v xml:space="preserve"> </v>
      </c>
      <c r="I418" s="28" t="str">
        <f>IF($C418=""," ",[1]!i_pq_pctchange($C418,I$6,$N$1))</f>
        <v xml:space="preserve"> </v>
      </c>
      <c r="J418" s="28" t="str">
        <f>IF($C418=""," ",[1]!i_pq_pctchange($C418,J$6,$N$1))</f>
        <v xml:space="preserve"> </v>
      </c>
      <c r="K418" s="28" t="str">
        <f>IF($C418=""," ",[1]!i_pq_pctchange($C418,K$6,$N$1))</f>
        <v xml:space="preserve"> </v>
      </c>
      <c r="L418" s="28" t="str">
        <f>IF(C418=""," ",[1]!s_wq_pctchange($C418,$N$1))</f>
        <v xml:space="preserve"> </v>
      </c>
      <c r="M418" s="28" t="str">
        <f>IF(C418=""," ",[1]!s_mq_pctchange($C418,$N$1))</f>
        <v xml:space="preserve"> </v>
      </c>
      <c r="N418" s="28" t="str">
        <f>IF(C418=""," ",[1]!s_yq_pctchange($C418,$N$1))</f>
        <v xml:space="preserve"> </v>
      </c>
      <c r="O418" s="11"/>
      <c r="P418" s="7"/>
    </row>
    <row r="419" spans="1:16" x14ac:dyDescent="0.35">
      <c r="A419" s="7"/>
      <c r="C419" s="30" t="str">
        <f>IF(指数列表!B416="","",指数列表!B416)</f>
        <v/>
      </c>
      <c r="D419" s="35" t="str">
        <f>IF(C419="","",[1]!s_info_name(C419))</f>
        <v/>
      </c>
      <c r="E419" s="24" t="str">
        <f>IF(C419="","",[1]!s_dq_close(C419,$N$1))</f>
        <v/>
      </c>
      <c r="F419" s="28" t="str">
        <f>IF($C419=""," ",[1]!i_pq_pctchange($C419,F$6,$N$1))</f>
        <v xml:space="preserve"> </v>
      </c>
      <c r="G419" s="28" t="str">
        <f>IF($C419=""," ",[1]!i_pq_pctchange($C419,G$6,$N$1))</f>
        <v xml:space="preserve"> </v>
      </c>
      <c r="H419" s="28" t="str">
        <f>IF($C419=""," ",[1]!i_pq_pctchange($C419,H$6,$N$1))</f>
        <v xml:space="preserve"> </v>
      </c>
      <c r="I419" s="28" t="str">
        <f>IF($C419=""," ",[1]!i_pq_pctchange($C419,I$6,$N$1))</f>
        <v xml:space="preserve"> </v>
      </c>
      <c r="J419" s="28" t="str">
        <f>IF($C419=""," ",[1]!i_pq_pctchange($C419,J$6,$N$1))</f>
        <v xml:space="preserve"> </v>
      </c>
      <c r="K419" s="28" t="str">
        <f>IF($C419=""," ",[1]!i_pq_pctchange($C419,K$6,$N$1))</f>
        <v xml:space="preserve"> </v>
      </c>
      <c r="L419" s="28" t="str">
        <f>IF(C419=""," ",[1]!s_wq_pctchange($C419,$N$1))</f>
        <v xml:space="preserve"> </v>
      </c>
      <c r="M419" s="28" t="str">
        <f>IF(C419=""," ",[1]!s_mq_pctchange($C419,$N$1))</f>
        <v xml:space="preserve"> </v>
      </c>
      <c r="N419" s="28" t="str">
        <f>IF(C419=""," ",[1]!s_yq_pctchange($C419,$N$1))</f>
        <v xml:space="preserve"> </v>
      </c>
      <c r="O419" s="11"/>
      <c r="P419" s="7"/>
    </row>
    <row r="420" spans="1:16" x14ac:dyDescent="0.35">
      <c r="A420" s="7"/>
      <c r="C420" s="31" t="str">
        <f>IF(指数列表!B417="","",指数列表!B417)</f>
        <v/>
      </c>
      <c r="D420" s="36" t="str">
        <f>IF(C420="","",[1]!s_info_name(C420))</f>
        <v/>
      </c>
      <c r="E420" s="25" t="str">
        <f>IF(C420="","",[1]!s_dq_close(C420,$N$1))</f>
        <v/>
      </c>
      <c r="F420" s="28" t="str">
        <f>IF($C420=""," ",[1]!i_pq_pctchange($C420,F$6,$N$1))</f>
        <v xml:space="preserve"> </v>
      </c>
      <c r="G420" s="28" t="str">
        <f>IF($C420=""," ",[1]!i_pq_pctchange($C420,G$6,$N$1))</f>
        <v xml:space="preserve"> </v>
      </c>
      <c r="H420" s="28" t="str">
        <f>IF($C420=""," ",[1]!i_pq_pctchange($C420,H$6,$N$1))</f>
        <v xml:space="preserve"> </v>
      </c>
      <c r="I420" s="28" t="str">
        <f>IF($C420=""," ",[1]!i_pq_pctchange($C420,I$6,$N$1))</f>
        <v xml:space="preserve"> </v>
      </c>
      <c r="J420" s="28" t="str">
        <f>IF($C420=""," ",[1]!i_pq_pctchange($C420,J$6,$N$1))</f>
        <v xml:space="preserve"> </v>
      </c>
      <c r="K420" s="28" t="str">
        <f>IF($C420=""," ",[1]!i_pq_pctchange($C420,K$6,$N$1))</f>
        <v xml:space="preserve"> </v>
      </c>
      <c r="L420" s="28" t="str">
        <f>IF(C420=""," ",[1]!s_wq_pctchange($C420,$N$1))</f>
        <v xml:space="preserve"> </v>
      </c>
      <c r="M420" s="28" t="str">
        <f>IF(C420=""," ",[1]!s_mq_pctchange($C420,$N$1))</f>
        <v xml:space="preserve"> </v>
      </c>
      <c r="N420" s="28" t="str">
        <f>IF(C420=""," ",[1]!s_yq_pctchange($C420,$N$1))</f>
        <v xml:space="preserve"> </v>
      </c>
      <c r="O420" s="11"/>
      <c r="P420" s="7"/>
    </row>
    <row r="421" spans="1:16" x14ac:dyDescent="0.35">
      <c r="A421" s="7"/>
      <c r="C421" s="30" t="str">
        <f>IF(指数列表!B418="","",指数列表!B418)</f>
        <v/>
      </c>
      <c r="D421" s="35" t="str">
        <f>IF(C421="","",[1]!s_info_name(C421))</f>
        <v/>
      </c>
      <c r="E421" s="24" t="str">
        <f>IF(C421="","",[1]!s_dq_close(C421,$N$1))</f>
        <v/>
      </c>
      <c r="F421" s="28" t="str">
        <f>IF($C421=""," ",[1]!i_pq_pctchange($C421,F$6,$N$1))</f>
        <v xml:space="preserve"> </v>
      </c>
      <c r="G421" s="28" t="str">
        <f>IF($C421=""," ",[1]!i_pq_pctchange($C421,G$6,$N$1))</f>
        <v xml:space="preserve"> </v>
      </c>
      <c r="H421" s="28" t="str">
        <f>IF($C421=""," ",[1]!i_pq_pctchange($C421,H$6,$N$1))</f>
        <v xml:space="preserve"> </v>
      </c>
      <c r="I421" s="28" t="str">
        <f>IF($C421=""," ",[1]!i_pq_pctchange($C421,I$6,$N$1))</f>
        <v xml:space="preserve"> </v>
      </c>
      <c r="J421" s="28" t="str">
        <f>IF($C421=""," ",[1]!i_pq_pctchange($C421,J$6,$N$1))</f>
        <v xml:space="preserve"> </v>
      </c>
      <c r="K421" s="28" t="str">
        <f>IF($C421=""," ",[1]!i_pq_pctchange($C421,K$6,$N$1))</f>
        <v xml:space="preserve"> </v>
      </c>
      <c r="L421" s="28" t="str">
        <f>IF(C421=""," ",[1]!s_wq_pctchange($C421,$N$1))</f>
        <v xml:space="preserve"> </v>
      </c>
      <c r="M421" s="28" t="str">
        <f>IF(C421=""," ",[1]!s_mq_pctchange($C421,$N$1))</f>
        <v xml:space="preserve"> </v>
      </c>
      <c r="N421" s="28" t="str">
        <f>IF(C421=""," ",[1]!s_yq_pctchange($C421,$N$1))</f>
        <v xml:space="preserve"> </v>
      </c>
      <c r="O421" s="11"/>
      <c r="P421" s="7"/>
    </row>
    <row r="422" spans="1:16" x14ac:dyDescent="0.35">
      <c r="A422" s="7"/>
      <c r="C422" s="31" t="str">
        <f>IF(指数列表!B419="","",指数列表!B419)</f>
        <v/>
      </c>
      <c r="D422" s="36" t="str">
        <f>IF(C422="","",[1]!s_info_name(C422))</f>
        <v/>
      </c>
      <c r="E422" s="25" t="str">
        <f>IF(C422="","",[1]!s_dq_close(C422,$N$1))</f>
        <v/>
      </c>
      <c r="F422" s="28" t="str">
        <f>IF($C422=""," ",[1]!i_pq_pctchange($C422,F$6,$N$1))</f>
        <v xml:space="preserve"> </v>
      </c>
      <c r="G422" s="28" t="str">
        <f>IF($C422=""," ",[1]!i_pq_pctchange($C422,G$6,$N$1))</f>
        <v xml:space="preserve"> </v>
      </c>
      <c r="H422" s="28" t="str">
        <f>IF($C422=""," ",[1]!i_pq_pctchange($C422,H$6,$N$1))</f>
        <v xml:space="preserve"> </v>
      </c>
      <c r="I422" s="28" t="str">
        <f>IF($C422=""," ",[1]!i_pq_pctchange($C422,I$6,$N$1))</f>
        <v xml:space="preserve"> </v>
      </c>
      <c r="J422" s="28" t="str">
        <f>IF($C422=""," ",[1]!i_pq_pctchange($C422,J$6,$N$1))</f>
        <v xml:space="preserve"> </v>
      </c>
      <c r="K422" s="28" t="str">
        <f>IF($C422=""," ",[1]!i_pq_pctchange($C422,K$6,$N$1))</f>
        <v xml:space="preserve"> </v>
      </c>
      <c r="L422" s="28" t="str">
        <f>IF(C422=""," ",[1]!s_wq_pctchange($C422,$N$1))</f>
        <v xml:space="preserve"> </v>
      </c>
      <c r="M422" s="28" t="str">
        <f>IF(C422=""," ",[1]!s_mq_pctchange($C422,$N$1))</f>
        <v xml:space="preserve"> </v>
      </c>
      <c r="N422" s="28" t="str">
        <f>IF(C422=""," ",[1]!s_yq_pctchange($C422,$N$1))</f>
        <v xml:space="preserve"> </v>
      </c>
      <c r="O422" s="11"/>
      <c r="P422" s="7"/>
    </row>
    <row r="423" spans="1:16" x14ac:dyDescent="0.35">
      <c r="A423" s="7"/>
      <c r="C423" s="30" t="str">
        <f>IF(指数列表!B420="","",指数列表!B420)</f>
        <v/>
      </c>
      <c r="D423" s="35" t="str">
        <f>IF(C423="","",[1]!s_info_name(C423))</f>
        <v/>
      </c>
      <c r="E423" s="24" t="str">
        <f>IF(C423="","",[1]!s_dq_close(C423,$N$1))</f>
        <v/>
      </c>
      <c r="F423" s="28" t="str">
        <f>IF($C423=""," ",[1]!i_pq_pctchange($C423,F$6,$N$1))</f>
        <v xml:space="preserve"> </v>
      </c>
      <c r="G423" s="28" t="str">
        <f>IF($C423=""," ",[1]!i_pq_pctchange($C423,G$6,$N$1))</f>
        <v xml:space="preserve"> </v>
      </c>
      <c r="H423" s="28" t="str">
        <f>IF($C423=""," ",[1]!i_pq_pctchange($C423,H$6,$N$1))</f>
        <v xml:space="preserve"> </v>
      </c>
      <c r="I423" s="28" t="str">
        <f>IF($C423=""," ",[1]!i_pq_pctchange($C423,I$6,$N$1))</f>
        <v xml:space="preserve"> </v>
      </c>
      <c r="J423" s="28" t="str">
        <f>IF($C423=""," ",[1]!i_pq_pctchange($C423,J$6,$N$1))</f>
        <v xml:space="preserve"> </v>
      </c>
      <c r="K423" s="28" t="str">
        <f>IF($C423=""," ",[1]!i_pq_pctchange($C423,K$6,$N$1))</f>
        <v xml:space="preserve"> </v>
      </c>
      <c r="L423" s="28" t="str">
        <f>IF(C423=""," ",[1]!s_wq_pctchange($C423,$N$1))</f>
        <v xml:space="preserve"> </v>
      </c>
      <c r="M423" s="28" t="str">
        <f>IF(C423=""," ",[1]!s_mq_pctchange($C423,$N$1))</f>
        <v xml:space="preserve"> </v>
      </c>
      <c r="N423" s="28" t="str">
        <f>IF(C423=""," ",[1]!s_yq_pctchange($C423,$N$1))</f>
        <v xml:space="preserve"> </v>
      </c>
      <c r="O423" s="11"/>
      <c r="P423" s="7"/>
    </row>
    <row r="424" spans="1:16" x14ac:dyDescent="0.35">
      <c r="A424" s="7"/>
      <c r="C424" s="31" t="str">
        <f>IF(指数列表!B421="","",指数列表!B421)</f>
        <v/>
      </c>
      <c r="D424" s="36" t="str">
        <f>IF(C424="","",[1]!s_info_name(C424))</f>
        <v/>
      </c>
      <c r="E424" s="25" t="str">
        <f>IF(C424="","",[1]!s_dq_close(C424,$N$1))</f>
        <v/>
      </c>
      <c r="F424" s="28" t="str">
        <f>IF($C424=""," ",[1]!i_pq_pctchange($C424,F$6,$N$1))</f>
        <v xml:space="preserve"> </v>
      </c>
      <c r="G424" s="28" t="str">
        <f>IF($C424=""," ",[1]!i_pq_pctchange($C424,G$6,$N$1))</f>
        <v xml:space="preserve"> </v>
      </c>
      <c r="H424" s="28" t="str">
        <f>IF($C424=""," ",[1]!i_pq_pctchange($C424,H$6,$N$1))</f>
        <v xml:space="preserve"> </v>
      </c>
      <c r="I424" s="28" t="str">
        <f>IF($C424=""," ",[1]!i_pq_pctchange($C424,I$6,$N$1))</f>
        <v xml:space="preserve"> </v>
      </c>
      <c r="J424" s="28" t="str">
        <f>IF($C424=""," ",[1]!i_pq_pctchange($C424,J$6,$N$1))</f>
        <v xml:space="preserve"> </v>
      </c>
      <c r="K424" s="28" t="str">
        <f>IF($C424=""," ",[1]!i_pq_pctchange($C424,K$6,$N$1))</f>
        <v xml:space="preserve"> </v>
      </c>
      <c r="L424" s="28" t="str">
        <f>IF(C424=""," ",[1]!s_wq_pctchange($C424,$N$1))</f>
        <v xml:space="preserve"> </v>
      </c>
      <c r="M424" s="28" t="str">
        <f>IF(C424=""," ",[1]!s_mq_pctchange($C424,$N$1))</f>
        <v xml:space="preserve"> </v>
      </c>
      <c r="N424" s="28" t="str">
        <f>IF(C424=""," ",[1]!s_yq_pctchange($C424,$N$1))</f>
        <v xml:space="preserve"> </v>
      </c>
      <c r="O424" s="11"/>
      <c r="P424" s="7"/>
    </row>
    <row r="425" spans="1:16" x14ac:dyDescent="0.35">
      <c r="A425" s="7"/>
      <c r="C425" s="30" t="str">
        <f>IF(指数列表!B422="","",指数列表!B422)</f>
        <v/>
      </c>
      <c r="D425" s="35" t="str">
        <f>IF(C425="","",[1]!s_info_name(C425))</f>
        <v/>
      </c>
      <c r="E425" s="24" t="str">
        <f>IF(C425="","",[1]!s_dq_close(C425,$N$1))</f>
        <v/>
      </c>
      <c r="F425" s="28" t="str">
        <f>IF($C425=""," ",[1]!i_pq_pctchange($C425,F$6,$N$1))</f>
        <v xml:space="preserve"> </v>
      </c>
      <c r="G425" s="28" t="str">
        <f>IF($C425=""," ",[1]!i_pq_pctchange($C425,G$6,$N$1))</f>
        <v xml:space="preserve"> </v>
      </c>
      <c r="H425" s="28" t="str">
        <f>IF($C425=""," ",[1]!i_pq_pctchange($C425,H$6,$N$1))</f>
        <v xml:space="preserve"> </v>
      </c>
      <c r="I425" s="28" t="str">
        <f>IF($C425=""," ",[1]!i_pq_pctchange($C425,I$6,$N$1))</f>
        <v xml:space="preserve"> </v>
      </c>
      <c r="J425" s="28" t="str">
        <f>IF($C425=""," ",[1]!i_pq_pctchange($C425,J$6,$N$1))</f>
        <v xml:space="preserve"> </v>
      </c>
      <c r="K425" s="28" t="str">
        <f>IF($C425=""," ",[1]!i_pq_pctchange($C425,K$6,$N$1))</f>
        <v xml:space="preserve"> </v>
      </c>
      <c r="L425" s="28" t="str">
        <f>IF(C425=""," ",[1]!s_wq_pctchange($C425,$N$1))</f>
        <v xml:space="preserve"> </v>
      </c>
      <c r="M425" s="28" t="str">
        <f>IF(C425=""," ",[1]!s_mq_pctchange($C425,$N$1))</f>
        <v xml:space="preserve"> </v>
      </c>
      <c r="N425" s="28" t="str">
        <f>IF(C425=""," ",[1]!s_yq_pctchange($C425,$N$1))</f>
        <v xml:space="preserve"> </v>
      </c>
      <c r="O425" s="11"/>
      <c r="P425" s="7"/>
    </row>
    <row r="426" spans="1:16" x14ac:dyDescent="0.35">
      <c r="A426" s="7"/>
      <c r="C426" s="31" t="str">
        <f>IF(指数列表!B423="","",指数列表!B423)</f>
        <v/>
      </c>
      <c r="D426" s="36" t="str">
        <f>IF(C426="","",[1]!s_info_name(C426))</f>
        <v/>
      </c>
      <c r="E426" s="25" t="str">
        <f>IF(C426="","",[1]!s_dq_close(C426,$N$1))</f>
        <v/>
      </c>
      <c r="F426" s="28" t="str">
        <f>IF($C426=""," ",[1]!i_pq_pctchange($C426,F$6,$N$1))</f>
        <v xml:space="preserve"> </v>
      </c>
      <c r="G426" s="28" t="str">
        <f>IF($C426=""," ",[1]!i_pq_pctchange($C426,G$6,$N$1))</f>
        <v xml:space="preserve"> </v>
      </c>
      <c r="H426" s="28" t="str">
        <f>IF($C426=""," ",[1]!i_pq_pctchange($C426,H$6,$N$1))</f>
        <v xml:space="preserve"> </v>
      </c>
      <c r="I426" s="28" t="str">
        <f>IF($C426=""," ",[1]!i_pq_pctchange($C426,I$6,$N$1))</f>
        <v xml:space="preserve"> </v>
      </c>
      <c r="J426" s="28" t="str">
        <f>IF($C426=""," ",[1]!i_pq_pctchange($C426,J$6,$N$1))</f>
        <v xml:space="preserve"> </v>
      </c>
      <c r="K426" s="28" t="str">
        <f>IF($C426=""," ",[1]!i_pq_pctchange($C426,K$6,$N$1))</f>
        <v xml:space="preserve"> </v>
      </c>
      <c r="L426" s="28" t="str">
        <f>IF(C426=""," ",[1]!s_wq_pctchange($C426,$N$1))</f>
        <v xml:space="preserve"> </v>
      </c>
      <c r="M426" s="28" t="str">
        <f>IF(C426=""," ",[1]!s_mq_pctchange($C426,$N$1))</f>
        <v xml:space="preserve"> </v>
      </c>
      <c r="N426" s="28" t="str">
        <f>IF(C426=""," ",[1]!s_yq_pctchange($C426,$N$1))</f>
        <v xml:space="preserve"> </v>
      </c>
      <c r="O426" s="11"/>
      <c r="P426" s="7"/>
    </row>
    <row r="427" spans="1:16" x14ac:dyDescent="0.35">
      <c r="A427" s="7"/>
      <c r="C427" s="30" t="str">
        <f>IF(指数列表!B424="","",指数列表!B424)</f>
        <v/>
      </c>
      <c r="D427" s="35" t="str">
        <f>IF(C427="","",[1]!s_info_name(C427))</f>
        <v/>
      </c>
      <c r="E427" s="24" t="str">
        <f>IF(C427="","",[1]!s_dq_close(C427,$N$1))</f>
        <v/>
      </c>
      <c r="F427" s="28" t="str">
        <f>IF($C427=""," ",[1]!i_pq_pctchange($C427,F$6,$N$1))</f>
        <v xml:space="preserve"> </v>
      </c>
      <c r="G427" s="28" t="str">
        <f>IF($C427=""," ",[1]!i_pq_pctchange($C427,G$6,$N$1))</f>
        <v xml:space="preserve"> </v>
      </c>
      <c r="H427" s="28" t="str">
        <f>IF($C427=""," ",[1]!i_pq_pctchange($C427,H$6,$N$1))</f>
        <v xml:space="preserve"> </v>
      </c>
      <c r="I427" s="28" t="str">
        <f>IF($C427=""," ",[1]!i_pq_pctchange($C427,I$6,$N$1))</f>
        <v xml:space="preserve"> </v>
      </c>
      <c r="J427" s="28" t="str">
        <f>IF($C427=""," ",[1]!i_pq_pctchange($C427,J$6,$N$1))</f>
        <v xml:space="preserve"> </v>
      </c>
      <c r="K427" s="28" t="str">
        <f>IF($C427=""," ",[1]!i_pq_pctchange($C427,K$6,$N$1))</f>
        <v xml:space="preserve"> </v>
      </c>
      <c r="L427" s="28" t="str">
        <f>IF(C427=""," ",[1]!s_wq_pctchange($C427,$N$1))</f>
        <v xml:space="preserve"> </v>
      </c>
      <c r="M427" s="28" t="str">
        <f>IF(C427=""," ",[1]!s_mq_pctchange($C427,$N$1))</f>
        <v xml:space="preserve"> </v>
      </c>
      <c r="N427" s="28" t="str">
        <f>IF(C427=""," ",[1]!s_yq_pctchange($C427,$N$1))</f>
        <v xml:space="preserve"> </v>
      </c>
      <c r="O427" s="11"/>
      <c r="P427" s="7"/>
    </row>
    <row r="428" spans="1:16" x14ac:dyDescent="0.35">
      <c r="A428" s="7"/>
      <c r="C428" s="31" t="str">
        <f>IF(指数列表!B425="","",指数列表!B425)</f>
        <v/>
      </c>
      <c r="D428" s="36" t="str">
        <f>IF(C428="","",[1]!s_info_name(C428))</f>
        <v/>
      </c>
      <c r="E428" s="25" t="str">
        <f>IF(C428="","",[1]!s_dq_close(C428,$N$1))</f>
        <v/>
      </c>
      <c r="F428" s="28" t="str">
        <f>IF($C428=""," ",[1]!i_pq_pctchange($C428,F$6,$N$1))</f>
        <v xml:space="preserve"> </v>
      </c>
      <c r="G428" s="28" t="str">
        <f>IF($C428=""," ",[1]!i_pq_pctchange($C428,G$6,$N$1))</f>
        <v xml:space="preserve"> </v>
      </c>
      <c r="H428" s="28" t="str">
        <f>IF($C428=""," ",[1]!i_pq_pctchange($C428,H$6,$N$1))</f>
        <v xml:space="preserve"> </v>
      </c>
      <c r="I428" s="28" t="str">
        <f>IF($C428=""," ",[1]!i_pq_pctchange($C428,I$6,$N$1))</f>
        <v xml:space="preserve"> </v>
      </c>
      <c r="J428" s="28" t="str">
        <f>IF($C428=""," ",[1]!i_pq_pctchange($C428,J$6,$N$1))</f>
        <v xml:space="preserve"> </v>
      </c>
      <c r="K428" s="28" t="str">
        <f>IF($C428=""," ",[1]!i_pq_pctchange($C428,K$6,$N$1))</f>
        <v xml:space="preserve"> </v>
      </c>
      <c r="L428" s="28" t="str">
        <f>IF(C428=""," ",[1]!s_wq_pctchange($C428,$N$1))</f>
        <v xml:space="preserve"> </v>
      </c>
      <c r="M428" s="28" t="str">
        <f>IF(C428=""," ",[1]!s_mq_pctchange($C428,$N$1))</f>
        <v xml:space="preserve"> </v>
      </c>
      <c r="N428" s="28" t="str">
        <f>IF(C428=""," ",[1]!s_yq_pctchange($C428,$N$1))</f>
        <v xml:space="preserve"> </v>
      </c>
      <c r="O428" s="11"/>
      <c r="P428" s="7"/>
    </row>
    <row r="429" spans="1:16" x14ac:dyDescent="0.35">
      <c r="A429" s="7"/>
      <c r="C429" s="30" t="str">
        <f>IF(指数列表!B426="","",指数列表!B426)</f>
        <v/>
      </c>
      <c r="D429" s="35" t="str">
        <f>IF(C429="","",[1]!s_info_name(C429))</f>
        <v/>
      </c>
      <c r="E429" s="24" t="str">
        <f>IF(C429="","",[1]!s_dq_close(C429,$N$1))</f>
        <v/>
      </c>
      <c r="F429" s="28" t="str">
        <f>IF($C429=""," ",[1]!i_pq_pctchange($C429,F$6,$N$1))</f>
        <v xml:space="preserve"> </v>
      </c>
      <c r="G429" s="28" t="str">
        <f>IF($C429=""," ",[1]!i_pq_pctchange($C429,G$6,$N$1))</f>
        <v xml:space="preserve"> </v>
      </c>
      <c r="H429" s="28" t="str">
        <f>IF($C429=""," ",[1]!i_pq_pctchange($C429,H$6,$N$1))</f>
        <v xml:space="preserve"> </v>
      </c>
      <c r="I429" s="28" t="str">
        <f>IF($C429=""," ",[1]!i_pq_pctchange($C429,I$6,$N$1))</f>
        <v xml:space="preserve"> </v>
      </c>
      <c r="J429" s="28" t="str">
        <f>IF($C429=""," ",[1]!i_pq_pctchange($C429,J$6,$N$1))</f>
        <v xml:space="preserve"> </v>
      </c>
      <c r="K429" s="28" t="str">
        <f>IF($C429=""," ",[1]!i_pq_pctchange($C429,K$6,$N$1))</f>
        <v xml:space="preserve"> </v>
      </c>
      <c r="L429" s="28" t="str">
        <f>IF(C429=""," ",[1]!s_wq_pctchange($C429,$N$1))</f>
        <v xml:space="preserve"> </v>
      </c>
      <c r="M429" s="28" t="str">
        <f>IF(C429=""," ",[1]!s_mq_pctchange($C429,$N$1))</f>
        <v xml:space="preserve"> </v>
      </c>
      <c r="N429" s="28" t="str">
        <f>IF(C429=""," ",[1]!s_yq_pctchange($C429,$N$1))</f>
        <v xml:space="preserve"> </v>
      </c>
      <c r="O429" s="11"/>
      <c r="P429" s="7"/>
    </row>
    <row r="430" spans="1:16" x14ac:dyDescent="0.35">
      <c r="A430" s="7"/>
      <c r="C430" s="31" t="str">
        <f>IF(指数列表!B427="","",指数列表!B427)</f>
        <v/>
      </c>
      <c r="D430" s="36" t="str">
        <f>IF(C430="","",[1]!s_info_name(C430))</f>
        <v/>
      </c>
      <c r="E430" s="25" t="str">
        <f>IF(C430="","",[1]!s_dq_close(C430,$N$1))</f>
        <v/>
      </c>
      <c r="F430" s="28" t="str">
        <f>IF($C430=""," ",[1]!i_pq_pctchange($C430,F$6,$N$1))</f>
        <v xml:space="preserve"> </v>
      </c>
      <c r="G430" s="28" t="str">
        <f>IF($C430=""," ",[1]!i_pq_pctchange($C430,G$6,$N$1))</f>
        <v xml:space="preserve"> </v>
      </c>
      <c r="H430" s="28" t="str">
        <f>IF($C430=""," ",[1]!i_pq_pctchange($C430,H$6,$N$1))</f>
        <v xml:space="preserve"> </v>
      </c>
      <c r="I430" s="28" t="str">
        <f>IF($C430=""," ",[1]!i_pq_pctchange($C430,I$6,$N$1))</f>
        <v xml:space="preserve"> </v>
      </c>
      <c r="J430" s="28" t="str">
        <f>IF($C430=""," ",[1]!i_pq_pctchange($C430,J$6,$N$1))</f>
        <v xml:space="preserve"> </v>
      </c>
      <c r="K430" s="28" t="str">
        <f>IF($C430=""," ",[1]!i_pq_pctchange($C430,K$6,$N$1))</f>
        <v xml:space="preserve"> </v>
      </c>
      <c r="L430" s="28" t="str">
        <f>IF(C430=""," ",[1]!s_wq_pctchange($C430,$N$1))</f>
        <v xml:space="preserve"> </v>
      </c>
      <c r="M430" s="28" t="str">
        <f>IF(C430=""," ",[1]!s_mq_pctchange($C430,$N$1))</f>
        <v xml:space="preserve"> </v>
      </c>
      <c r="N430" s="28" t="str">
        <f>IF(C430=""," ",[1]!s_yq_pctchange($C430,$N$1))</f>
        <v xml:space="preserve"> </v>
      </c>
      <c r="O430" s="11"/>
      <c r="P430" s="7"/>
    </row>
    <row r="431" spans="1:16" x14ac:dyDescent="0.35">
      <c r="A431" s="7"/>
      <c r="C431" s="30" t="str">
        <f>IF(指数列表!B428="","",指数列表!B428)</f>
        <v/>
      </c>
      <c r="D431" s="35" t="str">
        <f>IF(C431="","",[1]!s_info_name(C431))</f>
        <v/>
      </c>
      <c r="E431" s="24" t="str">
        <f>IF(C431="","",[1]!s_dq_close(C431,$N$1))</f>
        <v/>
      </c>
      <c r="F431" s="28" t="str">
        <f>IF($C431=""," ",[1]!i_pq_pctchange($C431,F$6,$N$1))</f>
        <v xml:space="preserve"> </v>
      </c>
      <c r="G431" s="28" t="str">
        <f>IF($C431=""," ",[1]!i_pq_pctchange($C431,G$6,$N$1))</f>
        <v xml:space="preserve"> </v>
      </c>
      <c r="H431" s="28" t="str">
        <f>IF($C431=""," ",[1]!i_pq_pctchange($C431,H$6,$N$1))</f>
        <v xml:space="preserve"> </v>
      </c>
      <c r="I431" s="28" t="str">
        <f>IF($C431=""," ",[1]!i_pq_pctchange($C431,I$6,$N$1))</f>
        <v xml:space="preserve"> </v>
      </c>
      <c r="J431" s="28" t="str">
        <f>IF($C431=""," ",[1]!i_pq_pctchange($C431,J$6,$N$1))</f>
        <v xml:space="preserve"> </v>
      </c>
      <c r="K431" s="28" t="str">
        <f>IF($C431=""," ",[1]!i_pq_pctchange($C431,K$6,$N$1))</f>
        <v xml:space="preserve"> </v>
      </c>
      <c r="L431" s="28" t="str">
        <f>IF(C431=""," ",[1]!s_wq_pctchange($C431,$N$1))</f>
        <v xml:space="preserve"> </v>
      </c>
      <c r="M431" s="28" t="str">
        <f>IF(C431=""," ",[1]!s_mq_pctchange($C431,$N$1))</f>
        <v xml:space="preserve"> </v>
      </c>
      <c r="N431" s="28" t="str">
        <f>IF(C431=""," ",[1]!s_yq_pctchange($C431,$N$1))</f>
        <v xml:space="preserve"> </v>
      </c>
      <c r="O431" s="11"/>
      <c r="P431" s="7"/>
    </row>
    <row r="432" spans="1:16" x14ac:dyDescent="0.35">
      <c r="A432" s="7"/>
      <c r="C432" s="31" t="str">
        <f>IF(指数列表!B429="","",指数列表!B429)</f>
        <v/>
      </c>
      <c r="D432" s="36" t="str">
        <f>IF(C432="","",[1]!s_info_name(C432))</f>
        <v/>
      </c>
      <c r="E432" s="25" t="str">
        <f>IF(C432="","",[1]!s_dq_close(C432,$N$1))</f>
        <v/>
      </c>
      <c r="F432" s="28" t="str">
        <f>IF($C432=""," ",[1]!i_pq_pctchange($C432,F$6,$N$1))</f>
        <v xml:space="preserve"> </v>
      </c>
      <c r="G432" s="28" t="str">
        <f>IF($C432=""," ",[1]!i_pq_pctchange($C432,G$6,$N$1))</f>
        <v xml:space="preserve"> </v>
      </c>
      <c r="H432" s="28" t="str">
        <f>IF($C432=""," ",[1]!i_pq_pctchange($C432,H$6,$N$1))</f>
        <v xml:space="preserve"> </v>
      </c>
      <c r="I432" s="28" t="str">
        <f>IF($C432=""," ",[1]!i_pq_pctchange($C432,I$6,$N$1))</f>
        <v xml:space="preserve"> </v>
      </c>
      <c r="J432" s="28" t="str">
        <f>IF($C432=""," ",[1]!i_pq_pctchange($C432,J$6,$N$1))</f>
        <v xml:space="preserve"> </v>
      </c>
      <c r="K432" s="28" t="str">
        <f>IF($C432=""," ",[1]!i_pq_pctchange($C432,K$6,$N$1))</f>
        <v xml:space="preserve"> </v>
      </c>
      <c r="L432" s="28" t="str">
        <f>IF(C432=""," ",[1]!s_wq_pctchange($C432,$N$1))</f>
        <v xml:space="preserve"> </v>
      </c>
      <c r="M432" s="28" t="str">
        <f>IF(C432=""," ",[1]!s_mq_pctchange($C432,$N$1))</f>
        <v xml:space="preserve"> </v>
      </c>
      <c r="N432" s="28" t="str">
        <f>IF(C432=""," ",[1]!s_yq_pctchange($C432,$N$1))</f>
        <v xml:space="preserve"> </v>
      </c>
      <c r="O432" s="11"/>
      <c r="P432" s="7"/>
    </row>
    <row r="433" spans="1:16" x14ac:dyDescent="0.35">
      <c r="A433" s="7"/>
      <c r="C433" s="30" t="str">
        <f>IF(指数列表!B430="","",指数列表!B430)</f>
        <v/>
      </c>
      <c r="D433" s="35" t="str">
        <f>IF(C433="","",[1]!s_info_name(C433))</f>
        <v/>
      </c>
      <c r="E433" s="24" t="str">
        <f>IF(C433="","",[1]!s_dq_close(C433,$N$1))</f>
        <v/>
      </c>
      <c r="F433" s="28" t="str">
        <f>IF($C433=""," ",[1]!i_pq_pctchange($C433,F$6,$N$1))</f>
        <v xml:space="preserve"> </v>
      </c>
      <c r="G433" s="28" t="str">
        <f>IF($C433=""," ",[1]!i_pq_pctchange($C433,G$6,$N$1))</f>
        <v xml:space="preserve"> </v>
      </c>
      <c r="H433" s="28" t="str">
        <f>IF($C433=""," ",[1]!i_pq_pctchange($C433,H$6,$N$1))</f>
        <v xml:space="preserve"> </v>
      </c>
      <c r="I433" s="28" t="str">
        <f>IF($C433=""," ",[1]!i_pq_pctchange($C433,I$6,$N$1))</f>
        <v xml:space="preserve"> </v>
      </c>
      <c r="J433" s="28" t="str">
        <f>IF($C433=""," ",[1]!i_pq_pctchange($C433,J$6,$N$1))</f>
        <v xml:space="preserve"> </v>
      </c>
      <c r="K433" s="28" t="str">
        <f>IF($C433=""," ",[1]!i_pq_pctchange($C433,K$6,$N$1))</f>
        <v xml:space="preserve"> </v>
      </c>
      <c r="L433" s="28" t="str">
        <f>IF(C433=""," ",[1]!s_wq_pctchange($C433,$N$1))</f>
        <v xml:space="preserve"> </v>
      </c>
      <c r="M433" s="28" t="str">
        <f>IF(C433=""," ",[1]!s_mq_pctchange($C433,$N$1))</f>
        <v xml:space="preserve"> </v>
      </c>
      <c r="N433" s="28" t="str">
        <f>IF(C433=""," ",[1]!s_yq_pctchange($C433,$N$1))</f>
        <v xml:space="preserve"> </v>
      </c>
      <c r="O433" s="11"/>
      <c r="P433" s="7"/>
    </row>
    <row r="434" spans="1:16" x14ac:dyDescent="0.35">
      <c r="A434" s="7"/>
      <c r="C434" s="31" t="str">
        <f>IF(指数列表!B431="","",指数列表!B431)</f>
        <v/>
      </c>
      <c r="D434" s="36" t="str">
        <f>IF(C434="","",[1]!s_info_name(C434))</f>
        <v/>
      </c>
      <c r="E434" s="25" t="str">
        <f>IF(C434="","",[1]!s_dq_close(C434,$N$1))</f>
        <v/>
      </c>
      <c r="F434" s="28" t="str">
        <f>IF($C434=""," ",[1]!i_pq_pctchange($C434,F$6,$N$1))</f>
        <v xml:space="preserve"> </v>
      </c>
      <c r="G434" s="28" t="str">
        <f>IF($C434=""," ",[1]!i_pq_pctchange($C434,G$6,$N$1))</f>
        <v xml:space="preserve"> </v>
      </c>
      <c r="H434" s="28" t="str">
        <f>IF($C434=""," ",[1]!i_pq_pctchange($C434,H$6,$N$1))</f>
        <v xml:space="preserve"> </v>
      </c>
      <c r="I434" s="28" t="str">
        <f>IF($C434=""," ",[1]!i_pq_pctchange($C434,I$6,$N$1))</f>
        <v xml:space="preserve"> </v>
      </c>
      <c r="J434" s="28" t="str">
        <f>IF($C434=""," ",[1]!i_pq_pctchange($C434,J$6,$N$1))</f>
        <v xml:space="preserve"> </v>
      </c>
      <c r="K434" s="28" t="str">
        <f>IF($C434=""," ",[1]!i_pq_pctchange($C434,K$6,$N$1))</f>
        <v xml:space="preserve"> </v>
      </c>
      <c r="L434" s="28" t="str">
        <f>IF(C434=""," ",[1]!s_wq_pctchange($C434,$N$1))</f>
        <v xml:space="preserve"> </v>
      </c>
      <c r="M434" s="28" t="str">
        <f>IF(C434=""," ",[1]!s_mq_pctchange($C434,$N$1))</f>
        <v xml:space="preserve"> </v>
      </c>
      <c r="N434" s="28" t="str">
        <f>IF(C434=""," ",[1]!s_yq_pctchange($C434,$N$1))</f>
        <v xml:space="preserve"> </v>
      </c>
      <c r="O434" s="11"/>
      <c r="P434" s="7"/>
    </row>
    <row r="435" spans="1:16" x14ac:dyDescent="0.35">
      <c r="A435" s="7"/>
      <c r="C435" s="30" t="str">
        <f>IF(指数列表!B432="","",指数列表!B432)</f>
        <v/>
      </c>
      <c r="D435" s="35" t="str">
        <f>IF(C435="","",[1]!s_info_name(C435))</f>
        <v/>
      </c>
      <c r="E435" s="24" t="str">
        <f>IF(C435="","",[1]!s_dq_close(C435,$N$1))</f>
        <v/>
      </c>
      <c r="F435" s="28" t="str">
        <f>IF($C435=""," ",[1]!i_pq_pctchange($C435,F$6,$N$1))</f>
        <v xml:space="preserve"> </v>
      </c>
      <c r="G435" s="28" t="str">
        <f>IF($C435=""," ",[1]!i_pq_pctchange($C435,G$6,$N$1))</f>
        <v xml:space="preserve"> </v>
      </c>
      <c r="H435" s="28" t="str">
        <f>IF($C435=""," ",[1]!i_pq_pctchange($C435,H$6,$N$1))</f>
        <v xml:space="preserve"> </v>
      </c>
      <c r="I435" s="28" t="str">
        <f>IF($C435=""," ",[1]!i_pq_pctchange($C435,I$6,$N$1))</f>
        <v xml:space="preserve"> </v>
      </c>
      <c r="J435" s="28" t="str">
        <f>IF($C435=""," ",[1]!i_pq_pctchange($C435,J$6,$N$1))</f>
        <v xml:space="preserve"> </v>
      </c>
      <c r="K435" s="28" t="str">
        <f>IF($C435=""," ",[1]!i_pq_pctchange($C435,K$6,$N$1))</f>
        <v xml:space="preserve"> </v>
      </c>
      <c r="L435" s="28" t="str">
        <f>IF(C435=""," ",[1]!s_wq_pctchange($C435,$N$1))</f>
        <v xml:space="preserve"> </v>
      </c>
      <c r="M435" s="28" t="str">
        <f>IF(C435=""," ",[1]!s_mq_pctchange($C435,$N$1))</f>
        <v xml:space="preserve"> </v>
      </c>
      <c r="N435" s="28" t="str">
        <f>IF(C435=""," ",[1]!s_yq_pctchange($C435,$N$1))</f>
        <v xml:space="preserve"> </v>
      </c>
      <c r="O435" s="11"/>
      <c r="P435" s="7"/>
    </row>
    <row r="436" spans="1:16" x14ac:dyDescent="0.35">
      <c r="A436" s="7"/>
      <c r="C436" s="31" t="str">
        <f>IF(指数列表!B433="","",指数列表!B433)</f>
        <v/>
      </c>
      <c r="D436" s="36" t="str">
        <f>IF(C436="","",[1]!s_info_name(C436))</f>
        <v/>
      </c>
      <c r="E436" s="25" t="str">
        <f>IF(C436="","",[1]!s_dq_close(C436,$N$1))</f>
        <v/>
      </c>
      <c r="F436" s="28" t="str">
        <f>IF($C436=""," ",[1]!i_pq_pctchange($C436,F$6,$N$1))</f>
        <v xml:space="preserve"> </v>
      </c>
      <c r="G436" s="28" t="str">
        <f>IF($C436=""," ",[1]!i_pq_pctchange($C436,G$6,$N$1))</f>
        <v xml:space="preserve"> </v>
      </c>
      <c r="H436" s="28" t="str">
        <f>IF($C436=""," ",[1]!i_pq_pctchange($C436,H$6,$N$1))</f>
        <v xml:space="preserve"> </v>
      </c>
      <c r="I436" s="28" t="str">
        <f>IF($C436=""," ",[1]!i_pq_pctchange($C436,I$6,$N$1))</f>
        <v xml:space="preserve"> </v>
      </c>
      <c r="J436" s="28" t="str">
        <f>IF($C436=""," ",[1]!i_pq_pctchange($C436,J$6,$N$1))</f>
        <v xml:space="preserve"> </v>
      </c>
      <c r="K436" s="28" t="str">
        <f>IF($C436=""," ",[1]!i_pq_pctchange($C436,K$6,$N$1))</f>
        <v xml:space="preserve"> </v>
      </c>
      <c r="L436" s="28" t="str">
        <f>IF(C436=""," ",[1]!s_wq_pctchange($C436,$N$1))</f>
        <v xml:space="preserve"> </v>
      </c>
      <c r="M436" s="28" t="str">
        <f>IF(C436=""," ",[1]!s_mq_pctchange($C436,$N$1))</f>
        <v xml:space="preserve"> </v>
      </c>
      <c r="N436" s="28" t="str">
        <f>IF(C436=""," ",[1]!s_yq_pctchange($C436,$N$1))</f>
        <v xml:space="preserve"> </v>
      </c>
      <c r="O436" s="11"/>
      <c r="P436" s="7"/>
    </row>
    <row r="437" spans="1:16" x14ac:dyDescent="0.35">
      <c r="A437" s="7"/>
      <c r="C437" s="30" t="str">
        <f>IF(指数列表!B434="","",指数列表!B434)</f>
        <v/>
      </c>
      <c r="D437" s="35" t="str">
        <f>IF(C437="","",[1]!s_info_name(C437))</f>
        <v/>
      </c>
      <c r="E437" s="24" t="str">
        <f>IF(C437="","",[1]!s_dq_close(C437,$N$1))</f>
        <v/>
      </c>
      <c r="F437" s="28" t="str">
        <f>IF($C437=""," ",[1]!i_pq_pctchange($C437,F$6,$N$1))</f>
        <v xml:space="preserve"> </v>
      </c>
      <c r="G437" s="28" t="str">
        <f>IF($C437=""," ",[1]!i_pq_pctchange($C437,G$6,$N$1))</f>
        <v xml:space="preserve"> </v>
      </c>
      <c r="H437" s="28" t="str">
        <f>IF($C437=""," ",[1]!i_pq_pctchange($C437,H$6,$N$1))</f>
        <v xml:space="preserve"> </v>
      </c>
      <c r="I437" s="28" t="str">
        <f>IF($C437=""," ",[1]!i_pq_pctchange($C437,I$6,$N$1))</f>
        <v xml:space="preserve"> </v>
      </c>
      <c r="J437" s="28" t="str">
        <f>IF($C437=""," ",[1]!i_pq_pctchange($C437,J$6,$N$1))</f>
        <v xml:space="preserve"> </v>
      </c>
      <c r="K437" s="28" t="str">
        <f>IF($C437=""," ",[1]!i_pq_pctchange($C437,K$6,$N$1))</f>
        <v xml:space="preserve"> </v>
      </c>
      <c r="L437" s="28" t="str">
        <f>IF(C437=""," ",[1]!s_wq_pctchange($C437,$N$1))</f>
        <v xml:space="preserve"> </v>
      </c>
      <c r="M437" s="28" t="str">
        <f>IF(C437=""," ",[1]!s_mq_pctchange($C437,$N$1))</f>
        <v xml:space="preserve"> </v>
      </c>
      <c r="N437" s="28" t="str">
        <f>IF(C437=""," ",[1]!s_yq_pctchange($C437,$N$1))</f>
        <v xml:space="preserve"> </v>
      </c>
      <c r="O437" s="11"/>
      <c r="P437" s="7"/>
    </row>
    <row r="438" spans="1:16" x14ac:dyDescent="0.35">
      <c r="A438" s="7"/>
      <c r="C438" s="31" t="str">
        <f>IF(指数列表!B435="","",指数列表!B435)</f>
        <v/>
      </c>
      <c r="D438" s="36" t="str">
        <f>IF(C438="","",[1]!s_info_name(C438))</f>
        <v/>
      </c>
      <c r="E438" s="25" t="str">
        <f>IF(C438="","",[1]!s_dq_close(C438,$N$1))</f>
        <v/>
      </c>
      <c r="F438" s="28" t="str">
        <f>IF($C438=""," ",[1]!i_pq_pctchange($C438,F$6,$N$1))</f>
        <v xml:space="preserve"> </v>
      </c>
      <c r="G438" s="28" t="str">
        <f>IF($C438=""," ",[1]!i_pq_pctchange($C438,G$6,$N$1))</f>
        <v xml:space="preserve"> </v>
      </c>
      <c r="H438" s="28" t="str">
        <f>IF($C438=""," ",[1]!i_pq_pctchange($C438,H$6,$N$1))</f>
        <v xml:space="preserve"> </v>
      </c>
      <c r="I438" s="28" t="str">
        <f>IF($C438=""," ",[1]!i_pq_pctchange($C438,I$6,$N$1))</f>
        <v xml:space="preserve"> </v>
      </c>
      <c r="J438" s="28" t="str">
        <f>IF($C438=""," ",[1]!i_pq_pctchange($C438,J$6,$N$1))</f>
        <v xml:space="preserve"> </v>
      </c>
      <c r="K438" s="28" t="str">
        <f>IF($C438=""," ",[1]!i_pq_pctchange($C438,K$6,$N$1))</f>
        <v xml:space="preserve"> </v>
      </c>
      <c r="L438" s="28" t="str">
        <f>IF(C438=""," ",[1]!s_wq_pctchange($C438,$N$1))</f>
        <v xml:space="preserve"> </v>
      </c>
      <c r="M438" s="28" t="str">
        <f>IF(C438=""," ",[1]!s_mq_pctchange($C438,$N$1))</f>
        <v xml:space="preserve"> </v>
      </c>
      <c r="N438" s="28" t="str">
        <f>IF(C438=""," ",[1]!s_yq_pctchange($C438,$N$1))</f>
        <v xml:space="preserve"> </v>
      </c>
      <c r="O438" s="11"/>
      <c r="P438" s="7"/>
    </row>
    <row r="439" spans="1:16" x14ac:dyDescent="0.35">
      <c r="A439" s="7"/>
      <c r="C439" s="30" t="str">
        <f>IF(指数列表!B436="","",指数列表!B436)</f>
        <v/>
      </c>
      <c r="D439" s="35" t="str">
        <f>IF(C439="","",[1]!s_info_name(C439))</f>
        <v/>
      </c>
      <c r="E439" s="24" t="str">
        <f>IF(C439="","",[1]!s_dq_close(C439,$N$1))</f>
        <v/>
      </c>
      <c r="F439" s="28" t="str">
        <f>IF($C439=""," ",[1]!i_pq_pctchange($C439,F$6,$N$1))</f>
        <v xml:space="preserve"> </v>
      </c>
      <c r="G439" s="28" t="str">
        <f>IF($C439=""," ",[1]!i_pq_pctchange($C439,G$6,$N$1))</f>
        <v xml:space="preserve"> </v>
      </c>
      <c r="H439" s="28" t="str">
        <f>IF($C439=""," ",[1]!i_pq_pctchange($C439,H$6,$N$1))</f>
        <v xml:space="preserve"> </v>
      </c>
      <c r="I439" s="28" t="str">
        <f>IF($C439=""," ",[1]!i_pq_pctchange($C439,I$6,$N$1))</f>
        <v xml:space="preserve"> </v>
      </c>
      <c r="J439" s="28" t="str">
        <f>IF($C439=""," ",[1]!i_pq_pctchange($C439,J$6,$N$1))</f>
        <v xml:space="preserve"> </v>
      </c>
      <c r="K439" s="28" t="str">
        <f>IF($C439=""," ",[1]!i_pq_pctchange($C439,K$6,$N$1))</f>
        <v xml:space="preserve"> </v>
      </c>
      <c r="L439" s="28" t="str">
        <f>IF(C439=""," ",[1]!s_wq_pctchange($C439,$N$1))</f>
        <v xml:space="preserve"> </v>
      </c>
      <c r="M439" s="28" t="str">
        <f>IF(C439=""," ",[1]!s_mq_pctchange($C439,$N$1))</f>
        <v xml:space="preserve"> </v>
      </c>
      <c r="N439" s="28" t="str">
        <f>IF(C439=""," ",[1]!s_yq_pctchange($C439,$N$1))</f>
        <v xml:space="preserve"> </v>
      </c>
      <c r="O439" s="11"/>
      <c r="P439" s="7"/>
    </row>
    <row r="440" spans="1:16" x14ac:dyDescent="0.35">
      <c r="A440" s="7"/>
      <c r="C440" s="31" t="str">
        <f>IF(指数列表!B437="","",指数列表!B437)</f>
        <v/>
      </c>
      <c r="D440" s="36" t="str">
        <f>IF(C440="","",[1]!s_info_name(C440))</f>
        <v/>
      </c>
      <c r="E440" s="25" t="str">
        <f>IF(C440="","",[1]!s_dq_close(C440,$N$1))</f>
        <v/>
      </c>
      <c r="F440" s="28" t="str">
        <f>IF($C440=""," ",[1]!i_pq_pctchange($C440,F$6,$N$1))</f>
        <v xml:space="preserve"> </v>
      </c>
      <c r="G440" s="28" t="str">
        <f>IF($C440=""," ",[1]!i_pq_pctchange($C440,G$6,$N$1))</f>
        <v xml:space="preserve"> </v>
      </c>
      <c r="H440" s="28" t="str">
        <f>IF($C440=""," ",[1]!i_pq_pctchange($C440,H$6,$N$1))</f>
        <v xml:space="preserve"> </v>
      </c>
      <c r="I440" s="28" t="str">
        <f>IF($C440=""," ",[1]!i_pq_pctchange($C440,I$6,$N$1))</f>
        <v xml:space="preserve"> </v>
      </c>
      <c r="J440" s="28" t="str">
        <f>IF($C440=""," ",[1]!i_pq_pctchange($C440,J$6,$N$1))</f>
        <v xml:space="preserve"> </v>
      </c>
      <c r="K440" s="28" t="str">
        <f>IF($C440=""," ",[1]!i_pq_pctchange($C440,K$6,$N$1))</f>
        <v xml:space="preserve"> </v>
      </c>
      <c r="L440" s="28" t="str">
        <f>IF(C440=""," ",[1]!s_wq_pctchange($C440,$N$1))</f>
        <v xml:space="preserve"> </v>
      </c>
      <c r="M440" s="28" t="str">
        <f>IF(C440=""," ",[1]!s_mq_pctchange($C440,$N$1))</f>
        <v xml:space="preserve"> </v>
      </c>
      <c r="N440" s="28" t="str">
        <f>IF(C440=""," ",[1]!s_yq_pctchange($C440,$N$1))</f>
        <v xml:space="preserve"> </v>
      </c>
      <c r="O440" s="11"/>
      <c r="P440" s="7"/>
    </row>
    <row r="441" spans="1:16" x14ac:dyDescent="0.35">
      <c r="A441" s="7"/>
      <c r="C441" s="30" t="str">
        <f>IF(指数列表!B438="","",指数列表!B438)</f>
        <v/>
      </c>
      <c r="D441" s="35" t="str">
        <f>IF(C441="","",[1]!s_info_name(C441))</f>
        <v/>
      </c>
      <c r="E441" s="24" t="str">
        <f>IF(C441="","",[1]!s_dq_close(C441,$N$1))</f>
        <v/>
      </c>
      <c r="F441" s="28" t="str">
        <f>IF($C441=""," ",[1]!i_pq_pctchange($C441,F$6,$N$1))</f>
        <v xml:space="preserve"> </v>
      </c>
      <c r="G441" s="28" t="str">
        <f>IF($C441=""," ",[1]!i_pq_pctchange($C441,G$6,$N$1))</f>
        <v xml:space="preserve"> </v>
      </c>
      <c r="H441" s="28" t="str">
        <f>IF($C441=""," ",[1]!i_pq_pctchange($C441,H$6,$N$1))</f>
        <v xml:space="preserve"> </v>
      </c>
      <c r="I441" s="28" t="str">
        <f>IF($C441=""," ",[1]!i_pq_pctchange($C441,I$6,$N$1))</f>
        <v xml:space="preserve"> </v>
      </c>
      <c r="J441" s="28" t="str">
        <f>IF($C441=""," ",[1]!i_pq_pctchange($C441,J$6,$N$1))</f>
        <v xml:space="preserve"> </v>
      </c>
      <c r="K441" s="28" t="str">
        <f>IF($C441=""," ",[1]!i_pq_pctchange($C441,K$6,$N$1))</f>
        <v xml:space="preserve"> </v>
      </c>
      <c r="L441" s="28" t="str">
        <f>IF(C441=""," ",[1]!s_wq_pctchange($C441,$N$1))</f>
        <v xml:space="preserve"> </v>
      </c>
      <c r="M441" s="28" t="str">
        <f>IF(C441=""," ",[1]!s_mq_pctchange($C441,$N$1))</f>
        <v xml:space="preserve"> </v>
      </c>
      <c r="N441" s="28" t="str">
        <f>IF(C441=""," ",[1]!s_yq_pctchange($C441,$N$1))</f>
        <v xml:space="preserve"> </v>
      </c>
      <c r="O441" s="11"/>
      <c r="P441" s="7"/>
    </row>
    <row r="442" spans="1:16" x14ac:dyDescent="0.35">
      <c r="A442" s="7"/>
      <c r="C442" s="31" t="str">
        <f>IF(指数列表!B439="","",指数列表!B439)</f>
        <v/>
      </c>
      <c r="D442" s="36" t="str">
        <f>IF(C442="","",[1]!s_info_name(C442))</f>
        <v/>
      </c>
      <c r="E442" s="25" t="str">
        <f>IF(C442="","",[1]!s_dq_close(C442,$N$1))</f>
        <v/>
      </c>
      <c r="F442" s="28" t="str">
        <f>IF($C442=""," ",[1]!i_pq_pctchange($C442,F$6,$N$1))</f>
        <v xml:space="preserve"> </v>
      </c>
      <c r="G442" s="28" t="str">
        <f>IF($C442=""," ",[1]!i_pq_pctchange($C442,G$6,$N$1))</f>
        <v xml:space="preserve"> </v>
      </c>
      <c r="H442" s="28" t="str">
        <f>IF($C442=""," ",[1]!i_pq_pctchange($C442,H$6,$N$1))</f>
        <v xml:space="preserve"> </v>
      </c>
      <c r="I442" s="28" t="str">
        <f>IF($C442=""," ",[1]!i_pq_pctchange($C442,I$6,$N$1))</f>
        <v xml:space="preserve"> </v>
      </c>
      <c r="J442" s="28" t="str">
        <f>IF($C442=""," ",[1]!i_pq_pctchange($C442,J$6,$N$1))</f>
        <v xml:space="preserve"> </v>
      </c>
      <c r="K442" s="28" t="str">
        <f>IF($C442=""," ",[1]!i_pq_pctchange($C442,K$6,$N$1))</f>
        <v xml:space="preserve"> </v>
      </c>
      <c r="L442" s="28" t="str">
        <f>IF(C442=""," ",[1]!s_wq_pctchange($C442,$N$1))</f>
        <v xml:space="preserve"> </v>
      </c>
      <c r="M442" s="28" t="str">
        <f>IF(C442=""," ",[1]!s_mq_pctchange($C442,$N$1))</f>
        <v xml:space="preserve"> </v>
      </c>
      <c r="N442" s="28" t="str">
        <f>IF(C442=""," ",[1]!s_yq_pctchange($C442,$N$1))</f>
        <v xml:space="preserve"> </v>
      </c>
      <c r="O442" s="11"/>
      <c r="P442" s="7"/>
    </row>
    <row r="443" spans="1:16" x14ac:dyDescent="0.35">
      <c r="A443" s="7"/>
      <c r="C443" s="30" t="str">
        <f>IF(指数列表!B440="","",指数列表!B440)</f>
        <v/>
      </c>
      <c r="D443" s="35" t="str">
        <f>IF(C443="","",[1]!s_info_name(C443))</f>
        <v/>
      </c>
      <c r="E443" s="24" t="str">
        <f>IF(C443="","",[1]!s_dq_close(C443,$N$1))</f>
        <v/>
      </c>
      <c r="F443" s="28" t="str">
        <f>IF($C443=""," ",[1]!i_pq_pctchange($C443,F$6,$N$1))</f>
        <v xml:space="preserve"> </v>
      </c>
      <c r="G443" s="28" t="str">
        <f>IF($C443=""," ",[1]!i_pq_pctchange($C443,G$6,$N$1))</f>
        <v xml:space="preserve"> </v>
      </c>
      <c r="H443" s="28" t="str">
        <f>IF($C443=""," ",[1]!i_pq_pctchange($C443,H$6,$N$1))</f>
        <v xml:space="preserve"> </v>
      </c>
      <c r="I443" s="28" t="str">
        <f>IF($C443=""," ",[1]!i_pq_pctchange($C443,I$6,$N$1))</f>
        <v xml:space="preserve"> </v>
      </c>
      <c r="J443" s="28" t="str">
        <f>IF($C443=""," ",[1]!i_pq_pctchange($C443,J$6,$N$1))</f>
        <v xml:space="preserve"> </v>
      </c>
      <c r="K443" s="28" t="str">
        <f>IF($C443=""," ",[1]!i_pq_pctchange($C443,K$6,$N$1))</f>
        <v xml:space="preserve"> </v>
      </c>
      <c r="L443" s="28" t="str">
        <f>IF(C443=""," ",[1]!s_wq_pctchange($C443,$N$1))</f>
        <v xml:space="preserve"> </v>
      </c>
      <c r="M443" s="28" t="str">
        <f>IF(C443=""," ",[1]!s_mq_pctchange($C443,$N$1))</f>
        <v xml:space="preserve"> </v>
      </c>
      <c r="N443" s="28" t="str">
        <f>IF(C443=""," ",[1]!s_yq_pctchange($C443,$N$1))</f>
        <v xml:space="preserve"> </v>
      </c>
      <c r="O443" s="11"/>
      <c r="P443" s="7"/>
    </row>
    <row r="444" spans="1:16" x14ac:dyDescent="0.35">
      <c r="A444" s="7"/>
      <c r="C444" s="31" t="str">
        <f>IF(指数列表!B441="","",指数列表!B441)</f>
        <v/>
      </c>
      <c r="D444" s="36" t="str">
        <f>IF(C444="","",[1]!s_info_name(C444))</f>
        <v/>
      </c>
      <c r="E444" s="25" t="str">
        <f>IF(C444="","",[1]!s_dq_close(C444,$N$1))</f>
        <v/>
      </c>
      <c r="F444" s="28" t="str">
        <f>IF($C444=""," ",[1]!i_pq_pctchange($C444,F$6,$N$1))</f>
        <v xml:space="preserve"> </v>
      </c>
      <c r="G444" s="28" t="str">
        <f>IF($C444=""," ",[1]!i_pq_pctchange($C444,G$6,$N$1))</f>
        <v xml:space="preserve"> </v>
      </c>
      <c r="H444" s="28" t="str">
        <f>IF($C444=""," ",[1]!i_pq_pctchange($C444,H$6,$N$1))</f>
        <v xml:space="preserve"> </v>
      </c>
      <c r="I444" s="28" t="str">
        <f>IF($C444=""," ",[1]!i_pq_pctchange($C444,I$6,$N$1))</f>
        <v xml:space="preserve"> </v>
      </c>
      <c r="J444" s="28" t="str">
        <f>IF($C444=""," ",[1]!i_pq_pctchange($C444,J$6,$N$1))</f>
        <v xml:space="preserve"> </v>
      </c>
      <c r="K444" s="28" t="str">
        <f>IF($C444=""," ",[1]!i_pq_pctchange($C444,K$6,$N$1))</f>
        <v xml:space="preserve"> </v>
      </c>
      <c r="L444" s="28" t="str">
        <f>IF(C444=""," ",[1]!s_wq_pctchange($C444,$N$1))</f>
        <v xml:space="preserve"> </v>
      </c>
      <c r="M444" s="28" t="str">
        <f>IF(C444=""," ",[1]!s_mq_pctchange($C444,$N$1))</f>
        <v xml:space="preserve"> </v>
      </c>
      <c r="N444" s="28" t="str">
        <f>IF(C444=""," ",[1]!s_yq_pctchange($C444,$N$1))</f>
        <v xml:space="preserve"> </v>
      </c>
      <c r="O444" s="11"/>
      <c r="P444" s="7"/>
    </row>
    <row r="445" spans="1:16" x14ac:dyDescent="0.35">
      <c r="A445" s="7"/>
      <c r="C445" s="30" t="str">
        <f>IF(指数列表!B442="","",指数列表!B442)</f>
        <v/>
      </c>
      <c r="D445" s="35" t="str">
        <f>IF(C445="","",[1]!s_info_name(C445))</f>
        <v/>
      </c>
      <c r="E445" s="24" t="str">
        <f>IF(C445="","",[1]!s_dq_close(C445,$N$1))</f>
        <v/>
      </c>
      <c r="F445" s="28" t="str">
        <f>IF($C445=""," ",[1]!i_pq_pctchange($C445,F$6,$N$1))</f>
        <v xml:space="preserve"> </v>
      </c>
      <c r="G445" s="28" t="str">
        <f>IF($C445=""," ",[1]!i_pq_pctchange($C445,G$6,$N$1))</f>
        <v xml:space="preserve"> </v>
      </c>
      <c r="H445" s="28" t="str">
        <f>IF($C445=""," ",[1]!i_pq_pctchange($C445,H$6,$N$1))</f>
        <v xml:space="preserve"> </v>
      </c>
      <c r="I445" s="28" t="str">
        <f>IF($C445=""," ",[1]!i_pq_pctchange($C445,I$6,$N$1))</f>
        <v xml:space="preserve"> </v>
      </c>
      <c r="J445" s="28" t="str">
        <f>IF($C445=""," ",[1]!i_pq_pctchange($C445,J$6,$N$1))</f>
        <v xml:space="preserve"> </v>
      </c>
      <c r="K445" s="28" t="str">
        <f>IF($C445=""," ",[1]!i_pq_pctchange($C445,K$6,$N$1))</f>
        <v xml:space="preserve"> </v>
      </c>
      <c r="L445" s="28" t="str">
        <f>IF(C445=""," ",[1]!s_wq_pctchange($C445,$N$1))</f>
        <v xml:space="preserve"> </v>
      </c>
      <c r="M445" s="28" t="str">
        <f>IF(C445=""," ",[1]!s_mq_pctchange($C445,$N$1))</f>
        <v xml:space="preserve"> </v>
      </c>
      <c r="N445" s="28" t="str">
        <f>IF(C445=""," ",[1]!s_yq_pctchange($C445,$N$1))</f>
        <v xml:space="preserve"> </v>
      </c>
      <c r="O445" s="11"/>
      <c r="P445" s="7"/>
    </row>
    <row r="446" spans="1:16" x14ac:dyDescent="0.35">
      <c r="A446" s="7"/>
      <c r="C446" s="31" t="str">
        <f>IF(指数列表!B443="","",指数列表!B443)</f>
        <v/>
      </c>
      <c r="D446" s="36" t="str">
        <f>IF(C446="","",[1]!s_info_name(C446))</f>
        <v/>
      </c>
      <c r="E446" s="25" t="str">
        <f>IF(C446="","",[1]!s_dq_close(C446,$N$1))</f>
        <v/>
      </c>
      <c r="F446" s="28" t="str">
        <f>IF($C446=""," ",[1]!i_pq_pctchange($C446,F$6,$N$1))</f>
        <v xml:space="preserve"> </v>
      </c>
      <c r="G446" s="28" t="str">
        <f>IF($C446=""," ",[1]!i_pq_pctchange($C446,G$6,$N$1))</f>
        <v xml:space="preserve"> </v>
      </c>
      <c r="H446" s="28" t="str">
        <f>IF($C446=""," ",[1]!i_pq_pctchange($C446,H$6,$N$1))</f>
        <v xml:space="preserve"> </v>
      </c>
      <c r="I446" s="28" t="str">
        <f>IF($C446=""," ",[1]!i_pq_pctchange($C446,I$6,$N$1))</f>
        <v xml:space="preserve"> </v>
      </c>
      <c r="J446" s="28" t="str">
        <f>IF($C446=""," ",[1]!i_pq_pctchange($C446,J$6,$N$1))</f>
        <v xml:space="preserve"> </v>
      </c>
      <c r="K446" s="28" t="str">
        <f>IF($C446=""," ",[1]!i_pq_pctchange($C446,K$6,$N$1))</f>
        <v xml:space="preserve"> </v>
      </c>
      <c r="L446" s="28" t="str">
        <f>IF(C446=""," ",[1]!s_wq_pctchange($C446,$N$1))</f>
        <v xml:space="preserve"> </v>
      </c>
      <c r="M446" s="28" t="str">
        <f>IF(C446=""," ",[1]!s_mq_pctchange($C446,$N$1))</f>
        <v xml:space="preserve"> </v>
      </c>
      <c r="N446" s="28" t="str">
        <f>IF(C446=""," ",[1]!s_yq_pctchange($C446,$N$1))</f>
        <v xml:space="preserve"> </v>
      </c>
      <c r="O446" s="11"/>
      <c r="P446" s="7"/>
    </row>
    <row r="447" spans="1:16" x14ac:dyDescent="0.35">
      <c r="A447" s="7"/>
      <c r="C447" s="30" t="str">
        <f>IF(指数列表!B444="","",指数列表!B444)</f>
        <v/>
      </c>
      <c r="D447" s="35" t="str">
        <f>IF(C447="","",[1]!s_info_name(C447))</f>
        <v/>
      </c>
      <c r="E447" s="24" t="str">
        <f>IF(C447="","",[1]!s_dq_close(C447,$N$1))</f>
        <v/>
      </c>
      <c r="F447" s="28" t="str">
        <f>IF($C447=""," ",[1]!i_pq_pctchange($C447,F$6,$N$1))</f>
        <v xml:space="preserve"> </v>
      </c>
      <c r="G447" s="28" t="str">
        <f>IF($C447=""," ",[1]!i_pq_pctchange($C447,G$6,$N$1))</f>
        <v xml:space="preserve"> </v>
      </c>
      <c r="H447" s="28" t="str">
        <f>IF($C447=""," ",[1]!i_pq_pctchange($C447,H$6,$N$1))</f>
        <v xml:space="preserve"> </v>
      </c>
      <c r="I447" s="28" t="str">
        <f>IF($C447=""," ",[1]!i_pq_pctchange($C447,I$6,$N$1))</f>
        <v xml:space="preserve"> </v>
      </c>
      <c r="J447" s="28" t="str">
        <f>IF($C447=""," ",[1]!i_pq_pctchange($C447,J$6,$N$1))</f>
        <v xml:space="preserve"> </v>
      </c>
      <c r="K447" s="28" t="str">
        <f>IF($C447=""," ",[1]!i_pq_pctchange($C447,K$6,$N$1))</f>
        <v xml:space="preserve"> </v>
      </c>
      <c r="L447" s="28" t="str">
        <f>IF(C447=""," ",[1]!s_wq_pctchange($C447,$N$1))</f>
        <v xml:space="preserve"> </v>
      </c>
      <c r="M447" s="28" t="str">
        <f>IF(C447=""," ",[1]!s_mq_pctchange($C447,$N$1))</f>
        <v xml:space="preserve"> </v>
      </c>
      <c r="N447" s="28" t="str">
        <f>IF(C447=""," ",[1]!s_yq_pctchange($C447,$N$1))</f>
        <v xml:space="preserve"> </v>
      </c>
      <c r="O447" s="11"/>
      <c r="P447" s="7"/>
    </row>
    <row r="448" spans="1:16" x14ac:dyDescent="0.35">
      <c r="A448" s="7"/>
      <c r="C448" s="31" t="str">
        <f>IF(指数列表!B445="","",指数列表!B445)</f>
        <v/>
      </c>
      <c r="D448" s="36" t="str">
        <f>IF(C448="","",[1]!s_info_name(C448))</f>
        <v/>
      </c>
      <c r="E448" s="25" t="str">
        <f>IF(C448="","",[1]!s_dq_close(C448,$N$1))</f>
        <v/>
      </c>
      <c r="F448" s="28" t="str">
        <f>IF($C448=""," ",[1]!i_pq_pctchange($C448,F$6,$N$1))</f>
        <v xml:space="preserve"> </v>
      </c>
      <c r="G448" s="28" t="str">
        <f>IF($C448=""," ",[1]!i_pq_pctchange($C448,G$6,$N$1))</f>
        <v xml:space="preserve"> </v>
      </c>
      <c r="H448" s="28" t="str">
        <f>IF($C448=""," ",[1]!i_pq_pctchange($C448,H$6,$N$1))</f>
        <v xml:space="preserve"> </v>
      </c>
      <c r="I448" s="28" t="str">
        <f>IF($C448=""," ",[1]!i_pq_pctchange($C448,I$6,$N$1))</f>
        <v xml:space="preserve"> </v>
      </c>
      <c r="J448" s="28" t="str">
        <f>IF($C448=""," ",[1]!i_pq_pctchange($C448,J$6,$N$1))</f>
        <v xml:space="preserve"> </v>
      </c>
      <c r="K448" s="28" t="str">
        <f>IF($C448=""," ",[1]!i_pq_pctchange($C448,K$6,$N$1))</f>
        <v xml:space="preserve"> </v>
      </c>
      <c r="L448" s="28" t="str">
        <f>IF(C448=""," ",[1]!s_wq_pctchange($C448,$N$1))</f>
        <v xml:space="preserve"> </v>
      </c>
      <c r="M448" s="28" t="str">
        <f>IF(C448=""," ",[1]!s_mq_pctchange($C448,$N$1))</f>
        <v xml:space="preserve"> </v>
      </c>
      <c r="N448" s="28" t="str">
        <f>IF(C448=""," ",[1]!s_yq_pctchange($C448,$N$1))</f>
        <v xml:space="preserve"> </v>
      </c>
      <c r="O448" s="11"/>
      <c r="P448" s="7"/>
    </row>
    <row r="449" spans="1:16" x14ac:dyDescent="0.35">
      <c r="A449" s="7"/>
      <c r="C449" s="30" t="str">
        <f>IF(指数列表!B446="","",指数列表!B446)</f>
        <v/>
      </c>
      <c r="D449" s="35" t="str">
        <f>IF(C449="","",[1]!s_info_name(C449))</f>
        <v/>
      </c>
      <c r="E449" s="24" t="str">
        <f>IF(C449="","",[1]!s_dq_close(C449,$N$1))</f>
        <v/>
      </c>
      <c r="F449" s="28" t="str">
        <f>IF($C449=""," ",[1]!i_pq_pctchange($C449,F$6,$N$1))</f>
        <v xml:space="preserve"> </v>
      </c>
      <c r="G449" s="28" t="str">
        <f>IF($C449=""," ",[1]!i_pq_pctchange($C449,G$6,$N$1))</f>
        <v xml:space="preserve"> </v>
      </c>
      <c r="H449" s="28" t="str">
        <f>IF($C449=""," ",[1]!i_pq_pctchange($C449,H$6,$N$1))</f>
        <v xml:space="preserve"> </v>
      </c>
      <c r="I449" s="28" t="str">
        <f>IF($C449=""," ",[1]!i_pq_pctchange($C449,I$6,$N$1))</f>
        <v xml:space="preserve"> </v>
      </c>
      <c r="J449" s="28" t="str">
        <f>IF($C449=""," ",[1]!i_pq_pctchange($C449,J$6,$N$1))</f>
        <v xml:space="preserve"> </v>
      </c>
      <c r="K449" s="28" t="str">
        <f>IF($C449=""," ",[1]!i_pq_pctchange($C449,K$6,$N$1))</f>
        <v xml:space="preserve"> </v>
      </c>
      <c r="L449" s="28" t="str">
        <f>IF(C449=""," ",[1]!s_wq_pctchange($C449,$N$1))</f>
        <v xml:space="preserve"> </v>
      </c>
      <c r="M449" s="28" t="str">
        <f>IF(C449=""," ",[1]!s_mq_pctchange($C449,$N$1))</f>
        <v xml:space="preserve"> </v>
      </c>
      <c r="N449" s="28" t="str">
        <f>IF(C449=""," ",[1]!s_yq_pctchange($C449,$N$1))</f>
        <v xml:space="preserve"> </v>
      </c>
      <c r="O449" s="11"/>
      <c r="P449" s="7"/>
    </row>
    <row r="450" spans="1:16" x14ac:dyDescent="0.35">
      <c r="A450" s="7"/>
      <c r="C450" s="31" t="str">
        <f>IF(指数列表!B447="","",指数列表!B447)</f>
        <v/>
      </c>
      <c r="D450" s="36" t="str">
        <f>IF(C450="","",[1]!s_info_name(C450))</f>
        <v/>
      </c>
      <c r="E450" s="25" t="str">
        <f>IF(C450="","",[1]!s_dq_close(C450,$N$1))</f>
        <v/>
      </c>
      <c r="F450" s="28" t="str">
        <f>IF($C450=""," ",[1]!i_pq_pctchange($C450,F$6,$N$1))</f>
        <v xml:space="preserve"> </v>
      </c>
      <c r="G450" s="28" t="str">
        <f>IF($C450=""," ",[1]!i_pq_pctchange($C450,G$6,$N$1))</f>
        <v xml:space="preserve"> </v>
      </c>
      <c r="H450" s="28" t="str">
        <f>IF($C450=""," ",[1]!i_pq_pctchange($C450,H$6,$N$1))</f>
        <v xml:space="preserve"> </v>
      </c>
      <c r="I450" s="28" t="str">
        <f>IF($C450=""," ",[1]!i_pq_pctchange($C450,I$6,$N$1))</f>
        <v xml:space="preserve"> </v>
      </c>
      <c r="J450" s="28" t="str">
        <f>IF($C450=""," ",[1]!i_pq_pctchange($C450,J$6,$N$1))</f>
        <v xml:space="preserve"> </v>
      </c>
      <c r="K450" s="28" t="str">
        <f>IF($C450=""," ",[1]!i_pq_pctchange($C450,K$6,$N$1))</f>
        <v xml:space="preserve"> </v>
      </c>
      <c r="L450" s="28" t="str">
        <f>IF(C450=""," ",[1]!s_wq_pctchange($C450,$N$1))</f>
        <v xml:space="preserve"> </v>
      </c>
      <c r="M450" s="28" t="str">
        <f>IF(C450=""," ",[1]!s_mq_pctchange($C450,$N$1))</f>
        <v xml:space="preserve"> </v>
      </c>
      <c r="N450" s="28" t="str">
        <f>IF(C450=""," ",[1]!s_yq_pctchange($C450,$N$1))</f>
        <v xml:space="preserve"> </v>
      </c>
      <c r="O450" s="11"/>
      <c r="P450" s="7"/>
    </row>
    <row r="451" spans="1:16" x14ac:dyDescent="0.35">
      <c r="A451" s="7"/>
      <c r="C451" s="30" t="str">
        <f>IF(指数列表!B448="","",指数列表!B448)</f>
        <v/>
      </c>
      <c r="D451" s="35" t="str">
        <f>IF(C451="","",[1]!s_info_name(C451))</f>
        <v/>
      </c>
      <c r="E451" s="24" t="str">
        <f>IF(C451="","",[1]!s_dq_close(C451,$N$1))</f>
        <v/>
      </c>
      <c r="F451" s="28" t="str">
        <f>IF($C451=""," ",[1]!i_pq_pctchange($C451,F$6,$N$1))</f>
        <v xml:space="preserve"> </v>
      </c>
      <c r="G451" s="28" t="str">
        <f>IF($C451=""," ",[1]!i_pq_pctchange($C451,G$6,$N$1))</f>
        <v xml:space="preserve"> </v>
      </c>
      <c r="H451" s="28" t="str">
        <f>IF($C451=""," ",[1]!i_pq_pctchange($C451,H$6,$N$1))</f>
        <v xml:space="preserve"> </v>
      </c>
      <c r="I451" s="28" t="str">
        <f>IF($C451=""," ",[1]!i_pq_pctchange($C451,I$6,$N$1))</f>
        <v xml:space="preserve"> </v>
      </c>
      <c r="J451" s="28" t="str">
        <f>IF($C451=""," ",[1]!i_pq_pctchange($C451,J$6,$N$1))</f>
        <v xml:space="preserve"> </v>
      </c>
      <c r="K451" s="28" t="str">
        <f>IF($C451=""," ",[1]!i_pq_pctchange($C451,K$6,$N$1))</f>
        <v xml:space="preserve"> </v>
      </c>
      <c r="L451" s="28" t="str">
        <f>IF(C451=""," ",[1]!s_wq_pctchange($C451,$N$1))</f>
        <v xml:space="preserve"> </v>
      </c>
      <c r="M451" s="28" t="str">
        <f>IF(C451=""," ",[1]!s_mq_pctchange($C451,$N$1))</f>
        <v xml:space="preserve"> </v>
      </c>
      <c r="N451" s="28" t="str">
        <f>IF(C451=""," ",[1]!s_yq_pctchange($C451,$N$1))</f>
        <v xml:space="preserve"> </v>
      </c>
      <c r="O451" s="11"/>
      <c r="P451" s="7"/>
    </row>
    <row r="452" spans="1:16" x14ac:dyDescent="0.35">
      <c r="A452" s="7"/>
      <c r="C452" s="31" t="str">
        <f>IF(指数列表!B449="","",指数列表!B449)</f>
        <v/>
      </c>
      <c r="D452" s="36" t="str">
        <f>IF(C452="","",[1]!s_info_name(C452))</f>
        <v/>
      </c>
      <c r="E452" s="25" t="str">
        <f>IF(C452="","",[1]!s_dq_close(C452,$N$1))</f>
        <v/>
      </c>
      <c r="F452" s="28" t="str">
        <f>IF($C452=""," ",[1]!i_pq_pctchange($C452,F$6,$N$1))</f>
        <v xml:space="preserve"> </v>
      </c>
      <c r="G452" s="28" t="str">
        <f>IF($C452=""," ",[1]!i_pq_pctchange($C452,G$6,$N$1))</f>
        <v xml:space="preserve"> </v>
      </c>
      <c r="H452" s="28" t="str">
        <f>IF($C452=""," ",[1]!i_pq_pctchange($C452,H$6,$N$1))</f>
        <v xml:space="preserve"> </v>
      </c>
      <c r="I452" s="28" t="str">
        <f>IF($C452=""," ",[1]!i_pq_pctchange($C452,I$6,$N$1))</f>
        <v xml:space="preserve"> </v>
      </c>
      <c r="J452" s="28" t="str">
        <f>IF($C452=""," ",[1]!i_pq_pctchange($C452,J$6,$N$1))</f>
        <v xml:space="preserve"> </v>
      </c>
      <c r="K452" s="28" t="str">
        <f>IF($C452=""," ",[1]!i_pq_pctchange($C452,K$6,$N$1))</f>
        <v xml:space="preserve"> </v>
      </c>
      <c r="L452" s="28" t="str">
        <f>IF(C452=""," ",[1]!s_wq_pctchange($C452,$N$1))</f>
        <v xml:space="preserve"> </v>
      </c>
      <c r="M452" s="28" t="str">
        <f>IF(C452=""," ",[1]!s_mq_pctchange($C452,$N$1))</f>
        <v xml:space="preserve"> </v>
      </c>
      <c r="N452" s="28" t="str">
        <f>IF(C452=""," ",[1]!s_yq_pctchange($C452,$N$1))</f>
        <v xml:space="preserve"> </v>
      </c>
      <c r="O452" s="11"/>
      <c r="P452" s="7"/>
    </row>
    <row r="453" spans="1:16" x14ac:dyDescent="0.35">
      <c r="A453" s="7"/>
      <c r="C453" s="30" t="str">
        <f>IF(指数列表!B450="","",指数列表!B450)</f>
        <v/>
      </c>
      <c r="D453" s="35" t="str">
        <f>IF(C453="","",[1]!s_info_name(C453))</f>
        <v/>
      </c>
      <c r="E453" s="24" t="str">
        <f>IF(C453="","",[1]!s_dq_close(C453,$N$1))</f>
        <v/>
      </c>
      <c r="F453" s="28" t="str">
        <f>IF($C453=""," ",[1]!i_pq_pctchange($C453,F$6,$N$1))</f>
        <v xml:space="preserve"> </v>
      </c>
      <c r="G453" s="28" t="str">
        <f>IF($C453=""," ",[1]!i_pq_pctchange($C453,G$6,$N$1))</f>
        <v xml:space="preserve"> </v>
      </c>
      <c r="H453" s="28" t="str">
        <f>IF($C453=""," ",[1]!i_pq_pctchange($C453,H$6,$N$1))</f>
        <v xml:space="preserve"> </v>
      </c>
      <c r="I453" s="28" t="str">
        <f>IF($C453=""," ",[1]!i_pq_pctchange($C453,I$6,$N$1))</f>
        <v xml:space="preserve"> </v>
      </c>
      <c r="J453" s="28" t="str">
        <f>IF($C453=""," ",[1]!i_pq_pctchange($C453,J$6,$N$1))</f>
        <v xml:space="preserve"> </v>
      </c>
      <c r="K453" s="28" t="str">
        <f>IF($C453=""," ",[1]!i_pq_pctchange($C453,K$6,$N$1))</f>
        <v xml:space="preserve"> </v>
      </c>
      <c r="L453" s="28" t="str">
        <f>IF(C453=""," ",[1]!s_wq_pctchange($C453,$N$1))</f>
        <v xml:space="preserve"> </v>
      </c>
      <c r="M453" s="28" t="str">
        <f>IF(C453=""," ",[1]!s_mq_pctchange($C453,$N$1))</f>
        <v xml:space="preserve"> </v>
      </c>
      <c r="N453" s="28" t="str">
        <f>IF(C453=""," ",[1]!s_yq_pctchange($C453,$N$1))</f>
        <v xml:space="preserve"> </v>
      </c>
      <c r="O453" s="11"/>
      <c r="P453" s="7"/>
    </row>
    <row r="454" spans="1:16" x14ac:dyDescent="0.35">
      <c r="A454" s="7"/>
      <c r="C454" s="31" t="str">
        <f>IF(指数列表!B451="","",指数列表!B451)</f>
        <v/>
      </c>
      <c r="D454" s="36" t="str">
        <f>IF(C454="","",[1]!s_info_name(C454))</f>
        <v/>
      </c>
      <c r="E454" s="25" t="str">
        <f>IF(C454="","",[1]!s_dq_close(C454,$N$1))</f>
        <v/>
      </c>
      <c r="F454" s="28" t="str">
        <f>IF($C454=""," ",[1]!i_pq_pctchange($C454,F$6,$N$1))</f>
        <v xml:space="preserve"> </v>
      </c>
      <c r="G454" s="28" t="str">
        <f>IF($C454=""," ",[1]!i_pq_pctchange($C454,G$6,$N$1))</f>
        <v xml:space="preserve"> </v>
      </c>
      <c r="H454" s="28" t="str">
        <f>IF($C454=""," ",[1]!i_pq_pctchange($C454,H$6,$N$1))</f>
        <v xml:space="preserve"> </v>
      </c>
      <c r="I454" s="28" t="str">
        <f>IF($C454=""," ",[1]!i_pq_pctchange($C454,I$6,$N$1))</f>
        <v xml:space="preserve"> </v>
      </c>
      <c r="J454" s="28" t="str">
        <f>IF($C454=""," ",[1]!i_pq_pctchange($C454,J$6,$N$1))</f>
        <v xml:space="preserve"> </v>
      </c>
      <c r="K454" s="28" t="str">
        <f>IF($C454=""," ",[1]!i_pq_pctchange($C454,K$6,$N$1))</f>
        <v xml:space="preserve"> </v>
      </c>
      <c r="L454" s="28" t="str">
        <f>IF(C454=""," ",[1]!s_wq_pctchange($C454,$N$1))</f>
        <v xml:space="preserve"> </v>
      </c>
      <c r="M454" s="28" t="str">
        <f>IF(C454=""," ",[1]!s_mq_pctchange($C454,$N$1))</f>
        <v xml:space="preserve"> </v>
      </c>
      <c r="N454" s="28" t="str">
        <f>IF(C454=""," ",[1]!s_yq_pctchange($C454,$N$1))</f>
        <v xml:space="preserve"> </v>
      </c>
      <c r="O454" s="11"/>
      <c r="P454" s="7"/>
    </row>
    <row r="455" spans="1:16" x14ac:dyDescent="0.35">
      <c r="A455" s="7"/>
      <c r="C455" s="30" t="str">
        <f>IF(指数列表!B452="","",指数列表!B452)</f>
        <v/>
      </c>
      <c r="D455" s="35" t="str">
        <f>IF(C455="","",[1]!s_info_name(C455))</f>
        <v/>
      </c>
      <c r="E455" s="24" t="str">
        <f>IF(C455="","",[1]!s_dq_close(C455,$N$1))</f>
        <v/>
      </c>
      <c r="F455" s="28" t="str">
        <f>IF($C455=""," ",[1]!i_pq_pctchange($C455,F$6,$N$1))</f>
        <v xml:space="preserve"> </v>
      </c>
      <c r="G455" s="28" t="str">
        <f>IF($C455=""," ",[1]!i_pq_pctchange($C455,G$6,$N$1))</f>
        <v xml:space="preserve"> </v>
      </c>
      <c r="H455" s="28" t="str">
        <f>IF($C455=""," ",[1]!i_pq_pctchange($C455,H$6,$N$1))</f>
        <v xml:space="preserve"> </v>
      </c>
      <c r="I455" s="28" t="str">
        <f>IF($C455=""," ",[1]!i_pq_pctchange($C455,I$6,$N$1))</f>
        <v xml:space="preserve"> </v>
      </c>
      <c r="J455" s="28" t="str">
        <f>IF($C455=""," ",[1]!i_pq_pctchange($C455,J$6,$N$1))</f>
        <v xml:space="preserve"> </v>
      </c>
      <c r="K455" s="28" t="str">
        <f>IF($C455=""," ",[1]!i_pq_pctchange($C455,K$6,$N$1))</f>
        <v xml:space="preserve"> </v>
      </c>
      <c r="L455" s="28" t="str">
        <f>IF(C455=""," ",[1]!s_wq_pctchange($C455,$N$1))</f>
        <v xml:space="preserve"> </v>
      </c>
      <c r="M455" s="28" t="str">
        <f>IF(C455=""," ",[1]!s_mq_pctchange($C455,$N$1))</f>
        <v xml:space="preserve"> </v>
      </c>
      <c r="N455" s="28" t="str">
        <f>IF(C455=""," ",[1]!s_yq_pctchange($C455,$N$1))</f>
        <v xml:space="preserve"> </v>
      </c>
      <c r="O455" s="11"/>
      <c r="P455" s="7"/>
    </row>
    <row r="456" spans="1:16" x14ac:dyDescent="0.35">
      <c r="A456" s="7"/>
      <c r="C456" s="31" t="str">
        <f>IF(指数列表!B453="","",指数列表!B453)</f>
        <v/>
      </c>
      <c r="D456" s="36" t="str">
        <f>IF(C456="","",[1]!s_info_name(C456))</f>
        <v/>
      </c>
      <c r="E456" s="25" t="str">
        <f>IF(C456="","",[1]!s_dq_close(C456,$N$1))</f>
        <v/>
      </c>
      <c r="F456" s="28" t="str">
        <f>IF($C456=""," ",[1]!i_pq_pctchange($C456,F$6,$N$1))</f>
        <v xml:space="preserve"> </v>
      </c>
      <c r="G456" s="28" t="str">
        <f>IF($C456=""," ",[1]!i_pq_pctchange($C456,G$6,$N$1))</f>
        <v xml:space="preserve"> </v>
      </c>
      <c r="H456" s="28" t="str">
        <f>IF($C456=""," ",[1]!i_pq_pctchange($C456,H$6,$N$1))</f>
        <v xml:space="preserve"> </v>
      </c>
      <c r="I456" s="28" t="str">
        <f>IF($C456=""," ",[1]!i_pq_pctchange($C456,I$6,$N$1))</f>
        <v xml:space="preserve"> </v>
      </c>
      <c r="J456" s="28" t="str">
        <f>IF($C456=""," ",[1]!i_pq_pctchange($C456,J$6,$N$1))</f>
        <v xml:space="preserve"> </v>
      </c>
      <c r="K456" s="28" t="str">
        <f>IF($C456=""," ",[1]!i_pq_pctchange($C456,K$6,$N$1))</f>
        <v xml:space="preserve"> </v>
      </c>
      <c r="L456" s="28" t="str">
        <f>IF(C456=""," ",[1]!s_wq_pctchange($C456,$N$1))</f>
        <v xml:space="preserve"> </v>
      </c>
      <c r="M456" s="28" t="str">
        <f>IF(C456=""," ",[1]!s_mq_pctchange($C456,$N$1))</f>
        <v xml:space="preserve"> </v>
      </c>
      <c r="N456" s="28" t="str">
        <f>IF(C456=""," ",[1]!s_yq_pctchange($C456,$N$1))</f>
        <v xml:space="preserve"> </v>
      </c>
      <c r="O456" s="11"/>
      <c r="P456" s="7"/>
    </row>
    <row r="457" spans="1:16" x14ac:dyDescent="0.35">
      <c r="A457" s="7"/>
      <c r="C457" s="30" t="str">
        <f>IF(指数列表!B454="","",指数列表!B454)</f>
        <v/>
      </c>
      <c r="D457" s="35" t="str">
        <f>IF(C457="","",[1]!s_info_name(C457))</f>
        <v/>
      </c>
      <c r="E457" s="24" t="str">
        <f>IF(C457="","",[1]!s_dq_close(C457,$N$1))</f>
        <v/>
      </c>
      <c r="F457" s="28" t="str">
        <f>IF($C457=""," ",[1]!i_pq_pctchange($C457,F$6,$N$1))</f>
        <v xml:space="preserve"> </v>
      </c>
      <c r="G457" s="28" t="str">
        <f>IF($C457=""," ",[1]!i_pq_pctchange($C457,G$6,$N$1))</f>
        <v xml:space="preserve"> </v>
      </c>
      <c r="H457" s="28" t="str">
        <f>IF($C457=""," ",[1]!i_pq_pctchange($C457,H$6,$N$1))</f>
        <v xml:space="preserve"> </v>
      </c>
      <c r="I457" s="28" t="str">
        <f>IF($C457=""," ",[1]!i_pq_pctchange($C457,I$6,$N$1))</f>
        <v xml:space="preserve"> </v>
      </c>
      <c r="J457" s="28" t="str">
        <f>IF($C457=""," ",[1]!i_pq_pctchange($C457,J$6,$N$1))</f>
        <v xml:space="preserve"> </v>
      </c>
      <c r="K457" s="28" t="str">
        <f>IF($C457=""," ",[1]!i_pq_pctchange($C457,K$6,$N$1))</f>
        <v xml:space="preserve"> </v>
      </c>
      <c r="L457" s="28" t="str">
        <f>IF(C457=""," ",[1]!s_wq_pctchange($C457,$N$1))</f>
        <v xml:space="preserve"> </v>
      </c>
      <c r="M457" s="28" t="str">
        <f>IF(C457=""," ",[1]!s_mq_pctchange($C457,$N$1))</f>
        <v xml:space="preserve"> </v>
      </c>
      <c r="N457" s="28" t="str">
        <f>IF(C457=""," ",[1]!s_yq_pctchange($C457,$N$1))</f>
        <v xml:space="preserve"> </v>
      </c>
      <c r="O457" s="11"/>
      <c r="P457" s="7"/>
    </row>
    <row r="458" spans="1:16" x14ac:dyDescent="0.35">
      <c r="A458" s="7"/>
      <c r="C458" s="31" t="str">
        <f>IF(指数列表!B455="","",指数列表!B455)</f>
        <v/>
      </c>
      <c r="D458" s="36" t="str">
        <f>IF(C458="","",[1]!s_info_name(C458))</f>
        <v/>
      </c>
      <c r="E458" s="25" t="str">
        <f>IF(C458="","",[1]!s_dq_close(C458,$N$1))</f>
        <v/>
      </c>
      <c r="F458" s="28" t="str">
        <f>IF($C458=""," ",[1]!i_pq_pctchange($C458,F$6,$N$1))</f>
        <v xml:space="preserve"> </v>
      </c>
      <c r="G458" s="28" t="str">
        <f>IF($C458=""," ",[1]!i_pq_pctchange($C458,G$6,$N$1))</f>
        <v xml:space="preserve"> </v>
      </c>
      <c r="H458" s="28" t="str">
        <f>IF($C458=""," ",[1]!i_pq_pctchange($C458,H$6,$N$1))</f>
        <v xml:space="preserve"> </v>
      </c>
      <c r="I458" s="28" t="str">
        <f>IF($C458=""," ",[1]!i_pq_pctchange($C458,I$6,$N$1))</f>
        <v xml:space="preserve"> </v>
      </c>
      <c r="J458" s="28" t="str">
        <f>IF($C458=""," ",[1]!i_pq_pctchange($C458,J$6,$N$1))</f>
        <v xml:space="preserve"> </v>
      </c>
      <c r="K458" s="28" t="str">
        <f>IF($C458=""," ",[1]!i_pq_pctchange($C458,K$6,$N$1))</f>
        <v xml:space="preserve"> </v>
      </c>
      <c r="L458" s="28" t="str">
        <f>IF(C458=""," ",[1]!s_wq_pctchange($C458,$N$1))</f>
        <v xml:space="preserve"> </v>
      </c>
      <c r="M458" s="28" t="str">
        <f>IF(C458=""," ",[1]!s_mq_pctchange($C458,$N$1))</f>
        <v xml:space="preserve"> </v>
      </c>
      <c r="N458" s="28" t="str">
        <f>IF(C458=""," ",[1]!s_yq_pctchange($C458,$N$1))</f>
        <v xml:space="preserve"> </v>
      </c>
      <c r="O458" s="11"/>
      <c r="P458" s="7"/>
    </row>
    <row r="459" spans="1:16" x14ac:dyDescent="0.35">
      <c r="A459" s="7"/>
      <c r="C459" s="30" t="str">
        <f>IF(指数列表!B456="","",指数列表!B456)</f>
        <v/>
      </c>
      <c r="D459" s="35" t="str">
        <f>IF(C459="","",[1]!s_info_name(C459))</f>
        <v/>
      </c>
      <c r="E459" s="24" t="str">
        <f>IF(C459="","",[1]!s_dq_close(C459,$N$1))</f>
        <v/>
      </c>
      <c r="F459" s="28" t="str">
        <f>IF($C459=""," ",[1]!i_pq_pctchange($C459,F$6,$N$1))</f>
        <v xml:space="preserve"> </v>
      </c>
      <c r="G459" s="28" t="str">
        <f>IF($C459=""," ",[1]!i_pq_pctchange($C459,G$6,$N$1))</f>
        <v xml:space="preserve"> </v>
      </c>
      <c r="H459" s="28" t="str">
        <f>IF($C459=""," ",[1]!i_pq_pctchange($C459,H$6,$N$1))</f>
        <v xml:space="preserve"> </v>
      </c>
      <c r="I459" s="28" t="str">
        <f>IF($C459=""," ",[1]!i_pq_pctchange($C459,I$6,$N$1))</f>
        <v xml:space="preserve"> </v>
      </c>
      <c r="J459" s="28" t="str">
        <f>IF($C459=""," ",[1]!i_pq_pctchange($C459,J$6,$N$1))</f>
        <v xml:space="preserve"> </v>
      </c>
      <c r="K459" s="28" t="str">
        <f>IF($C459=""," ",[1]!i_pq_pctchange($C459,K$6,$N$1))</f>
        <v xml:space="preserve"> </v>
      </c>
      <c r="L459" s="28" t="str">
        <f>IF(C459=""," ",[1]!s_wq_pctchange($C459,$N$1))</f>
        <v xml:space="preserve"> </v>
      </c>
      <c r="M459" s="28" t="str">
        <f>IF(C459=""," ",[1]!s_mq_pctchange($C459,$N$1))</f>
        <v xml:space="preserve"> </v>
      </c>
      <c r="N459" s="28" t="str">
        <f>IF(C459=""," ",[1]!s_yq_pctchange($C459,$N$1))</f>
        <v xml:space="preserve"> </v>
      </c>
      <c r="O459" s="11"/>
      <c r="P459" s="7"/>
    </row>
    <row r="460" spans="1:16" x14ac:dyDescent="0.35">
      <c r="A460" s="7"/>
      <c r="C460" s="31" t="str">
        <f>IF(指数列表!B457="","",指数列表!B457)</f>
        <v/>
      </c>
      <c r="D460" s="36" t="str">
        <f>IF(C460="","",[1]!s_info_name(C460))</f>
        <v/>
      </c>
      <c r="E460" s="25" t="str">
        <f>IF(C460="","",[1]!s_dq_close(C460,$N$1))</f>
        <v/>
      </c>
      <c r="F460" s="28" t="str">
        <f>IF($C460=""," ",[1]!i_pq_pctchange($C460,F$6,$N$1))</f>
        <v xml:space="preserve"> </v>
      </c>
      <c r="G460" s="28" t="str">
        <f>IF($C460=""," ",[1]!i_pq_pctchange($C460,G$6,$N$1))</f>
        <v xml:space="preserve"> </v>
      </c>
      <c r="H460" s="28" t="str">
        <f>IF($C460=""," ",[1]!i_pq_pctchange($C460,H$6,$N$1))</f>
        <v xml:space="preserve"> </v>
      </c>
      <c r="I460" s="28" t="str">
        <f>IF($C460=""," ",[1]!i_pq_pctchange($C460,I$6,$N$1))</f>
        <v xml:space="preserve"> </v>
      </c>
      <c r="J460" s="28" t="str">
        <f>IF($C460=""," ",[1]!i_pq_pctchange($C460,J$6,$N$1))</f>
        <v xml:space="preserve"> </v>
      </c>
      <c r="K460" s="28" t="str">
        <f>IF($C460=""," ",[1]!i_pq_pctchange($C460,K$6,$N$1))</f>
        <v xml:space="preserve"> </v>
      </c>
      <c r="L460" s="28" t="str">
        <f>IF(C460=""," ",[1]!s_wq_pctchange($C460,$N$1))</f>
        <v xml:space="preserve"> </v>
      </c>
      <c r="M460" s="28" t="str">
        <f>IF(C460=""," ",[1]!s_mq_pctchange($C460,$N$1))</f>
        <v xml:space="preserve"> </v>
      </c>
      <c r="N460" s="28" t="str">
        <f>IF(C460=""," ",[1]!s_yq_pctchange($C460,$N$1))</f>
        <v xml:space="preserve"> </v>
      </c>
      <c r="O460" s="11"/>
      <c r="P460" s="7"/>
    </row>
    <row r="461" spans="1:16" x14ac:dyDescent="0.35">
      <c r="A461" s="7"/>
      <c r="C461" s="30" t="str">
        <f>IF(指数列表!B458="","",指数列表!B458)</f>
        <v/>
      </c>
      <c r="D461" s="35" t="str">
        <f>IF(C461="","",[1]!s_info_name(C461))</f>
        <v/>
      </c>
      <c r="E461" s="24" t="str">
        <f>IF(C461="","",[1]!s_dq_close(C461,$N$1))</f>
        <v/>
      </c>
      <c r="F461" s="28" t="str">
        <f>IF($C461=""," ",[1]!i_pq_pctchange($C461,F$6,$N$1))</f>
        <v xml:space="preserve"> </v>
      </c>
      <c r="G461" s="28" t="str">
        <f>IF($C461=""," ",[1]!i_pq_pctchange($C461,G$6,$N$1))</f>
        <v xml:space="preserve"> </v>
      </c>
      <c r="H461" s="28" t="str">
        <f>IF($C461=""," ",[1]!i_pq_pctchange($C461,H$6,$N$1))</f>
        <v xml:space="preserve"> </v>
      </c>
      <c r="I461" s="28" t="str">
        <f>IF($C461=""," ",[1]!i_pq_pctchange($C461,I$6,$N$1))</f>
        <v xml:space="preserve"> </v>
      </c>
      <c r="J461" s="28" t="str">
        <f>IF($C461=""," ",[1]!i_pq_pctchange($C461,J$6,$N$1))</f>
        <v xml:space="preserve"> </v>
      </c>
      <c r="K461" s="28" t="str">
        <f>IF($C461=""," ",[1]!i_pq_pctchange($C461,K$6,$N$1))</f>
        <v xml:space="preserve"> </v>
      </c>
      <c r="L461" s="28" t="str">
        <f>IF(C461=""," ",[1]!s_wq_pctchange($C461,$N$1))</f>
        <v xml:space="preserve"> </v>
      </c>
      <c r="M461" s="28" t="str">
        <f>IF(C461=""," ",[1]!s_mq_pctchange($C461,$N$1))</f>
        <v xml:space="preserve"> </v>
      </c>
      <c r="N461" s="28" t="str">
        <f>IF(C461=""," ",[1]!s_yq_pctchange($C461,$N$1))</f>
        <v xml:space="preserve"> </v>
      </c>
      <c r="O461" s="11"/>
      <c r="P461" s="7"/>
    </row>
    <row r="462" spans="1:16" x14ac:dyDescent="0.35">
      <c r="A462" s="7"/>
      <c r="C462" s="31" t="str">
        <f>IF(指数列表!B459="","",指数列表!B459)</f>
        <v/>
      </c>
      <c r="D462" s="36" t="str">
        <f>IF(C462="","",[1]!s_info_name(C462))</f>
        <v/>
      </c>
      <c r="E462" s="25" t="str">
        <f>IF(C462="","",[1]!s_dq_close(C462,$N$1))</f>
        <v/>
      </c>
      <c r="F462" s="28" t="str">
        <f>IF($C462=""," ",[1]!i_pq_pctchange($C462,F$6,$N$1))</f>
        <v xml:space="preserve"> </v>
      </c>
      <c r="G462" s="28" t="str">
        <f>IF($C462=""," ",[1]!i_pq_pctchange($C462,G$6,$N$1))</f>
        <v xml:space="preserve"> </v>
      </c>
      <c r="H462" s="28" t="str">
        <f>IF($C462=""," ",[1]!i_pq_pctchange($C462,H$6,$N$1))</f>
        <v xml:space="preserve"> </v>
      </c>
      <c r="I462" s="28" t="str">
        <f>IF($C462=""," ",[1]!i_pq_pctchange($C462,I$6,$N$1))</f>
        <v xml:space="preserve"> </v>
      </c>
      <c r="J462" s="28" t="str">
        <f>IF($C462=""," ",[1]!i_pq_pctchange($C462,J$6,$N$1))</f>
        <v xml:space="preserve"> </v>
      </c>
      <c r="K462" s="28" t="str">
        <f>IF($C462=""," ",[1]!i_pq_pctchange($C462,K$6,$N$1))</f>
        <v xml:space="preserve"> </v>
      </c>
      <c r="L462" s="28" t="str">
        <f>IF(C462=""," ",[1]!s_wq_pctchange($C462,$N$1))</f>
        <v xml:space="preserve"> </v>
      </c>
      <c r="M462" s="28" t="str">
        <f>IF(C462=""," ",[1]!s_mq_pctchange($C462,$N$1))</f>
        <v xml:space="preserve"> </v>
      </c>
      <c r="N462" s="28" t="str">
        <f>IF(C462=""," ",[1]!s_yq_pctchange($C462,$N$1))</f>
        <v xml:space="preserve"> </v>
      </c>
      <c r="O462" s="11"/>
      <c r="P462" s="7"/>
    </row>
    <row r="463" spans="1:16" x14ac:dyDescent="0.35">
      <c r="A463" s="7"/>
      <c r="C463" s="30" t="str">
        <f>IF(指数列表!B460="","",指数列表!B460)</f>
        <v/>
      </c>
      <c r="D463" s="35" t="str">
        <f>IF(C463="","",[1]!s_info_name(C463))</f>
        <v/>
      </c>
      <c r="E463" s="24" t="str">
        <f>IF(C463="","",[1]!s_dq_close(C463,$N$1))</f>
        <v/>
      </c>
      <c r="F463" s="28" t="str">
        <f>IF($C463=""," ",[1]!i_pq_pctchange($C463,F$6,$N$1))</f>
        <v xml:space="preserve"> </v>
      </c>
      <c r="G463" s="28" t="str">
        <f>IF($C463=""," ",[1]!i_pq_pctchange($C463,G$6,$N$1))</f>
        <v xml:space="preserve"> </v>
      </c>
      <c r="H463" s="28" t="str">
        <f>IF($C463=""," ",[1]!i_pq_pctchange($C463,H$6,$N$1))</f>
        <v xml:space="preserve"> </v>
      </c>
      <c r="I463" s="28" t="str">
        <f>IF($C463=""," ",[1]!i_pq_pctchange($C463,I$6,$N$1))</f>
        <v xml:space="preserve"> </v>
      </c>
      <c r="J463" s="28" t="str">
        <f>IF($C463=""," ",[1]!i_pq_pctchange($C463,J$6,$N$1))</f>
        <v xml:space="preserve"> </v>
      </c>
      <c r="K463" s="28" t="str">
        <f>IF($C463=""," ",[1]!i_pq_pctchange($C463,K$6,$N$1))</f>
        <v xml:space="preserve"> </v>
      </c>
      <c r="L463" s="28" t="str">
        <f>IF(C463=""," ",[1]!s_wq_pctchange($C463,$N$1))</f>
        <v xml:space="preserve"> </v>
      </c>
      <c r="M463" s="28" t="str">
        <f>IF(C463=""," ",[1]!s_mq_pctchange($C463,$N$1))</f>
        <v xml:space="preserve"> </v>
      </c>
      <c r="N463" s="28" t="str">
        <f>IF(C463=""," ",[1]!s_yq_pctchange($C463,$N$1))</f>
        <v xml:space="preserve"> </v>
      </c>
      <c r="O463" s="11"/>
      <c r="P463" s="7"/>
    </row>
    <row r="464" spans="1:16" x14ac:dyDescent="0.35">
      <c r="A464" s="7"/>
      <c r="C464" s="31" t="str">
        <f>IF(指数列表!B461="","",指数列表!B461)</f>
        <v/>
      </c>
      <c r="D464" s="36" t="str">
        <f>IF(C464="","",[1]!s_info_name(C464))</f>
        <v/>
      </c>
      <c r="E464" s="25" t="str">
        <f>IF(C464="","",[1]!s_dq_close(C464,$N$1))</f>
        <v/>
      </c>
      <c r="F464" s="28" t="str">
        <f>IF($C464=""," ",[1]!i_pq_pctchange($C464,F$6,$N$1))</f>
        <v xml:space="preserve"> </v>
      </c>
      <c r="G464" s="28" t="str">
        <f>IF($C464=""," ",[1]!i_pq_pctchange($C464,G$6,$N$1))</f>
        <v xml:space="preserve"> </v>
      </c>
      <c r="H464" s="28" t="str">
        <f>IF($C464=""," ",[1]!i_pq_pctchange($C464,H$6,$N$1))</f>
        <v xml:space="preserve"> </v>
      </c>
      <c r="I464" s="28" t="str">
        <f>IF($C464=""," ",[1]!i_pq_pctchange($C464,I$6,$N$1))</f>
        <v xml:space="preserve"> </v>
      </c>
      <c r="J464" s="28" t="str">
        <f>IF($C464=""," ",[1]!i_pq_pctchange($C464,J$6,$N$1))</f>
        <v xml:space="preserve"> </v>
      </c>
      <c r="K464" s="28" t="str">
        <f>IF($C464=""," ",[1]!i_pq_pctchange($C464,K$6,$N$1))</f>
        <v xml:space="preserve"> </v>
      </c>
      <c r="L464" s="28" t="str">
        <f>IF(C464=""," ",[1]!s_wq_pctchange($C464,$N$1))</f>
        <v xml:space="preserve"> </v>
      </c>
      <c r="M464" s="28" t="str">
        <f>IF(C464=""," ",[1]!s_mq_pctchange($C464,$N$1))</f>
        <v xml:space="preserve"> </v>
      </c>
      <c r="N464" s="28" t="str">
        <f>IF(C464=""," ",[1]!s_yq_pctchange($C464,$N$1))</f>
        <v xml:space="preserve"> </v>
      </c>
      <c r="O464" s="11"/>
      <c r="P464" s="7"/>
    </row>
    <row r="465" spans="1:16" x14ac:dyDescent="0.35">
      <c r="A465" s="7"/>
      <c r="C465" s="30" t="str">
        <f>IF(指数列表!B462="","",指数列表!B462)</f>
        <v/>
      </c>
      <c r="D465" s="35" t="str">
        <f>IF(C465="","",[1]!s_info_name(C465))</f>
        <v/>
      </c>
      <c r="E465" s="24" t="str">
        <f>IF(C465="","",[1]!s_dq_close(C465,$N$1))</f>
        <v/>
      </c>
      <c r="F465" s="28" t="str">
        <f>IF($C465=""," ",[1]!i_pq_pctchange($C465,F$6,$N$1))</f>
        <v xml:space="preserve"> </v>
      </c>
      <c r="G465" s="28" t="str">
        <f>IF($C465=""," ",[1]!i_pq_pctchange($C465,G$6,$N$1))</f>
        <v xml:space="preserve"> </v>
      </c>
      <c r="H465" s="28" t="str">
        <f>IF($C465=""," ",[1]!i_pq_pctchange($C465,H$6,$N$1))</f>
        <v xml:space="preserve"> </v>
      </c>
      <c r="I465" s="28" t="str">
        <f>IF($C465=""," ",[1]!i_pq_pctchange($C465,I$6,$N$1))</f>
        <v xml:space="preserve"> </v>
      </c>
      <c r="J465" s="28" t="str">
        <f>IF($C465=""," ",[1]!i_pq_pctchange($C465,J$6,$N$1))</f>
        <v xml:space="preserve"> </v>
      </c>
      <c r="K465" s="28" t="str">
        <f>IF($C465=""," ",[1]!i_pq_pctchange($C465,K$6,$N$1))</f>
        <v xml:space="preserve"> </v>
      </c>
      <c r="L465" s="28" t="str">
        <f>IF(C465=""," ",[1]!s_wq_pctchange($C465,$N$1))</f>
        <v xml:space="preserve"> </v>
      </c>
      <c r="M465" s="28" t="str">
        <f>IF(C465=""," ",[1]!s_mq_pctchange($C465,$N$1))</f>
        <v xml:space="preserve"> </v>
      </c>
      <c r="N465" s="28" t="str">
        <f>IF(C465=""," ",[1]!s_yq_pctchange($C465,$N$1))</f>
        <v xml:space="preserve"> </v>
      </c>
      <c r="O465" s="11"/>
      <c r="P465" s="7"/>
    </row>
    <row r="466" spans="1:16" x14ac:dyDescent="0.35">
      <c r="A466" s="7"/>
      <c r="C466" s="31" t="str">
        <f>IF(指数列表!B463="","",指数列表!B463)</f>
        <v/>
      </c>
      <c r="D466" s="36" t="str">
        <f>IF(C466="","",[1]!s_info_name(C466))</f>
        <v/>
      </c>
      <c r="E466" s="25" t="str">
        <f>IF(C466="","",[1]!s_dq_close(C466,$N$1))</f>
        <v/>
      </c>
      <c r="F466" s="28" t="str">
        <f>IF($C466=""," ",[1]!i_pq_pctchange($C466,F$6,$N$1))</f>
        <v xml:space="preserve"> </v>
      </c>
      <c r="G466" s="28" t="str">
        <f>IF($C466=""," ",[1]!i_pq_pctchange($C466,G$6,$N$1))</f>
        <v xml:space="preserve"> </v>
      </c>
      <c r="H466" s="28" t="str">
        <f>IF($C466=""," ",[1]!i_pq_pctchange($C466,H$6,$N$1))</f>
        <v xml:space="preserve"> </v>
      </c>
      <c r="I466" s="28" t="str">
        <f>IF($C466=""," ",[1]!i_pq_pctchange($C466,I$6,$N$1))</f>
        <v xml:space="preserve"> </v>
      </c>
      <c r="J466" s="28" t="str">
        <f>IF($C466=""," ",[1]!i_pq_pctchange($C466,J$6,$N$1))</f>
        <v xml:space="preserve"> </v>
      </c>
      <c r="K466" s="28" t="str">
        <f>IF($C466=""," ",[1]!i_pq_pctchange($C466,K$6,$N$1))</f>
        <v xml:space="preserve"> </v>
      </c>
      <c r="L466" s="28" t="str">
        <f>IF(C466=""," ",[1]!s_wq_pctchange($C466,$N$1))</f>
        <v xml:space="preserve"> </v>
      </c>
      <c r="M466" s="28" t="str">
        <f>IF(C466=""," ",[1]!s_mq_pctchange($C466,$N$1))</f>
        <v xml:space="preserve"> </v>
      </c>
      <c r="N466" s="28" t="str">
        <f>IF(C466=""," ",[1]!s_yq_pctchange($C466,$N$1))</f>
        <v xml:space="preserve"> </v>
      </c>
      <c r="O466" s="11"/>
      <c r="P466" s="7"/>
    </row>
    <row r="467" spans="1:16" x14ac:dyDescent="0.35">
      <c r="A467" s="7"/>
      <c r="C467" s="30" t="str">
        <f>IF(指数列表!B464="","",指数列表!B464)</f>
        <v/>
      </c>
      <c r="D467" s="35" t="str">
        <f>IF(C467="","",[1]!s_info_name(C467))</f>
        <v/>
      </c>
      <c r="E467" s="24" t="str">
        <f>IF(C467="","",[1]!s_dq_close(C467,$N$1))</f>
        <v/>
      </c>
      <c r="F467" s="28" t="str">
        <f>IF($C467=""," ",[1]!i_pq_pctchange($C467,F$6,$N$1))</f>
        <v xml:space="preserve"> </v>
      </c>
      <c r="G467" s="28" t="str">
        <f>IF($C467=""," ",[1]!i_pq_pctchange($C467,G$6,$N$1))</f>
        <v xml:space="preserve"> </v>
      </c>
      <c r="H467" s="28" t="str">
        <f>IF($C467=""," ",[1]!i_pq_pctchange($C467,H$6,$N$1))</f>
        <v xml:space="preserve"> </v>
      </c>
      <c r="I467" s="28" t="str">
        <f>IF($C467=""," ",[1]!i_pq_pctchange($C467,I$6,$N$1))</f>
        <v xml:space="preserve"> </v>
      </c>
      <c r="J467" s="28" t="str">
        <f>IF($C467=""," ",[1]!i_pq_pctchange($C467,J$6,$N$1))</f>
        <v xml:space="preserve"> </v>
      </c>
      <c r="K467" s="28" t="str">
        <f>IF($C467=""," ",[1]!i_pq_pctchange($C467,K$6,$N$1))</f>
        <v xml:space="preserve"> </v>
      </c>
      <c r="L467" s="28" t="str">
        <f>IF(C467=""," ",[1]!s_wq_pctchange($C467,$N$1))</f>
        <v xml:space="preserve"> </v>
      </c>
      <c r="M467" s="28" t="str">
        <f>IF(C467=""," ",[1]!s_mq_pctchange($C467,$N$1))</f>
        <v xml:space="preserve"> </v>
      </c>
      <c r="N467" s="28" t="str">
        <f>IF(C467=""," ",[1]!s_yq_pctchange($C467,$N$1))</f>
        <v xml:space="preserve"> </v>
      </c>
      <c r="O467" s="11"/>
      <c r="P467" s="7"/>
    </row>
    <row r="468" spans="1:16" x14ac:dyDescent="0.35">
      <c r="A468" s="7"/>
      <c r="C468" s="31" t="str">
        <f>IF(指数列表!B465="","",指数列表!B465)</f>
        <v/>
      </c>
      <c r="D468" s="36" t="str">
        <f>IF(C468="","",[1]!s_info_name(C468))</f>
        <v/>
      </c>
      <c r="E468" s="25" t="str">
        <f>IF(C468="","",[1]!s_dq_close(C468,$N$1))</f>
        <v/>
      </c>
      <c r="F468" s="28" t="str">
        <f>IF($C468=""," ",[1]!i_pq_pctchange($C468,F$6,$N$1))</f>
        <v xml:space="preserve"> </v>
      </c>
      <c r="G468" s="28" t="str">
        <f>IF($C468=""," ",[1]!i_pq_pctchange($C468,G$6,$N$1))</f>
        <v xml:space="preserve"> </v>
      </c>
      <c r="H468" s="28" t="str">
        <f>IF($C468=""," ",[1]!i_pq_pctchange($C468,H$6,$N$1))</f>
        <v xml:space="preserve"> </v>
      </c>
      <c r="I468" s="28" t="str">
        <f>IF($C468=""," ",[1]!i_pq_pctchange($C468,I$6,$N$1))</f>
        <v xml:space="preserve"> </v>
      </c>
      <c r="J468" s="28" t="str">
        <f>IF($C468=""," ",[1]!i_pq_pctchange($C468,J$6,$N$1))</f>
        <v xml:space="preserve"> </v>
      </c>
      <c r="K468" s="28" t="str">
        <f>IF($C468=""," ",[1]!i_pq_pctchange($C468,K$6,$N$1))</f>
        <v xml:space="preserve"> </v>
      </c>
      <c r="L468" s="28" t="str">
        <f>IF(C468=""," ",[1]!s_wq_pctchange($C468,$N$1))</f>
        <v xml:space="preserve"> </v>
      </c>
      <c r="M468" s="28" t="str">
        <f>IF(C468=""," ",[1]!s_mq_pctchange($C468,$N$1))</f>
        <v xml:space="preserve"> </v>
      </c>
      <c r="N468" s="28" t="str">
        <f>IF(C468=""," ",[1]!s_yq_pctchange($C468,$N$1))</f>
        <v xml:space="preserve"> </v>
      </c>
      <c r="O468" s="11"/>
      <c r="P468" s="7"/>
    </row>
    <row r="469" spans="1:16" x14ac:dyDescent="0.35">
      <c r="A469" s="7"/>
      <c r="C469" s="30" t="str">
        <f>IF(指数列表!B466="","",指数列表!B466)</f>
        <v/>
      </c>
      <c r="D469" s="35" t="str">
        <f>IF(C469="","",[1]!s_info_name(C469))</f>
        <v/>
      </c>
      <c r="E469" s="24" t="str">
        <f>IF(C469="","",[1]!s_dq_close(C469,$N$1))</f>
        <v/>
      </c>
      <c r="F469" s="28" t="str">
        <f>IF($C469=""," ",[1]!i_pq_pctchange($C469,F$6,$N$1))</f>
        <v xml:space="preserve"> </v>
      </c>
      <c r="G469" s="28" t="str">
        <f>IF($C469=""," ",[1]!i_pq_pctchange($C469,G$6,$N$1))</f>
        <v xml:space="preserve"> </v>
      </c>
      <c r="H469" s="28" t="str">
        <f>IF($C469=""," ",[1]!i_pq_pctchange($C469,H$6,$N$1))</f>
        <v xml:space="preserve"> </v>
      </c>
      <c r="I469" s="28" t="str">
        <f>IF($C469=""," ",[1]!i_pq_pctchange($C469,I$6,$N$1))</f>
        <v xml:space="preserve"> </v>
      </c>
      <c r="J469" s="28" t="str">
        <f>IF($C469=""," ",[1]!i_pq_pctchange($C469,J$6,$N$1))</f>
        <v xml:space="preserve"> </v>
      </c>
      <c r="K469" s="28" t="str">
        <f>IF($C469=""," ",[1]!i_pq_pctchange($C469,K$6,$N$1))</f>
        <v xml:space="preserve"> </v>
      </c>
      <c r="L469" s="28" t="str">
        <f>IF(C469=""," ",[1]!s_wq_pctchange($C469,$N$1))</f>
        <v xml:space="preserve"> </v>
      </c>
      <c r="M469" s="28" t="str">
        <f>IF(C469=""," ",[1]!s_mq_pctchange($C469,$N$1))</f>
        <v xml:space="preserve"> </v>
      </c>
      <c r="N469" s="28" t="str">
        <f>IF(C469=""," ",[1]!s_yq_pctchange($C469,$N$1))</f>
        <v xml:space="preserve"> </v>
      </c>
      <c r="O469" s="11"/>
      <c r="P469" s="7"/>
    </row>
    <row r="470" spans="1:16" x14ac:dyDescent="0.35">
      <c r="A470" s="7"/>
      <c r="C470" s="31" t="str">
        <f>IF(指数列表!B467="","",指数列表!B467)</f>
        <v/>
      </c>
      <c r="D470" s="36" t="str">
        <f>IF(C470="","",[1]!s_info_name(C470))</f>
        <v/>
      </c>
      <c r="E470" s="25" t="str">
        <f>IF(C470="","",[1]!s_dq_close(C470,$N$1))</f>
        <v/>
      </c>
      <c r="F470" s="28" t="str">
        <f>IF($C470=""," ",[1]!i_pq_pctchange($C470,F$6,$N$1))</f>
        <v xml:space="preserve"> </v>
      </c>
      <c r="G470" s="28" t="str">
        <f>IF($C470=""," ",[1]!i_pq_pctchange($C470,G$6,$N$1))</f>
        <v xml:space="preserve"> </v>
      </c>
      <c r="H470" s="28" t="str">
        <f>IF($C470=""," ",[1]!i_pq_pctchange($C470,H$6,$N$1))</f>
        <v xml:space="preserve"> </v>
      </c>
      <c r="I470" s="28" t="str">
        <f>IF($C470=""," ",[1]!i_pq_pctchange($C470,I$6,$N$1))</f>
        <v xml:space="preserve"> </v>
      </c>
      <c r="J470" s="28" t="str">
        <f>IF($C470=""," ",[1]!i_pq_pctchange($C470,J$6,$N$1))</f>
        <v xml:space="preserve"> </v>
      </c>
      <c r="K470" s="28" t="str">
        <f>IF($C470=""," ",[1]!i_pq_pctchange($C470,K$6,$N$1))</f>
        <v xml:space="preserve"> </v>
      </c>
      <c r="L470" s="28" t="str">
        <f>IF(C470=""," ",[1]!s_wq_pctchange($C470,$N$1))</f>
        <v xml:space="preserve"> </v>
      </c>
      <c r="M470" s="28" t="str">
        <f>IF(C470=""," ",[1]!s_mq_pctchange($C470,$N$1))</f>
        <v xml:space="preserve"> </v>
      </c>
      <c r="N470" s="28" t="str">
        <f>IF(C470=""," ",[1]!s_yq_pctchange($C470,$N$1))</f>
        <v xml:space="preserve"> </v>
      </c>
      <c r="O470" s="11"/>
      <c r="P470" s="7"/>
    </row>
    <row r="471" spans="1:16" x14ac:dyDescent="0.35">
      <c r="A471" s="7"/>
      <c r="C471" s="30" t="str">
        <f>IF(指数列表!B468="","",指数列表!B468)</f>
        <v/>
      </c>
      <c r="D471" s="35" t="str">
        <f>IF(C471="","",[1]!s_info_name(C471))</f>
        <v/>
      </c>
      <c r="E471" s="24" t="str">
        <f>IF(C471="","",[1]!s_dq_close(C471,$N$1))</f>
        <v/>
      </c>
      <c r="F471" s="28" t="str">
        <f>IF($C471=""," ",[1]!i_pq_pctchange($C471,F$6,$N$1))</f>
        <v xml:space="preserve"> </v>
      </c>
      <c r="G471" s="28" t="str">
        <f>IF($C471=""," ",[1]!i_pq_pctchange($C471,G$6,$N$1))</f>
        <v xml:space="preserve"> </v>
      </c>
      <c r="H471" s="28" t="str">
        <f>IF($C471=""," ",[1]!i_pq_pctchange($C471,H$6,$N$1))</f>
        <v xml:space="preserve"> </v>
      </c>
      <c r="I471" s="28" t="str">
        <f>IF($C471=""," ",[1]!i_pq_pctchange($C471,I$6,$N$1))</f>
        <v xml:space="preserve"> </v>
      </c>
      <c r="J471" s="28" t="str">
        <f>IF($C471=""," ",[1]!i_pq_pctchange($C471,J$6,$N$1))</f>
        <v xml:space="preserve"> </v>
      </c>
      <c r="K471" s="28" t="str">
        <f>IF($C471=""," ",[1]!i_pq_pctchange($C471,K$6,$N$1))</f>
        <v xml:space="preserve"> </v>
      </c>
      <c r="L471" s="28" t="str">
        <f>IF(C471=""," ",[1]!s_wq_pctchange($C471,$N$1))</f>
        <v xml:space="preserve"> </v>
      </c>
      <c r="M471" s="28" t="str">
        <f>IF(C471=""," ",[1]!s_mq_pctchange($C471,$N$1))</f>
        <v xml:space="preserve"> </v>
      </c>
      <c r="N471" s="28" t="str">
        <f>IF(C471=""," ",[1]!s_yq_pctchange($C471,$N$1))</f>
        <v xml:space="preserve"> </v>
      </c>
      <c r="O471" s="11"/>
      <c r="P471" s="7"/>
    </row>
    <row r="472" spans="1:16" x14ac:dyDescent="0.35">
      <c r="A472" s="7"/>
      <c r="C472" s="31" t="str">
        <f>IF(指数列表!B469="","",指数列表!B469)</f>
        <v/>
      </c>
      <c r="D472" s="36" t="str">
        <f>IF(C472="","",[1]!s_info_name(C472))</f>
        <v/>
      </c>
      <c r="E472" s="25" t="str">
        <f>IF(C472="","",[1]!s_dq_close(C472,$N$1))</f>
        <v/>
      </c>
      <c r="F472" s="28" t="str">
        <f>IF($C472=""," ",[1]!i_pq_pctchange($C472,F$6,$N$1))</f>
        <v xml:space="preserve"> </v>
      </c>
      <c r="G472" s="28" t="str">
        <f>IF($C472=""," ",[1]!i_pq_pctchange($C472,G$6,$N$1))</f>
        <v xml:space="preserve"> </v>
      </c>
      <c r="H472" s="28" t="str">
        <f>IF($C472=""," ",[1]!i_pq_pctchange($C472,H$6,$N$1))</f>
        <v xml:space="preserve"> </v>
      </c>
      <c r="I472" s="28" t="str">
        <f>IF($C472=""," ",[1]!i_pq_pctchange($C472,I$6,$N$1))</f>
        <v xml:space="preserve"> </v>
      </c>
      <c r="J472" s="28" t="str">
        <f>IF($C472=""," ",[1]!i_pq_pctchange($C472,J$6,$N$1))</f>
        <v xml:space="preserve"> </v>
      </c>
      <c r="K472" s="28" t="str">
        <f>IF($C472=""," ",[1]!i_pq_pctchange($C472,K$6,$N$1))</f>
        <v xml:space="preserve"> </v>
      </c>
      <c r="L472" s="28" t="str">
        <f>IF(C472=""," ",[1]!s_wq_pctchange($C472,$N$1))</f>
        <v xml:space="preserve"> </v>
      </c>
      <c r="M472" s="28" t="str">
        <f>IF(C472=""," ",[1]!s_mq_pctchange($C472,$N$1))</f>
        <v xml:space="preserve"> </v>
      </c>
      <c r="N472" s="28" t="str">
        <f>IF(C472=""," ",[1]!s_yq_pctchange($C472,$N$1))</f>
        <v xml:space="preserve"> </v>
      </c>
      <c r="O472" s="11"/>
      <c r="P472" s="7"/>
    </row>
    <row r="473" spans="1:16" x14ac:dyDescent="0.35">
      <c r="A473" s="7"/>
      <c r="C473" s="30" t="str">
        <f>IF(指数列表!B470="","",指数列表!B470)</f>
        <v/>
      </c>
      <c r="D473" s="35" t="str">
        <f>IF(C473="","",[1]!s_info_name(C473))</f>
        <v/>
      </c>
      <c r="E473" s="24" t="str">
        <f>IF(C473="","",[1]!s_dq_close(C473,$N$1))</f>
        <v/>
      </c>
      <c r="F473" s="28" t="str">
        <f>IF($C473=""," ",[1]!i_pq_pctchange($C473,F$6,$N$1))</f>
        <v xml:space="preserve"> </v>
      </c>
      <c r="G473" s="28" t="str">
        <f>IF($C473=""," ",[1]!i_pq_pctchange($C473,G$6,$N$1))</f>
        <v xml:space="preserve"> </v>
      </c>
      <c r="H473" s="28" t="str">
        <f>IF($C473=""," ",[1]!i_pq_pctchange($C473,H$6,$N$1))</f>
        <v xml:space="preserve"> </v>
      </c>
      <c r="I473" s="28" t="str">
        <f>IF($C473=""," ",[1]!i_pq_pctchange($C473,I$6,$N$1))</f>
        <v xml:space="preserve"> </v>
      </c>
      <c r="J473" s="28" t="str">
        <f>IF($C473=""," ",[1]!i_pq_pctchange($C473,J$6,$N$1))</f>
        <v xml:space="preserve"> </v>
      </c>
      <c r="K473" s="28" t="str">
        <f>IF($C473=""," ",[1]!i_pq_pctchange($C473,K$6,$N$1))</f>
        <v xml:space="preserve"> </v>
      </c>
      <c r="L473" s="28" t="str">
        <f>IF(C473=""," ",[1]!s_wq_pctchange($C473,$N$1))</f>
        <v xml:space="preserve"> </v>
      </c>
      <c r="M473" s="28" t="str">
        <f>IF(C473=""," ",[1]!s_mq_pctchange($C473,$N$1))</f>
        <v xml:space="preserve"> </v>
      </c>
      <c r="N473" s="28" t="str">
        <f>IF(C473=""," ",[1]!s_yq_pctchange($C473,$N$1))</f>
        <v xml:space="preserve"> </v>
      </c>
      <c r="O473" s="11"/>
      <c r="P473" s="7"/>
    </row>
    <row r="474" spans="1:16" x14ac:dyDescent="0.35">
      <c r="A474" s="7"/>
      <c r="C474" s="31" t="str">
        <f>IF(指数列表!B471="","",指数列表!B471)</f>
        <v/>
      </c>
      <c r="D474" s="36" t="str">
        <f>IF(C474="","",[1]!s_info_name(C474))</f>
        <v/>
      </c>
      <c r="E474" s="25" t="str">
        <f>IF(C474="","",[1]!s_dq_close(C474,$N$1))</f>
        <v/>
      </c>
      <c r="F474" s="28" t="str">
        <f>IF($C474=""," ",[1]!i_pq_pctchange($C474,F$6,$N$1))</f>
        <v xml:space="preserve"> </v>
      </c>
      <c r="G474" s="28" t="str">
        <f>IF($C474=""," ",[1]!i_pq_pctchange($C474,G$6,$N$1))</f>
        <v xml:space="preserve"> </v>
      </c>
      <c r="H474" s="28" t="str">
        <f>IF($C474=""," ",[1]!i_pq_pctchange($C474,H$6,$N$1))</f>
        <v xml:space="preserve"> </v>
      </c>
      <c r="I474" s="28" t="str">
        <f>IF($C474=""," ",[1]!i_pq_pctchange($C474,I$6,$N$1))</f>
        <v xml:space="preserve"> </v>
      </c>
      <c r="J474" s="28" t="str">
        <f>IF($C474=""," ",[1]!i_pq_pctchange($C474,J$6,$N$1))</f>
        <v xml:space="preserve"> </v>
      </c>
      <c r="K474" s="28" t="str">
        <f>IF($C474=""," ",[1]!i_pq_pctchange($C474,K$6,$N$1))</f>
        <v xml:space="preserve"> </v>
      </c>
      <c r="L474" s="28" t="str">
        <f>IF(C474=""," ",[1]!s_wq_pctchange($C474,$N$1))</f>
        <v xml:space="preserve"> </v>
      </c>
      <c r="M474" s="28" t="str">
        <f>IF(C474=""," ",[1]!s_mq_pctchange($C474,$N$1))</f>
        <v xml:space="preserve"> </v>
      </c>
      <c r="N474" s="28" t="str">
        <f>IF(C474=""," ",[1]!s_yq_pctchange($C474,$N$1))</f>
        <v xml:space="preserve"> </v>
      </c>
      <c r="O474" s="11"/>
      <c r="P474" s="7"/>
    </row>
    <row r="475" spans="1:16" x14ac:dyDescent="0.35">
      <c r="A475" s="7"/>
      <c r="C475" s="30" t="str">
        <f>IF(指数列表!B472="","",指数列表!B472)</f>
        <v/>
      </c>
      <c r="D475" s="35" t="str">
        <f>IF(C475="","",[1]!s_info_name(C475))</f>
        <v/>
      </c>
      <c r="E475" s="24" t="str">
        <f>IF(C475="","",[1]!s_dq_close(C475,$N$1))</f>
        <v/>
      </c>
      <c r="F475" s="28" t="str">
        <f>IF($C475=""," ",[1]!i_pq_pctchange($C475,F$6,$N$1))</f>
        <v xml:space="preserve"> </v>
      </c>
      <c r="G475" s="28" t="str">
        <f>IF($C475=""," ",[1]!i_pq_pctchange($C475,G$6,$N$1))</f>
        <v xml:space="preserve"> </v>
      </c>
      <c r="H475" s="28" t="str">
        <f>IF($C475=""," ",[1]!i_pq_pctchange($C475,H$6,$N$1))</f>
        <v xml:space="preserve"> </v>
      </c>
      <c r="I475" s="28" t="str">
        <f>IF($C475=""," ",[1]!i_pq_pctchange($C475,I$6,$N$1))</f>
        <v xml:space="preserve"> </v>
      </c>
      <c r="J475" s="28" t="str">
        <f>IF($C475=""," ",[1]!i_pq_pctchange($C475,J$6,$N$1))</f>
        <v xml:space="preserve"> </v>
      </c>
      <c r="K475" s="28" t="str">
        <f>IF($C475=""," ",[1]!i_pq_pctchange($C475,K$6,$N$1))</f>
        <v xml:space="preserve"> </v>
      </c>
      <c r="L475" s="28" t="str">
        <f>IF(C475=""," ",[1]!s_wq_pctchange($C475,$N$1))</f>
        <v xml:space="preserve"> </v>
      </c>
      <c r="M475" s="28" t="str">
        <f>IF(C475=""," ",[1]!s_mq_pctchange($C475,$N$1))</f>
        <v xml:space="preserve"> </v>
      </c>
      <c r="N475" s="28" t="str">
        <f>IF(C475=""," ",[1]!s_yq_pctchange($C475,$N$1))</f>
        <v xml:space="preserve"> </v>
      </c>
      <c r="O475" s="11"/>
      <c r="P475" s="7"/>
    </row>
    <row r="476" spans="1:16" x14ac:dyDescent="0.35">
      <c r="A476" s="7"/>
      <c r="C476" s="31" t="str">
        <f>IF(指数列表!B473="","",指数列表!B473)</f>
        <v/>
      </c>
      <c r="D476" s="36" t="str">
        <f>IF(C476="","",[1]!s_info_name(C476))</f>
        <v/>
      </c>
      <c r="E476" s="25" t="str">
        <f>IF(C476="","",[1]!s_dq_close(C476,$N$1))</f>
        <v/>
      </c>
      <c r="F476" s="28" t="str">
        <f>IF($C476=""," ",[1]!i_pq_pctchange($C476,F$6,$N$1))</f>
        <v xml:space="preserve"> </v>
      </c>
      <c r="G476" s="28" t="str">
        <f>IF($C476=""," ",[1]!i_pq_pctchange($C476,G$6,$N$1))</f>
        <v xml:space="preserve"> </v>
      </c>
      <c r="H476" s="28" t="str">
        <f>IF($C476=""," ",[1]!i_pq_pctchange($C476,H$6,$N$1))</f>
        <v xml:space="preserve"> </v>
      </c>
      <c r="I476" s="28" t="str">
        <f>IF($C476=""," ",[1]!i_pq_pctchange($C476,I$6,$N$1))</f>
        <v xml:space="preserve"> </v>
      </c>
      <c r="J476" s="28" t="str">
        <f>IF($C476=""," ",[1]!i_pq_pctchange($C476,J$6,$N$1))</f>
        <v xml:space="preserve"> </v>
      </c>
      <c r="K476" s="28" t="str">
        <f>IF($C476=""," ",[1]!i_pq_pctchange($C476,K$6,$N$1))</f>
        <v xml:space="preserve"> </v>
      </c>
      <c r="L476" s="28" t="str">
        <f>IF(C476=""," ",[1]!s_wq_pctchange($C476,$N$1))</f>
        <v xml:space="preserve"> </v>
      </c>
      <c r="M476" s="28" t="str">
        <f>IF(C476=""," ",[1]!s_mq_pctchange($C476,$N$1))</f>
        <v xml:space="preserve"> </v>
      </c>
      <c r="N476" s="28" t="str">
        <f>IF(C476=""," ",[1]!s_yq_pctchange($C476,$N$1))</f>
        <v xml:space="preserve"> </v>
      </c>
      <c r="O476" s="11"/>
      <c r="P476" s="7"/>
    </row>
    <row r="477" spans="1:16" x14ac:dyDescent="0.35">
      <c r="A477" s="7"/>
      <c r="C477" s="30" t="str">
        <f>IF(指数列表!B474="","",指数列表!B474)</f>
        <v/>
      </c>
      <c r="D477" s="35" t="str">
        <f>IF(C477="","",[1]!s_info_name(C477))</f>
        <v/>
      </c>
      <c r="E477" s="24" t="str">
        <f>IF(C477="","",[1]!s_dq_close(C477,$N$1))</f>
        <v/>
      </c>
      <c r="F477" s="28" t="str">
        <f>IF($C477=""," ",[1]!i_pq_pctchange($C477,F$6,$N$1))</f>
        <v xml:space="preserve"> </v>
      </c>
      <c r="G477" s="28" t="str">
        <f>IF($C477=""," ",[1]!i_pq_pctchange($C477,G$6,$N$1))</f>
        <v xml:space="preserve"> </v>
      </c>
      <c r="H477" s="28" t="str">
        <f>IF($C477=""," ",[1]!i_pq_pctchange($C477,H$6,$N$1))</f>
        <v xml:space="preserve"> </v>
      </c>
      <c r="I477" s="28" t="str">
        <f>IF($C477=""," ",[1]!i_pq_pctchange($C477,I$6,$N$1))</f>
        <v xml:space="preserve"> </v>
      </c>
      <c r="J477" s="28" t="str">
        <f>IF($C477=""," ",[1]!i_pq_pctchange($C477,J$6,$N$1))</f>
        <v xml:space="preserve"> </v>
      </c>
      <c r="K477" s="28" t="str">
        <f>IF($C477=""," ",[1]!i_pq_pctchange($C477,K$6,$N$1))</f>
        <v xml:space="preserve"> </v>
      </c>
      <c r="L477" s="28" t="str">
        <f>IF(C477=""," ",[1]!s_wq_pctchange($C477,$N$1))</f>
        <v xml:space="preserve"> </v>
      </c>
      <c r="M477" s="28" t="str">
        <f>IF(C477=""," ",[1]!s_mq_pctchange($C477,$N$1))</f>
        <v xml:space="preserve"> </v>
      </c>
      <c r="N477" s="28" t="str">
        <f>IF(C477=""," ",[1]!s_yq_pctchange($C477,$N$1))</f>
        <v xml:space="preserve"> </v>
      </c>
      <c r="O477" s="11"/>
      <c r="P477" s="7"/>
    </row>
    <row r="478" spans="1:16" x14ac:dyDescent="0.35">
      <c r="A478" s="7"/>
      <c r="C478" s="31" t="str">
        <f>IF(指数列表!B475="","",指数列表!B475)</f>
        <v/>
      </c>
      <c r="D478" s="36" t="str">
        <f>IF(C478="","",[1]!s_info_name(C478))</f>
        <v/>
      </c>
      <c r="E478" s="25" t="str">
        <f>IF(C478="","",[1]!s_dq_close(C478,$N$1))</f>
        <v/>
      </c>
      <c r="F478" s="28" t="str">
        <f>IF($C478=""," ",[1]!i_pq_pctchange($C478,F$6,$N$1))</f>
        <v xml:space="preserve"> </v>
      </c>
      <c r="G478" s="28" t="str">
        <f>IF($C478=""," ",[1]!i_pq_pctchange($C478,G$6,$N$1))</f>
        <v xml:space="preserve"> </v>
      </c>
      <c r="H478" s="28" t="str">
        <f>IF($C478=""," ",[1]!i_pq_pctchange($C478,H$6,$N$1))</f>
        <v xml:space="preserve"> </v>
      </c>
      <c r="I478" s="28" t="str">
        <f>IF($C478=""," ",[1]!i_pq_pctchange($C478,I$6,$N$1))</f>
        <v xml:space="preserve"> </v>
      </c>
      <c r="J478" s="28" t="str">
        <f>IF($C478=""," ",[1]!i_pq_pctchange($C478,J$6,$N$1))</f>
        <v xml:space="preserve"> </v>
      </c>
      <c r="K478" s="28" t="str">
        <f>IF($C478=""," ",[1]!i_pq_pctchange($C478,K$6,$N$1))</f>
        <v xml:space="preserve"> </v>
      </c>
      <c r="L478" s="28" t="str">
        <f>IF(C478=""," ",[1]!s_wq_pctchange($C478,$N$1))</f>
        <v xml:space="preserve"> </v>
      </c>
      <c r="M478" s="28" t="str">
        <f>IF(C478=""," ",[1]!s_mq_pctchange($C478,$N$1))</f>
        <v xml:space="preserve"> </v>
      </c>
      <c r="N478" s="28" t="str">
        <f>IF(C478=""," ",[1]!s_yq_pctchange($C478,$N$1))</f>
        <v xml:space="preserve"> </v>
      </c>
      <c r="O478" s="11"/>
      <c r="P478" s="7"/>
    </row>
    <row r="479" spans="1:16" x14ac:dyDescent="0.35">
      <c r="A479" s="7"/>
      <c r="C479" s="30" t="str">
        <f>IF(指数列表!B476="","",指数列表!B476)</f>
        <v/>
      </c>
      <c r="D479" s="35" t="str">
        <f>IF(C479="","",[1]!s_info_name(C479))</f>
        <v/>
      </c>
      <c r="E479" s="24" t="str">
        <f>IF(C479="","",[1]!s_dq_close(C479,$N$1))</f>
        <v/>
      </c>
      <c r="F479" s="28" t="str">
        <f>IF($C479=""," ",[1]!i_pq_pctchange($C479,F$6,$N$1))</f>
        <v xml:space="preserve"> </v>
      </c>
      <c r="G479" s="28" t="str">
        <f>IF($C479=""," ",[1]!i_pq_pctchange($C479,G$6,$N$1))</f>
        <v xml:space="preserve"> </v>
      </c>
      <c r="H479" s="28" t="str">
        <f>IF($C479=""," ",[1]!i_pq_pctchange($C479,H$6,$N$1))</f>
        <v xml:space="preserve"> </v>
      </c>
      <c r="I479" s="28" t="str">
        <f>IF($C479=""," ",[1]!i_pq_pctchange($C479,I$6,$N$1))</f>
        <v xml:space="preserve"> </v>
      </c>
      <c r="J479" s="28" t="str">
        <f>IF($C479=""," ",[1]!i_pq_pctchange($C479,J$6,$N$1))</f>
        <v xml:space="preserve"> </v>
      </c>
      <c r="K479" s="28" t="str">
        <f>IF($C479=""," ",[1]!i_pq_pctchange($C479,K$6,$N$1))</f>
        <v xml:space="preserve"> </v>
      </c>
      <c r="L479" s="28" t="str">
        <f>IF(C479=""," ",[1]!s_wq_pctchange($C479,$N$1))</f>
        <v xml:space="preserve"> </v>
      </c>
      <c r="M479" s="28" t="str">
        <f>IF(C479=""," ",[1]!s_mq_pctchange($C479,$N$1))</f>
        <v xml:space="preserve"> </v>
      </c>
      <c r="N479" s="28" t="str">
        <f>IF(C479=""," ",[1]!s_yq_pctchange($C479,$N$1))</f>
        <v xml:space="preserve"> </v>
      </c>
      <c r="O479" s="11"/>
      <c r="P479" s="7"/>
    </row>
    <row r="480" spans="1:16" x14ac:dyDescent="0.35">
      <c r="A480" s="7"/>
      <c r="C480" s="31" t="str">
        <f>IF(指数列表!B477="","",指数列表!B477)</f>
        <v/>
      </c>
      <c r="D480" s="36" t="str">
        <f>IF(C480="","",[1]!s_info_name(C480))</f>
        <v/>
      </c>
      <c r="E480" s="25" t="str">
        <f>IF(C480="","",[1]!s_dq_close(C480,$N$1))</f>
        <v/>
      </c>
      <c r="F480" s="28" t="str">
        <f>IF($C480=""," ",[1]!i_pq_pctchange($C480,F$6,$N$1))</f>
        <v xml:space="preserve"> </v>
      </c>
      <c r="G480" s="28" t="str">
        <f>IF($C480=""," ",[1]!i_pq_pctchange($C480,G$6,$N$1))</f>
        <v xml:space="preserve"> </v>
      </c>
      <c r="H480" s="28" t="str">
        <f>IF($C480=""," ",[1]!i_pq_pctchange($C480,H$6,$N$1))</f>
        <v xml:space="preserve"> </v>
      </c>
      <c r="I480" s="28" t="str">
        <f>IF($C480=""," ",[1]!i_pq_pctchange($C480,I$6,$N$1))</f>
        <v xml:space="preserve"> </v>
      </c>
      <c r="J480" s="28" t="str">
        <f>IF($C480=""," ",[1]!i_pq_pctchange($C480,J$6,$N$1))</f>
        <v xml:space="preserve"> </v>
      </c>
      <c r="K480" s="28" t="str">
        <f>IF($C480=""," ",[1]!i_pq_pctchange($C480,K$6,$N$1))</f>
        <v xml:space="preserve"> </v>
      </c>
      <c r="L480" s="28" t="str">
        <f>IF(C480=""," ",[1]!s_wq_pctchange($C480,$N$1))</f>
        <v xml:space="preserve"> </v>
      </c>
      <c r="M480" s="28" t="str">
        <f>IF(C480=""," ",[1]!s_mq_pctchange($C480,$N$1))</f>
        <v xml:space="preserve"> </v>
      </c>
      <c r="N480" s="28" t="str">
        <f>IF(C480=""," ",[1]!s_yq_pctchange($C480,$N$1))</f>
        <v xml:space="preserve"> </v>
      </c>
      <c r="O480" s="11"/>
      <c r="P480" s="7"/>
    </row>
    <row r="481" spans="1:16" x14ac:dyDescent="0.35">
      <c r="A481" s="7"/>
      <c r="C481" s="30" t="str">
        <f>IF(指数列表!B478="","",指数列表!B478)</f>
        <v/>
      </c>
      <c r="D481" s="35" t="str">
        <f>IF(C481="","",[1]!s_info_name(C481))</f>
        <v/>
      </c>
      <c r="E481" s="24" t="str">
        <f>IF(C481="","",[1]!s_dq_close(C481,$N$1))</f>
        <v/>
      </c>
      <c r="F481" s="28" t="str">
        <f>IF($C481=""," ",[1]!i_pq_pctchange($C481,F$6,$N$1))</f>
        <v xml:space="preserve"> </v>
      </c>
      <c r="G481" s="28" t="str">
        <f>IF($C481=""," ",[1]!i_pq_pctchange($C481,G$6,$N$1))</f>
        <v xml:space="preserve"> </v>
      </c>
      <c r="H481" s="28" t="str">
        <f>IF($C481=""," ",[1]!i_pq_pctchange($C481,H$6,$N$1))</f>
        <v xml:space="preserve"> </v>
      </c>
      <c r="I481" s="28" t="str">
        <f>IF($C481=""," ",[1]!i_pq_pctchange($C481,I$6,$N$1))</f>
        <v xml:space="preserve"> </v>
      </c>
      <c r="J481" s="28" t="str">
        <f>IF($C481=""," ",[1]!i_pq_pctchange($C481,J$6,$N$1))</f>
        <v xml:space="preserve"> </v>
      </c>
      <c r="K481" s="28" t="str">
        <f>IF($C481=""," ",[1]!i_pq_pctchange($C481,K$6,$N$1))</f>
        <v xml:space="preserve"> </v>
      </c>
      <c r="L481" s="28" t="str">
        <f>IF(C481=""," ",[1]!s_wq_pctchange($C481,$N$1))</f>
        <v xml:space="preserve"> </v>
      </c>
      <c r="M481" s="28" t="str">
        <f>IF(C481=""," ",[1]!s_mq_pctchange($C481,$N$1))</f>
        <v xml:space="preserve"> </v>
      </c>
      <c r="N481" s="28" t="str">
        <f>IF(C481=""," ",[1]!s_yq_pctchange($C481,$N$1))</f>
        <v xml:space="preserve"> </v>
      </c>
      <c r="O481" s="11"/>
      <c r="P481" s="7"/>
    </row>
    <row r="482" spans="1:16" x14ac:dyDescent="0.35">
      <c r="A482" s="7"/>
      <c r="C482" s="31" t="str">
        <f>IF(指数列表!B479="","",指数列表!B479)</f>
        <v/>
      </c>
      <c r="D482" s="36" t="str">
        <f>IF(C482="","",[1]!s_info_name(C482))</f>
        <v/>
      </c>
      <c r="E482" s="25" t="str">
        <f>IF(C482="","",[1]!s_dq_close(C482,$N$1))</f>
        <v/>
      </c>
      <c r="F482" s="28" t="str">
        <f>IF($C482=""," ",[1]!i_pq_pctchange($C482,F$6,$N$1))</f>
        <v xml:space="preserve"> </v>
      </c>
      <c r="G482" s="28" t="str">
        <f>IF($C482=""," ",[1]!i_pq_pctchange($C482,G$6,$N$1))</f>
        <v xml:space="preserve"> </v>
      </c>
      <c r="H482" s="28" t="str">
        <f>IF($C482=""," ",[1]!i_pq_pctchange($C482,H$6,$N$1))</f>
        <v xml:space="preserve"> </v>
      </c>
      <c r="I482" s="28" t="str">
        <f>IF($C482=""," ",[1]!i_pq_pctchange($C482,I$6,$N$1))</f>
        <v xml:space="preserve"> </v>
      </c>
      <c r="J482" s="28" t="str">
        <f>IF($C482=""," ",[1]!i_pq_pctchange($C482,J$6,$N$1))</f>
        <v xml:space="preserve"> </v>
      </c>
      <c r="K482" s="28" t="str">
        <f>IF($C482=""," ",[1]!i_pq_pctchange($C482,K$6,$N$1))</f>
        <v xml:space="preserve"> </v>
      </c>
      <c r="L482" s="28" t="str">
        <f>IF(C482=""," ",[1]!s_wq_pctchange($C482,$N$1))</f>
        <v xml:space="preserve"> </v>
      </c>
      <c r="M482" s="28" t="str">
        <f>IF(C482=""," ",[1]!s_mq_pctchange($C482,$N$1))</f>
        <v xml:space="preserve"> </v>
      </c>
      <c r="N482" s="28" t="str">
        <f>IF(C482=""," ",[1]!s_yq_pctchange($C482,$N$1))</f>
        <v xml:space="preserve"> </v>
      </c>
      <c r="O482" s="11"/>
      <c r="P482" s="7"/>
    </row>
    <row r="483" spans="1:16" x14ac:dyDescent="0.35">
      <c r="A483" s="7"/>
      <c r="C483" s="30" t="str">
        <f>IF(指数列表!B480="","",指数列表!B480)</f>
        <v/>
      </c>
      <c r="D483" s="35" t="str">
        <f>IF(C483="","",[1]!s_info_name(C483))</f>
        <v/>
      </c>
      <c r="E483" s="24" t="str">
        <f>IF(C483="","",[1]!s_dq_close(C483,$N$1))</f>
        <v/>
      </c>
      <c r="F483" s="28" t="str">
        <f>IF($C483=""," ",[1]!i_pq_pctchange($C483,F$6,$N$1))</f>
        <v xml:space="preserve"> </v>
      </c>
      <c r="G483" s="28" t="str">
        <f>IF($C483=""," ",[1]!i_pq_pctchange($C483,G$6,$N$1))</f>
        <v xml:space="preserve"> </v>
      </c>
      <c r="H483" s="28" t="str">
        <f>IF($C483=""," ",[1]!i_pq_pctchange($C483,H$6,$N$1))</f>
        <v xml:space="preserve"> </v>
      </c>
      <c r="I483" s="28" t="str">
        <f>IF($C483=""," ",[1]!i_pq_pctchange($C483,I$6,$N$1))</f>
        <v xml:space="preserve"> </v>
      </c>
      <c r="J483" s="28" t="str">
        <f>IF($C483=""," ",[1]!i_pq_pctchange($C483,J$6,$N$1))</f>
        <v xml:space="preserve"> </v>
      </c>
      <c r="K483" s="28" t="str">
        <f>IF($C483=""," ",[1]!i_pq_pctchange($C483,K$6,$N$1))</f>
        <v xml:space="preserve"> </v>
      </c>
      <c r="L483" s="28" t="str">
        <f>IF(C483=""," ",[1]!s_wq_pctchange($C483,$N$1))</f>
        <v xml:space="preserve"> </v>
      </c>
      <c r="M483" s="28" t="str">
        <f>IF(C483=""," ",[1]!s_mq_pctchange($C483,$N$1))</f>
        <v xml:space="preserve"> </v>
      </c>
      <c r="N483" s="28" t="str">
        <f>IF(C483=""," ",[1]!s_yq_pctchange($C483,$N$1))</f>
        <v xml:space="preserve"> </v>
      </c>
      <c r="O483" s="11"/>
      <c r="P483" s="7"/>
    </row>
    <row r="484" spans="1:16" x14ac:dyDescent="0.35">
      <c r="A484" s="7"/>
      <c r="C484" s="31" t="str">
        <f>IF(指数列表!B481="","",指数列表!B481)</f>
        <v/>
      </c>
      <c r="D484" s="36" t="str">
        <f>IF(C484="","",[1]!s_info_name(C484))</f>
        <v/>
      </c>
      <c r="E484" s="25" t="str">
        <f>IF(C484="","",[1]!s_dq_close(C484,$N$1))</f>
        <v/>
      </c>
      <c r="F484" s="28" t="str">
        <f>IF($C484=""," ",[1]!i_pq_pctchange($C484,F$6,$N$1))</f>
        <v xml:space="preserve"> </v>
      </c>
      <c r="G484" s="28" t="str">
        <f>IF($C484=""," ",[1]!i_pq_pctchange($C484,G$6,$N$1))</f>
        <v xml:space="preserve"> </v>
      </c>
      <c r="H484" s="28" t="str">
        <f>IF($C484=""," ",[1]!i_pq_pctchange($C484,H$6,$N$1))</f>
        <v xml:space="preserve"> </v>
      </c>
      <c r="I484" s="28" t="str">
        <f>IF($C484=""," ",[1]!i_pq_pctchange($C484,I$6,$N$1))</f>
        <v xml:space="preserve"> </v>
      </c>
      <c r="J484" s="28" t="str">
        <f>IF($C484=""," ",[1]!i_pq_pctchange($C484,J$6,$N$1))</f>
        <v xml:space="preserve"> </v>
      </c>
      <c r="K484" s="28" t="str">
        <f>IF($C484=""," ",[1]!i_pq_pctchange($C484,K$6,$N$1))</f>
        <v xml:space="preserve"> </v>
      </c>
      <c r="L484" s="28" t="str">
        <f>IF(C484=""," ",[1]!s_wq_pctchange($C484,$N$1))</f>
        <v xml:space="preserve"> </v>
      </c>
      <c r="M484" s="28" t="str">
        <f>IF(C484=""," ",[1]!s_mq_pctchange($C484,$N$1))</f>
        <v xml:space="preserve"> </v>
      </c>
      <c r="N484" s="28" t="str">
        <f>IF(C484=""," ",[1]!s_yq_pctchange($C484,$N$1))</f>
        <v xml:space="preserve"> </v>
      </c>
      <c r="O484" s="11"/>
      <c r="P484" s="7"/>
    </row>
    <row r="485" spans="1:16" x14ac:dyDescent="0.35">
      <c r="A485" s="7"/>
      <c r="C485" s="30" t="str">
        <f>IF(指数列表!B482="","",指数列表!B482)</f>
        <v/>
      </c>
      <c r="D485" s="35" t="str">
        <f>IF(C485="","",[1]!s_info_name(C485))</f>
        <v/>
      </c>
      <c r="E485" s="24" t="str">
        <f>IF(C485="","",[1]!s_dq_close(C485,$N$1))</f>
        <v/>
      </c>
      <c r="F485" s="28" t="str">
        <f>IF($C485=""," ",[1]!i_pq_pctchange($C485,F$6,$N$1))</f>
        <v xml:space="preserve"> </v>
      </c>
      <c r="G485" s="28" t="str">
        <f>IF($C485=""," ",[1]!i_pq_pctchange($C485,G$6,$N$1))</f>
        <v xml:space="preserve"> </v>
      </c>
      <c r="H485" s="28" t="str">
        <f>IF($C485=""," ",[1]!i_pq_pctchange($C485,H$6,$N$1))</f>
        <v xml:space="preserve"> </v>
      </c>
      <c r="I485" s="28" t="str">
        <f>IF($C485=""," ",[1]!i_pq_pctchange($C485,I$6,$N$1))</f>
        <v xml:space="preserve"> </v>
      </c>
      <c r="J485" s="28" t="str">
        <f>IF($C485=""," ",[1]!i_pq_pctchange($C485,J$6,$N$1))</f>
        <v xml:space="preserve"> </v>
      </c>
      <c r="K485" s="28" t="str">
        <f>IF($C485=""," ",[1]!i_pq_pctchange($C485,K$6,$N$1))</f>
        <v xml:space="preserve"> </v>
      </c>
      <c r="L485" s="28" t="str">
        <f>IF(C485=""," ",[1]!s_wq_pctchange($C485,$N$1))</f>
        <v xml:space="preserve"> </v>
      </c>
      <c r="M485" s="28" t="str">
        <f>IF(C485=""," ",[1]!s_mq_pctchange($C485,$N$1))</f>
        <v xml:space="preserve"> </v>
      </c>
      <c r="N485" s="28" t="str">
        <f>IF(C485=""," ",[1]!s_yq_pctchange($C485,$N$1))</f>
        <v xml:space="preserve"> </v>
      </c>
      <c r="O485" s="11"/>
      <c r="P485" s="7"/>
    </row>
    <row r="486" spans="1:16" x14ac:dyDescent="0.35">
      <c r="A486" s="7"/>
      <c r="C486" s="31" t="str">
        <f>IF(指数列表!B483="","",指数列表!B483)</f>
        <v/>
      </c>
      <c r="D486" s="36" t="str">
        <f>IF(C486="","",[1]!s_info_name(C486))</f>
        <v/>
      </c>
      <c r="E486" s="25" t="str">
        <f>IF(C486="","",[1]!s_dq_close(C486,$N$1))</f>
        <v/>
      </c>
      <c r="F486" s="28" t="str">
        <f>IF($C486=""," ",[1]!i_pq_pctchange($C486,F$6,$N$1))</f>
        <v xml:space="preserve"> </v>
      </c>
      <c r="G486" s="28" t="str">
        <f>IF($C486=""," ",[1]!i_pq_pctchange($C486,G$6,$N$1))</f>
        <v xml:space="preserve"> </v>
      </c>
      <c r="H486" s="28" t="str">
        <f>IF($C486=""," ",[1]!i_pq_pctchange($C486,H$6,$N$1))</f>
        <v xml:space="preserve"> </v>
      </c>
      <c r="I486" s="28" t="str">
        <f>IF($C486=""," ",[1]!i_pq_pctchange($C486,I$6,$N$1))</f>
        <v xml:space="preserve"> </v>
      </c>
      <c r="J486" s="28" t="str">
        <f>IF($C486=""," ",[1]!i_pq_pctchange($C486,J$6,$N$1))</f>
        <v xml:space="preserve"> </v>
      </c>
      <c r="K486" s="28" t="str">
        <f>IF($C486=""," ",[1]!i_pq_pctchange($C486,K$6,$N$1))</f>
        <v xml:space="preserve"> </v>
      </c>
      <c r="L486" s="28" t="str">
        <f>IF(C486=""," ",[1]!s_wq_pctchange($C486,$N$1))</f>
        <v xml:space="preserve"> </v>
      </c>
      <c r="M486" s="28" t="str">
        <f>IF(C486=""," ",[1]!s_mq_pctchange($C486,$N$1))</f>
        <v xml:space="preserve"> </v>
      </c>
      <c r="N486" s="28" t="str">
        <f>IF(C486=""," ",[1]!s_yq_pctchange($C486,$N$1))</f>
        <v xml:space="preserve"> </v>
      </c>
      <c r="O486" s="11"/>
      <c r="P486" s="7"/>
    </row>
    <row r="487" spans="1:16" x14ac:dyDescent="0.35">
      <c r="A487" s="7"/>
      <c r="C487" s="30" t="str">
        <f>IF(指数列表!B484="","",指数列表!B484)</f>
        <v/>
      </c>
      <c r="D487" s="35" t="str">
        <f>IF(C487="","",[1]!s_info_name(C487))</f>
        <v/>
      </c>
      <c r="E487" s="24" t="str">
        <f>IF(C487="","",[1]!s_dq_close(C487,$N$1))</f>
        <v/>
      </c>
      <c r="F487" s="28" t="str">
        <f>IF($C487=""," ",[1]!i_pq_pctchange($C487,F$6,$N$1))</f>
        <v xml:space="preserve"> </v>
      </c>
      <c r="G487" s="28" t="str">
        <f>IF($C487=""," ",[1]!i_pq_pctchange($C487,G$6,$N$1))</f>
        <v xml:space="preserve"> </v>
      </c>
      <c r="H487" s="28" t="str">
        <f>IF($C487=""," ",[1]!i_pq_pctchange($C487,H$6,$N$1))</f>
        <v xml:space="preserve"> </v>
      </c>
      <c r="I487" s="28" t="str">
        <f>IF($C487=""," ",[1]!i_pq_pctchange($C487,I$6,$N$1))</f>
        <v xml:space="preserve"> </v>
      </c>
      <c r="J487" s="28" t="str">
        <f>IF($C487=""," ",[1]!i_pq_pctchange($C487,J$6,$N$1))</f>
        <v xml:space="preserve"> </v>
      </c>
      <c r="K487" s="28" t="str">
        <f>IF($C487=""," ",[1]!i_pq_pctchange($C487,K$6,$N$1))</f>
        <v xml:space="preserve"> </v>
      </c>
      <c r="L487" s="28" t="str">
        <f>IF(C487=""," ",[1]!s_wq_pctchange($C487,$N$1))</f>
        <v xml:space="preserve"> </v>
      </c>
      <c r="M487" s="28" t="str">
        <f>IF(C487=""," ",[1]!s_mq_pctchange($C487,$N$1))</f>
        <v xml:space="preserve"> </v>
      </c>
      <c r="N487" s="28" t="str">
        <f>IF(C487=""," ",[1]!s_yq_pctchange($C487,$N$1))</f>
        <v xml:space="preserve"> </v>
      </c>
      <c r="O487" s="11"/>
      <c r="P487" s="7"/>
    </row>
    <row r="488" spans="1:16" x14ac:dyDescent="0.35">
      <c r="A488" s="7"/>
      <c r="C488" s="31" t="str">
        <f>IF(指数列表!B485="","",指数列表!B485)</f>
        <v/>
      </c>
      <c r="D488" s="36" t="str">
        <f>IF(C488="","",[1]!s_info_name(C488))</f>
        <v/>
      </c>
      <c r="E488" s="25" t="str">
        <f>IF(C488="","",[1]!s_dq_close(C488,$N$1))</f>
        <v/>
      </c>
      <c r="F488" s="28" t="str">
        <f>IF($C488=""," ",[1]!i_pq_pctchange($C488,F$6,$N$1))</f>
        <v xml:space="preserve"> </v>
      </c>
      <c r="G488" s="28" t="str">
        <f>IF($C488=""," ",[1]!i_pq_pctchange($C488,G$6,$N$1))</f>
        <v xml:space="preserve"> </v>
      </c>
      <c r="H488" s="28" t="str">
        <f>IF($C488=""," ",[1]!i_pq_pctchange($C488,H$6,$N$1))</f>
        <v xml:space="preserve"> </v>
      </c>
      <c r="I488" s="28" t="str">
        <f>IF($C488=""," ",[1]!i_pq_pctchange($C488,I$6,$N$1))</f>
        <v xml:space="preserve"> </v>
      </c>
      <c r="J488" s="28" t="str">
        <f>IF($C488=""," ",[1]!i_pq_pctchange($C488,J$6,$N$1))</f>
        <v xml:space="preserve"> </v>
      </c>
      <c r="K488" s="28" t="str">
        <f>IF($C488=""," ",[1]!i_pq_pctchange($C488,K$6,$N$1))</f>
        <v xml:space="preserve"> </v>
      </c>
      <c r="L488" s="28" t="str">
        <f>IF(C488=""," ",[1]!s_wq_pctchange($C488,$N$1))</f>
        <v xml:space="preserve"> </v>
      </c>
      <c r="M488" s="28" t="str">
        <f>IF(C488=""," ",[1]!s_mq_pctchange($C488,$N$1))</f>
        <v xml:space="preserve"> </v>
      </c>
      <c r="N488" s="28" t="str">
        <f>IF(C488=""," ",[1]!s_yq_pctchange($C488,$N$1))</f>
        <v xml:space="preserve"> </v>
      </c>
      <c r="O488" s="11"/>
      <c r="P488" s="7"/>
    </row>
    <row r="489" spans="1:16" x14ac:dyDescent="0.35">
      <c r="A489" s="7"/>
      <c r="C489" s="30" t="str">
        <f>IF(指数列表!B486="","",指数列表!B486)</f>
        <v/>
      </c>
      <c r="D489" s="35" t="str">
        <f>IF(C489="","",[1]!s_info_name(C489))</f>
        <v/>
      </c>
      <c r="E489" s="24" t="str">
        <f>IF(C489="","",[1]!s_dq_close(C489,$N$1))</f>
        <v/>
      </c>
      <c r="F489" s="28" t="str">
        <f>IF($C489=""," ",[1]!i_pq_pctchange($C489,F$6,$N$1))</f>
        <v xml:space="preserve"> </v>
      </c>
      <c r="G489" s="28" t="str">
        <f>IF($C489=""," ",[1]!i_pq_pctchange($C489,G$6,$N$1))</f>
        <v xml:space="preserve"> </v>
      </c>
      <c r="H489" s="28" t="str">
        <f>IF($C489=""," ",[1]!i_pq_pctchange($C489,H$6,$N$1))</f>
        <v xml:space="preserve"> </v>
      </c>
      <c r="I489" s="28" t="str">
        <f>IF($C489=""," ",[1]!i_pq_pctchange($C489,I$6,$N$1))</f>
        <v xml:space="preserve"> </v>
      </c>
      <c r="J489" s="28" t="str">
        <f>IF($C489=""," ",[1]!i_pq_pctchange($C489,J$6,$N$1))</f>
        <v xml:space="preserve"> </v>
      </c>
      <c r="K489" s="28" t="str">
        <f>IF($C489=""," ",[1]!i_pq_pctchange($C489,K$6,$N$1))</f>
        <v xml:space="preserve"> </v>
      </c>
      <c r="L489" s="28" t="str">
        <f>IF(C489=""," ",[1]!s_wq_pctchange($C489,$N$1))</f>
        <v xml:space="preserve"> </v>
      </c>
      <c r="M489" s="28" t="str">
        <f>IF(C489=""," ",[1]!s_mq_pctchange($C489,$N$1))</f>
        <v xml:space="preserve"> </v>
      </c>
      <c r="N489" s="28" t="str">
        <f>IF(C489=""," ",[1]!s_yq_pctchange($C489,$N$1))</f>
        <v xml:space="preserve"> </v>
      </c>
      <c r="O489" s="11"/>
      <c r="P489" s="7"/>
    </row>
    <row r="490" spans="1:16" x14ac:dyDescent="0.35">
      <c r="A490" s="7"/>
      <c r="C490" s="31" t="str">
        <f>IF(指数列表!B487="","",指数列表!B487)</f>
        <v/>
      </c>
      <c r="D490" s="36" t="str">
        <f>IF(C490="","",[1]!s_info_name(C490))</f>
        <v/>
      </c>
      <c r="E490" s="25" t="str">
        <f>IF(C490="","",[1]!s_dq_close(C490,$N$1))</f>
        <v/>
      </c>
      <c r="F490" s="28" t="str">
        <f>IF($C490=""," ",[1]!i_pq_pctchange($C490,F$6,$N$1))</f>
        <v xml:space="preserve"> </v>
      </c>
      <c r="G490" s="28" t="str">
        <f>IF($C490=""," ",[1]!i_pq_pctchange($C490,G$6,$N$1))</f>
        <v xml:space="preserve"> </v>
      </c>
      <c r="H490" s="28" t="str">
        <f>IF($C490=""," ",[1]!i_pq_pctchange($C490,H$6,$N$1))</f>
        <v xml:space="preserve"> </v>
      </c>
      <c r="I490" s="28" t="str">
        <f>IF($C490=""," ",[1]!i_pq_pctchange($C490,I$6,$N$1))</f>
        <v xml:space="preserve"> </v>
      </c>
      <c r="J490" s="28" t="str">
        <f>IF($C490=""," ",[1]!i_pq_pctchange($C490,J$6,$N$1))</f>
        <v xml:space="preserve"> </v>
      </c>
      <c r="K490" s="28" t="str">
        <f>IF($C490=""," ",[1]!i_pq_pctchange($C490,K$6,$N$1))</f>
        <v xml:space="preserve"> </v>
      </c>
      <c r="L490" s="28" t="str">
        <f>IF(C490=""," ",[1]!s_wq_pctchange($C490,$N$1))</f>
        <v xml:space="preserve"> </v>
      </c>
      <c r="M490" s="28" t="str">
        <f>IF(C490=""," ",[1]!s_mq_pctchange($C490,$N$1))</f>
        <v xml:space="preserve"> </v>
      </c>
      <c r="N490" s="28" t="str">
        <f>IF(C490=""," ",[1]!s_yq_pctchange($C490,$N$1))</f>
        <v xml:space="preserve"> </v>
      </c>
      <c r="O490" s="11"/>
      <c r="P490" s="7"/>
    </row>
    <row r="491" spans="1:16" x14ac:dyDescent="0.35">
      <c r="A491" s="7"/>
      <c r="C491" s="30" t="str">
        <f>IF(指数列表!B488="","",指数列表!B488)</f>
        <v/>
      </c>
      <c r="D491" s="35" t="str">
        <f>IF(C491="","",[1]!s_info_name(C491))</f>
        <v/>
      </c>
      <c r="E491" s="24" t="str">
        <f>IF(C491="","",[1]!s_dq_close(C491,$N$1))</f>
        <v/>
      </c>
      <c r="F491" s="28" t="str">
        <f>IF($C491=""," ",[1]!i_pq_pctchange($C491,F$6,$N$1))</f>
        <v xml:space="preserve"> </v>
      </c>
      <c r="G491" s="28" t="str">
        <f>IF($C491=""," ",[1]!i_pq_pctchange($C491,G$6,$N$1))</f>
        <v xml:space="preserve"> </v>
      </c>
      <c r="H491" s="28" t="str">
        <f>IF($C491=""," ",[1]!i_pq_pctchange($C491,H$6,$N$1))</f>
        <v xml:space="preserve"> </v>
      </c>
      <c r="I491" s="28" t="str">
        <f>IF($C491=""," ",[1]!i_pq_pctchange($C491,I$6,$N$1))</f>
        <v xml:space="preserve"> </v>
      </c>
      <c r="J491" s="28" t="str">
        <f>IF($C491=""," ",[1]!i_pq_pctchange($C491,J$6,$N$1))</f>
        <v xml:space="preserve"> </v>
      </c>
      <c r="K491" s="28" t="str">
        <f>IF($C491=""," ",[1]!i_pq_pctchange($C491,K$6,$N$1))</f>
        <v xml:space="preserve"> </v>
      </c>
      <c r="L491" s="28" t="str">
        <f>IF(C491=""," ",[1]!s_wq_pctchange($C491,$N$1))</f>
        <v xml:space="preserve"> </v>
      </c>
      <c r="M491" s="28" t="str">
        <f>IF(C491=""," ",[1]!s_mq_pctchange($C491,$N$1))</f>
        <v xml:space="preserve"> </v>
      </c>
      <c r="N491" s="28" t="str">
        <f>IF(C491=""," ",[1]!s_yq_pctchange($C491,$N$1))</f>
        <v xml:space="preserve"> </v>
      </c>
      <c r="O491" s="11"/>
      <c r="P491" s="7"/>
    </row>
    <row r="492" spans="1:16" x14ac:dyDescent="0.35">
      <c r="A492" s="7"/>
      <c r="C492" s="31" t="str">
        <f>IF(指数列表!B489="","",指数列表!B489)</f>
        <v/>
      </c>
      <c r="D492" s="36" t="str">
        <f>IF(C492="","",[1]!s_info_name(C492))</f>
        <v/>
      </c>
      <c r="E492" s="25" t="str">
        <f>IF(C492="","",[1]!s_dq_close(C492,$N$1))</f>
        <v/>
      </c>
      <c r="F492" s="28" t="str">
        <f>IF($C492=""," ",[1]!i_pq_pctchange($C492,F$6,$N$1))</f>
        <v xml:space="preserve"> </v>
      </c>
      <c r="G492" s="28" t="str">
        <f>IF($C492=""," ",[1]!i_pq_pctchange($C492,G$6,$N$1))</f>
        <v xml:space="preserve"> </v>
      </c>
      <c r="H492" s="28" t="str">
        <f>IF($C492=""," ",[1]!i_pq_pctchange($C492,H$6,$N$1))</f>
        <v xml:space="preserve"> </v>
      </c>
      <c r="I492" s="28" t="str">
        <f>IF($C492=""," ",[1]!i_pq_pctchange($C492,I$6,$N$1))</f>
        <v xml:space="preserve"> </v>
      </c>
      <c r="J492" s="28" t="str">
        <f>IF($C492=""," ",[1]!i_pq_pctchange($C492,J$6,$N$1))</f>
        <v xml:space="preserve"> </v>
      </c>
      <c r="K492" s="28" t="str">
        <f>IF($C492=""," ",[1]!i_pq_pctchange($C492,K$6,$N$1))</f>
        <v xml:space="preserve"> </v>
      </c>
      <c r="L492" s="28" t="str">
        <f>IF(C492=""," ",[1]!s_wq_pctchange($C492,$N$1))</f>
        <v xml:space="preserve"> </v>
      </c>
      <c r="M492" s="28" t="str">
        <f>IF(C492=""," ",[1]!s_mq_pctchange($C492,$N$1))</f>
        <v xml:space="preserve"> </v>
      </c>
      <c r="N492" s="28" t="str">
        <f>IF(C492=""," ",[1]!s_yq_pctchange($C492,$N$1))</f>
        <v xml:space="preserve"> </v>
      </c>
      <c r="O492" s="11"/>
      <c r="P492" s="7"/>
    </row>
    <row r="493" spans="1:16" x14ac:dyDescent="0.35">
      <c r="A493" s="7"/>
      <c r="C493" s="30" t="str">
        <f>IF(指数列表!B490="","",指数列表!B490)</f>
        <v/>
      </c>
      <c r="D493" s="35" t="str">
        <f>IF(C493="","",[1]!s_info_name(C493))</f>
        <v/>
      </c>
      <c r="E493" s="24" t="str">
        <f>IF(C493="","",[1]!s_dq_close(C493,$N$1))</f>
        <v/>
      </c>
      <c r="F493" s="28" t="str">
        <f>IF($C493=""," ",[1]!i_pq_pctchange($C493,F$6,$N$1))</f>
        <v xml:space="preserve"> </v>
      </c>
      <c r="G493" s="28" t="str">
        <f>IF($C493=""," ",[1]!i_pq_pctchange($C493,G$6,$N$1))</f>
        <v xml:space="preserve"> </v>
      </c>
      <c r="H493" s="28" t="str">
        <f>IF($C493=""," ",[1]!i_pq_pctchange($C493,H$6,$N$1))</f>
        <v xml:space="preserve"> </v>
      </c>
      <c r="I493" s="28" t="str">
        <f>IF($C493=""," ",[1]!i_pq_pctchange($C493,I$6,$N$1))</f>
        <v xml:space="preserve"> </v>
      </c>
      <c r="J493" s="28" t="str">
        <f>IF($C493=""," ",[1]!i_pq_pctchange($C493,J$6,$N$1))</f>
        <v xml:space="preserve"> </v>
      </c>
      <c r="K493" s="28" t="str">
        <f>IF($C493=""," ",[1]!i_pq_pctchange($C493,K$6,$N$1))</f>
        <v xml:space="preserve"> </v>
      </c>
      <c r="L493" s="28" t="str">
        <f>IF(C493=""," ",[1]!s_wq_pctchange($C493,$N$1))</f>
        <v xml:space="preserve"> </v>
      </c>
      <c r="M493" s="28" t="str">
        <f>IF(C493=""," ",[1]!s_mq_pctchange($C493,$N$1))</f>
        <v xml:space="preserve"> </v>
      </c>
      <c r="N493" s="28" t="str">
        <f>IF(C493=""," ",[1]!s_yq_pctchange($C493,$N$1))</f>
        <v xml:space="preserve"> </v>
      </c>
      <c r="O493" s="11"/>
      <c r="P493" s="7"/>
    </row>
    <row r="494" spans="1:16" x14ac:dyDescent="0.35">
      <c r="A494" s="7"/>
      <c r="C494" s="31" t="str">
        <f>IF(指数列表!B491="","",指数列表!B491)</f>
        <v/>
      </c>
      <c r="D494" s="36" t="str">
        <f>IF(C494="","",[1]!s_info_name(C494))</f>
        <v/>
      </c>
      <c r="E494" s="25" t="str">
        <f>IF(C494="","",[1]!s_dq_close(C494,$N$1))</f>
        <v/>
      </c>
      <c r="F494" s="28" t="str">
        <f>IF($C494=""," ",[1]!i_pq_pctchange($C494,F$6,$N$1))</f>
        <v xml:space="preserve"> </v>
      </c>
      <c r="G494" s="28" t="str">
        <f>IF($C494=""," ",[1]!i_pq_pctchange($C494,G$6,$N$1))</f>
        <v xml:space="preserve"> </v>
      </c>
      <c r="H494" s="28" t="str">
        <f>IF($C494=""," ",[1]!i_pq_pctchange($C494,H$6,$N$1))</f>
        <v xml:space="preserve"> </v>
      </c>
      <c r="I494" s="28" t="str">
        <f>IF($C494=""," ",[1]!i_pq_pctchange($C494,I$6,$N$1))</f>
        <v xml:space="preserve"> </v>
      </c>
      <c r="J494" s="28" t="str">
        <f>IF($C494=""," ",[1]!i_pq_pctchange($C494,J$6,$N$1))</f>
        <v xml:space="preserve"> </v>
      </c>
      <c r="K494" s="28" t="str">
        <f>IF($C494=""," ",[1]!i_pq_pctchange($C494,K$6,$N$1))</f>
        <v xml:space="preserve"> </v>
      </c>
      <c r="L494" s="28" t="str">
        <f>IF(C494=""," ",[1]!s_wq_pctchange($C494,$N$1))</f>
        <v xml:space="preserve"> </v>
      </c>
      <c r="M494" s="28" t="str">
        <f>IF(C494=""," ",[1]!s_mq_pctchange($C494,$N$1))</f>
        <v xml:space="preserve"> </v>
      </c>
      <c r="N494" s="28" t="str">
        <f>IF(C494=""," ",[1]!s_yq_pctchange($C494,$N$1))</f>
        <v xml:space="preserve"> </v>
      </c>
      <c r="O494" s="11"/>
      <c r="P494" s="7"/>
    </row>
    <row r="495" spans="1:16" x14ac:dyDescent="0.35">
      <c r="A495" s="7"/>
      <c r="C495" s="30" t="str">
        <f>IF(指数列表!B492="","",指数列表!B492)</f>
        <v/>
      </c>
      <c r="D495" s="35" t="str">
        <f>IF(C495="","",[1]!s_info_name(C495))</f>
        <v/>
      </c>
      <c r="E495" s="24" t="str">
        <f>IF(C495="","",[1]!s_dq_close(C495,$N$1))</f>
        <v/>
      </c>
      <c r="F495" s="28" t="str">
        <f>IF($C495=""," ",[1]!i_pq_pctchange($C495,F$6,$N$1))</f>
        <v xml:space="preserve"> </v>
      </c>
      <c r="G495" s="28" t="str">
        <f>IF($C495=""," ",[1]!i_pq_pctchange($C495,G$6,$N$1))</f>
        <v xml:space="preserve"> </v>
      </c>
      <c r="H495" s="28" t="str">
        <f>IF($C495=""," ",[1]!i_pq_pctchange($C495,H$6,$N$1))</f>
        <v xml:space="preserve"> </v>
      </c>
      <c r="I495" s="28" t="str">
        <f>IF($C495=""," ",[1]!i_pq_pctchange($C495,I$6,$N$1))</f>
        <v xml:space="preserve"> </v>
      </c>
      <c r="J495" s="28" t="str">
        <f>IF($C495=""," ",[1]!i_pq_pctchange($C495,J$6,$N$1))</f>
        <v xml:space="preserve"> </v>
      </c>
      <c r="K495" s="28" t="str">
        <f>IF($C495=""," ",[1]!i_pq_pctchange($C495,K$6,$N$1))</f>
        <v xml:space="preserve"> </v>
      </c>
      <c r="L495" s="28" t="str">
        <f>IF(C495=""," ",[1]!s_wq_pctchange($C495,$N$1))</f>
        <v xml:space="preserve"> </v>
      </c>
      <c r="M495" s="28" t="str">
        <f>IF(C495=""," ",[1]!s_mq_pctchange($C495,$N$1))</f>
        <v xml:space="preserve"> </v>
      </c>
      <c r="N495" s="28" t="str">
        <f>IF(C495=""," ",[1]!s_yq_pctchange($C495,$N$1))</f>
        <v xml:space="preserve"> </v>
      </c>
      <c r="O495" s="11"/>
      <c r="P495" s="7"/>
    </row>
    <row r="496" spans="1:16" x14ac:dyDescent="0.35">
      <c r="A496" s="7"/>
      <c r="C496" s="31" t="str">
        <f>IF(指数列表!B493="","",指数列表!B493)</f>
        <v/>
      </c>
      <c r="D496" s="36" t="str">
        <f>IF(C496="","",[1]!s_info_name(C496))</f>
        <v/>
      </c>
      <c r="E496" s="25" t="str">
        <f>IF(C496="","",[1]!s_dq_close(C496,$N$1))</f>
        <v/>
      </c>
      <c r="F496" s="28" t="str">
        <f>IF($C496=""," ",[1]!i_pq_pctchange($C496,F$6,$N$1))</f>
        <v xml:space="preserve"> </v>
      </c>
      <c r="G496" s="28" t="str">
        <f>IF($C496=""," ",[1]!i_pq_pctchange($C496,G$6,$N$1))</f>
        <v xml:space="preserve"> </v>
      </c>
      <c r="H496" s="28" t="str">
        <f>IF($C496=""," ",[1]!i_pq_pctchange($C496,H$6,$N$1))</f>
        <v xml:space="preserve"> </v>
      </c>
      <c r="I496" s="28" t="str">
        <f>IF($C496=""," ",[1]!i_pq_pctchange($C496,I$6,$N$1))</f>
        <v xml:space="preserve"> </v>
      </c>
      <c r="J496" s="28" t="str">
        <f>IF($C496=""," ",[1]!i_pq_pctchange($C496,J$6,$N$1))</f>
        <v xml:space="preserve"> </v>
      </c>
      <c r="K496" s="28" t="str">
        <f>IF($C496=""," ",[1]!i_pq_pctchange($C496,K$6,$N$1))</f>
        <v xml:space="preserve"> </v>
      </c>
      <c r="L496" s="28" t="str">
        <f>IF(C496=""," ",[1]!s_wq_pctchange($C496,$N$1))</f>
        <v xml:space="preserve"> </v>
      </c>
      <c r="M496" s="28" t="str">
        <f>IF(C496=""," ",[1]!s_mq_pctchange($C496,$N$1))</f>
        <v xml:space="preserve"> </v>
      </c>
      <c r="N496" s="28" t="str">
        <f>IF(C496=""," ",[1]!s_yq_pctchange($C496,$N$1))</f>
        <v xml:space="preserve"> </v>
      </c>
      <c r="O496" s="11"/>
      <c r="P496" s="7"/>
    </row>
    <row r="497" spans="1:16" x14ac:dyDescent="0.35">
      <c r="A497" s="7"/>
      <c r="C497" s="30" t="str">
        <f>IF(指数列表!B494="","",指数列表!B494)</f>
        <v/>
      </c>
      <c r="D497" s="35" t="str">
        <f>IF(C497="","",[1]!s_info_name(C497))</f>
        <v/>
      </c>
      <c r="E497" s="24" t="str">
        <f>IF(C497="","",[1]!s_dq_close(C497,$N$1))</f>
        <v/>
      </c>
      <c r="F497" s="28" t="str">
        <f>IF($C497=""," ",[1]!i_pq_pctchange($C497,F$6,$N$1))</f>
        <v xml:space="preserve"> </v>
      </c>
      <c r="G497" s="28" t="str">
        <f>IF($C497=""," ",[1]!i_pq_pctchange($C497,G$6,$N$1))</f>
        <v xml:space="preserve"> </v>
      </c>
      <c r="H497" s="28" t="str">
        <f>IF($C497=""," ",[1]!i_pq_pctchange($C497,H$6,$N$1))</f>
        <v xml:space="preserve"> </v>
      </c>
      <c r="I497" s="28" t="str">
        <f>IF($C497=""," ",[1]!i_pq_pctchange($C497,I$6,$N$1))</f>
        <v xml:space="preserve"> </v>
      </c>
      <c r="J497" s="28" t="str">
        <f>IF($C497=""," ",[1]!i_pq_pctchange($C497,J$6,$N$1))</f>
        <v xml:space="preserve"> </v>
      </c>
      <c r="K497" s="28" t="str">
        <f>IF($C497=""," ",[1]!i_pq_pctchange($C497,K$6,$N$1))</f>
        <v xml:space="preserve"> </v>
      </c>
      <c r="L497" s="28" t="str">
        <f>IF(C497=""," ",[1]!s_wq_pctchange($C497,$N$1))</f>
        <v xml:space="preserve"> </v>
      </c>
      <c r="M497" s="28" t="str">
        <f>IF(C497=""," ",[1]!s_mq_pctchange($C497,$N$1))</f>
        <v xml:space="preserve"> </v>
      </c>
      <c r="N497" s="28" t="str">
        <f>IF(C497=""," ",[1]!s_yq_pctchange($C497,$N$1))</f>
        <v xml:space="preserve"> </v>
      </c>
      <c r="O497" s="11"/>
      <c r="P497" s="7"/>
    </row>
    <row r="498" spans="1:16" x14ac:dyDescent="0.35">
      <c r="A498" s="7"/>
      <c r="C498" s="31" t="str">
        <f>IF(指数列表!B495="","",指数列表!B495)</f>
        <v/>
      </c>
      <c r="D498" s="36" t="str">
        <f>IF(C498="","",[1]!s_info_name(C498))</f>
        <v/>
      </c>
      <c r="E498" s="25" t="str">
        <f>IF(C498="","",[1]!s_dq_close(C498,$N$1))</f>
        <v/>
      </c>
      <c r="F498" s="28" t="str">
        <f>IF($C498=""," ",[1]!i_pq_pctchange($C498,F$6,$N$1))</f>
        <v xml:space="preserve"> </v>
      </c>
      <c r="G498" s="28" t="str">
        <f>IF($C498=""," ",[1]!i_pq_pctchange($C498,G$6,$N$1))</f>
        <v xml:space="preserve"> </v>
      </c>
      <c r="H498" s="28" t="str">
        <f>IF($C498=""," ",[1]!i_pq_pctchange($C498,H$6,$N$1))</f>
        <v xml:space="preserve"> </v>
      </c>
      <c r="I498" s="28" t="str">
        <f>IF($C498=""," ",[1]!i_pq_pctchange($C498,I$6,$N$1))</f>
        <v xml:space="preserve"> </v>
      </c>
      <c r="J498" s="28" t="str">
        <f>IF($C498=""," ",[1]!i_pq_pctchange($C498,J$6,$N$1))</f>
        <v xml:space="preserve"> </v>
      </c>
      <c r="K498" s="28" t="str">
        <f>IF($C498=""," ",[1]!i_pq_pctchange($C498,K$6,$N$1))</f>
        <v xml:space="preserve"> </v>
      </c>
      <c r="L498" s="28" t="str">
        <f>IF(C498=""," ",[1]!s_wq_pctchange($C498,$N$1))</f>
        <v xml:space="preserve"> </v>
      </c>
      <c r="M498" s="28" t="str">
        <f>IF(C498=""," ",[1]!s_mq_pctchange($C498,$N$1))</f>
        <v xml:space="preserve"> </v>
      </c>
      <c r="N498" s="28" t="str">
        <f>IF(C498=""," ",[1]!s_yq_pctchange($C498,$N$1))</f>
        <v xml:space="preserve"> </v>
      </c>
      <c r="O498" s="11"/>
      <c r="P498" s="7"/>
    </row>
    <row r="499" spans="1:16" x14ac:dyDescent="0.35">
      <c r="A499" s="7"/>
      <c r="C499" s="30" t="str">
        <f>IF(指数列表!B496="","",指数列表!B496)</f>
        <v/>
      </c>
      <c r="D499" s="35" t="str">
        <f>IF(C499="","",[1]!s_info_name(C499))</f>
        <v/>
      </c>
      <c r="E499" s="24" t="str">
        <f>IF(C499="","",[1]!s_dq_close(C499,$N$1))</f>
        <v/>
      </c>
      <c r="F499" s="28" t="str">
        <f>IF($C499=""," ",[1]!i_pq_pctchange($C499,F$6,$N$1))</f>
        <v xml:space="preserve"> </v>
      </c>
      <c r="G499" s="28" t="str">
        <f>IF($C499=""," ",[1]!i_pq_pctchange($C499,G$6,$N$1))</f>
        <v xml:space="preserve"> </v>
      </c>
      <c r="H499" s="28" t="str">
        <f>IF($C499=""," ",[1]!i_pq_pctchange($C499,H$6,$N$1))</f>
        <v xml:space="preserve"> </v>
      </c>
      <c r="I499" s="28" t="str">
        <f>IF($C499=""," ",[1]!i_pq_pctchange($C499,I$6,$N$1))</f>
        <v xml:space="preserve"> </v>
      </c>
      <c r="J499" s="28" t="str">
        <f>IF($C499=""," ",[1]!i_pq_pctchange($C499,J$6,$N$1))</f>
        <v xml:space="preserve"> </v>
      </c>
      <c r="K499" s="28" t="str">
        <f>IF($C499=""," ",[1]!i_pq_pctchange($C499,K$6,$N$1))</f>
        <v xml:space="preserve"> </v>
      </c>
      <c r="L499" s="28" t="str">
        <f>IF(C499=""," ",[1]!s_wq_pctchange($C499,$N$1))</f>
        <v xml:space="preserve"> </v>
      </c>
      <c r="M499" s="28" t="str">
        <f>IF(C499=""," ",[1]!s_mq_pctchange($C499,$N$1))</f>
        <v xml:space="preserve"> </v>
      </c>
      <c r="N499" s="28" t="str">
        <f>IF(C499=""," ",[1]!s_yq_pctchange($C499,$N$1))</f>
        <v xml:space="preserve"> </v>
      </c>
      <c r="O499" s="11"/>
      <c r="P499" s="7"/>
    </row>
    <row r="500" spans="1:16" x14ac:dyDescent="0.35">
      <c r="A500" s="7"/>
      <c r="C500" s="31" t="str">
        <f>IF(指数列表!B497="","",指数列表!B497)</f>
        <v/>
      </c>
      <c r="D500" s="36" t="str">
        <f>IF(C500="","",[1]!s_info_name(C500))</f>
        <v/>
      </c>
      <c r="E500" s="25" t="str">
        <f>IF(C500="","",[1]!s_dq_close(C500,$N$1))</f>
        <v/>
      </c>
      <c r="F500" s="28" t="str">
        <f>IF($C500=""," ",[1]!i_pq_pctchange($C500,F$6,$N$1))</f>
        <v xml:space="preserve"> </v>
      </c>
      <c r="G500" s="28" t="str">
        <f>IF($C500=""," ",[1]!i_pq_pctchange($C500,G$6,$N$1))</f>
        <v xml:space="preserve"> </v>
      </c>
      <c r="H500" s="28" t="str">
        <f>IF($C500=""," ",[1]!i_pq_pctchange($C500,H$6,$N$1))</f>
        <v xml:space="preserve"> </v>
      </c>
      <c r="I500" s="28" t="str">
        <f>IF($C500=""," ",[1]!i_pq_pctchange($C500,I$6,$N$1))</f>
        <v xml:space="preserve"> </v>
      </c>
      <c r="J500" s="28" t="str">
        <f>IF($C500=""," ",[1]!i_pq_pctchange($C500,J$6,$N$1))</f>
        <v xml:space="preserve"> </v>
      </c>
      <c r="K500" s="28" t="str">
        <f>IF($C500=""," ",[1]!i_pq_pctchange($C500,K$6,$N$1))</f>
        <v xml:space="preserve"> </v>
      </c>
      <c r="L500" s="28" t="str">
        <f>IF(C500=""," ",[1]!s_wq_pctchange($C500,$N$1))</f>
        <v xml:space="preserve"> </v>
      </c>
      <c r="M500" s="28" t="str">
        <f>IF(C500=""," ",[1]!s_mq_pctchange($C500,$N$1))</f>
        <v xml:space="preserve"> </v>
      </c>
      <c r="N500" s="28" t="str">
        <f>IF(C500=""," ",[1]!s_yq_pctchange($C500,$N$1))</f>
        <v xml:space="preserve"> </v>
      </c>
      <c r="O500" s="11"/>
      <c r="P500" s="7"/>
    </row>
    <row r="501" spans="1:16" x14ac:dyDescent="0.35">
      <c r="A501" s="7"/>
      <c r="C501" s="30" t="str">
        <f>IF(指数列表!B498="","",指数列表!B498)</f>
        <v/>
      </c>
      <c r="D501" s="35" t="str">
        <f>IF(C501="","",[1]!s_info_name(C501))</f>
        <v/>
      </c>
      <c r="E501" s="24" t="str">
        <f>IF(C501="","",[1]!s_dq_close(C501,$N$1))</f>
        <v/>
      </c>
      <c r="F501" s="28" t="str">
        <f>IF($C501=""," ",[1]!i_pq_pctchange($C501,F$6,$N$1))</f>
        <v xml:space="preserve"> </v>
      </c>
      <c r="G501" s="28" t="str">
        <f>IF($C501=""," ",[1]!i_pq_pctchange($C501,G$6,$N$1))</f>
        <v xml:space="preserve"> </v>
      </c>
      <c r="H501" s="28" t="str">
        <f>IF($C501=""," ",[1]!i_pq_pctchange($C501,H$6,$N$1))</f>
        <v xml:space="preserve"> </v>
      </c>
      <c r="I501" s="28" t="str">
        <f>IF($C501=""," ",[1]!i_pq_pctchange($C501,I$6,$N$1))</f>
        <v xml:space="preserve"> </v>
      </c>
      <c r="J501" s="28" t="str">
        <f>IF($C501=""," ",[1]!i_pq_pctchange($C501,J$6,$N$1))</f>
        <v xml:space="preserve"> </v>
      </c>
      <c r="K501" s="28" t="str">
        <f>IF($C501=""," ",[1]!i_pq_pctchange($C501,K$6,$N$1))</f>
        <v xml:space="preserve"> </v>
      </c>
      <c r="L501" s="28" t="str">
        <f>IF(C501=""," ",[1]!s_wq_pctchange($C501,$N$1))</f>
        <v xml:space="preserve"> </v>
      </c>
      <c r="M501" s="28" t="str">
        <f>IF(C501=""," ",[1]!s_mq_pctchange($C501,$N$1))</f>
        <v xml:space="preserve"> </v>
      </c>
      <c r="N501" s="28" t="str">
        <f>IF(C501=""," ",[1]!s_yq_pctchange($C501,$N$1))</f>
        <v xml:space="preserve"> </v>
      </c>
      <c r="O501" s="11"/>
      <c r="P501" s="7"/>
    </row>
    <row r="502" spans="1:16" x14ac:dyDescent="0.35">
      <c r="A502" s="7"/>
      <c r="C502" s="31" t="str">
        <f>IF(指数列表!B499="","",指数列表!B499)</f>
        <v/>
      </c>
      <c r="D502" s="36" t="str">
        <f>IF(C502="","",[1]!s_info_name(C502))</f>
        <v/>
      </c>
      <c r="E502" s="25" t="str">
        <f>IF(C502="","",[1]!s_dq_close(C502,$N$1))</f>
        <v/>
      </c>
      <c r="F502" s="28" t="str">
        <f>IF($C502=""," ",[1]!i_pq_pctchange($C502,F$6,$N$1))</f>
        <v xml:space="preserve"> </v>
      </c>
      <c r="G502" s="28" t="str">
        <f>IF($C502=""," ",[1]!i_pq_pctchange($C502,G$6,$N$1))</f>
        <v xml:space="preserve"> </v>
      </c>
      <c r="H502" s="28" t="str">
        <f>IF($C502=""," ",[1]!i_pq_pctchange($C502,H$6,$N$1))</f>
        <v xml:space="preserve"> </v>
      </c>
      <c r="I502" s="28" t="str">
        <f>IF($C502=""," ",[1]!i_pq_pctchange($C502,I$6,$N$1))</f>
        <v xml:space="preserve"> </v>
      </c>
      <c r="J502" s="28" t="str">
        <f>IF($C502=""," ",[1]!i_pq_pctchange($C502,J$6,$N$1))</f>
        <v xml:space="preserve"> </v>
      </c>
      <c r="K502" s="28" t="str">
        <f>IF($C502=""," ",[1]!i_pq_pctchange($C502,K$6,$N$1))</f>
        <v xml:space="preserve"> </v>
      </c>
      <c r="L502" s="28" t="str">
        <f>IF(C502=""," ",[1]!s_wq_pctchange($C502,$N$1))</f>
        <v xml:space="preserve"> </v>
      </c>
      <c r="M502" s="28" t="str">
        <f>IF(C502=""," ",[1]!s_mq_pctchange($C502,$N$1))</f>
        <v xml:space="preserve"> </v>
      </c>
      <c r="N502" s="28" t="str">
        <f>IF(C502=""," ",[1]!s_yq_pctchange($C502,$N$1))</f>
        <v xml:space="preserve"> </v>
      </c>
      <c r="O502" s="11"/>
      <c r="P502" s="7"/>
    </row>
    <row r="503" spans="1:16" x14ac:dyDescent="0.35">
      <c r="A503" s="7"/>
      <c r="C503" s="30" t="str">
        <f>IF(指数列表!B500="","",指数列表!B500)</f>
        <v/>
      </c>
      <c r="D503" s="35" t="str">
        <f>IF(C503="","",[1]!s_info_name(C503))</f>
        <v/>
      </c>
      <c r="E503" s="24" t="str">
        <f>IF(C503="","",[1]!s_dq_close(C503,$N$1))</f>
        <v/>
      </c>
      <c r="F503" s="28" t="str">
        <f>IF($C503=""," ",[1]!i_pq_pctchange($C503,F$6,$N$1))</f>
        <v xml:space="preserve"> </v>
      </c>
      <c r="G503" s="28" t="str">
        <f>IF($C503=""," ",[1]!i_pq_pctchange($C503,G$6,$N$1))</f>
        <v xml:space="preserve"> </v>
      </c>
      <c r="H503" s="28" t="str">
        <f>IF($C503=""," ",[1]!i_pq_pctchange($C503,H$6,$N$1))</f>
        <v xml:space="preserve"> </v>
      </c>
      <c r="I503" s="28" t="str">
        <f>IF($C503=""," ",[1]!i_pq_pctchange($C503,I$6,$N$1))</f>
        <v xml:space="preserve"> </v>
      </c>
      <c r="J503" s="28" t="str">
        <f>IF($C503=""," ",[1]!i_pq_pctchange($C503,J$6,$N$1))</f>
        <v xml:space="preserve"> </v>
      </c>
      <c r="K503" s="28" t="str">
        <f>IF($C503=""," ",[1]!i_pq_pctchange($C503,K$6,$N$1))</f>
        <v xml:space="preserve"> </v>
      </c>
      <c r="L503" s="28" t="str">
        <f>IF(C503=""," ",[1]!s_wq_pctchange($C503,$N$1))</f>
        <v xml:space="preserve"> </v>
      </c>
      <c r="M503" s="28" t="str">
        <f>IF(C503=""," ",[1]!s_mq_pctchange($C503,$N$1))</f>
        <v xml:space="preserve"> </v>
      </c>
      <c r="N503" s="28" t="str">
        <f>IF(C503=""," ",[1]!s_yq_pctchange($C503,$N$1))</f>
        <v xml:space="preserve"> </v>
      </c>
      <c r="O503" s="11"/>
      <c r="P503" s="7"/>
    </row>
    <row r="504" spans="1:16" x14ac:dyDescent="0.35">
      <c r="A504" s="7"/>
      <c r="C504" s="31" t="str">
        <f>IF(指数列表!B501="","",指数列表!B501)</f>
        <v/>
      </c>
      <c r="D504" s="36" t="str">
        <f>IF(C504="","",[1]!s_info_name(C504))</f>
        <v/>
      </c>
      <c r="E504" s="25" t="str">
        <f>IF(C504="","",[1]!s_dq_close(C504,$N$1))</f>
        <v/>
      </c>
      <c r="F504" s="28" t="str">
        <f>IF($C504=""," ",[1]!i_pq_pctchange($C504,F$6,$N$1))</f>
        <v xml:space="preserve"> </v>
      </c>
      <c r="G504" s="28" t="str">
        <f>IF($C504=""," ",[1]!i_pq_pctchange($C504,G$6,$N$1))</f>
        <v xml:space="preserve"> </v>
      </c>
      <c r="H504" s="28" t="str">
        <f>IF($C504=""," ",[1]!i_pq_pctchange($C504,H$6,$N$1))</f>
        <v xml:space="preserve"> </v>
      </c>
      <c r="I504" s="28" t="str">
        <f>IF($C504=""," ",[1]!i_pq_pctchange($C504,I$6,$N$1))</f>
        <v xml:space="preserve"> </v>
      </c>
      <c r="J504" s="28" t="str">
        <f>IF($C504=""," ",[1]!i_pq_pctchange($C504,J$6,$N$1))</f>
        <v xml:space="preserve"> </v>
      </c>
      <c r="K504" s="28" t="str">
        <f>IF($C504=""," ",[1]!i_pq_pctchange($C504,K$6,$N$1))</f>
        <v xml:space="preserve"> </v>
      </c>
      <c r="L504" s="28" t="str">
        <f>IF(C504=""," ",[1]!s_wq_pctchange($C504,$N$1))</f>
        <v xml:space="preserve"> </v>
      </c>
      <c r="M504" s="28" t="str">
        <f>IF(C504=""," ",[1]!s_mq_pctchange($C504,$N$1))</f>
        <v xml:space="preserve"> </v>
      </c>
      <c r="N504" s="28" t="str">
        <f>IF(C504=""," ",[1]!s_yq_pctchange($C504,$N$1))</f>
        <v xml:space="preserve"> </v>
      </c>
      <c r="O504" s="11"/>
      <c r="P504" s="7"/>
    </row>
    <row r="505" spans="1:16" x14ac:dyDescent="0.35">
      <c r="A505" s="7"/>
      <c r="C505" s="30" t="str">
        <f>IF(指数列表!B502="","",指数列表!B502)</f>
        <v/>
      </c>
      <c r="D505" s="35" t="str">
        <f>IF(C505="","",[1]!s_info_name(C505))</f>
        <v/>
      </c>
      <c r="E505" s="24" t="str">
        <f>IF(C505="","",[1]!s_dq_close(C505,$N$1))</f>
        <v/>
      </c>
      <c r="F505" s="28" t="str">
        <f>IF($C505=""," ",[1]!i_pq_pctchange($C505,F$6,$N$1))</f>
        <v xml:space="preserve"> </v>
      </c>
      <c r="G505" s="28" t="str">
        <f>IF($C505=""," ",[1]!i_pq_pctchange($C505,G$6,$N$1))</f>
        <v xml:space="preserve"> </v>
      </c>
      <c r="H505" s="28" t="str">
        <f>IF($C505=""," ",[1]!i_pq_pctchange($C505,H$6,$N$1))</f>
        <v xml:space="preserve"> </v>
      </c>
      <c r="I505" s="28" t="str">
        <f>IF($C505=""," ",[1]!i_pq_pctchange($C505,I$6,$N$1))</f>
        <v xml:space="preserve"> </v>
      </c>
      <c r="J505" s="28" t="str">
        <f>IF($C505=""," ",[1]!i_pq_pctchange($C505,J$6,$N$1))</f>
        <v xml:space="preserve"> </v>
      </c>
      <c r="K505" s="28" t="str">
        <f>IF($C505=""," ",[1]!i_pq_pctchange($C505,K$6,$N$1))</f>
        <v xml:space="preserve"> </v>
      </c>
      <c r="L505" s="28" t="str">
        <f>IF(C505=""," ",[1]!s_wq_pctchange($C505,$N$1))</f>
        <v xml:space="preserve"> </v>
      </c>
      <c r="M505" s="28" t="str">
        <f>IF(C505=""," ",[1]!s_mq_pctchange($C505,$N$1))</f>
        <v xml:space="preserve"> </v>
      </c>
      <c r="N505" s="28" t="str">
        <f>IF(C505=""," ",[1]!s_yq_pctchange($C505,$N$1))</f>
        <v xml:space="preserve"> </v>
      </c>
      <c r="O505" s="11"/>
      <c r="P505" s="7"/>
    </row>
    <row r="506" spans="1:16" x14ac:dyDescent="0.35">
      <c r="A506" s="7"/>
      <c r="C506" s="31" t="str">
        <f>IF(指数列表!B503="","",指数列表!B503)</f>
        <v/>
      </c>
      <c r="D506" s="36" t="str">
        <f>IF(C506="","",[1]!s_info_name(C506))</f>
        <v/>
      </c>
      <c r="E506" s="25" t="str">
        <f>IF(C506="","",[1]!s_dq_close(C506,$N$1))</f>
        <v/>
      </c>
      <c r="F506" s="28" t="str">
        <f>IF($C506=""," ",[1]!i_pq_pctchange($C506,F$6,$N$1))</f>
        <v xml:space="preserve"> </v>
      </c>
      <c r="G506" s="28" t="str">
        <f>IF($C506=""," ",[1]!i_pq_pctchange($C506,G$6,$N$1))</f>
        <v xml:space="preserve"> </v>
      </c>
      <c r="H506" s="28" t="str">
        <f>IF($C506=""," ",[1]!i_pq_pctchange($C506,H$6,$N$1))</f>
        <v xml:space="preserve"> </v>
      </c>
      <c r="I506" s="28" t="str">
        <f>IF($C506=""," ",[1]!i_pq_pctchange($C506,I$6,$N$1))</f>
        <v xml:space="preserve"> </v>
      </c>
      <c r="J506" s="28" t="str">
        <f>IF($C506=""," ",[1]!i_pq_pctchange($C506,J$6,$N$1))</f>
        <v xml:space="preserve"> </v>
      </c>
      <c r="K506" s="28" t="str">
        <f>IF($C506=""," ",[1]!i_pq_pctchange($C506,K$6,$N$1))</f>
        <v xml:space="preserve"> </v>
      </c>
      <c r="L506" s="28" t="str">
        <f>IF(C506=""," ",[1]!s_wq_pctchange($C506,$N$1))</f>
        <v xml:space="preserve"> </v>
      </c>
      <c r="M506" s="28" t="str">
        <f>IF(C506=""," ",[1]!s_mq_pctchange($C506,$N$1))</f>
        <v xml:space="preserve"> </v>
      </c>
      <c r="N506" s="28" t="str">
        <f>IF(C506=""," ",[1]!s_yq_pctchange($C506,$N$1))</f>
        <v xml:space="preserve"> </v>
      </c>
      <c r="O506" s="11"/>
      <c r="P506" s="7"/>
    </row>
    <row r="507" spans="1:16" x14ac:dyDescent="0.35">
      <c r="A507" s="7"/>
      <c r="C507" s="30" t="str">
        <f>IF(指数列表!B504="","",指数列表!B504)</f>
        <v/>
      </c>
      <c r="D507" s="35" t="str">
        <f>IF(C507="","",[1]!s_info_name(C507))</f>
        <v/>
      </c>
      <c r="E507" s="24" t="str">
        <f>IF(C507="","",[1]!s_dq_close(C507,$N$1))</f>
        <v/>
      </c>
      <c r="F507" s="28" t="str">
        <f>IF($C507=""," ",[1]!i_pq_pctchange($C507,F$6,$N$1))</f>
        <v xml:space="preserve"> </v>
      </c>
      <c r="G507" s="28" t="str">
        <f>IF($C507=""," ",[1]!i_pq_pctchange($C507,G$6,$N$1))</f>
        <v xml:space="preserve"> </v>
      </c>
      <c r="H507" s="28" t="str">
        <f>IF($C507=""," ",[1]!i_pq_pctchange($C507,H$6,$N$1))</f>
        <v xml:space="preserve"> </v>
      </c>
      <c r="I507" s="28" t="str">
        <f>IF($C507=""," ",[1]!i_pq_pctchange($C507,I$6,$N$1))</f>
        <v xml:space="preserve"> </v>
      </c>
      <c r="J507" s="28" t="str">
        <f>IF($C507=""," ",[1]!i_pq_pctchange($C507,J$6,$N$1))</f>
        <v xml:space="preserve"> </v>
      </c>
      <c r="K507" s="28" t="str">
        <f>IF($C507=""," ",[1]!i_pq_pctchange($C507,K$6,$N$1))</f>
        <v xml:space="preserve"> </v>
      </c>
      <c r="L507" s="28" t="str">
        <f>IF(C507=""," ",[1]!s_wq_pctchange($C507,$N$1))</f>
        <v xml:space="preserve"> </v>
      </c>
      <c r="M507" s="28" t="str">
        <f>IF(C507=""," ",[1]!s_mq_pctchange($C507,$N$1))</f>
        <v xml:space="preserve"> </v>
      </c>
      <c r="N507" s="28" t="str">
        <f>IF(C507=""," ",[1]!s_yq_pctchange($C507,$N$1))</f>
        <v xml:space="preserve"> </v>
      </c>
      <c r="O507" s="11"/>
      <c r="P507" s="7"/>
    </row>
    <row r="508" spans="1:16" x14ac:dyDescent="0.35">
      <c r="A508" s="7"/>
      <c r="C508" s="31" t="str">
        <f>IF(指数列表!B505="","",指数列表!B505)</f>
        <v/>
      </c>
      <c r="D508" s="36" t="str">
        <f>IF(C508="","",[1]!s_info_name(C508))</f>
        <v/>
      </c>
      <c r="E508" s="25" t="str">
        <f>IF(C508="","",[1]!s_dq_close(C508,$N$1))</f>
        <v/>
      </c>
      <c r="F508" s="28" t="str">
        <f>IF($C508=""," ",[1]!i_pq_pctchange($C508,F$6,$N$1))</f>
        <v xml:space="preserve"> </v>
      </c>
      <c r="G508" s="28" t="str">
        <f>IF($C508=""," ",[1]!i_pq_pctchange($C508,G$6,$N$1))</f>
        <v xml:space="preserve"> </v>
      </c>
      <c r="H508" s="28" t="str">
        <f>IF($C508=""," ",[1]!i_pq_pctchange($C508,H$6,$N$1))</f>
        <v xml:space="preserve"> </v>
      </c>
      <c r="I508" s="28" t="str">
        <f>IF($C508=""," ",[1]!i_pq_pctchange($C508,I$6,$N$1))</f>
        <v xml:space="preserve"> </v>
      </c>
      <c r="J508" s="28" t="str">
        <f>IF($C508=""," ",[1]!i_pq_pctchange($C508,J$6,$N$1))</f>
        <v xml:space="preserve"> </v>
      </c>
      <c r="K508" s="28" t="str">
        <f>IF($C508=""," ",[1]!i_pq_pctchange($C508,K$6,$N$1))</f>
        <v xml:space="preserve"> </v>
      </c>
      <c r="L508" s="28" t="str">
        <f>IF(C508=""," ",[1]!s_wq_pctchange($C508,$N$1))</f>
        <v xml:space="preserve"> </v>
      </c>
      <c r="M508" s="28" t="str">
        <f>IF(C508=""," ",[1]!s_mq_pctchange($C508,$N$1))</f>
        <v xml:space="preserve"> </v>
      </c>
      <c r="N508" s="28" t="str">
        <f>IF(C508=""," ",[1]!s_yq_pctchange($C508,$N$1))</f>
        <v xml:space="preserve"> </v>
      </c>
      <c r="O508" s="11"/>
      <c r="P508" s="7"/>
    </row>
    <row r="509" spans="1:16" x14ac:dyDescent="0.35">
      <c r="A509" s="7"/>
      <c r="C509" s="30" t="str">
        <f>IF(指数列表!B506="","",指数列表!B506)</f>
        <v/>
      </c>
      <c r="D509" s="35" t="str">
        <f>IF(C509="","",[1]!s_info_name(C509))</f>
        <v/>
      </c>
      <c r="E509" s="24" t="str">
        <f>IF(C509="","",[1]!s_dq_close(C509,$N$1))</f>
        <v/>
      </c>
      <c r="F509" s="28" t="str">
        <f>IF($C509=""," ",[1]!i_pq_pctchange($C509,F$6,$N$1))</f>
        <v xml:space="preserve"> </v>
      </c>
      <c r="G509" s="28" t="str">
        <f>IF($C509=""," ",[1]!i_pq_pctchange($C509,G$6,$N$1))</f>
        <v xml:space="preserve"> </v>
      </c>
      <c r="H509" s="28" t="str">
        <f>IF($C509=""," ",[1]!i_pq_pctchange($C509,H$6,$N$1))</f>
        <v xml:space="preserve"> </v>
      </c>
      <c r="I509" s="28" t="str">
        <f>IF($C509=""," ",[1]!i_pq_pctchange($C509,I$6,$N$1))</f>
        <v xml:space="preserve"> </v>
      </c>
      <c r="J509" s="28" t="str">
        <f>IF($C509=""," ",[1]!i_pq_pctchange($C509,J$6,$N$1))</f>
        <v xml:space="preserve"> </v>
      </c>
      <c r="K509" s="28" t="str">
        <f>IF($C509=""," ",[1]!i_pq_pctchange($C509,K$6,$N$1))</f>
        <v xml:space="preserve"> </v>
      </c>
      <c r="L509" s="28" t="str">
        <f>IF(C509=""," ",[1]!s_wq_pctchange($C509,$N$1))</f>
        <v xml:space="preserve"> </v>
      </c>
      <c r="M509" s="28" t="str">
        <f>IF(C509=""," ",[1]!s_mq_pctchange($C509,$N$1))</f>
        <v xml:space="preserve"> </v>
      </c>
      <c r="N509" s="28" t="str">
        <f>IF(C509=""," ",[1]!s_yq_pctchange($C509,$N$1))</f>
        <v xml:space="preserve"> </v>
      </c>
      <c r="O509" s="11"/>
      <c r="P509" s="7"/>
    </row>
    <row r="510" spans="1:16" x14ac:dyDescent="0.35">
      <c r="A510" s="7"/>
      <c r="C510" s="31" t="str">
        <f>IF(指数列表!B507="","",指数列表!B507)</f>
        <v/>
      </c>
      <c r="D510" s="36" t="str">
        <f>IF(C510="","",[1]!s_info_name(C510))</f>
        <v/>
      </c>
      <c r="E510" s="25" t="str">
        <f>IF(C510="","",[1]!s_dq_close(C510,$N$1))</f>
        <v/>
      </c>
      <c r="F510" s="28" t="str">
        <f>IF($C510=""," ",[1]!i_pq_pctchange($C510,F$6,$N$1))</f>
        <v xml:space="preserve"> </v>
      </c>
      <c r="G510" s="28" t="str">
        <f>IF($C510=""," ",[1]!i_pq_pctchange($C510,G$6,$N$1))</f>
        <v xml:space="preserve"> </v>
      </c>
      <c r="H510" s="28" t="str">
        <f>IF($C510=""," ",[1]!i_pq_pctchange($C510,H$6,$N$1))</f>
        <v xml:space="preserve"> </v>
      </c>
      <c r="I510" s="28" t="str">
        <f>IF($C510=""," ",[1]!i_pq_pctchange($C510,I$6,$N$1))</f>
        <v xml:space="preserve"> </v>
      </c>
      <c r="J510" s="28" t="str">
        <f>IF($C510=""," ",[1]!i_pq_pctchange($C510,J$6,$N$1))</f>
        <v xml:space="preserve"> </v>
      </c>
      <c r="K510" s="28" t="str">
        <f>IF($C510=""," ",[1]!i_pq_pctchange($C510,K$6,$N$1))</f>
        <v xml:space="preserve"> </v>
      </c>
      <c r="L510" s="28" t="str">
        <f>IF(C510=""," ",[1]!s_wq_pctchange($C510,$N$1))</f>
        <v xml:space="preserve"> </v>
      </c>
      <c r="M510" s="28" t="str">
        <f>IF(C510=""," ",[1]!s_mq_pctchange($C510,$N$1))</f>
        <v xml:space="preserve"> </v>
      </c>
      <c r="N510" s="28" t="str">
        <f>IF(C510=""," ",[1]!s_yq_pctchange($C510,$N$1))</f>
        <v xml:space="preserve"> </v>
      </c>
      <c r="O510" s="11"/>
      <c r="P510" s="7"/>
    </row>
    <row r="511" spans="1:16" x14ac:dyDescent="0.35">
      <c r="A511" s="7"/>
      <c r="C511" s="30" t="str">
        <f>IF(指数列表!B508="","",指数列表!B508)</f>
        <v/>
      </c>
      <c r="D511" s="35" t="str">
        <f>IF(C511="","",[1]!s_info_name(C511))</f>
        <v/>
      </c>
      <c r="E511" s="24" t="str">
        <f>IF(C511="","",[1]!s_dq_close(C511,$N$1))</f>
        <v/>
      </c>
      <c r="F511" s="28" t="str">
        <f>IF($C511=""," ",[1]!i_pq_pctchange($C511,F$6,$N$1))</f>
        <v xml:space="preserve"> </v>
      </c>
      <c r="G511" s="28" t="str">
        <f>IF($C511=""," ",[1]!i_pq_pctchange($C511,G$6,$N$1))</f>
        <v xml:space="preserve"> </v>
      </c>
      <c r="H511" s="28" t="str">
        <f>IF($C511=""," ",[1]!i_pq_pctchange($C511,H$6,$N$1))</f>
        <v xml:space="preserve"> </v>
      </c>
      <c r="I511" s="28" t="str">
        <f>IF($C511=""," ",[1]!i_pq_pctchange($C511,I$6,$N$1))</f>
        <v xml:space="preserve"> </v>
      </c>
      <c r="J511" s="28" t="str">
        <f>IF($C511=""," ",[1]!i_pq_pctchange($C511,J$6,$N$1))</f>
        <v xml:space="preserve"> </v>
      </c>
      <c r="K511" s="28" t="str">
        <f>IF($C511=""," ",[1]!i_pq_pctchange($C511,K$6,$N$1))</f>
        <v xml:space="preserve"> </v>
      </c>
      <c r="L511" s="28" t="str">
        <f>IF(C511=""," ",[1]!s_wq_pctchange($C511,$N$1))</f>
        <v xml:space="preserve"> </v>
      </c>
      <c r="M511" s="28" t="str">
        <f>IF(C511=""," ",[1]!s_mq_pctchange($C511,$N$1))</f>
        <v xml:space="preserve"> </v>
      </c>
      <c r="N511" s="28" t="str">
        <f>IF(C511=""," ",[1]!s_yq_pctchange($C511,$N$1))</f>
        <v xml:space="preserve"> </v>
      </c>
      <c r="O511" s="11"/>
      <c r="P511" s="7"/>
    </row>
    <row r="512" spans="1:16" x14ac:dyDescent="0.35">
      <c r="A512" s="7"/>
      <c r="C512" s="31" t="str">
        <f>IF(指数列表!B509="","",指数列表!B509)</f>
        <v/>
      </c>
      <c r="D512" s="36" t="str">
        <f>IF(C512="","",[1]!s_info_name(C512))</f>
        <v/>
      </c>
      <c r="E512" s="25" t="str">
        <f>IF(C512="","",[1]!s_dq_close(C512,$N$1))</f>
        <v/>
      </c>
      <c r="F512" s="28" t="str">
        <f>IF($C512=""," ",[1]!i_pq_pctchange($C512,F$6,$N$1))</f>
        <v xml:space="preserve"> </v>
      </c>
      <c r="G512" s="28" t="str">
        <f>IF($C512=""," ",[1]!i_pq_pctchange($C512,G$6,$N$1))</f>
        <v xml:space="preserve"> </v>
      </c>
      <c r="H512" s="28" t="str">
        <f>IF($C512=""," ",[1]!i_pq_pctchange($C512,H$6,$N$1))</f>
        <v xml:space="preserve"> </v>
      </c>
      <c r="I512" s="28" t="str">
        <f>IF($C512=""," ",[1]!i_pq_pctchange($C512,I$6,$N$1))</f>
        <v xml:space="preserve"> </v>
      </c>
      <c r="J512" s="28" t="str">
        <f>IF($C512=""," ",[1]!i_pq_pctchange($C512,J$6,$N$1))</f>
        <v xml:space="preserve"> </v>
      </c>
      <c r="K512" s="28" t="str">
        <f>IF($C512=""," ",[1]!i_pq_pctchange($C512,K$6,$N$1))</f>
        <v xml:space="preserve"> </v>
      </c>
      <c r="L512" s="28" t="str">
        <f>IF(C512=""," ",[1]!s_wq_pctchange($C512,$N$1))</f>
        <v xml:space="preserve"> </v>
      </c>
      <c r="M512" s="28" t="str">
        <f>IF(C512=""," ",[1]!s_mq_pctchange($C512,$N$1))</f>
        <v xml:space="preserve"> </v>
      </c>
      <c r="N512" s="28" t="str">
        <f>IF(C512=""," ",[1]!s_yq_pctchange($C512,$N$1))</f>
        <v xml:space="preserve"> </v>
      </c>
      <c r="O512" s="11"/>
      <c r="P512" s="7"/>
    </row>
    <row r="513" spans="1:16" x14ac:dyDescent="0.35">
      <c r="A513" s="7"/>
      <c r="C513" s="30" t="str">
        <f>IF(指数列表!B510="","",指数列表!B510)</f>
        <v/>
      </c>
      <c r="D513" s="35" t="str">
        <f>IF(C513="","",[1]!s_info_name(C513))</f>
        <v/>
      </c>
      <c r="E513" s="24" t="str">
        <f>IF(C513="","",[1]!s_dq_close(C513,$N$1))</f>
        <v/>
      </c>
      <c r="F513" s="28" t="str">
        <f>IF($C513=""," ",[1]!i_pq_pctchange($C513,F$6,$N$1))</f>
        <v xml:space="preserve"> </v>
      </c>
      <c r="G513" s="28" t="str">
        <f>IF($C513=""," ",[1]!i_pq_pctchange($C513,G$6,$N$1))</f>
        <v xml:space="preserve"> </v>
      </c>
      <c r="H513" s="28" t="str">
        <f>IF($C513=""," ",[1]!i_pq_pctchange($C513,H$6,$N$1))</f>
        <v xml:space="preserve"> </v>
      </c>
      <c r="I513" s="28" t="str">
        <f>IF($C513=""," ",[1]!i_pq_pctchange($C513,I$6,$N$1))</f>
        <v xml:space="preserve"> </v>
      </c>
      <c r="J513" s="28" t="str">
        <f>IF($C513=""," ",[1]!i_pq_pctchange($C513,J$6,$N$1))</f>
        <v xml:space="preserve"> </v>
      </c>
      <c r="K513" s="28" t="str">
        <f>IF($C513=""," ",[1]!i_pq_pctchange($C513,K$6,$N$1))</f>
        <v xml:space="preserve"> </v>
      </c>
      <c r="L513" s="28" t="str">
        <f>IF(C513=""," ",[1]!s_wq_pctchange($C513,$N$1))</f>
        <v xml:space="preserve"> </v>
      </c>
      <c r="M513" s="28" t="str">
        <f>IF(C513=""," ",[1]!s_mq_pctchange($C513,$N$1))</f>
        <v xml:space="preserve"> </v>
      </c>
      <c r="N513" s="28" t="str">
        <f>IF(C513=""," ",[1]!s_yq_pctchange($C513,$N$1))</f>
        <v xml:space="preserve"> </v>
      </c>
      <c r="O513" s="11"/>
      <c r="P513" s="7"/>
    </row>
    <row r="514" spans="1:16" x14ac:dyDescent="0.35">
      <c r="A514" s="7"/>
      <c r="C514" s="31" t="str">
        <f>IF(指数列表!B511="","",指数列表!B511)</f>
        <v/>
      </c>
      <c r="D514" s="36" t="str">
        <f>IF(C514="","",[1]!s_info_name(C514))</f>
        <v/>
      </c>
      <c r="E514" s="25" t="str">
        <f>IF(C514="","",[1]!s_dq_close(C514,$N$1))</f>
        <v/>
      </c>
      <c r="F514" s="28" t="str">
        <f>IF($C514=""," ",[1]!i_pq_pctchange($C514,F$6,$N$1))</f>
        <v xml:space="preserve"> </v>
      </c>
      <c r="G514" s="28" t="str">
        <f>IF($C514=""," ",[1]!i_pq_pctchange($C514,G$6,$N$1))</f>
        <v xml:space="preserve"> </v>
      </c>
      <c r="H514" s="28" t="str">
        <f>IF($C514=""," ",[1]!i_pq_pctchange($C514,H$6,$N$1))</f>
        <v xml:space="preserve"> </v>
      </c>
      <c r="I514" s="28" t="str">
        <f>IF($C514=""," ",[1]!i_pq_pctchange($C514,I$6,$N$1))</f>
        <v xml:space="preserve"> </v>
      </c>
      <c r="J514" s="28" t="str">
        <f>IF($C514=""," ",[1]!i_pq_pctchange($C514,J$6,$N$1))</f>
        <v xml:space="preserve"> </v>
      </c>
      <c r="K514" s="28" t="str">
        <f>IF($C514=""," ",[1]!i_pq_pctchange($C514,K$6,$N$1))</f>
        <v xml:space="preserve"> </v>
      </c>
      <c r="L514" s="28" t="str">
        <f>IF(C514=""," ",[1]!s_wq_pctchange($C514,$N$1))</f>
        <v xml:space="preserve"> </v>
      </c>
      <c r="M514" s="28" t="str">
        <f>IF(C514=""," ",[1]!s_mq_pctchange($C514,$N$1))</f>
        <v xml:space="preserve"> </v>
      </c>
      <c r="N514" s="28" t="str">
        <f>IF(C514=""," ",[1]!s_yq_pctchange($C514,$N$1))</f>
        <v xml:space="preserve"> </v>
      </c>
      <c r="O514" s="11"/>
      <c r="P514" s="7"/>
    </row>
    <row r="515" spans="1:16" x14ac:dyDescent="0.35">
      <c r="A515" s="7"/>
      <c r="C515" s="30" t="str">
        <f>IF(指数列表!B512="","",指数列表!B512)</f>
        <v/>
      </c>
      <c r="D515" s="35" t="str">
        <f>IF(C515="","",[1]!s_info_name(C515))</f>
        <v/>
      </c>
      <c r="E515" s="24" t="str">
        <f>IF(C515="","",[1]!s_dq_close(C515,$N$1))</f>
        <v/>
      </c>
      <c r="F515" s="28" t="str">
        <f>IF($C515=""," ",[1]!i_pq_pctchange($C515,F$6,$N$1))</f>
        <v xml:space="preserve"> </v>
      </c>
      <c r="G515" s="28" t="str">
        <f>IF($C515=""," ",[1]!i_pq_pctchange($C515,G$6,$N$1))</f>
        <v xml:space="preserve"> </v>
      </c>
      <c r="H515" s="28" t="str">
        <f>IF($C515=""," ",[1]!i_pq_pctchange($C515,H$6,$N$1))</f>
        <v xml:space="preserve"> </v>
      </c>
      <c r="I515" s="28" t="str">
        <f>IF($C515=""," ",[1]!i_pq_pctchange($C515,I$6,$N$1))</f>
        <v xml:space="preserve"> </v>
      </c>
      <c r="J515" s="28" t="str">
        <f>IF($C515=""," ",[1]!i_pq_pctchange($C515,J$6,$N$1))</f>
        <v xml:space="preserve"> </v>
      </c>
      <c r="K515" s="28" t="str">
        <f>IF($C515=""," ",[1]!i_pq_pctchange($C515,K$6,$N$1))</f>
        <v xml:space="preserve"> </v>
      </c>
      <c r="L515" s="28" t="str">
        <f>IF(C515=""," ",[1]!s_wq_pctchange($C515,$N$1))</f>
        <v xml:space="preserve"> </v>
      </c>
      <c r="M515" s="28" t="str">
        <f>IF(C515=""," ",[1]!s_mq_pctchange($C515,$N$1))</f>
        <v xml:space="preserve"> </v>
      </c>
      <c r="N515" s="28" t="str">
        <f>IF(C515=""," ",[1]!s_yq_pctchange($C515,$N$1))</f>
        <v xml:space="preserve"> </v>
      </c>
      <c r="O515" s="11"/>
      <c r="P515" s="7"/>
    </row>
    <row r="516" spans="1:16" x14ac:dyDescent="0.35">
      <c r="A516" s="7"/>
      <c r="C516" s="31" t="str">
        <f>IF(指数列表!B513="","",指数列表!B513)</f>
        <v/>
      </c>
      <c r="D516" s="36" t="str">
        <f>IF(C516="","",[1]!s_info_name(C516))</f>
        <v/>
      </c>
      <c r="E516" s="25" t="str">
        <f>IF(C516="","",[1]!s_dq_close(C516,$N$1))</f>
        <v/>
      </c>
      <c r="F516" s="28" t="str">
        <f>IF($C516=""," ",[1]!i_pq_pctchange($C516,F$6,$N$1))</f>
        <v xml:space="preserve"> </v>
      </c>
      <c r="G516" s="28" t="str">
        <f>IF($C516=""," ",[1]!i_pq_pctchange($C516,G$6,$N$1))</f>
        <v xml:space="preserve"> </v>
      </c>
      <c r="H516" s="28" t="str">
        <f>IF($C516=""," ",[1]!i_pq_pctchange($C516,H$6,$N$1))</f>
        <v xml:space="preserve"> </v>
      </c>
      <c r="I516" s="28" t="str">
        <f>IF($C516=""," ",[1]!i_pq_pctchange($C516,I$6,$N$1))</f>
        <v xml:space="preserve"> </v>
      </c>
      <c r="J516" s="28" t="str">
        <f>IF($C516=""," ",[1]!i_pq_pctchange($C516,J$6,$N$1))</f>
        <v xml:space="preserve"> </v>
      </c>
      <c r="K516" s="28" t="str">
        <f>IF($C516=""," ",[1]!i_pq_pctchange($C516,K$6,$N$1))</f>
        <v xml:space="preserve"> </v>
      </c>
      <c r="L516" s="28" t="str">
        <f>IF(C516=""," ",[1]!s_wq_pctchange($C516,$N$1))</f>
        <v xml:space="preserve"> </v>
      </c>
      <c r="M516" s="28" t="str">
        <f>IF(C516=""," ",[1]!s_mq_pctchange($C516,$N$1))</f>
        <v xml:space="preserve"> </v>
      </c>
      <c r="N516" s="28" t="str">
        <f>IF(C516=""," ",[1]!s_yq_pctchange($C516,$N$1))</f>
        <v xml:space="preserve"> </v>
      </c>
      <c r="O516" s="11"/>
      <c r="P516" s="7"/>
    </row>
    <row r="517" spans="1:16" x14ac:dyDescent="0.35">
      <c r="A517" s="7"/>
      <c r="C517" s="30" t="str">
        <f>IF(指数列表!B514="","",指数列表!B514)</f>
        <v/>
      </c>
      <c r="D517" s="35" t="str">
        <f>IF(C517="","",[1]!s_info_name(C517))</f>
        <v/>
      </c>
      <c r="E517" s="24" t="str">
        <f>IF(C517="","",[1]!s_dq_close(C517,$N$1))</f>
        <v/>
      </c>
      <c r="F517" s="28" t="str">
        <f>IF($C517=""," ",[1]!i_pq_pctchange($C517,F$6,$N$1))</f>
        <v xml:space="preserve"> </v>
      </c>
      <c r="G517" s="28" t="str">
        <f>IF($C517=""," ",[1]!i_pq_pctchange($C517,G$6,$N$1))</f>
        <v xml:space="preserve"> </v>
      </c>
      <c r="H517" s="28" t="str">
        <f>IF($C517=""," ",[1]!i_pq_pctchange($C517,H$6,$N$1))</f>
        <v xml:space="preserve"> </v>
      </c>
      <c r="I517" s="28" t="str">
        <f>IF($C517=""," ",[1]!i_pq_pctchange($C517,I$6,$N$1))</f>
        <v xml:space="preserve"> </v>
      </c>
      <c r="J517" s="28" t="str">
        <f>IF($C517=""," ",[1]!i_pq_pctchange($C517,J$6,$N$1))</f>
        <v xml:space="preserve"> </v>
      </c>
      <c r="K517" s="28" t="str">
        <f>IF($C517=""," ",[1]!i_pq_pctchange($C517,K$6,$N$1))</f>
        <v xml:space="preserve"> </v>
      </c>
      <c r="L517" s="28" t="str">
        <f>IF(C517=""," ",[1]!s_wq_pctchange($C517,$N$1))</f>
        <v xml:space="preserve"> </v>
      </c>
      <c r="M517" s="28" t="str">
        <f>IF(C517=""," ",[1]!s_mq_pctchange($C517,$N$1))</f>
        <v xml:space="preserve"> </v>
      </c>
      <c r="N517" s="28" t="str">
        <f>IF(C517=""," ",[1]!s_yq_pctchange($C517,$N$1))</f>
        <v xml:space="preserve"> </v>
      </c>
      <c r="O517" s="11"/>
      <c r="P517" s="7"/>
    </row>
    <row r="518" spans="1:16" x14ac:dyDescent="0.35">
      <c r="A518" s="7"/>
      <c r="C518" s="31" t="str">
        <f>IF(指数列表!B515="","",指数列表!B515)</f>
        <v/>
      </c>
      <c r="D518" s="36" t="str">
        <f>IF(C518="","",[1]!s_info_name(C518))</f>
        <v/>
      </c>
      <c r="E518" s="25" t="str">
        <f>IF(C518="","",[1]!s_dq_close(C518,$N$1))</f>
        <v/>
      </c>
      <c r="F518" s="28" t="str">
        <f>IF($C518=""," ",[1]!i_pq_pctchange($C518,F$6,$N$1))</f>
        <v xml:space="preserve"> </v>
      </c>
      <c r="G518" s="28" t="str">
        <f>IF($C518=""," ",[1]!i_pq_pctchange($C518,G$6,$N$1))</f>
        <v xml:space="preserve"> </v>
      </c>
      <c r="H518" s="28" t="str">
        <f>IF($C518=""," ",[1]!i_pq_pctchange($C518,H$6,$N$1))</f>
        <v xml:space="preserve"> </v>
      </c>
      <c r="I518" s="28" t="str">
        <f>IF($C518=""," ",[1]!i_pq_pctchange($C518,I$6,$N$1))</f>
        <v xml:space="preserve"> </v>
      </c>
      <c r="J518" s="28" t="str">
        <f>IF($C518=""," ",[1]!i_pq_pctchange($C518,J$6,$N$1))</f>
        <v xml:space="preserve"> </v>
      </c>
      <c r="K518" s="28" t="str">
        <f>IF($C518=""," ",[1]!i_pq_pctchange($C518,K$6,$N$1))</f>
        <v xml:space="preserve"> </v>
      </c>
      <c r="L518" s="28" t="str">
        <f>IF(C518=""," ",[1]!s_wq_pctchange($C518,$N$1))</f>
        <v xml:space="preserve"> </v>
      </c>
      <c r="M518" s="28" t="str">
        <f>IF(C518=""," ",[1]!s_mq_pctchange($C518,$N$1))</f>
        <v xml:space="preserve"> </v>
      </c>
      <c r="N518" s="28" t="str">
        <f>IF(C518=""," ",[1]!s_yq_pctchange($C518,$N$1))</f>
        <v xml:space="preserve"> </v>
      </c>
      <c r="O518" s="11"/>
      <c r="P518" s="7"/>
    </row>
    <row r="519" spans="1:16" x14ac:dyDescent="0.35">
      <c r="A519" s="7"/>
      <c r="C519" s="30" t="str">
        <f>IF(指数列表!B516="","",指数列表!B516)</f>
        <v/>
      </c>
      <c r="D519" s="35" t="str">
        <f>IF(C519="","",[1]!s_info_name(C519))</f>
        <v/>
      </c>
      <c r="E519" s="24" t="str">
        <f>IF(C519="","",[1]!s_dq_close(C519,$N$1))</f>
        <v/>
      </c>
      <c r="F519" s="28" t="str">
        <f>IF($C519=""," ",[1]!i_pq_pctchange($C519,F$6,$N$1))</f>
        <v xml:space="preserve"> </v>
      </c>
      <c r="G519" s="28" t="str">
        <f>IF($C519=""," ",[1]!i_pq_pctchange($C519,G$6,$N$1))</f>
        <v xml:space="preserve"> </v>
      </c>
      <c r="H519" s="28" t="str">
        <f>IF($C519=""," ",[1]!i_pq_pctchange($C519,H$6,$N$1))</f>
        <v xml:space="preserve"> </v>
      </c>
      <c r="I519" s="28" t="str">
        <f>IF($C519=""," ",[1]!i_pq_pctchange($C519,I$6,$N$1))</f>
        <v xml:space="preserve"> </v>
      </c>
      <c r="J519" s="28" t="str">
        <f>IF($C519=""," ",[1]!i_pq_pctchange($C519,J$6,$N$1))</f>
        <v xml:space="preserve"> </v>
      </c>
      <c r="K519" s="28" t="str">
        <f>IF($C519=""," ",[1]!i_pq_pctchange($C519,K$6,$N$1))</f>
        <v xml:space="preserve"> </v>
      </c>
      <c r="L519" s="28" t="str">
        <f>IF(C519=""," ",[1]!s_wq_pctchange($C519,$N$1))</f>
        <v xml:space="preserve"> </v>
      </c>
      <c r="M519" s="28" t="str">
        <f>IF(C519=""," ",[1]!s_mq_pctchange($C519,$N$1))</f>
        <v xml:space="preserve"> </v>
      </c>
      <c r="N519" s="28" t="str">
        <f>IF(C519=""," ",[1]!s_yq_pctchange($C519,$N$1))</f>
        <v xml:space="preserve"> </v>
      </c>
      <c r="O519" s="11"/>
      <c r="P519" s="7"/>
    </row>
    <row r="520" spans="1:16" x14ac:dyDescent="0.35">
      <c r="A520" s="7"/>
      <c r="C520" s="31" t="str">
        <f>IF(指数列表!B517="","",指数列表!B517)</f>
        <v/>
      </c>
      <c r="D520" s="36" t="str">
        <f>IF(C520="","",[1]!s_info_name(C520))</f>
        <v/>
      </c>
      <c r="E520" s="25" t="str">
        <f>IF(C520="","",[1]!s_dq_close(C520,$N$1))</f>
        <v/>
      </c>
      <c r="F520" s="28" t="str">
        <f>IF($C520=""," ",[1]!i_pq_pctchange($C520,F$6,$N$1))</f>
        <v xml:space="preserve"> </v>
      </c>
      <c r="G520" s="28" t="str">
        <f>IF($C520=""," ",[1]!i_pq_pctchange($C520,G$6,$N$1))</f>
        <v xml:space="preserve"> </v>
      </c>
      <c r="H520" s="28" t="str">
        <f>IF($C520=""," ",[1]!i_pq_pctchange($C520,H$6,$N$1))</f>
        <v xml:space="preserve"> </v>
      </c>
      <c r="I520" s="28" t="str">
        <f>IF($C520=""," ",[1]!i_pq_pctchange($C520,I$6,$N$1))</f>
        <v xml:space="preserve"> </v>
      </c>
      <c r="J520" s="28" t="str">
        <f>IF($C520=""," ",[1]!i_pq_pctchange($C520,J$6,$N$1))</f>
        <v xml:space="preserve"> </v>
      </c>
      <c r="K520" s="28" t="str">
        <f>IF($C520=""," ",[1]!i_pq_pctchange($C520,K$6,$N$1))</f>
        <v xml:space="preserve"> </v>
      </c>
      <c r="L520" s="28" t="str">
        <f>IF(C520=""," ",[1]!s_wq_pctchange($C520,$N$1))</f>
        <v xml:space="preserve"> </v>
      </c>
      <c r="M520" s="28" t="str">
        <f>IF(C520=""," ",[1]!s_mq_pctchange($C520,$N$1))</f>
        <v xml:space="preserve"> </v>
      </c>
      <c r="N520" s="28" t="str">
        <f>IF(C520=""," ",[1]!s_yq_pctchange($C520,$N$1))</f>
        <v xml:space="preserve"> </v>
      </c>
      <c r="O520" s="11"/>
      <c r="P520" s="7"/>
    </row>
    <row r="521" spans="1:16" x14ac:dyDescent="0.35">
      <c r="A521" s="7"/>
      <c r="C521" s="30" t="str">
        <f>IF(指数列表!B518="","",指数列表!B518)</f>
        <v/>
      </c>
      <c r="D521" s="35" t="str">
        <f>IF(C521="","",[1]!s_info_name(C521))</f>
        <v/>
      </c>
      <c r="E521" s="24" t="str">
        <f>IF(C521="","",[1]!s_dq_close(C521,$N$1))</f>
        <v/>
      </c>
      <c r="F521" s="28" t="str">
        <f>IF($C521=""," ",[1]!i_pq_pctchange($C521,F$6,$N$1))</f>
        <v xml:space="preserve"> </v>
      </c>
      <c r="G521" s="28" t="str">
        <f>IF($C521=""," ",[1]!i_pq_pctchange($C521,G$6,$N$1))</f>
        <v xml:space="preserve"> </v>
      </c>
      <c r="H521" s="28" t="str">
        <f>IF($C521=""," ",[1]!i_pq_pctchange($C521,H$6,$N$1))</f>
        <v xml:space="preserve"> </v>
      </c>
      <c r="I521" s="28" t="str">
        <f>IF($C521=""," ",[1]!i_pq_pctchange($C521,I$6,$N$1))</f>
        <v xml:space="preserve"> </v>
      </c>
      <c r="J521" s="28" t="str">
        <f>IF($C521=""," ",[1]!i_pq_pctchange($C521,J$6,$N$1))</f>
        <v xml:space="preserve"> </v>
      </c>
      <c r="K521" s="28" t="str">
        <f>IF($C521=""," ",[1]!i_pq_pctchange($C521,K$6,$N$1))</f>
        <v xml:space="preserve"> </v>
      </c>
      <c r="L521" s="28" t="str">
        <f>IF(C521=""," ",[1]!s_wq_pctchange($C521,$N$1))</f>
        <v xml:space="preserve"> </v>
      </c>
      <c r="M521" s="28" t="str">
        <f>IF(C521=""," ",[1]!s_mq_pctchange($C521,$N$1))</f>
        <v xml:space="preserve"> </v>
      </c>
      <c r="N521" s="28" t="str">
        <f>IF(C521=""," ",[1]!s_yq_pctchange($C521,$N$1))</f>
        <v xml:space="preserve"> </v>
      </c>
      <c r="O521" s="11"/>
      <c r="P521" s="7"/>
    </row>
    <row r="522" spans="1:16" x14ac:dyDescent="0.35">
      <c r="A522" s="7"/>
      <c r="C522" s="31" t="str">
        <f>IF(指数列表!B519="","",指数列表!B519)</f>
        <v/>
      </c>
      <c r="D522" s="36" t="str">
        <f>IF(C522="","",[1]!s_info_name(C522))</f>
        <v/>
      </c>
      <c r="E522" s="25" t="str">
        <f>IF(C522="","",[1]!s_dq_close(C522,$N$1))</f>
        <v/>
      </c>
      <c r="F522" s="28" t="str">
        <f>IF($C522=""," ",[1]!i_pq_pctchange($C522,F$6,$N$1))</f>
        <v xml:space="preserve"> </v>
      </c>
      <c r="G522" s="28" t="str">
        <f>IF($C522=""," ",[1]!i_pq_pctchange($C522,G$6,$N$1))</f>
        <v xml:space="preserve"> </v>
      </c>
      <c r="H522" s="28" t="str">
        <f>IF($C522=""," ",[1]!i_pq_pctchange($C522,H$6,$N$1))</f>
        <v xml:space="preserve"> </v>
      </c>
      <c r="I522" s="28" t="str">
        <f>IF($C522=""," ",[1]!i_pq_pctchange($C522,I$6,$N$1))</f>
        <v xml:space="preserve"> </v>
      </c>
      <c r="J522" s="28" t="str">
        <f>IF($C522=""," ",[1]!i_pq_pctchange($C522,J$6,$N$1))</f>
        <v xml:space="preserve"> </v>
      </c>
      <c r="K522" s="28" t="str">
        <f>IF($C522=""," ",[1]!i_pq_pctchange($C522,K$6,$N$1))</f>
        <v xml:space="preserve"> </v>
      </c>
      <c r="L522" s="28" t="str">
        <f>IF(C522=""," ",[1]!s_wq_pctchange($C522,$N$1))</f>
        <v xml:space="preserve"> </v>
      </c>
      <c r="M522" s="28" t="str">
        <f>IF(C522=""," ",[1]!s_mq_pctchange($C522,$N$1))</f>
        <v xml:space="preserve"> </v>
      </c>
      <c r="N522" s="28" t="str">
        <f>IF(C522=""," ",[1]!s_yq_pctchange($C522,$N$1))</f>
        <v xml:space="preserve"> </v>
      </c>
      <c r="O522" s="11"/>
      <c r="P522" s="7"/>
    </row>
    <row r="523" spans="1:16" x14ac:dyDescent="0.35">
      <c r="A523" s="7"/>
      <c r="C523" s="30" t="str">
        <f>IF(指数列表!B520="","",指数列表!B520)</f>
        <v/>
      </c>
      <c r="D523" s="35" t="str">
        <f>IF(C523="","",[1]!s_info_name(C523))</f>
        <v/>
      </c>
      <c r="E523" s="24" t="str">
        <f>IF(C523="","",[1]!s_dq_close(C523,$N$1))</f>
        <v/>
      </c>
      <c r="F523" s="28" t="str">
        <f>IF($C523=""," ",[1]!i_pq_pctchange($C523,F$6,$N$1))</f>
        <v xml:space="preserve"> </v>
      </c>
      <c r="G523" s="28" t="str">
        <f>IF($C523=""," ",[1]!i_pq_pctchange($C523,G$6,$N$1))</f>
        <v xml:space="preserve"> </v>
      </c>
      <c r="H523" s="28" t="str">
        <f>IF($C523=""," ",[1]!i_pq_pctchange($C523,H$6,$N$1))</f>
        <v xml:space="preserve"> </v>
      </c>
      <c r="I523" s="28" t="str">
        <f>IF($C523=""," ",[1]!i_pq_pctchange($C523,I$6,$N$1))</f>
        <v xml:space="preserve"> </v>
      </c>
      <c r="J523" s="28" t="str">
        <f>IF($C523=""," ",[1]!i_pq_pctchange($C523,J$6,$N$1))</f>
        <v xml:space="preserve"> </v>
      </c>
      <c r="K523" s="28" t="str">
        <f>IF($C523=""," ",[1]!i_pq_pctchange($C523,K$6,$N$1))</f>
        <v xml:space="preserve"> </v>
      </c>
      <c r="L523" s="28" t="str">
        <f>IF(C523=""," ",[1]!s_wq_pctchange($C523,$N$1))</f>
        <v xml:space="preserve"> </v>
      </c>
      <c r="M523" s="28" t="str">
        <f>IF(C523=""," ",[1]!s_mq_pctchange($C523,$N$1))</f>
        <v xml:space="preserve"> </v>
      </c>
      <c r="N523" s="28" t="str">
        <f>IF(C523=""," ",[1]!s_yq_pctchange($C523,$N$1))</f>
        <v xml:space="preserve"> </v>
      </c>
      <c r="O523" s="11"/>
      <c r="P523" s="7"/>
    </row>
    <row r="524" spans="1:16" x14ac:dyDescent="0.35">
      <c r="A524" s="7"/>
      <c r="C524" s="31" t="str">
        <f>IF(指数列表!B521="","",指数列表!B521)</f>
        <v/>
      </c>
      <c r="D524" s="36" t="str">
        <f>IF(C524="","",[1]!s_info_name(C524))</f>
        <v/>
      </c>
      <c r="E524" s="25" t="str">
        <f>IF(C524="","",[1]!s_dq_close(C524,$N$1))</f>
        <v/>
      </c>
      <c r="F524" s="28" t="str">
        <f>IF($C524=""," ",[1]!i_pq_pctchange($C524,F$6,$N$1))</f>
        <v xml:space="preserve"> </v>
      </c>
      <c r="G524" s="28" t="str">
        <f>IF($C524=""," ",[1]!i_pq_pctchange($C524,G$6,$N$1))</f>
        <v xml:space="preserve"> </v>
      </c>
      <c r="H524" s="28" t="str">
        <f>IF($C524=""," ",[1]!i_pq_pctchange($C524,H$6,$N$1))</f>
        <v xml:space="preserve"> </v>
      </c>
      <c r="I524" s="28" t="str">
        <f>IF($C524=""," ",[1]!i_pq_pctchange($C524,I$6,$N$1))</f>
        <v xml:space="preserve"> </v>
      </c>
      <c r="J524" s="28" t="str">
        <f>IF($C524=""," ",[1]!i_pq_pctchange($C524,J$6,$N$1))</f>
        <v xml:space="preserve"> </v>
      </c>
      <c r="K524" s="28" t="str">
        <f>IF($C524=""," ",[1]!i_pq_pctchange($C524,K$6,$N$1))</f>
        <v xml:space="preserve"> </v>
      </c>
      <c r="L524" s="28" t="str">
        <f>IF(C524=""," ",[1]!s_wq_pctchange($C524,$N$1))</f>
        <v xml:space="preserve"> </v>
      </c>
      <c r="M524" s="28" t="str">
        <f>IF(C524=""," ",[1]!s_mq_pctchange($C524,$N$1))</f>
        <v xml:space="preserve"> </v>
      </c>
      <c r="N524" s="28" t="str">
        <f>IF(C524=""," ",[1]!s_yq_pctchange($C524,$N$1))</f>
        <v xml:space="preserve"> </v>
      </c>
      <c r="O524" s="11"/>
      <c r="P524" s="7"/>
    </row>
    <row r="525" spans="1:16" x14ac:dyDescent="0.35">
      <c r="A525" s="7"/>
      <c r="C525" s="30" t="str">
        <f>IF(指数列表!B522="","",指数列表!B522)</f>
        <v/>
      </c>
      <c r="D525" s="35" t="str">
        <f>IF(C525="","",[1]!s_info_name(C525))</f>
        <v/>
      </c>
      <c r="E525" s="24" t="str">
        <f>IF(C525="","",[1]!s_dq_close(C525,$N$1))</f>
        <v/>
      </c>
      <c r="F525" s="28" t="str">
        <f>IF($C525=""," ",[1]!i_pq_pctchange($C525,F$6,$N$1))</f>
        <v xml:space="preserve"> </v>
      </c>
      <c r="G525" s="28" t="str">
        <f>IF($C525=""," ",[1]!i_pq_pctchange($C525,G$6,$N$1))</f>
        <v xml:space="preserve"> </v>
      </c>
      <c r="H525" s="28" t="str">
        <f>IF($C525=""," ",[1]!i_pq_pctchange($C525,H$6,$N$1))</f>
        <v xml:space="preserve"> </v>
      </c>
      <c r="I525" s="28" t="str">
        <f>IF($C525=""," ",[1]!i_pq_pctchange($C525,I$6,$N$1))</f>
        <v xml:space="preserve"> </v>
      </c>
      <c r="J525" s="28" t="str">
        <f>IF($C525=""," ",[1]!i_pq_pctchange($C525,J$6,$N$1))</f>
        <v xml:space="preserve"> </v>
      </c>
      <c r="K525" s="28" t="str">
        <f>IF($C525=""," ",[1]!i_pq_pctchange($C525,K$6,$N$1))</f>
        <v xml:space="preserve"> </v>
      </c>
      <c r="L525" s="28" t="str">
        <f>IF(C525=""," ",[1]!s_wq_pctchange($C525,$N$1))</f>
        <v xml:space="preserve"> </v>
      </c>
      <c r="M525" s="28" t="str">
        <f>IF(C525=""," ",[1]!s_mq_pctchange($C525,$N$1))</f>
        <v xml:space="preserve"> </v>
      </c>
      <c r="N525" s="28" t="str">
        <f>IF(C525=""," ",[1]!s_yq_pctchange($C525,$N$1))</f>
        <v xml:space="preserve"> </v>
      </c>
      <c r="O525" s="11"/>
      <c r="P525" s="7"/>
    </row>
    <row r="526" spans="1:16" x14ac:dyDescent="0.35">
      <c r="A526" s="7"/>
      <c r="C526" s="31" t="str">
        <f>IF(指数列表!B523="","",指数列表!B523)</f>
        <v/>
      </c>
      <c r="D526" s="36" t="str">
        <f>IF(C526="","",[1]!s_info_name(C526))</f>
        <v/>
      </c>
      <c r="E526" s="25" t="str">
        <f>IF(C526="","",[1]!s_dq_close(C526,$N$1))</f>
        <v/>
      </c>
      <c r="F526" s="28" t="str">
        <f>IF($C526=""," ",[1]!i_pq_pctchange($C526,F$6,$N$1))</f>
        <v xml:space="preserve"> </v>
      </c>
      <c r="G526" s="28" t="str">
        <f>IF($C526=""," ",[1]!i_pq_pctchange($C526,G$6,$N$1))</f>
        <v xml:space="preserve"> </v>
      </c>
      <c r="H526" s="28" t="str">
        <f>IF($C526=""," ",[1]!i_pq_pctchange($C526,H$6,$N$1))</f>
        <v xml:space="preserve"> </v>
      </c>
      <c r="I526" s="28" t="str">
        <f>IF($C526=""," ",[1]!i_pq_pctchange($C526,I$6,$N$1))</f>
        <v xml:space="preserve"> </v>
      </c>
      <c r="J526" s="28" t="str">
        <f>IF($C526=""," ",[1]!i_pq_pctchange($C526,J$6,$N$1))</f>
        <v xml:space="preserve"> </v>
      </c>
      <c r="K526" s="28" t="str">
        <f>IF($C526=""," ",[1]!i_pq_pctchange($C526,K$6,$N$1))</f>
        <v xml:space="preserve"> </v>
      </c>
      <c r="L526" s="28" t="str">
        <f>IF(C526=""," ",[1]!s_wq_pctchange($C526,$N$1))</f>
        <v xml:space="preserve"> </v>
      </c>
      <c r="M526" s="28" t="str">
        <f>IF(C526=""," ",[1]!s_mq_pctchange($C526,$N$1))</f>
        <v xml:space="preserve"> </v>
      </c>
      <c r="N526" s="28" t="str">
        <f>IF(C526=""," ",[1]!s_yq_pctchange($C526,$N$1))</f>
        <v xml:space="preserve"> </v>
      </c>
      <c r="O526" s="11"/>
      <c r="P526" s="7"/>
    </row>
    <row r="527" spans="1:16" x14ac:dyDescent="0.35">
      <c r="A527" s="7"/>
      <c r="C527" s="30" t="str">
        <f>IF(指数列表!B524="","",指数列表!B524)</f>
        <v/>
      </c>
      <c r="D527" s="35" t="str">
        <f>IF(C527="","",[1]!s_info_name(C527))</f>
        <v/>
      </c>
      <c r="E527" s="24" t="str">
        <f>IF(C527="","",[1]!s_dq_close(C527,$N$1))</f>
        <v/>
      </c>
      <c r="F527" s="28" t="str">
        <f>IF($C527=""," ",[1]!i_pq_pctchange($C527,F$6,$N$1))</f>
        <v xml:space="preserve"> </v>
      </c>
      <c r="G527" s="28" t="str">
        <f>IF($C527=""," ",[1]!i_pq_pctchange($C527,G$6,$N$1))</f>
        <v xml:space="preserve"> </v>
      </c>
      <c r="H527" s="28" t="str">
        <f>IF($C527=""," ",[1]!i_pq_pctchange($C527,H$6,$N$1))</f>
        <v xml:space="preserve"> </v>
      </c>
      <c r="I527" s="28" t="str">
        <f>IF($C527=""," ",[1]!i_pq_pctchange($C527,I$6,$N$1))</f>
        <v xml:space="preserve"> </v>
      </c>
      <c r="J527" s="28" t="str">
        <f>IF($C527=""," ",[1]!i_pq_pctchange($C527,J$6,$N$1))</f>
        <v xml:space="preserve"> </v>
      </c>
      <c r="K527" s="28" t="str">
        <f>IF($C527=""," ",[1]!i_pq_pctchange($C527,K$6,$N$1))</f>
        <v xml:space="preserve"> </v>
      </c>
      <c r="L527" s="28" t="str">
        <f>IF(C527=""," ",[1]!s_wq_pctchange($C527,$N$1))</f>
        <v xml:space="preserve"> </v>
      </c>
      <c r="M527" s="28" t="str">
        <f>IF(C527=""," ",[1]!s_mq_pctchange($C527,$N$1))</f>
        <v xml:space="preserve"> </v>
      </c>
      <c r="N527" s="28" t="str">
        <f>IF(C527=""," ",[1]!s_yq_pctchange($C527,$N$1))</f>
        <v xml:space="preserve"> </v>
      </c>
      <c r="O527" s="11"/>
      <c r="P527" s="7"/>
    </row>
    <row r="528" spans="1:16" x14ac:dyDescent="0.35">
      <c r="A528" s="7"/>
      <c r="C528" s="31" t="str">
        <f>IF(指数列表!B525="","",指数列表!B525)</f>
        <v/>
      </c>
      <c r="D528" s="36" t="str">
        <f>IF(C528="","",[1]!s_info_name(C528))</f>
        <v/>
      </c>
      <c r="E528" s="25" t="str">
        <f>IF(C528="","",[1]!s_dq_close(C528,$N$1))</f>
        <v/>
      </c>
      <c r="F528" s="28" t="str">
        <f>IF($C528=""," ",[1]!i_pq_pctchange($C528,F$6,$N$1))</f>
        <v xml:space="preserve"> </v>
      </c>
      <c r="G528" s="28" t="str">
        <f>IF($C528=""," ",[1]!i_pq_pctchange($C528,G$6,$N$1))</f>
        <v xml:space="preserve"> </v>
      </c>
      <c r="H528" s="28" t="str">
        <f>IF($C528=""," ",[1]!i_pq_pctchange($C528,H$6,$N$1))</f>
        <v xml:space="preserve"> </v>
      </c>
      <c r="I528" s="28" t="str">
        <f>IF($C528=""," ",[1]!i_pq_pctchange($C528,I$6,$N$1))</f>
        <v xml:space="preserve"> </v>
      </c>
      <c r="J528" s="28" t="str">
        <f>IF($C528=""," ",[1]!i_pq_pctchange($C528,J$6,$N$1))</f>
        <v xml:space="preserve"> </v>
      </c>
      <c r="K528" s="28" t="str">
        <f>IF($C528=""," ",[1]!i_pq_pctchange($C528,K$6,$N$1))</f>
        <v xml:space="preserve"> </v>
      </c>
      <c r="L528" s="28" t="str">
        <f>IF(C528=""," ",[1]!s_wq_pctchange($C528,$N$1))</f>
        <v xml:space="preserve"> </v>
      </c>
      <c r="M528" s="28" t="str">
        <f>IF(C528=""," ",[1]!s_mq_pctchange($C528,$N$1))</f>
        <v xml:space="preserve"> </v>
      </c>
      <c r="N528" s="28" t="str">
        <f>IF(C528=""," ",[1]!s_yq_pctchange($C528,$N$1))</f>
        <v xml:space="preserve"> </v>
      </c>
      <c r="O528" s="11"/>
      <c r="P528" s="7"/>
    </row>
    <row r="529" spans="1:16" x14ac:dyDescent="0.35">
      <c r="A529" s="7"/>
      <c r="C529" s="30" t="str">
        <f>IF(指数列表!B526="","",指数列表!B526)</f>
        <v/>
      </c>
      <c r="D529" s="35" t="str">
        <f>IF(C529="","",[1]!s_info_name(C529))</f>
        <v/>
      </c>
      <c r="E529" s="24" t="str">
        <f>IF(C529="","",[1]!s_dq_close(C529,$N$1))</f>
        <v/>
      </c>
      <c r="F529" s="28" t="str">
        <f>IF($C529=""," ",[1]!i_pq_pctchange($C529,F$6,$N$1))</f>
        <v xml:space="preserve"> </v>
      </c>
      <c r="G529" s="28" t="str">
        <f>IF($C529=""," ",[1]!i_pq_pctchange($C529,G$6,$N$1))</f>
        <v xml:space="preserve"> </v>
      </c>
      <c r="H529" s="28" t="str">
        <f>IF($C529=""," ",[1]!i_pq_pctchange($C529,H$6,$N$1))</f>
        <v xml:space="preserve"> </v>
      </c>
      <c r="I529" s="28" t="str">
        <f>IF($C529=""," ",[1]!i_pq_pctchange($C529,I$6,$N$1))</f>
        <v xml:space="preserve"> </v>
      </c>
      <c r="J529" s="28" t="str">
        <f>IF($C529=""," ",[1]!i_pq_pctchange($C529,J$6,$N$1))</f>
        <v xml:space="preserve"> </v>
      </c>
      <c r="K529" s="28" t="str">
        <f>IF($C529=""," ",[1]!i_pq_pctchange($C529,K$6,$N$1))</f>
        <v xml:space="preserve"> </v>
      </c>
      <c r="L529" s="28" t="str">
        <f>IF(C529=""," ",[1]!s_wq_pctchange($C529,$N$1))</f>
        <v xml:space="preserve"> </v>
      </c>
      <c r="M529" s="28" t="str">
        <f>IF(C529=""," ",[1]!s_mq_pctchange($C529,$N$1))</f>
        <v xml:space="preserve"> </v>
      </c>
      <c r="N529" s="28" t="str">
        <f>IF(C529=""," ",[1]!s_yq_pctchange($C529,$N$1))</f>
        <v xml:space="preserve"> </v>
      </c>
      <c r="O529" s="11"/>
      <c r="P529" s="7"/>
    </row>
    <row r="530" spans="1:16" x14ac:dyDescent="0.35">
      <c r="A530" s="7"/>
      <c r="C530" s="31" t="str">
        <f>IF(指数列表!B527="","",指数列表!B527)</f>
        <v/>
      </c>
      <c r="D530" s="36" t="str">
        <f>IF(C530="","",[1]!s_info_name(C530))</f>
        <v/>
      </c>
      <c r="E530" s="25" t="str">
        <f>IF(C530="","",[1]!s_dq_close(C530,$N$1))</f>
        <v/>
      </c>
      <c r="F530" s="28" t="str">
        <f>IF($C530=""," ",[1]!i_pq_pctchange($C530,F$6,$N$1))</f>
        <v xml:space="preserve"> </v>
      </c>
      <c r="G530" s="28" t="str">
        <f>IF($C530=""," ",[1]!i_pq_pctchange($C530,G$6,$N$1))</f>
        <v xml:space="preserve"> </v>
      </c>
      <c r="H530" s="28" t="str">
        <f>IF($C530=""," ",[1]!i_pq_pctchange($C530,H$6,$N$1))</f>
        <v xml:space="preserve"> </v>
      </c>
      <c r="I530" s="28" t="str">
        <f>IF($C530=""," ",[1]!i_pq_pctchange($C530,I$6,$N$1))</f>
        <v xml:space="preserve"> </v>
      </c>
      <c r="J530" s="28" t="str">
        <f>IF($C530=""," ",[1]!i_pq_pctchange($C530,J$6,$N$1))</f>
        <v xml:space="preserve"> </v>
      </c>
      <c r="K530" s="28" t="str">
        <f>IF($C530=""," ",[1]!i_pq_pctchange($C530,K$6,$N$1))</f>
        <v xml:space="preserve"> </v>
      </c>
      <c r="L530" s="28" t="str">
        <f>IF(C530=""," ",[1]!s_wq_pctchange($C530,$N$1))</f>
        <v xml:space="preserve"> </v>
      </c>
      <c r="M530" s="28" t="str">
        <f>IF(C530=""," ",[1]!s_mq_pctchange($C530,$N$1))</f>
        <v xml:space="preserve"> </v>
      </c>
      <c r="N530" s="28" t="str">
        <f>IF(C530=""," ",[1]!s_yq_pctchange($C530,$N$1))</f>
        <v xml:space="preserve"> </v>
      </c>
      <c r="O530" s="11"/>
      <c r="P530" s="7"/>
    </row>
    <row r="531" spans="1:16" x14ac:dyDescent="0.35">
      <c r="A531" s="7"/>
      <c r="C531" s="30" t="str">
        <f>IF(指数列表!B528="","",指数列表!B528)</f>
        <v/>
      </c>
      <c r="D531" s="35" t="str">
        <f>IF(C531="","",[1]!s_info_name(C531))</f>
        <v/>
      </c>
      <c r="E531" s="24" t="str">
        <f>IF(C531="","",[1]!s_dq_close(C531,$N$1))</f>
        <v/>
      </c>
      <c r="F531" s="28" t="str">
        <f>IF($C531=""," ",[1]!i_pq_pctchange($C531,F$6,$N$1))</f>
        <v xml:space="preserve"> </v>
      </c>
      <c r="G531" s="28" t="str">
        <f>IF($C531=""," ",[1]!i_pq_pctchange($C531,G$6,$N$1))</f>
        <v xml:space="preserve"> </v>
      </c>
      <c r="H531" s="28" t="str">
        <f>IF($C531=""," ",[1]!i_pq_pctchange($C531,H$6,$N$1))</f>
        <v xml:space="preserve"> </v>
      </c>
      <c r="I531" s="28" t="str">
        <f>IF($C531=""," ",[1]!i_pq_pctchange($C531,I$6,$N$1))</f>
        <v xml:space="preserve"> </v>
      </c>
      <c r="J531" s="28" t="str">
        <f>IF($C531=""," ",[1]!i_pq_pctchange($C531,J$6,$N$1))</f>
        <v xml:space="preserve"> </v>
      </c>
      <c r="K531" s="28" t="str">
        <f>IF($C531=""," ",[1]!i_pq_pctchange($C531,K$6,$N$1))</f>
        <v xml:space="preserve"> </v>
      </c>
      <c r="L531" s="28" t="str">
        <f>IF(C531=""," ",[1]!s_wq_pctchange($C531,$N$1))</f>
        <v xml:space="preserve"> </v>
      </c>
      <c r="M531" s="28" t="str">
        <f>IF(C531=""," ",[1]!s_mq_pctchange($C531,$N$1))</f>
        <v xml:space="preserve"> </v>
      </c>
      <c r="N531" s="28" t="str">
        <f>IF(C531=""," ",[1]!s_yq_pctchange($C531,$N$1))</f>
        <v xml:space="preserve"> </v>
      </c>
      <c r="O531" s="11"/>
      <c r="P531" s="7"/>
    </row>
    <row r="532" spans="1:16" x14ac:dyDescent="0.35">
      <c r="A532" s="7"/>
      <c r="C532" s="31" t="str">
        <f>IF(指数列表!B529="","",指数列表!B529)</f>
        <v/>
      </c>
      <c r="D532" s="36" t="str">
        <f>IF(C532="","",[1]!s_info_name(C532))</f>
        <v/>
      </c>
      <c r="E532" s="25" t="str">
        <f>IF(C532="","",[1]!s_dq_close(C532,$N$1))</f>
        <v/>
      </c>
      <c r="F532" s="28" t="str">
        <f>IF($C532=""," ",[1]!i_pq_pctchange($C532,F$6,$N$1))</f>
        <v xml:space="preserve"> </v>
      </c>
      <c r="G532" s="28" t="str">
        <f>IF($C532=""," ",[1]!i_pq_pctchange($C532,G$6,$N$1))</f>
        <v xml:space="preserve"> </v>
      </c>
      <c r="H532" s="28" t="str">
        <f>IF($C532=""," ",[1]!i_pq_pctchange($C532,H$6,$N$1))</f>
        <v xml:space="preserve"> </v>
      </c>
      <c r="I532" s="28" t="str">
        <f>IF($C532=""," ",[1]!i_pq_pctchange($C532,I$6,$N$1))</f>
        <v xml:space="preserve"> </v>
      </c>
      <c r="J532" s="28" t="str">
        <f>IF($C532=""," ",[1]!i_pq_pctchange($C532,J$6,$N$1))</f>
        <v xml:space="preserve"> </v>
      </c>
      <c r="K532" s="28" t="str">
        <f>IF($C532=""," ",[1]!i_pq_pctchange($C532,K$6,$N$1))</f>
        <v xml:space="preserve"> </v>
      </c>
      <c r="L532" s="28" t="str">
        <f>IF(C532=""," ",[1]!s_wq_pctchange($C532,$N$1))</f>
        <v xml:space="preserve"> </v>
      </c>
      <c r="M532" s="28" t="str">
        <f>IF(C532=""," ",[1]!s_mq_pctchange($C532,$N$1))</f>
        <v xml:space="preserve"> </v>
      </c>
      <c r="N532" s="28" t="str">
        <f>IF(C532=""," ",[1]!s_yq_pctchange($C532,$N$1))</f>
        <v xml:space="preserve"> </v>
      </c>
      <c r="O532" s="11"/>
      <c r="P532" s="7"/>
    </row>
    <row r="533" spans="1:16" x14ac:dyDescent="0.35">
      <c r="A533" s="7"/>
      <c r="C533" s="30" t="str">
        <f>IF(指数列表!B530="","",指数列表!B530)</f>
        <v/>
      </c>
      <c r="D533" s="35" t="str">
        <f>IF(C533="","",[1]!s_info_name(C533))</f>
        <v/>
      </c>
      <c r="E533" s="24" t="str">
        <f>IF(C533="","",[1]!s_dq_close(C533,$N$1))</f>
        <v/>
      </c>
      <c r="F533" s="28" t="str">
        <f>IF($C533=""," ",[1]!i_pq_pctchange($C533,F$6,$N$1))</f>
        <v xml:space="preserve"> </v>
      </c>
      <c r="G533" s="28" t="str">
        <f>IF($C533=""," ",[1]!i_pq_pctchange($C533,G$6,$N$1))</f>
        <v xml:space="preserve"> </v>
      </c>
      <c r="H533" s="28" t="str">
        <f>IF($C533=""," ",[1]!i_pq_pctchange($C533,H$6,$N$1))</f>
        <v xml:space="preserve"> </v>
      </c>
      <c r="I533" s="28" t="str">
        <f>IF($C533=""," ",[1]!i_pq_pctchange($C533,I$6,$N$1))</f>
        <v xml:space="preserve"> </v>
      </c>
      <c r="J533" s="28" t="str">
        <f>IF($C533=""," ",[1]!i_pq_pctchange($C533,J$6,$N$1))</f>
        <v xml:space="preserve"> </v>
      </c>
      <c r="K533" s="28" t="str">
        <f>IF($C533=""," ",[1]!i_pq_pctchange($C533,K$6,$N$1))</f>
        <v xml:space="preserve"> </v>
      </c>
      <c r="L533" s="28" t="str">
        <f>IF(C533=""," ",[1]!s_wq_pctchange($C533,$N$1))</f>
        <v xml:space="preserve"> </v>
      </c>
      <c r="M533" s="28" t="str">
        <f>IF(C533=""," ",[1]!s_mq_pctchange($C533,$N$1))</f>
        <v xml:space="preserve"> </v>
      </c>
      <c r="N533" s="28" t="str">
        <f>IF(C533=""," ",[1]!s_yq_pctchange($C533,$N$1))</f>
        <v xml:space="preserve"> </v>
      </c>
      <c r="O533" s="11"/>
      <c r="P533" s="7"/>
    </row>
    <row r="534" spans="1:16" x14ac:dyDescent="0.35">
      <c r="A534" s="7"/>
      <c r="C534" s="31" t="str">
        <f>IF(指数列表!B531="","",指数列表!B531)</f>
        <v/>
      </c>
      <c r="D534" s="36" t="str">
        <f>IF(C534="","",[1]!s_info_name(C534))</f>
        <v/>
      </c>
      <c r="E534" s="25" t="str">
        <f>IF(C534="","",[1]!s_dq_close(C534,$N$1))</f>
        <v/>
      </c>
      <c r="F534" s="28" t="str">
        <f>IF($C534=""," ",[1]!i_pq_pctchange($C534,F$6,$N$1))</f>
        <v xml:space="preserve"> </v>
      </c>
      <c r="G534" s="28" t="str">
        <f>IF($C534=""," ",[1]!i_pq_pctchange($C534,G$6,$N$1))</f>
        <v xml:space="preserve"> </v>
      </c>
      <c r="H534" s="28" t="str">
        <f>IF($C534=""," ",[1]!i_pq_pctchange($C534,H$6,$N$1))</f>
        <v xml:space="preserve"> </v>
      </c>
      <c r="I534" s="28" t="str">
        <f>IF($C534=""," ",[1]!i_pq_pctchange($C534,I$6,$N$1))</f>
        <v xml:space="preserve"> </v>
      </c>
      <c r="J534" s="28" t="str">
        <f>IF($C534=""," ",[1]!i_pq_pctchange($C534,J$6,$N$1))</f>
        <v xml:space="preserve"> </v>
      </c>
      <c r="K534" s="28" t="str">
        <f>IF($C534=""," ",[1]!i_pq_pctchange($C534,K$6,$N$1))</f>
        <v xml:space="preserve"> </v>
      </c>
      <c r="L534" s="28" t="str">
        <f>IF(C534=""," ",[1]!s_wq_pctchange($C534,$N$1))</f>
        <v xml:space="preserve"> </v>
      </c>
      <c r="M534" s="28" t="str">
        <f>IF(C534=""," ",[1]!s_mq_pctchange($C534,$N$1))</f>
        <v xml:space="preserve"> </v>
      </c>
      <c r="N534" s="28" t="str">
        <f>IF(C534=""," ",[1]!s_yq_pctchange($C534,$N$1))</f>
        <v xml:space="preserve"> </v>
      </c>
      <c r="O534" s="11"/>
      <c r="P534" s="7"/>
    </row>
    <row r="535" spans="1:16" x14ac:dyDescent="0.35">
      <c r="A535" s="7"/>
      <c r="C535" s="30" t="str">
        <f>IF(指数列表!B532="","",指数列表!B532)</f>
        <v/>
      </c>
      <c r="D535" s="35" t="str">
        <f>IF(C535="","",[1]!s_info_name(C535))</f>
        <v/>
      </c>
      <c r="E535" s="24" t="str">
        <f>IF(C535="","",[1]!s_dq_close(C535,$N$1))</f>
        <v/>
      </c>
      <c r="F535" s="28" t="str">
        <f>IF($C535=""," ",[1]!i_pq_pctchange($C535,F$6,$N$1))</f>
        <v xml:space="preserve"> </v>
      </c>
      <c r="G535" s="28" t="str">
        <f>IF($C535=""," ",[1]!i_pq_pctchange($C535,G$6,$N$1))</f>
        <v xml:space="preserve"> </v>
      </c>
      <c r="H535" s="28" t="str">
        <f>IF($C535=""," ",[1]!i_pq_pctchange($C535,H$6,$N$1))</f>
        <v xml:space="preserve"> </v>
      </c>
      <c r="I535" s="28" t="str">
        <f>IF($C535=""," ",[1]!i_pq_pctchange($C535,I$6,$N$1))</f>
        <v xml:space="preserve"> </v>
      </c>
      <c r="J535" s="28" t="str">
        <f>IF($C535=""," ",[1]!i_pq_pctchange($C535,J$6,$N$1))</f>
        <v xml:space="preserve"> </v>
      </c>
      <c r="K535" s="28" t="str">
        <f>IF($C535=""," ",[1]!i_pq_pctchange($C535,K$6,$N$1))</f>
        <v xml:space="preserve"> </v>
      </c>
      <c r="L535" s="28" t="str">
        <f>IF(C535=""," ",[1]!s_wq_pctchange($C535,$N$1))</f>
        <v xml:space="preserve"> </v>
      </c>
      <c r="M535" s="28" t="str">
        <f>IF(C535=""," ",[1]!s_mq_pctchange($C535,$N$1))</f>
        <v xml:space="preserve"> </v>
      </c>
      <c r="N535" s="28" t="str">
        <f>IF(C535=""," ",[1]!s_yq_pctchange($C535,$N$1))</f>
        <v xml:space="preserve"> </v>
      </c>
      <c r="O535" s="11"/>
      <c r="P535" s="7"/>
    </row>
    <row r="536" spans="1:16" x14ac:dyDescent="0.35">
      <c r="A536" s="7"/>
      <c r="C536" s="31" t="str">
        <f>IF(指数列表!B533="","",指数列表!B533)</f>
        <v/>
      </c>
      <c r="D536" s="36" t="str">
        <f>IF(C536="","",[1]!s_info_name(C536))</f>
        <v/>
      </c>
      <c r="E536" s="25" t="str">
        <f>IF(C536="","",[1]!s_dq_close(C536,$N$1))</f>
        <v/>
      </c>
      <c r="F536" s="28" t="str">
        <f>IF($C536=""," ",[1]!i_pq_pctchange($C536,F$6,$N$1))</f>
        <v xml:space="preserve"> </v>
      </c>
      <c r="G536" s="28" t="str">
        <f>IF($C536=""," ",[1]!i_pq_pctchange($C536,G$6,$N$1))</f>
        <v xml:space="preserve"> </v>
      </c>
      <c r="H536" s="28" t="str">
        <f>IF($C536=""," ",[1]!i_pq_pctchange($C536,H$6,$N$1))</f>
        <v xml:space="preserve"> </v>
      </c>
      <c r="I536" s="28" t="str">
        <f>IF($C536=""," ",[1]!i_pq_pctchange($C536,I$6,$N$1))</f>
        <v xml:space="preserve"> </v>
      </c>
      <c r="J536" s="28" t="str">
        <f>IF($C536=""," ",[1]!i_pq_pctchange($C536,J$6,$N$1))</f>
        <v xml:space="preserve"> </v>
      </c>
      <c r="K536" s="28" t="str">
        <f>IF($C536=""," ",[1]!i_pq_pctchange($C536,K$6,$N$1))</f>
        <v xml:space="preserve"> </v>
      </c>
      <c r="L536" s="28" t="str">
        <f>IF(C536=""," ",[1]!s_wq_pctchange($C536,$N$1))</f>
        <v xml:space="preserve"> </v>
      </c>
      <c r="M536" s="28" t="str">
        <f>IF(C536=""," ",[1]!s_mq_pctchange($C536,$N$1))</f>
        <v xml:space="preserve"> </v>
      </c>
      <c r="N536" s="28" t="str">
        <f>IF(C536=""," ",[1]!s_yq_pctchange($C536,$N$1))</f>
        <v xml:space="preserve"> </v>
      </c>
      <c r="O536" s="11"/>
      <c r="P536" s="7"/>
    </row>
    <row r="537" spans="1:16" x14ac:dyDescent="0.35">
      <c r="A537" s="7"/>
      <c r="C537" s="30" t="str">
        <f>IF(指数列表!B534="","",指数列表!B534)</f>
        <v/>
      </c>
      <c r="D537" s="35" t="str">
        <f>IF(C537="","",[1]!s_info_name(C537))</f>
        <v/>
      </c>
      <c r="E537" s="24" t="str">
        <f>IF(C537="","",[1]!s_dq_close(C537,$N$1))</f>
        <v/>
      </c>
      <c r="F537" s="28" t="str">
        <f>IF($C537=""," ",[1]!i_pq_pctchange($C537,F$6,$N$1))</f>
        <v xml:space="preserve"> </v>
      </c>
      <c r="G537" s="28" t="str">
        <f>IF($C537=""," ",[1]!i_pq_pctchange($C537,G$6,$N$1))</f>
        <v xml:space="preserve"> </v>
      </c>
      <c r="H537" s="28" t="str">
        <f>IF($C537=""," ",[1]!i_pq_pctchange($C537,H$6,$N$1))</f>
        <v xml:space="preserve"> </v>
      </c>
      <c r="I537" s="28" t="str">
        <f>IF($C537=""," ",[1]!i_pq_pctchange($C537,I$6,$N$1))</f>
        <v xml:space="preserve"> </v>
      </c>
      <c r="J537" s="28" t="str">
        <f>IF($C537=""," ",[1]!i_pq_pctchange($C537,J$6,$N$1))</f>
        <v xml:space="preserve"> </v>
      </c>
      <c r="K537" s="28" t="str">
        <f>IF($C537=""," ",[1]!i_pq_pctchange($C537,K$6,$N$1))</f>
        <v xml:space="preserve"> </v>
      </c>
      <c r="L537" s="28" t="str">
        <f>IF(C537=""," ",[1]!s_wq_pctchange($C537,$N$1))</f>
        <v xml:space="preserve"> </v>
      </c>
      <c r="M537" s="28" t="str">
        <f>IF(C537=""," ",[1]!s_mq_pctchange($C537,$N$1))</f>
        <v xml:space="preserve"> </v>
      </c>
      <c r="N537" s="28" t="str">
        <f>IF(C537=""," ",[1]!s_yq_pctchange($C537,$N$1))</f>
        <v xml:space="preserve"> </v>
      </c>
      <c r="O537" s="11"/>
      <c r="P537" s="7"/>
    </row>
    <row r="538" spans="1:16" x14ac:dyDescent="0.35">
      <c r="A538" s="7"/>
      <c r="C538" s="31" t="str">
        <f>IF(指数列表!B535="","",指数列表!B535)</f>
        <v/>
      </c>
      <c r="D538" s="36" t="str">
        <f>IF(C538="","",[1]!s_info_name(C538))</f>
        <v/>
      </c>
      <c r="E538" s="25" t="str">
        <f>IF(C538="","",[1]!s_dq_close(C538,$N$1))</f>
        <v/>
      </c>
      <c r="F538" s="28" t="str">
        <f>IF($C538=""," ",[1]!i_pq_pctchange($C538,F$6,$N$1))</f>
        <v xml:space="preserve"> </v>
      </c>
      <c r="G538" s="28" t="str">
        <f>IF($C538=""," ",[1]!i_pq_pctchange($C538,G$6,$N$1))</f>
        <v xml:space="preserve"> </v>
      </c>
      <c r="H538" s="28" t="str">
        <f>IF($C538=""," ",[1]!i_pq_pctchange($C538,H$6,$N$1))</f>
        <v xml:space="preserve"> </v>
      </c>
      <c r="I538" s="28" t="str">
        <f>IF($C538=""," ",[1]!i_pq_pctchange($C538,I$6,$N$1))</f>
        <v xml:space="preserve"> </v>
      </c>
      <c r="J538" s="28" t="str">
        <f>IF($C538=""," ",[1]!i_pq_pctchange($C538,J$6,$N$1))</f>
        <v xml:space="preserve"> </v>
      </c>
      <c r="K538" s="28" t="str">
        <f>IF($C538=""," ",[1]!i_pq_pctchange($C538,K$6,$N$1))</f>
        <v xml:space="preserve"> </v>
      </c>
      <c r="L538" s="28" t="str">
        <f>IF(C538=""," ",[1]!s_wq_pctchange($C538,$N$1))</f>
        <v xml:space="preserve"> </v>
      </c>
      <c r="M538" s="28" t="str">
        <f>IF(C538=""," ",[1]!s_mq_pctchange($C538,$N$1))</f>
        <v xml:space="preserve"> </v>
      </c>
      <c r="N538" s="28" t="str">
        <f>IF(C538=""," ",[1]!s_yq_pctchange($C538,$N$1))</f>
        <v xml:space="preserve"> </v>
      </c>
      <c r="O538" s="11"/>
      <c r="P538" s="7"/>
    </row>
    <row r="539" spans="1:16" x14ac:dyDescent="0.35">
      <c r="A539" s="7"/>
      <c r="C539" s="30" t="str">
        <f>IF(指数列表!B536="","",指数列表!B536)</f>
        <v/>
      </c>
      <c r="D539" s="35" t="str">
        <f>IF(C539="","",[1]!s_info_name(C539))</f>
        <v/>
      </c>
      <c r="E539" s="24" t="str">
        <f>IF(C539="","",[1]!s_dq_close(C539,$N$1))</f>
        <v/>
      </c>
      <c r="F539" s="28" t="str">
        <f>IF($C539=""," ",[1]!i_pq_pctchange($C539,F$6,$N$1))</f>
        <v xml:space="preserve"> </v>
      </c>
      <c r="G539" s="28" t="str">
        <f>IF($C539=""," ",[1]!i_pq_pctchange($C539,G$6,$N$1))</f>
        <v xml:space="preserve"> </v>
      </c>
      <c r="H539" s="28" t="str">
        <f>IF($C539=""," ",[1]!i_pq_pctchange($C539,H$6,$N$1))</f>
        <v xml:space="preserve"> </v>
      </c>
      <c r="I539" s="28" t="str">
        <f>IF($C539=""," ",[1]!i_pq_pctchange($C539,I$6,$N$1))</f>
        <v xml:space="preserve"> </v>
      </c>
      <c r="J539" s="28" t="str">
        <f>IF($C539=""," ",[1]!i_pq_pctchange($C539,J$6,$N$1))</f>
        <v xml:space="preserve"> </v>
      </c>
      <c r="K539" s="28" t="str">
        <f>IF($C539=""," ",[1]!i_pq_pctchange($C539,K$6,$N$1))</f>
        <v xml:space="preserve"> </v>
      </c>
      <c r="L539" s="28" t="str">
        <f>IF(C539=""," ",[1]!s_wq_pctchange($C539,$N$1))</f>
        <v xml:space="preserve"> </v>
      </c>
      <c r="M539" s="28" t="str">
        <f>IF(C539=""," ",[1]!s_mq_pctchange($C539,$N$1))</f>
        <v xml:space="preserve"> </v>
      </c>
      <c r="N539" s="28" t="str">
        <f>IF(C539=""," ",[1]!s_yq_pctchange($C539,$N$1))</f>
        <v xml:space="preserve"> </v>
      </c>
      <c r="O539" s="11"/>
      <c r="P539" s="7"/>
    </row>
    <row r="540" spans="1:16" x14ac:dyDescent="0.35">
      <c r="A540" s="7"/>
      <c r="C540" s="31" t="str">
        <f>IF(指数列表!B537="","",指数列表!B537)</f>
        <v/>
      </c>
      <c r="D540" s="36" t="str">
        <f>IF(C540="","",[1]!s_info_name(C540))</f>
        <v/>
      </c>
      <c r="E540" s="25" t="str">
        <f>IF(C540="","",[1]!s_dq_close(C540,$N$1))</f>
        <v/>
      </c>
      <c r="F540" s="28" t="str">
        <f>IF($C540=""," ",[1]!i_pq_pctchange($C540,F$6,$N$1))</f>
        <v xml:space="preserve"> </v>
      </c>
      <c r="G540" s="28" t="str">
        <f>IF($C540=""," ",[1]!i_pq_pctchange($C540,G$6,$N$1))</f>
        <v xml:space="preserve"> </v>
      </c>
      <c r="H540" s="28" t="str">
        <f>IF($C540=""," ",[1]!i_pq_pctchange($C540,H$6,$N$1))</f>
        <v xml:space="preserve"> </v>
      </c>
      <c r="I540" s="28" t="str">
        <f>IF($C540=""," ",[1]!i_pq_pctchange($C540,I$6,$N$1))</f>
        <v xml:space="preserve"> </v>
      </c>
      <c r="J540" s="28" t="str">
        <f>IF($C540=""," ",[1]!i_pq_pctchange($C540,J$6,$N$1))</f>
        <v xml:space="preserve"> </v>
      </c>
      <c r="K540" s="28" t="str">
        <f>IF($C540=""," ",[1]!i_pq_pctchange($C540,K$6,$N$1))</f>
        <v xml:space="preserve"> </v>
      </c>
      <c r="L540" s="28" t="str">
        <f>IF(C540=""," ",[1]!s_wq_pctchange($C540,$N$1))</f>
        <v xml:space="preserve"> </v>
      </c>
      <c r="M540" s="28" t="str">
        <f>IF(C540=""," ",[1]!s_mq_pctchange($C540,$N$1))</f>
        <v xml:space="preserve"> </v>
      </c>
      <c r="N540" s="28" t="str">
        <f>IF(C540=""," ",[1]!s_yq_pctchange($C540,$N$1))</f>
        <v xml:space="preserve"> </v>
      </c>
      <c r="O540" s="11"/>
      <c r="P540" s="7"/>
    </row>
    <row r="541" spans="1:16" x14ac:dyDescent="0.35">
      <c r="A541" s="7"/>
      <c r="C541" s="30" t="str">
        <f>IF(指数列表!B538="","",指数列表!B538)</f>
        <v/>
      </c>
      <c r="D541" s="35" t="str">
        <f>IF(C541="","",[1]!s_info_name(C541))</f>
        <v/>
      </c>
      <c r="E541" s="24" t="str">
        <f>IF(C541="","",[1]!s_dq_close(C541,$N$1))</f>
        <v/>
      </c>
      <c r="F541" s="28" t="str">
        <f>IF($C541=""," ",[1]!i_pq_pctchange($C541,F$6,$N$1))</f>
        <v xml:space="preserve"> </v>
      </c>
      <c r="G541" s="28" t="str">
        <f>IF($C541=""," ",[1]!i_pq_pctchange($C541,G$6,$N$1))</f>
        <v xml:space="preserve"> </v>
      </c>
      <c r="H541" s="28" t="str">
        <f>IF($C541=""," ",[1]!i_pq_pctchange($C541,H$6,$N$1))</f>
        <v xml:space="preserve"> </v>
      </c>
      <c r="I541" s="28" t="str">
        <f>IF($C541=""," ",[1]!i_pq_pctchange($C541,I$6,$N$1))</f>
        <v xml:space="preserve"> </v>
      </c>
      <c r="J541" s="28" t="str">
        <f>IF($C541=""," ",[1]!i_pq_pctchange($C541,J$6,$N$1))</f>
        <v xml:space="preserve"> </v>
      </c>
      <c r="K541" s="28" t="str">
        <f>IF($C541=""," ",[1]!i_pq_pctchange($C541,K$6,$N$1))</f>
        <v xml:space="preserve"> </v>
      </c>
      <c r="L541" s="28" t="str">
        <f>IF(C541=""," ",[1]!s_wq_pctchange($C541,$N$1))</f>
        <v xml:space="preserve"> </v>
      </c>
      <c r="M541" s="28" t="str">
        <f>IF(C541=""," ",[1]!s_mq_pctchange($C541,$N$1))</f>
        <v xml:space="preserve"> </v>
      </c>
      <c r="N541" s="28" t="str">
        <f>IF(C541=""," ",[1]!s_yq_pctchange($C541,$N$1))</f>
        <v xml:space="preserve"> </v>
      </c>
      <c r="O541" s="11"/>
      <c r="P541" s="7"/>
    </row>
    <row r="542" spans="1:16" x14ac:dyDescent="0.35">
      <c r="A542" s="7"/>
      <c r="C542" s="31" t="str">
        <f>IF(指数列表!B539="","",指数列表!B539)</f>
        <v/>
      </c>
      <c r="D542" s="36" t="str">
        <f>IF(C542="","",[1]!s_info_name(C542))</f>
        <v/>
      </c>
      <c r="E542" s="25" t="str">
        <f>IF(C542="","",[1]!s_dq_close(C542,$N$1))</f>
        <v/>
      </c>
      <c r="F542" s="28" t="str">
        <f>IF($C542=""," ",[1]!i_pq_pctchange($C542,F$6,$N$1))</f>
        <v xml:space="preserve"> </v>
      </c>
      <c r="G542" s="28" t="str">
        <f>IF($C542=""," ",[1]!i_pq_pctchange($C542,G$6,$N$1))</f>
        <v xml:space="preserve"> </v>
      </c>
      <c r="H542" s="28" t="str">
        <f>IF($C542=""," ",[1]!i_pq_pctchange($C542,H$6,$N$1))</f>
        <v xml:space="preserve"> </v>
      </c>
      <c r="I542" s="28" t="str">
        <f>IF($C542=""," ",[1]!i_pq_pctchange($C542,I$6,$N$1))</f>
        <v xml:space="preserve"> </v>
      </c>
      <c r="J542" s="28" t="str">
        <f>IF($C542=""," ",[1]!i_pq_pctchange($C542,J$6,$N$1))</f>
        <v xml:space="preserve"> </v>
      </c>
      <c r="K542" s="28" t="str">
        <f>IF($C542=""," ",[1]!i_pq_pctchange($C542,K$6,$N$1))</f>
        <v xml:space="preserve"> </v>
      </c>
      <c r="L542" s="28" t="str">
        <f>IF(C542=""," ",[1]!s_wq_pctchange($C542,$N$1))</f>
        <v xml:space="preserve"> </v>
      </c>
      <c r="M542" s="28" t="str">
        <f>IF(C542=""," ",[1]!s_mq_pctchange($C542,$N$1))</f>
        <v xml:space="preserve"> </v>
      </c>
      <c r="N542" s="28" t="str">
        <f>IF(C542=""," ",[1]!s_yq_pctchange($C542,$N$1))</f>
        <v xml:space="preserve"> </v>
      </c>
      <c r="O542" s="11"/>
      <c r="P542" s="7"/>
    </row>
    <row r="543" spans="1:16" x14ac:dyDescent="0.35">
      <c r="A543" s="7"/>
      <c r="C543" s="30" t="str">
        <f>IF(指数列表!B540="","",指数列表!B540)</f>
        <v/>
      </c>
      <c r="D543" s="35" t="str">
        <f>IF(C543="","",[1]!s_info_name(C543))</f>
        <v/>
      </c>
      <c r="E543" s="24" t="str">
        <f>IF(C543="","",[1]!s_dq_close(C543,$N$1))</f>
        <v/>
      </c>
      <c r="F543" s="28" t="str">
        <f>IF($C543=""," ",[1]!i_pq_pctchange($C543,F$6,$N$1))</f>
        <v xml:space="preserve"> </v>
      </c>
      <c r="G543" s="28" t="str">
        <f>IF($C543=""," ",[1]!i_pq_pctchange($C543,G$6,$N$1))</f>
        <v xml:space="preserve"> </v>
      </c>
      <c r="H543" s="28" t="str">
        <f>IF($C543=""," ",[1]!i_pq_pctchange($C543,H$6,$N$1))</f>
        <v xml:space="preserve"> </v>
      </c>
      <c r="I543" s="28" t="str">
        <f>IF($C543=""," ",[1]!i_pq_pctchange($C543,I$6,$N$1))</f>
        <v xml:space="preserve"> </v>
      </c>
      <c r="J543" s="28" t="str">
        <f>IF($C543=""," ",[1]!i_pq_pctchange($C543,J$6,$N$1))</f>
        <v xml:space="preserve"> </v>
      </c>
      <c r="K543" s="28" t="str">
        <f>IF($C543=""," ",[1]!i_pq_pctchange($C543,K$6,$N$1))</f>
        <v xml:space="preserve"> </v>
      </c>
      <c r="L543" s="28" t="str">
        <f>IF(C543=""," ",[1]!s_wq_pctchange($C543,$N$1))</f>
        <v xml:space="preserve"> </v>
      </c>
      <c r="M543" s="28" t="str">
        <f>IF(C543=""," ",[1]!s_mq_pctchange($C543,$N$1))</f>
        <v xml:space="preserve"> </v>
      </c>
      <c r="N543" s="28" t="str">
        <f>IF(C543=""," ",[1]!s_yq_pctchange($C543,$N$1))</f>
        <v xml:space="preserve"> </v>
      </c>
      <c r="O543" s="11"/>
      <c r="P543" s="7"/>
    </row>
    <row r="544" spans="1:16" x14ac:dyDescent="0.35">
      <c r="A544" s="7"/>
      <c r="C544" s="31" t="str">
        <f>IF(指数列表!B541="","",指数列表!B541)</f>
        <v/>
      </c>
      <c r="D544" s="36" t="str">
        <f>IF(C544="","",[1]!s_info_name(C544))</f>
        <v/>
      </c>
      <c r="E544" s="25" t="str">
        <f>IF(C544="","",[1]!s_dq_close(C544,$N$1))</f>
        <v/>
      </c>
      <c r="F544" s="28" t="str">
        <f>IF($C544=""," ",[1]!i_pq_pctchange($C544,F$6,$N$1))</f>
        <v xml:space="preserve"> </v>
      </c>
      <c r="G544" s="28" t="str">
        <f>IF($C544=""," ",[1]!i_pq_pctchange($C544,G$6,$N$1))</f>
        <v xml:space="preserve"> </v>
      </c>
      <c r="H544" s="28" t="str">
        <f>IF($C544=""," ",[1]!i_pq_pctchange($C544,H$6,$N$1))</f>
        <v xml:space="preserve"> </v>
      </c>
      <c r="I544" s="28" t="str">
        <f>IF($C544=""," ",[1]!i_pq_pctchange($C544,I$6,$N$1))</f>
        <v xml:space="preserve"> </v>
      </c>
      <c r="J544" s="28" t="str">
        <f>IF($C544=""," ",[1]!i_pq_pctchange($C544,J$6,$N$1))</f>
        <v xml:space="preserve"> </v>
      </c>
      <c r="K544" s="28" t="str">
        <f>IF($C544=""," ",[1]!i_pq_pctchange($C544,K$6,$N$1))</f>
        <v xml:space="preserve"> </v>
      </c>
      <c r="L544" s="28" t="str">
        <f>IF(C544=""," ",[1]!s_wq_pctchange($C544,$N$1))</f>
        <v xml:space="preserve"> </v>
      </c>
      <c r="M544" s="28" t="str">
        <f>IF(C544=""," ",[1]!s_mq_pctchange($C544,$N$1))</f>
        <v xml:space="preserve"> </v>
      </c>
      <c r="N544" s="28" t="str">
        <f>IF(C544=""," ",[1]!s_yq_pctchange($C544,$N$1))</f>
        <v xml:space="preserve"> </v>
      </c>
      <c r="O544" s="11"/>
      <c r="P544" s="7"/>
    </row>
    <row r="545" spans="1:16" x14ac:dyDescent="0.35">
      <c r="A545" s="7"/>
      <c r="C545" s="30" t="str">
        <f>IF(指数列表!B542="","",指数列表!B542)</f>
        <v/>
      </c>
      <c r="D545" s="35" t="str">
        <f>IF(C545="","",[1]!s_info_name(C545))</f>
        <v/>
      </c>
      <c r="E545" s="24" t="str">
        <f>IF(C545="","",[1]!s_dq_close(C545,$N$1))</f>
        <v/>
      </c>
      <c r="F545" s="28" t="str">
        <f>IF($C545=""," ",[1]!i_pq_pctchange($C545,F$6,$N$1))</f>
        <v xml:space="preserve"> </v>
      </c>
      <c r="G545" s="28" t="str">
        <f>IF($C545=""," ",[1]!i_pq_pctchange($C545,G$6,$N$1))</f>
        <v xml:space="preserve"> </v>
      </c>
      <c r="H545" s="28" t="str">
        <f>IF($C545=""," ",[1]!i_pq_pctchange($C545,H$6,$N$1))</f>
        <v xml:space="preserve"> </v>
      </c>
      <c r="I545" s="28" t="str">
        <f>IF($C545=""," ",[1]!i_pq_pctchange($C545,I$6,$N$1))</f>
        <v xml:space="preserve"> </v>
      </c>
      <c r="J545" s="28" t="str">
        <f>IF($C545=""," ",[1]!i_pq_pctchange($C545,J$6,$N$1))</f>
        <v xml:space="preserve"> </v>
      </c>
      <c r="K545" s="28" t="str">
        <f>IF($C545=""," ",[1]!i_pq_pctchange($C545,K$6,$N$1))</f>
        <v xml:space="preserve"> </v>
      </c>
      <c r="L545" s="28" t="str">
        <f>IF(C545=""," ",[1]!s_wq_pctchange($C545,$N$1))</f>
        <v xml:space="preserve"> </v>
      </c>
      <c r="M545" s="28" t="str">
        <f>IF(C545=""," ",[1]!s_mq_pctchange($C545,$N$1))</f>
        <v xml:space="preserve"> </v>
      </c>
      <c r="N545" s="28" t="str">
        <f>IF(C545=""," ",[1]!s_yq_pctchange($C545,$N$1))</f>
        <v xml:space="preserve"> </v>
      </c>
      <c r="O545" s="11"/>
      <c r="P545" s="7"/>
    </row>
    <row r="546" spans="1:16" x14ac:dyDescent="0.35">
      <c r="A546" s="7"/>
      <c r="C546" s="31" t="str">
        <f>IF(指数列表!B543="","",指数列表!B543)</f>
        <v/>
      </c>
      <c r="D546" s="36" t="str">
        <f>IF(C546="","",[1]!s_info_name(C546))</f>
        <v/>
      </c>
      <c r="E546" s="25" t="str">
        <f>IF(C546="","",[1]!s_dq_close(C546,$N$1))</f>
        <v/>
      </c>
      <c r="F546" s="28" t="str">
        <f>IF($C546=""," ",[1]!i_pq_pctchange($C546,F$6,$N$1))</f>
        <v xml:space="preserve"> </v>
      </c>
      <c r="G546" s="28" t="str">
        <f>IF($C546=""," ",[1]!i_pq_pctchange($C546,G$6,$N$1))</f>
        <v xml:space="preserve"> </v>
      </c>
      <c r="H546" s="28" t="str">
        <f>IF($C546=""," ",[1]!i_pq_pctchange($C546,H$6,$N$1))</f>
        <v xml:space="preserve"> </v>
      </c>
      <c r="I546" s="28" t="str">
        <f>IF($C546=""," ",[1]!i_pq_pctchange($C546,I$6,$N$1))</f>
        <v xml:space="preserve"> </v>
      </c>
      <c r="J546" s="28" t="str">
        <f>IF($C546=""," ",[1]!i_pq_pctchange($C546,J$6,$N$1))</f>
        <v xml:space="preserve"> </v>
      </c>
      <c r="K546" s="28" t="str">
        <f>IF($C546=""," ",[1]!i_pq_pctchange($C546,K$6,$N$1))</f>
        <v xml:space="preserve"> </v>
      </c>
      <c r="L546" s="28" t="str">
        <f>IF(C546=""," ",[1]!s_wq_pctchange($C546,$N$1))</f>
        <v xml:space="preserve"> </v>
      </c>
      <c r="M546" s="28" t="str">
        <f>IF(C546=""," ",[1]!s_mq_pctchange($C546,$N$1))</f>
        <v xml:space="preserve"> </v>
      </c>
      <c r="N546" s="28" t="str">
        <f>IF(C546=""," ",[1]!s_yq_pctchange($C546,$N$1))</f>
        <v xml:space="preserve"> </v>
      </c>
      <c r="O546" s="11"/>
      <c r="P546" s="7"/>
    </row>
    <row r="547" spans="1:16" x14ac:dyDescent="0.35">
      <c r="A547" s="7"/>
      <c r="C547" s="30" t="str">
        <f>IF(指数列表!B544="","",指数列表!B544)</f>
        <v/>
      </c>
      <c r="D547" s="35" t="str">
        <f>IF(C547="","",[1]!s_info_name(C547))</f>
        <v/>
      </c>
      <c r="E547" s="24" t="str">
        <f>IF(C547="","",[1]!s_dq_close(C547,$N$1))</f>
        <v/>
      </c>
      <c r="F547" s="28" t="str">
        <f>IF($C547=""," ",[1]!i_pq_pctchange($C547,F$6,$N$1))</f>
        <v xml:space="preserve"> </v>
      </c>
      <c r="G547" s="28" t="str">
        <f>IF($C547=""," ",[1]!i_pq_pctchange($C547,G$6,$N$1))</f>
        <v xml:space="preserve"> </v>
      </c>
      <c r="H547" s="28" t="str">
        <f>IF($C547=""," ",[1]!i_pq_pctchange($C547,H$6,$N$1))</f>
        <v xml:space="preserve"> </v>
      </c>
      <c r="I547" s="28" t="str">
        <f>IF($C547=""," ",[1]!i_pq_pctchange($C547,I$6,$N$1))</f>
        <v xml:space="preserve"> </v>
      </c>
      <c r="J547" s="28" t="str">
        <f>IF($C547=""," ",[1]!i_pq_pctchange($C547,J$6,$N$1))</f>
        <v xml:space="preserve"> </v>
      </c>
      <c r="K547" s="28" t="str">
        <f>IF($C547=""," ",[1]!i_pq_pctchange($C547,K$6,$N$1))</f>
        <v xml:space="preserve"> </v>
      </c>
      <c r="L547" s="28" t="str">
        <f>IF(C547=""," ",[1]!s_wq_pctchange($C547,$N$1))</f>
        <v xml:space="preserve"> </v>
      </c>
      <c r="M547" s="28" t="str">
        <f>IF(C547=""," ",[1]!s_mq_pctchange($C547,$N$1))</f>
        <v xml:space="preserve"> </v>
      </c>
      <c r="N547" s="28" t="str">
        <f>IF(C547=""," ",[1]!s_yq_pctchange($C547,$N$1))</f>
        <v xml:space="preserve"> </v>
      </c>
      <c r="O547" s="11"/>
      <c r="P547" s="7"/>
    </row>
    <row r="548" spans="1:16" x14ac:dyDescent="0.35">
      <c r="A548" s="7"/>
      <c r="C548" s="31" t="str">
        <f>IF(指数列表!B545="","",指数列表!B545)</f>
        <v/>
      </c>
      <c r="D548" s="36" t="str">
        <f>IF(C548="","",[1]!s_info_name(C548))</f>
        <v/>
      </c>
      <c r="E548" s="25" t="str">
        <f>IF(C548="","",[1]!s_dq_close(C548,$N$1))</f>
        <v/>
      </c>
      <c r="F548" s="28" t="str">
        <f>IF($C548=""," ",[1]!i_pq_pctchange($C548,F$6,$N$1))</f>
        <v xml:space="preserve"> </v>
      </c>
      <c r="G548" s="28" t="str">
        <f>IF($C548=""," ",[1]!i_pq_pctchange($C548,G$6,$N$1))</f>
        <v xml:space="preserve"> </v>
      </c>
      <c r="H548" s="28" t="str">
        <f>IF($C548=""," ",[1]!i_pq_pctchange($C548,H$6,$N$1))</f>
        <v xml:space="preserve"> </v>
      </c>
      <c r="I548" s="28" t="str">
        <f>IF($C548=""," ",[1]!i_pq_pctchange($C548,I$6,$N$1))</f>
        <v xml:space="preserve"> </v>
      </c>
      <c r="J548" s="28" t="str">
        <f>IF($C548=""," ",[1]!i_pq_pctchange($C548,J$6,$N$1))</f>
        <v xml:space="preserve"> </v>
      </c>
      <c r="K548" s="28" t="str">
        <f>IF($C548=""," ",[1]!i_pq_pctchange($C548,K$6,$N$1))</f>
        <v xml:space="preserve"> </v>
      </c>
      <c r="L548" s="28" t="str">
        <f>IF(C548=""," ",[1]!s_wq_pctchange($C548,$N$1))</f>
        <v xml:space="preserve"> </v>
      </c>
      <c r="M548" s="28" t="str">
        <f>IF(C548=""," ",[1]!s_mq_pctchange($C548,$N$1))</f>
        <v xml:space="preserve"> </v>
      </c>
      <c r="N548" s="28" t="str">
        <f>IF(C548=""," ",[1]!s_yq_pctchange($C548,$N$1))</f>
        <v xml:space="preserve"> </v>
      </c>
      <c r="O548" s="11"/>
      <c r="P548" s="7"/>
    </row>
    <row r="549" spans="1:16" x14ac:dyDescent="0.35">
      <c r="A549" s="7"/>
      <c r="C549" s="30" t="str">
        <f>IF(指数列表!B546="","",指数列表!B546)</f>
        <v/>
      </c>
      <c r="D549" s="35" t="str">
        <f>IF(C549="","",[1]!s_info_name(C549))</f>
        <v/>
      </c>
      <c r="E549" s="24" t="str">
        <f>IF(C549="","",[1]!s_dq_close(C549,$N$1))</f>
        <v/>
      </c>
      <c r="F549" s="28" t="str">
        <f>IF($C549=""," ",[1]!i_pq_pctchange($C549,F$6,$N$1))</f>
        <v xml:space="preserve"> </v>
      </c>
      <c r="G549" s="28" t="str">
        <f>IF($C549=""," ",[1]!i_pq_pctchange($C549,G$6,$N$1))</f>
        <v xml:space="preserve"> </v>
      </c>
      <c r="H549" s="28" t="str">
        <f>IF($C549=""," ",[1]!i_pq_pctchange($C549,H$6,$N$1))</f>
        <v xml:space="preserve"> </v>
      </c>
      <c r="I549" s="28" t="str">
        <f>IF($C549=""," ",[1]!i_pq_pctchange($C549,I$6,$N$1))</f>
        <v xml:space="preserve"> </v>
      </c>
      <c r="J549" s="28" t="str">
        <f>IF($C549=""," ",[1]!i_pq_pctchange($C549,J$6,$N$1))</f>
        <v xml:space="preserve"> </v>
      </c>
      <c r="K549" s="28" t="str">
        <f>IF($C549=""," ",[1]!i_pq_pctchange($C549,K$6,$N$1))</f>
        <v xml:space="preserve"> </v>
      </c>
      <c r="L549" s="28" t="str">
        <f>IF(C549=""," ",[1]!s_wq_pctchange($C549,$N$1))</f>
        <v xml:space="preserve"> </v>
      </c>
      <c r="M549" s="28" t="str">
        <f>IF(C549=""," ",[1]!s_mq_pctchange($C549,$N$1))</f>
        <v xml:space="preserve"> </v>
      </c>
      <c r="N549" s="28" t="str">
        <f>IF(C549=""," ",[1]!s_yq_pctchange($C549,$N$1))</f>
        <v xml:space="preserve"> </v>
      </c>
      <c r="O549" s="11"/>
      <c r="P549" s="7"/>
    </row>
    <row r="550" spans="1:16" x14ac:dyDescent="0.35">
      <c r="A550" s="7"/>
      <c r="C550" s="31" t="str">
        <f>IF(指数列表!B547="","",指数列表!B547)</f>
        <v/>
      </c>
      <c r="D550" s="36" t="str">
        <f>IF(C550="","",[1]!s_info_name(C550))</f>
        <v/>
      </c>
      <c r="E550" s="25" t="str">
        <f>IF(C550="","",[1]!s_dq_close(C550,$N$1))</f>
        <v/>
      </c>
      <c r="F550" s="28" t="str">
        <f>IF($C550=""," ",[1]!i_pq_pctchange($C550,F$6,$N$1))</f>
        <v xml:space="preserve"> </v>
      </c>
      <c r="G550" s="28" t="str">
        <f>IF($C550=""," ",[1]!i_pq_pctchange($C550,G$6,$N$1))</f>
        <v xml:space="preserve"> </v>
      </c>
      <c r="H550" s="28" t="str">
        <f>IF($C550=""," ",[1]!i_pq_pctchange($C550,H$6,$N$1))</f>
        <v xml:space="preserve"> </v>
      </c>
      <c r="I550" s="28" t="str">
        <f>IF($C550=""," ",[1]!i_pq_pctchange($C550,I$6,$N$1))</f>
        <v xml:space="preserve"> </v>
      </c>
      <c r="J550" s="28" t="str">
        <f>IF($C550=""," ",[1]!i_pq_pctchange($C550,J$6,$N$1))</f>
        <v xml:space="preserve"> </v>
      </c>
      <c r="K550" s="28" t="str">
        <f>IF($C550=""," ",[1]!i_pq_pctchange($C550,K$6,$N$1))</f>
        <v xml:space="preserve"> </v>
      </c>
      <c r="L550" s="28" t="str">
        <f>IF(C550=""," ",[1]!s_wq_pctchange($C550,$N$1))</f>
        <v xml:space="preserve"> </v>
      </c>
      <c r="M550" s="28" t="str">
        <f>IF(C550=""," ",[1]!s_mq_pctchange($C550,$N$1))</f>
        <v xml:space="preserve"> </v>
      </c>
      <c r="N550" s="28" t="str">
        <f>IF(C550=""," ",[1]!s_yq_pctchange($C550,$N$1))</f>
        <v xml:space="preserve"> </v>
      </c>
      <c r="O550" s="11"/>
      <c r="P550" s="7"/>
    </row>
    <row r="551" spans="1:16" x14ac:dyDescent="0.35">
      <c r="A551" s="7"/>
      <c r="C551" s="30" t="str">
        <f>IF(指数列表!B548="","",指数列表!B548)</f>
        <v/>
      </c>
      <c r="D551" s="35" t="str">
        <f>IF(C551="","",[1]!s_info_name(C551))</f>
        <v/>
      </c>
      <c r="E551" s="24" t="str">
        <f>IF(C551="","",[1]!s_dq_close(C551,$N$1))</f>
        <v/>
      </c>
      <c r="F551" s="28" t="str">
        <f>IF($C551=""," ",[1]!i_pq_pctchange($C551,F$6,$N$1))</f>
        <v xml:space="preserve"> </v>
      </c>
      <c r="G551" s="28" t="str">
        <f>IF($C551=""," ",[1]!i_pq_pctchange($C551,G$6,$N$1))</f>
        <v xml:space="preserve"> </v>
      </c>
      <c r="H551" s="28" t="str">
        <f>IF($C551=""," ",[1]!i_pq_pctchange($C551,H$6,$N$1))</f>
        <v xml:space="preserve"> </v>
      </c>
      <c r="I551" s="28" t="str">
        <f>IF($C551=""," ",[1]!i_pq_pctchange($C551,I$6,$N$1))</f>
        <v xml:space="preserve"> </v>
      </c>
      <c r="J551" s="28" t="str">
        <f>IF($C551=""," ",[1]!i_pq_pctchange($C551,J$6,$N$1))</f>
        <v xml:space="preserve"> </v>
      </c>
      <c r="K551" s="28" t="str">
        <f>IF($C551=""," ",[1]!i_pq_pctchange($C551,K$6,$N$1))</f>
        <v xml:space="preserve"> </v>
      </c>
      <c r="L551" s="28" t="str">
        <f>IF(C551=""," ",[1]!s_wq_pctchange($C551,$N$1))</f>
        <v xml:space="preserve"> </v>
      </c>
      <c r="M551" s="28" t="str">
        <f>IF(C551=""," ",[1]!s_mq_pctchange($C551,$N$1))</f>
        <v xml:space="preserve"> </v>
      </c>
      <c r="N551" s="28" t="str">
        <f>IF(C551=""," ",[1]!s_yq_pctchange($C551,$N$1))</f>
        <v xml:space="preserve"> </v>
      </c>
      <c r="O551" s="11"/>
      <c r="P551" s="7"/>
    </row>
    <row r="552" spans="1:16" x14ac:dyDescent="0.35">
      <c r="A552" s="7"/>
      <c r="C552" s="31" t="str">
        <f>IF(指数列表!B549="","",指数列表!B549)</f>
        <v/>
      </c>
      <c r="D552" s="36" t="str">
        <f>IF(C552="","",[1]!s_info_name(C552))</f>
        <v/>
      </c>
      <c r="E552" s="25" t="str">
        <f>IF(C552="","",[1]!s_dq_close(C552,$N$1))</f>
        <v/>
      </c>
      <c r="F552" s="28" t="str">
        <f>IF($C552=""," ",[1]!i_pq_pctchange($C552,F$6,$N$1))</f>
        <v xml:space="preserve"> </v>
      </c>
      <c r="G552" s="28" t="str">
        <f>IF($C552=""," ",[1]!i_pq_pctchange($C552,G$6,$N$1))</f>
        <v xml:space="preserve"> </v>
      </c>
      <c r="H552" s="28" t="str">
        <f>IF($C552=""," ",[1]!i_pq_pctchange($C552,H$6,$N$1))</f>
        <v xml:space="preserve"> </v>
      </c>
      <c r="I552" s="28" t="str">
        <f>IF($C552=""," ",[1]!i_pq_pctchange($C552,I$6,$N$1))</f>
        <v xml:space="preserve"> </v>
      </c>
      <c r="J552" s="28" t="str">
        <f>IF($C552=""," ",[1]!i_pq_pctchange($C552,J$6,$N$1))</f>
        <v xml:space="preserve"> </v>
      </c>
      <c r="K552" s="28" t="str">
        <f>IF($C552=""," ",[1]!i_pq_pctchange($C552,K$6,$N$1))</f>
        <v xml:space="preserve"> </v>
      </c>
      <c r="L552" s="28" t="str">
        <f>IF(C552=""," ",[1]!s_wq_pctchange($C552,$N$1))</f>
        <v xml:space="preserve"> </v>
      </c>
      <c r="M552" s="28" t="str">
        <f>IF(C552=""," ",[1]!s_mq_pctchange($C552,$N$1))</f>
        <v xml:space="preserve"> </v>
      </c>
      <c r="N552" s="28" t="str">
        <f>IF(C552=""," ",[1]!s_yq_pctchange($C552,$N$1))</f>
        <v xml:space="preserve"> </v>
      </c>
      <c r="O552" s="11"/>
      <c r="P552" s="7"/>
    </row>
    <row r="553" spans="1:16" x14ac:dyDescent="0.35">
      <c r="A553" s="7"/>
      <c r="C553" s="30" t="str">
        <f>IF(指数列表!B550="","",指数列表!B550)</f>
        <v/>
      </c>
      <c r="D553" s="35" t="str">
        <f>IF(C553="","",[1]!s_info_name(C553))</f>
        <v/>
      </c>
      <c r="E553" s="24" t="str">
        <f>IF(C553="","",[1]!s_dq_close(C553,$N$1))</f>
        <v/>
      </c>
      <c r="F553" s="28" t="str">
        <f>IF($C553=""," ",[1]!i_pq_pctchange($C553,F$6,$N$1))</f>
        <v xml:space="preserve"> </v>
      </c>
      <c r="G553" s="28" t="str">
        <f>IF($C553=""," ",[1]!i_pq_pctchange($C553,G$6,$N$1))</f>
        <v xml:space="preserve"> </v>
      </c>
      <c r="H553" s="28" t="str">
        <f>IF($C553=""," ",[1]!i_pq_pctchange($C553,H$6,$N$1))</f>
        <v xml:space="preserve"> </v>
      </c>
      <c r="I553" s="28" t="str">
        <f>IF($C553=""," ",[1]!i_pq_pctchange($C553,I$6,$N$1))</f>
        <v xml:space="preserve"> </v>
      </c>
      <c r="J553" s="28" t="str">
        <f>IF($C553=""," ",[1]!i_pq_pctchange($C553,J$6,$N$1))</f>
        <v xml:space="preserve"> </v>
      </c>
      <c r="K553" s="28" t="str">
        <f>IF($C553=""," ",[1]!i_pq_pctchange($C553,K$6,$N$1))</f>
        <v xml:space="preserve"> </v>
      </c>
      <c r="L553" s="28" t="str">
        <f>IF(C553=""," ",[1]!s_wq_pctchange($C553,$N$1))</f>
        <v xml:space="preserve"> </v>
      </c>
      <c r="M553" s="28" t="str">
        <f>IF(C553=""," ",[1]!s_mq_pctchange($C553,$N$1))</f>
        <v xml:space="preserve"> </v>
      </c>
      <c r="N553" s="28" t="str">
        <f>IF(C553=""," ",[1]!s_yq_pctchange($C553,$N$1))</f>
        <v xml:space="preserve"> </v>
      </c>
      <c r="O553" s="11"/>
      <c r="P553" s="7"/>
    </row>
    <row r="554" spans="1:16" x14ac:dyDescent="0.35">
      <c r="A554" s="7"/>
      <c r="C554" s="31" t="str">
        <f>IF(指数列表!B551="","",指数列表!B551)</f>
        <v/>
      </c>
      <c r="D554" s="36" t="str">
        <f>IF(C554="","",[1]!s_info_name(C554))</f>
        <v/>
      </c>
      <c r="E554" s="25" t="str">
        <f>IF(C554="","",[1]!s_dq_close(C554,$N$1))</f>
        <v/>
      </c>
      <c r="F554" s="28" t="str">
        <f>IF($C554=""," ",[1]!i_pq_pctchange($C554,F$6,$N$1))</f>
        <v xml:space="preserve"> </v>
      </c>
      <c r="G554" s="28" t="str">
        <f>IF($C554=""," ",[1]!i_pq_pctchange($C554,G$6,$N$1))</f>
        <v xml:space="preserve"> </v>
      </c>
      <c r="H554" s="28" t="str">
        <f>IF($C554=""," ",[1]!i_pq_pctchange($C554,H$6,$N$1))</f>
        <v xml:space="preserve"> </v>
      </c>
      <c r="I554" s="28" t="str">
        <f>IF($C554=""," ",[1]!i_pq_pctchange($C554,I$6,$N$1))</f>
        <v xml:space="preserve"> </v>
      </c>
      <c r="J554" s="28" t="str">
        <f>IF($C554=""," ",[1]!i_pq_pctchange($C554,J$6,$N$1))</f>
        <v xml:space="preserve"> </v>
      </c>
      <c r="K554" s="28" t="str">
        <f>IF($C554=""," ",[1]!i_pq_pctchange($C554,K$6,$N$1))</f>
        <v xml:space="preserve"> </v>
      </c>
      <c r="L554" s="28" t="str">
        <f>IF(C554=""," ",[1]!s_wq_pctchange($C554,$N$1))</f>
        <v xml:space="preserve"> </v>
      </c>
      <c r="M554" s="28" t="str">
        <f>IF(C554=""," ",[1]!s_mq_pctchange($C554,$N$1))</f>
        <v xml:space="preserve"> </v>
      </c>
      <c r="N554" s="28" t="str">
        <f>IF(C554=""," ",[1]!s_yq_pctchange($C554,$N$1))</f>
        <v xml:space="preserve"> </v>
      </c>
      <c r="O554" s="11"/>
      <c r="P554" s="7"/>
    </row>
    <row r="555" spans="1:16" x14ac:dyDescent="0.35">
      <c r="A555" s="7"/>
      <c r="C555" s="30" t="str">
        <f>IF(指数列表!B552="","",指数列表!B552)</f>
        <v/>
      </c>
      <c r="D555" s="35" t="str">
        <f>IF(C555="","",[1]!s_info_name(C555))</f>
        <v/>
      </c>
      <c r="E555" s="24" t="str">
        <f>IF(C555="","",[1]!s_dq_close(C555,$N$1))</f>
        <v/>
      </c>
      <c r="F555" s="28" t="str">
        <f>IF($C555=""," ",[1]!i_pq_pctchange($C555,F$6,$N$1))</f>
        <v xml:space="preserve"> </v>
      </c>
      <c r="G555" s="28" t="str">
        <f>IF($C555=""," ",[1]!i_pq_pctchange($C555,G$6,$N$1))</f>
        <v xml:space="preserve"> </v>
      </c>
      <c r="H555" s="28" t="str">
        <f>IF($C555=""," ",[1]!i_pq_pctchange($C555,H$6,$N$1))</f>
        <v xml:space="preserve"> </v>
      </c>
      <c r="I555" s="28" t="str">
        <f>IF($C555=""," ",[1]!i_pq_pctchange($C555,I$6,$N$1))</f>
        <v xml:space="preserve"> </v>
      </c>
      <c r="J555" s="28" t="str">
        <f>IF($C555=""," ",[1]!i_pq_pctchange($C555,J$6,$N$1))</f>
        <v xml:space="preserve"> </v>
      </c>
      <c r="K555" s="28" t="str">
        <f>IF($C555=""," ",[1]!i_pq_pctchange($C555,K$6,$N$1))</f>
        <v xml:space="preserve"> </v>
      </c>
      <c r="L555" s="28" t="str">
        <f>IF(C555=""," ",[1]!s_wq_pctchange($C555,$N$1))</f>
        <v xml:space="preserve"> </v>
      </c>
      <c r="M555" s="28" t="str">
        <f>IF(C555=""," ",[1]!s_mq_pctchange($C555,$N$1))</f>
        <v xml:space="preserve"> </v>
      </c>
      <c r="N555" s="28" t="str">
        <f>IF(C555=""," ",[1]!s_yq_pctchange($C555,$N$1))</f>
        <v xml:space="preserve"> </v>
      </c>
      <c r="O555" s="11"/>
      <c r="P555" s="7"/>
    </row>
    <row r="556" spans="1:16" x14ac:dyDescent="0.35">
      <c r="A556" s="7"/>
      <c r="C556" s="31" t="str">
        <f>IF(指数列表!B553="","",指数列表!B553)</f>
        <v/>
      </c>
      <c r="D556" s="36" t="str">
        <f>IF(C556="","",[1]!s_info_name(C556))</f>
        <v/>
      </c>
      <c r="E556" s="25" t="str">
        <f>IF(C556="","",[1]!s_dq_close(C556,$N$1))</f>
        <v/>
      </c>
      <c r="F556" s="28" t="str">
        <f>IF($C556=""," ",[1]!i_pq_pctchange($C556,F$6,$N$1))</f>
        <v xml:space="preserve"> </v>
      </c>
      <c r="G556" s="28" t="str">
        <f>IF($C556=""," ",[1]!i_pq_pctchange($C556,G$6,$N$1))</f>
        <v xml:space="preserve"> </v>
      </c>
      <c r="H556" s="28" t="str">
        <f>IF($C556=""," ",[1]!i_pq_pctchange($C556,H$6,$N$1))</f>
        <v xml:space="preserve"> </v>
      </c>
      <c r="I556" s="28" t="str">
        <f>IF($C556=""," ",[1]!i_pq_pctchange($C556,I$6,$N$1))</f>
        <v xml:space="preserve"> </v>
      </c>
      <c r="J556" s="28" t="str">
        <f>IF($C556=""," ",[1]!i_pq_pctchange($C556,J$6,$N$1))</f>
        <v xml:space="preserve"> </v>
      </c>
      <c r="K556" s="28" t="str">
        <f>IF($C556=""," ",[1]!i_pq_pctchange($C556,K$6,$N$1))</f>
        <v xml:space="preserve"> </v>
      </c>
      <c r="L556" s="28" t="str">
        <f>IF(C556=""," ",[1]!s_wq_pctchange($C556,$N$1))</f>
        <v xml:space="preserve"> </v>
      </c>
      <c r="M556" s="28" t="str">
        <f>IF(C556=""," ",[1]!s_mq_pctchange($C556,$N$1))</f>
        <v xml:space="preserve"> </v>
      </c>
      <c r="N556" s="28" t="str">
        <f>IF(C556=""," ",[1]!s_yq_pctchange($C556,$N$1))</f>
        <v xml:space="preserve"> </v>
      </c>
      <c r="O556" s="11"/>
      <c r="P556" s="7"/>
    </row>
    <row r="557" spans="1:16" x14ac:dyDescent="0.35">
      <c r="A557" s="7"/>
      <c r="C557" s="30" t="str">
        <f>IF(指数列表!B554="","",指数列表!B554)</f>
        <v/>
      </c>
      <c r="D557" s="35" t="str">
        <f>IF(C557="","",[1]!s_info_name(C557))</f>
        <v/>
      </c>
      <c r="E557" s="24" t="str">
        <f>IF(C557="","",[1]!s_dq_close(C557,$N$1))</f>
        <v/>
      </c>
      <c r="F557" s="28" t="str">
        <f>IF($C557=""," ",[1]!i_pq_pctchange($C557,F$6,$N$1))</f>
        <v xml:space="preserve"> </v>
      </c>
      <c r="G557" s="28" t="str">
        <f>IF($C557=""," ",[1]!i_pq_pctchange($C557,G$6,$N$1))</f>
        <v xml:space="preserve"> </v>
      </c>
      <c r="H557" s="28" t="str">
        <f>IF($C557=""," ",[1]!i_pq_pctchange($C557,H$6,$N$1))</f>
        <v xml:space="preserve"> </v>
      </c>
      <c r="I557" s="28" t="str">
        <f>IF($C557=""," ",[1]!i_pq_pctchange($C557,I$6,$N$1))</f>
        <v xml:space="preserve"> </v>
      </c>
      <c r="J557" s="28" t="str">
        <f>IF($C557=""," ",[1]!i_pq_pctchange($C557,J$6,$N$1))</f>
        <v xml:space="preserve"> </v>
      </c>
      <c r="K557" s="28" t="str">
        <f>IF($C557=""," ",[1]!i_pq_pctchange($C557,K$6,$N$1))</f>
        <v xml:space="preserve"> </v>
      </c>
      <c r="L557" s="28" t="str">
        <f>IF(C557=""," ",[1]!s_wq_pctchange($C557,$N$1))</f>
        <v xml:space="preserve"> </v>
      </c>
      <c r="M557" s="28" t="str">
        <f>IF(C557=""," ",[1]!s_mq_pctchange($C557,$N$1))</f>
        <v xml:space="preserve"> </v>
      </c>
      <c r="N557" s="28" t="str">
        <f>IF(C557=""," ",[1]!s_yq_pctchange($C557,$N$1))</f>
        <v xml:space="preserve"> </v>
      </c>
      <c r="O557" s="11"/>
      <c r="P557" s="7"/>
    </row>
    <row r="558" spans="1:16" x14ac:dyDescent="0.35">
      <c r="A558" s="7"/>
      <c r="C558" s="31" t="str">
        <f>IF(指数列表!B555="","",指数列表!B555)</f>
        <v/>
      </c>
      <c r="D558" s="36" t="str">
        <f>IF(C558="","",[1]!s_info_name(C558))</f>
        <v/>
      </c>
      <c r="E558" s="25" t="str">
        <f>IF(C558="","",[1]!s_dq_close(C558,$N$1))</f>
        <v/>
      </c>
      <c r="F558" s="28" t="str">
        <f>IF($C558=""," ",[1]!i_pq_pctchange($C558,F$6,$N$1))</f>
        <v xml:space="preserve"> </v>
      </c>
      <c r="G558" s="28" t="str">
        <f>IF($C558=""," ",[1]!i_pq_pctchange($C558,G$6,$N$1))</f>
        <v xml:space="preserve"> </v>
      </c>
      <c r="H558" s="28" t="str">
        <f>IF($C558=""," ",[1]!i_pq_pctchange($C558,H$6,$N$1))</f>
        <v xml:space="preserve"> </v>
      </c>
      <c r="I558" s="28" t="str">
        <f>IF($C558=""," ",[1]!i_pq_pctchange($C558,I$6,$N$1))</f>
        <v xml:space="preserve"> </v>
      </c>
      <c r="J558" s="28" t="str">
        <f>IF($C558=""," ",[1]!i_pq_pctchange($C558,J$6,$N$1))</f>
        <v xml:space="preserve"> </v>
      </c>
      <c r="K558" s="28" t="str">
        <f>IF($C558=""," ",[1]!i_pq_pctchange($C558,K$6,$N$1))</f>
        <v xml:space="preserve"> </v>
      </c>
      <c r="L558" s="28" t="str">
        <f>IF(C558=""," ",[1]!s_wq_pctchange($C558,$N$1))</f>
        <v xml:space="preserve"> </v>
      </c>
      <c r="M558" s="28" t="str">
        <f>IF(C558=""," ",[1]!s_mq_pctchange($C558,$N$1))</f>
        <v xml:space="preserve"> </v>
      </c>
      <c r="N558" s="28" t="str">
        <f>IF(C558=""," ",[1]!s_yq_pctchange($C558,$N$1))</f>
        <v xml:space="preserve"> </v>
      </c>
      <c r="O558" s="11"/>
      <c r="P558" s="7"/>
    </row>
    <row r="559" spans="1:16" x14ac:dyDescent="0.35">
      <c r="A559" s="7"/>
      <c r="C559" s="30" t="str">
        <f>IF(指数列表!B556="","",指数列表!B556)</f>
        <v/>
      </c>
      <c r="D559" s="35" t="str">
        <f>IF(C559="","",[1]!s_info_name(C559))</f>
        <v/>
      </c>
      <c r="E559" s="24" t="str">
        <f>IF(C559="","",[1]!s_dq_close(C559,$N$1))</f>
        <v/>
      </c>
      <c r="F559" s="28" t="str">
        <f>IF($C559=""," ",[1]!i_pq_pctchange($C559,F$6,$N$1))</f>
        <v xml:space="preserve"> </v>
      </c>
      <c r="G559" s="28" t="str">
        <f>IF($C559=""," ",[1]!i_pq_pctchange($C559,G$6,$N$1))</f>
        <v xml:space="preserve"> </v>
      </c>
      <c r="H559" s="28" t="str">
        <f>IF($C559=""," ",[1]!i_pq_pctchange($C559,H$6,$N$1))</f>
        <v xml:space="preserve"> </v>
      </c>
      <c r="I559" s="28" t="str">
        <f>IF($C559=""," ",[1]!i_pq_pctchange($C559,I$6,$N$1))</f>
        <v xml:space="preserve"> </v>
      </c>
      <c r="J559" s="28" t="str">
        <f>IF($C559=""," ",[1]!i_pq_pctchange($C559,J$6,$N$1))</f>
        <v xml:space="preserve"> </v>
      </c>
      <c r="K559" s="28" t="str">
        <f>IF($C559=""," ",[1]!i_pq_pctchange($C559,K$6,$N$1))</f>
        <v xml:space="preserve"> </v>
      </c>
      <c r="L559" s="28" t="str">
        <f>IF(C559=""," ",[1]!s_wq_pctchange($C559,$N$1))</f>
        <v xml:space="preserve"> </v>
      </c>
      <c r="M559" s="28" t="str">
        <f>IF(C559=""," ",[1]!s_mq_pctchange($C559,$N$1))</f>
        <v xml:space="preserve"> </v>
      </c>
      <c r="N559" s="28" t="str">
        <f>IF(C559=""," ",[1]!s_yq_pctchange($C559,$N$1))</f>
        <v xml:space="preserve"> </v>
      </c>
      <c r="O559" s="11"/>
      <c r="P559" s="7"/>
    </row>
    <row r="560" spans="1:16" x14ac:dyDescent="0.35">
      <c r="A560" s="7"/>
      <c r="C560" s="31" t="str">
        <f>IF(指数列表!B557="","",指数列表!B557)</f>
        <v/>
      </c>
      <c r="D560" s="36" t="str">
        <f>IF(C560="","",[1]!s_info_name(C560))</f>
        <v/>
      </c>
      <c r="E560" s="25" t="str">
        <f>IF(C560="","",[1]!s_dq_close(C560,$N$1))</f>
        <v/>
      </c>
      <c r="F560" s="28" t="str">
        <f>IF($C560=""," ",[1]!i_pq_pctchange($C560,F$6,$N$1))</f>
        <v xml:space="preserve"> </v>
      </c>
      <c r="G560" s="28" t="str">
        <f>IF($C560=""," ",[1]!i_pq_pctchange($C560,G$6,$N$1))</f>
        <v xml:space="preserve"> </v>
      </c>
      <c r="H560" s="28" t="str">
        <f>IF($C560=""," ",[1]!i_pq_pctchange($C560,H$6,$N$1))</f>
        <v xml:space="preserve"> </v>
      </c>
      <c r="I560" s="28" t="str">
        <f>IF($C560=""," ",[1]!i_pq_pctchange($C560,I$6,$N$1))</f>
        <v xml:space="preserve"> </v>
      </c>
      <c r="J560" s="28" t="str">
        <f>IF($C560=""," ",[1]!i_pq_pctchange($C560,J$6,$N$1))</f>
        <v xml:space="preserve"> </v>
      </c>
      <c r="K560" s="28" t="str">
        <f>IF($C560=""," ",[1]!i_pq_pctchange($C560,K$6,$N$1))</f>
        <v xml:space="preserve"> </v>
      </c>
      <c r="L560" s="28" t="str">
        <f>IF(C560=""," ",[1]!s_wq_pctchange($C560,$N$1))</f>
        <v xml:space="preserve"> </v>
      </c>
      <c r="M560" s="28" t="str">
        <f>IF(C560=""," ",[1]!s_mq_pctchange($C560,$N$1))</f>
        <v xml:space="preserve"> </v>
      </c>
      <c r="N560" s="28" t="str">
        <f>IF(C560=""," ",[1]!s_yq_pctchange($C560,$N$1))</f>
        <v xml:space="preserve"> </v>
      </c>
      <c r="O560" s="11"/>
      <c r="P560" s="7"/>
    </row>
    <row r="561" spans="1:16" x14ac:dyDescent="0.35">
      <c r="A561" s="7"/>
      <c r="C561" s="30" t="str">
        <f>IF(指数列表!B558="","",指数列表!B558)</f>
        <v/>
      </c>
      <c r="D561" s="35" t="str">
        <f>IF(C561="","",[1]!s_info_name(C561))</f>
        <v/>
      </c>
      <c r="E561" s="24" t="str">
        <f>IF(C561="","",[1]!s_dq_close(C561,$N$1))</f>
        <v/>
      </c>
      <c r="F561" s="28" t="str">
        <f>IF($C561=""," ",[1]!i_pq_pctchange($C561,F$6,$N$1))</f>
        <v xml:space="preserve"> </v>
      </c>
      <c r="G561" s="28" t="str">
        <f>IF($C561=""," ",[1]!i_pq_pctchange($C561,G$6,$N$1))</f>
        <v xml:space="preserve"> </v>
      </c>
      <c r="H561" s="28" t="str">
        <f>IF($C561=""," ",[1]!i_pq_pctchange($C561,H$6,$N$1))</f>
        <v xml:space="preserve"> </v>
      </c>
      <c r="I561" s="28" t="str">
        <f>IF($C561=""," ",[1]!i_pq_pctchange($C561,I$6,$N$1))</f>
        <v xml:space="preserve"> </v>
      </c>
      <c r="J561" s="28" t="str">
        <f>IF($C561=""," ",[1]!i_pq_pctchange($C561,J$6,$N$1))</f>
        <v xml:space="preserve"> </v>
      </c>
      <c r="K561" s="28" t="str">
        <f>IF($C561=""," ",[1]!i_pq_pctchange($C561,K$6,$N$1))</f>
        <v xml:space="preserve"> </v>
      </c>
      <c r="L561" s="28" t="str">
        <f>IF(C561=""," ",[1]!s_wq_pctchange($C561,$N$1))</f>
        <v xml:space="preserve"> </v>
      </c>
      <c r="M561" s="28" t="str">
        <f>IF(C561=""," ",[1]!s_mq_pctchange($C561,$N$1))</f>
        <v xml:space="preserve"> </v>
      </c>
      <c r="N561" s="28" t="str">
        <f>IF(C561=""," ",[1]!s_yq_pctchange($C561,$N$1))</f>
        <v xml:space="preserve"> </v>
      </c>
      <c r="O561" s="11"/>
      <c r="P561" s="7"/>
    </row>
    <row r="562" spans="1:16" x14ac:dyDescent="0.35">
      <c r="A562" s="7"/>
      <c r="C562" s="31" t="str">
        <f>IF(指数列表!B559="","",指数列表!B559)</f>
        <v/>
      </c>
      <c r="D562" s="36" t="str">
        <f>IF(C562="","",[1]!s_info_name(C562))</f>
        <v/>
      </c>
      <c r="E562" s="25" t="str">
        <f>IF(C562="","",[1]!s_dq_close(C562,$N$1))</f>
        <v/>
      </c>
      <c r="F562" s="28" t="str">
        <f>IF($C562=""," ",[1]!i_pq_pctchange($C562,F$6,$N$1))</f>
        <v xml:space="preserve"> </v>
      </c>
      <c r="G562" s="28" t="str">
        <f>IF($C562=""," ",[1]!i_pq_pctchange($C562,G$6,$N$1))</f>
        <v xml:space="preserve"> </v>
      </c>
      <c r="H562" s="28" t="str">
        <f>IF($C562=""," ",[1]!i_pq_pctchange($C562,H$6,$N$1))</f>
        <v xml:space="preserve"> </v>
      </c>
      <c r="I562" s="28" t="str">
        <f>IF($C562=""," ",[1]!i_pq_pctchange($C562,I$6,$N$1))</f>
        <v xml:space="preserve"> </v>
      </c>
      <c r="J562" s="28" t="str">
        <f>IF($C562=""," ",[1]!i_pq_pctchange($C562,J$6,$N$1))</f>
        <v xml:space="preserve"> </v>
      </c>
      <c r="K562" s="28" t="str">
        <f>IF($C562=""," ",[1]!i_pq_pctchange($C562,K$6,$N$1))</f>
        <v xml:space="preserve"> </v>
      </c>
      <c r="L562" s="28" t="str">
        <f>IF(C562=""," ",[1]!s_wq_pctchange($C562,$N$1))</f>
        <v xml:space="preserve"> </v>
      </c>
      <c r="M562" s="28" t="str">
        <f>IF(C562=""," ",[1]!s_mq_pctchange($C562,$N$1))</f>
        <v xml:space="preserve"> </v>
      </c>
      <c r="N562" s="28" t="str">
        <f>IF(C562=""," ",[1]!s_yq_pctchange($C562,$N$1))</f>
        <v xml:space="preserve"> </v>
      </c>
      <c r="O562" s="11"/>
      <c r="P562" s="7"/>
    </row>
    <row r="563" spans="1:16" x14ac:dyDescent="0.35">
      <c r="A563" s="7"/>
      <c r="C563" s="30" t="str">
        <f>IF(指数列表!B560="","",指数列表!B560)</f>
        <v/>
      </c>
      <c r="D563" s="35" t="str">
        <f>IF(C563="","",[1]!s_info_name(C563))</f>
        <v/>
      </c>
      <c r="E563" s="24" t="str">
        <f>IF(C563="","",[1]!s_dq_close(C563,$N$1))</f>
        <v/>
      </c>
      <c r="F563" s="28" t="str">
        <f>IF($C563=""," ",[1]!i_pq_pctchange($C563,F$6,$N$1))</f>
        <v xml:space="preserve"> </v>
      </c>
      <c r="G563" s="28" t="str">
        <f>IF($C563=""," ",[1]!i_pq_pctchange($C563,G$6,$N$1))</f>
        <v xml:space="preserve"> </v>
      </c>
      <c r="H563" s="28" t="str">
        <f>IF($C563=""," ",[1]!i_pq_pctchange($C563,H$6,$N$1))</f>
        <v xml:space="preserve"> </v>
      </c>
      <c r="I563" s="28" t="str">
        <f>IF($C563=""," ",[1]!i_pq_pctchange($C563,I$6,$N$1))</f>
        <v xml:space="preserve"> </v>
      </c>
      <c r="J563" s="28" t="str">
        <f>IF($C563=""," ",[1]!i_pq_pctchange($C563,J$6,$N$1))</f>
        <v xml:space="preserve"> </v>
      </c>
      <c r="K563" s="28" t="str">
        <f>IF($C563=""," ",[1]!i_pq_pctchange($C563,K$6,$N$1))</f>
        <v xml:space="preserve"> </v>
      </c>
      <c r="L563" s="28" t="str">
        <f>IF(C563=""," ",[1]!s_wq_pctchange($C563,$N$1))</f>
        <v xml:space="preserve"> </v>
      </c>
      <c r="M563" s="28" t="str">
        <f>IF(C563=""," ",[1]!s_mq_pctchange($C563,$N$1))</f>
        <v xml:space="preserve"> </v>
      </c>
      <c r="N563" s="28" t="str">
        <f>IF(C563=""," ",[1]!s_yq_pctchange($C563,$N$1))</f>
        <v xml:space="preserve"> </v>
      </c>
      <c r="O563" s="11"/>
      <c r="P563" s="7"/>
    </row>
    <row r="564" spans="1:16" x14ac:dyDescent="0.35">
      <c r="A564" s="7"/>
      <c r="C564" s="31" t="str">
        <f>IF(指数列表!B561="","",指数列表!B561)</f>
        <v/>
      </c>
      <c r="D564" s="36" t="str">
        <f>IF(C564="","",[1]!s_info_name(C564))</f>
        <v/>
      </c>
      <c r="E564" s="25" t="str">
        <f>IF(C564="","",[1]!s_dq_close(C564,$N$1))</f>
        <v/>
      </c>
      <c r="F564" s="28" t="str">
        <f>IF($C564=""," ",[1]!i_pq_pctchange($C564,F$6,$N$1))</f>
        <v xml:space="preserve"> </v>
      </c>
      <c r="G564" s="28" t="str">
        <f>IF($C564=""," ",[1]!i_pq_pctchange($C564,G$6,$N$1))</f>
        <v xml:space="preserve"> </v>
      </c>
      <c r="H564" s="28" t="str">
        <f>IF($C564=""," ",[1]!i_pq_pctchange($C564,H$6,$N$1))</f>
        <v xml:space="preserve"> </v>
      </c>
      <c r="I564" s="28" t="str">
        <f>IF($C564=""," ",[1]!i_pq_pctchange($C564,I$6,$N$1))</f>
        <v xml:space="preserve"> </v>
      </c>
      <c r="J564" s="28" t="str">
        <f>IF($C564=""," ",[1]!i_pq_pctchange($C564,J$6,$N$1))</f>
        <v xml:space="preserve"> </v>
      </c>
      <c r="K564" s="28" t="str">
        <f>IF($C564=""," ",[1]!i_pq_pctchange($C564,K$6,$N$1))</f>
        <v xml:space="preserve"> </v>
      </c>
      <c r="L564" s="28" t="str">
        <f>IF(C564=""," ",[1]!s_wq_pctchange($C564,$N$1))</f>
        <v xml:space="preserve"> </v>
      </c>
      <c r="M564" s="28" t="str">
        <f>IF(C564=""," ",[1]!s_mq_pctchange($C564,$N$1))</f>
        <v xml:space="preserve"> </v>
      </c>
      <c r="N564" s="28" t="str">
        <f>IF(C564=""," ",[1]!s_yq_pctchange($C564,$N$1))</f>
        <v xml:space="preserve"> </v>
      </c>
      <c r="O564" s="11"/>
      <c r="P564" s="7"/>
    </row>
    <row r="565" spans="1:16" x14ac:dyDescent="0.35">
      <c r="A565" s="7"/>
      <c r="C565" s="30" t="str">
        <f>IF(指数列表!B562="","",指数列表!B562)</f>
        <v/>
      </c>
      <c r="D565" s="35" t="str">
        <f>IF(C565="","",[1]!s_info_name(C565))</f>
        <v/>
      </c>
      <c r="E565" s="24" t="str">
        <f>IF(C565="","",[1]!s_dq_close(C565,$N$1))</f>
        <v/>
      </c>
      <c r="F565" s="28" t="str">
        <f>IF($C565=""," ",[1]!i_pq_pctchange($C565,F$6,$N$1))</f>
        <v xml:space="preserve"> </v>
      </c>
      <c r="G565" s="28" t="str">
        <f>IF($C565=""," ",[1]!i_pq_pctchange($C565,G$6,$N$1))</f>
        <v xml:space="preserve"> </v>
      </c>
      <c r="H565" s="28" t="str">
        <f>IF($C565=""," ",[1]!i_pq_pctchange($C565,H$6,$N$1))</f>
        <v xml:space="preserve"> </v>
      </c>
      <c r="I565" s="28" t="str">
        <f>IF($C565=""," ",[1]!i_pq_pctchange($C565,I$6,$N$1))</f>
        <v xml:space="preserve"> </v>
      </c>
      <c r="J565" s="28" t="str">
        <f>IF($C565=""," ",[1]!i_pq_pctchange($C565,J$6,$N$1))</f>
        <v xml:space="preserve"> </v>
      </c>
      <c r="K565" s="28" t="str">
        <f>IF($C565=""," ",[1]!i_pq_pctchange($C565,K$6,$N$1))</f>
        <v xml:space="preserve"> </v>
      </c>
      <c r="L565" s="28" t="str">
        <f>IF(C565=""," ",[1]!s_wq_pctchange($C565,$N$1))</f>
        <v xml:space="preserve"> </v>
      </c>
      <c r="M565" s="28" t="str">
        <f>IF(C565=""," ",[1]!s_mq_pctchange($C565,$N$1))</f>
        <v xml:space="preserve"> </v>
      </c>
      <c r="N565" s="28" t="str">
        <f>IF(C565=""," ",[1]!s_yq_pctchange($C565,$N$1))</f>
        <v xml:space="preserve"> </v>
      </c>
      <c r="O565" s="11"/>
      <c r="P565" s="7"/>
    </row>
    <row r="566" spans="1:16" x14ac:dyDescent="0.35">
      <c r="A566" s="7"/>
      <c r="C566" s="31" t="str">
        <f>IF(指数列表!B563="","",指数列表!B563)</f>
        <v/>
      </c>
      <c r="D566" s="36" t="str">
        <f>IF(C566="","",[1]!s_info_name(C566))</f>
        <v/>
      </c>
      <c r="E566" s="25" t="str">
        <f>IF(C566="","",[1]!s_dq_close(C566,$N$1))</f>
        <v/>
      </c>
      <c r="F566" s="28" t="str">
        <f>IF($C566=""," ",[1]!i_pq_pctchange($C566,F$6,$N$1))</f>
        <v xml:space="preserve"> </v>
      </c>
      <c r="G566" s="28" t="str">
        <f>IF($C566=""," ",[1]!i_pq_pctchange($C566,G$6,$N$1))</f>
        <v xml:space="preserve"> </v>
      </c>
      <c r="H566" s="28" t="str">
        <f>IF($C566=""," ",[1]!i_pq_pctchange($C566,H$6,$N$1))</f>
        <v xml:space="preserve"> </v>
      </c>
      <c r="I566" s="28" t="str">
        <f>IF($C566=""," ",[1]!i_pq_pctchange($C566,I$6,$N$1))</f>
        <v xml:space="preserve"> </v>
      </c>
      <c r="J566" s="28" t="str">
        <f>IF($C566=""," ",[1]!i_pq_pctchange($C566,J$6,$N$1))</f>
        <v xml:space="preserve"> </v>
      </c>
      <c r="K566" s="28" t="str">
        <f>IF($C566=""," ",[1]!i_pq_pctchange($C566,K$6,$N$1))</f>
        <v xml:space="preserve"> </v>
      </c>
      <c r="L566" s="28" t="str">
        <f>IF(C566=""," ",[1]!s_wq_pctchange($C566,$N$1))</f>
        <v xml:space="preserve"> </v>
      </c>
      <c r="M566" s="28" t="str">
        <f>IF(C566=""," ",[1]!s_mq_pctchange($C566,$N$1))</f>
        <v xml:space="preserve"> </v>
      </c>
      <c r="N566" s="28" t="str">
        <f>IF(C566=""," ",[1]!s_yq_pctchange($C566,$N$1))</f>
        <v xml:space="preserve"> </v>
      </c>
      <c r="O566" s="11"/>
      <c r="P566" s="7"/>
    </row>
    <row r="567" spans="1:16" x14ac:dyDescent="0.35">
      <c r="A567" s="7"/>
      <c r="C567" s="30" t="str">
        <f>IF(指数列表!B564="","",指数列表!B564)</f>
        <v/>
      </c>
      <c r="D567" s="35" t="str">
        <f>IF(C567="","",[1]!s_info_name(C567))</f>
        <v/>
      </c>
      <c r="E567" s="24" t="str">
        <f>IF(C567="","",[1]!s_dq_close(C567,$N$1))</f>
        <v/>
      </c>
      <c r="F567" s="28" t="str">
        <f>IF($C567=""," ",[1]!i_pq_pctchange($C567,F$6,$N$1))</f>
        <v xml:space="preserve"> </v>
      </c>
      <c r="G567" s="28" t="str">
        <f>IF($C567=""," ",[1]!i_pq_pctchange($C567,G$6,$N$1))</f>
        <v xml:space="preserve"> </v>
      </c>
      <c r="H567" s="28" t="str">
        <f>IF($C567=""," ",[1]!i_pq_pctchange($C567,H$6,$N$1))</f>
        <v xml:space="preserve"> </v>
      </c>
      <c r="I567" s="28" t="str">
        <f>IF($C567=""," ",[1]!i_pq_pctchange($C567,I$6,$N$1))</f>
        <v xml:space="preserve"> </v>
      </c>
      <c r="J567" s="28" t="str">
        <f>IF($C567=""," ",[1]!i_pq_pctchange($C567,J$6,$N$1))</f>
        <v xml:space="preserve"> </v>
      </c>
      <c r="K567" s="28" t="str">
        <f>IF($C567=""," ",[1]!i_pq_pctchange($C567,K$6,$N$1))</f>
        <v xml:space="preserve"> </v>
      </c>
      <c r="L567" s="28" t="str">
        <f>IF(C567=""," ",[1]!s_wq_pctchange($C567,$N$1))</f>
        <v xml:space="preserve"> </v>
      </c>
      <c r="M567" s="28" t="str">
        <f>IF(C567=""," ",[1]!s_mq_pctchange($C567,$N$1))</f>
        <v xml:space="preserve"> </v>
      </c>
      <c r="N567" s="28" t="str">
        <f>IF(C567=""," ",[1]!s_yq_pctchange($C567,$N$1))</f>
        <v xml:space="preserve"> </v>
      </c>
      <c r="O567" s="11"/>
      <c r="P567" s="7"/>
    </row>
    <row r="568" spans="1:16" x14ac:dyDescent="0.35">
      <c r="A568" s="7"/>
      <c r="C568" s="31" t="str">
        <f>IF(指数列表!B565="","",指数列表!B565)</f>
        <v/>
      </c>
      <c r="D568" s="36" t="str">
        <f>IF(C568="","",[1]!s_info_name(C568))</f>
        <v/>
      </c>
      <c r="E568" s="25" t="str">
        <f>IF(C568="","",[1]!s_dq_close(C568,$N$1))</f>
        <v/>
      </c>
      <c r="F568" s="28" t="str">
        <f>IF($C568=""," ",[1]!i_pq_pctchange($C568,F$6,$N$1))</f>
        <v xml:space="preserve"> </v>
      </c>
      <c r="G568" s="28" t="str">
        <f>IF($C568=""," ",[1]!i_pq_pctchange($C568,G$6,$N$1))</f>
        <v xml:space="preserve"> </v>
      </c>
      <c r="H568" s="28" t="str">
        <f>IF($C568=""," ",[1]!i_pq_pctchange($C568,H$6,$N$1))</f>
        <v xml:space="preserve"> </v>
      </c>
      <c r="I568" s="28" t="str">
        <f>IF($C568=""," ",[1]!i_pq_pctchange($C568,I$6,$N$1))</f>
        <v xml:space="preserve"> </v>
      </c>
      <c r="J568" s="28" t="str">
        <f>IF($C568=""," ",[1]!i_pq_pctchange($C568,J$6,$N$1))</f>
        <v xml:space="preserve"> </v>
      </c>
      <c r="K568" s="28" t="str">
        <f>IF($C568=""," ",[1]!i_pq_pctchange($C568,K$6,$N$1))</f>
        <v xml:space="preserve"> </v>
      </c>
      <c r="L568" s="28" t="str">
        <f>IF(C568=""," ",[1]!s_wq_pctchange($C568,$N$1))</f>
        <v xml:space="preserve"> </v>
      </c>
      <c r="M568" s="28" t="str">
        <f>IF(C568=""," ",[1]!s_mq_pctchange($C568,$N$1))</f>
        <v xml:space="preserve"> </v>
      </c>
      <c r="N568" s="28" t="str">
        <f>IF(C568=""," ",[1]!s_yq_pctchange($C568,$N$1))</f>
        <v xml:space="preserve"> </v>
      </c>
      <c r="O568" s="11"/>
      <c r="P568" s="7"/>
    </row>
    <row r="569" spans="1:16" x14ac:dyDescent="0.35">
      <c r="A569" s="7"/>
      <c r="C569" s="30" t="str">
        <f>IF(指数列表!B566="","",指数列表!B566)</f>
        <v/>
      </c>
      <c r="D569" s="35" t="str">
        <f>IF(C569="","",[1]!s_info_name(C569))</f>
        <v/>
      </c>
      <c r="E569" s="24" t="str">
        <f>IF(C569="","",[1]!s_dq_close(C569,$N$1))</f>
        <v/>
      </c>
      <c r="F569" s="28" t="str">
        <f>IF($C569=""," ",[1]!i_pq_pctchange($C569,F$6,$N$1))</f>
        <v xml:space="preserve"> </v>
      </c>
      <c r="G569" s="28" t="str">
        <f>IF($C569=""," ",[1]!i_pq_pctchange($C569,G$6,$N$1))</f>
        <v xml:space="preserve"> </v>
      </c>
      <c r="H569" s="28" t="str">
        <f>IF($C569=""," ",[1]!i_pq_pctchange($C569,H$6,$N$1))</f>
        <v xml:space="preserve"> </v>
      </c>
      <c r="I569" s="28" t="str">
        <f>IF($C569=""," ",[1]!i_pq_pctchange($C569,I$6,$N$1))</f>
        <v xml:space="preserve"> </v>
      </c>
      <c r="J569" s="28" t="str">
        <f>IF($C569=""," ",[1]!i_pq_pctchange($C569,J$6,$N$1))</f>
        <v xml:space="preserve"> </v>
      </c>
      <c r="K569" s="28" t="str">
        <f>IF($C569=""," ",[1]!i_pq_pctchange($C569,K$6,$N$1))</f>
        <v xml:space="preserve"> </v>
      </c>
      <c r="L569" s="28" t="str">
        <f>IF(C569=""," ",[1]!s_wq_pctchange($C569,$N$1))</f>
        <v xml:space="preserve"> </v>
      </c>
      <c r="M569" s="28" t="str">
        <f>IF(C569=""," ",[1]!s_mq_pctchange($C569,$N$1))</f>
        <v xml:space="preserve"> </v>
      </c>
      <c r="N569" s="28" t="str">
        <f>IF(C569=""," ",[1]!s_yq_pctchange($C569,$N$1))</f>
        <v xml:space="preserve"> </v>
      </c>
      <c r="O569" s="11"/>
      <c r="P569" s="7"/>
    </row>
    <row r="570" spans="1:16" x14ac:dyDescent="0.35">
      <c r="A570" s="7"/>
      <c r="C570" s="31" t="str">
        <f>IF(指数列表!B567="","",指数列表!B567)</f>
        <v/>
      </c>
      <c r="D570" s="36" t="str">
        <f>IF(C570="","",[1]!s_info_name(C570))</f>
        <v/>
      </c>
      <c r="E570" s="25" t="str">
        <f>IF(C570="","",[1]!s_dq_close(C570,$N$1))</f>
        <v/>
      </c>
      <c r="F570" s="28" t="str">
        <f>IF($C570=""," ",[1]!i_pq_pctchange($C570,F$6,$N$1))</f>
        <v xml:space="preserve"> </v>
      </c>
      <c r="G570" s="28" t="str">
        <f>IF($C570=""," ",[1]!i_pq_pctchange($C570,G$6,$N$1))</f>
        <v xml:space="preserve"> </v>
      </c>
      <c r="H570" s="28" t="str">
        <f>IF($C570=""," ",[1]!i_pq_pctchange($C570,H$6,$N$1))</f>
        <v xml:space="preserve"> </v>
      </c>
      <c r="I570" s="28" t="str">
        <f>IF($C570=""," ",[1]!i_pq_pctchange($C570,I$6,$N$1))</f>
        <v xml:space="preserve"> </v>
      </c>
      <c r="J570" s="28" t="str">
        <f>IF($C570=""," ",[1]!i_pq_pctchange($C570,J$6,$N$1))</f>
        <v xml:space="preserve"> </v>
      </c>
      <c r="K570" s="28" t="str">
        <f>IF($C570=""," ",[1]!i_pq_pctchange($C570,K$6,$N$1))</f>
        <v xml:space="preserve"> </v>
      </c>
      <c r="L570" s="28" t="str">
        <f>IF(C570=""," ",[1]!s_wq_pctchange($C570,$N$1))</f>
        <v xml:space="preserve"> </v>
      </c>
      <c r="M570" s="28" t="str">
        <f>IF(C570=""," ",[1]!s_mq_pctchange($C570,$N$1))</f>
        <v xml:space="preserve"> </v>
      </c>
      <c r="N570" s="28" t="str">
        <f>IF(C570=""," ",[1]!s_yq_pctchange($C570,$N$1))</f>
        <v xml:space="preserve"> </v>
      </c>
      <c r="O570" s="11"/>
      <c r="P570" s="7"/>
    </row>
    <row r="571" spans="1:16" x14ac:dyDescent="0.35">
      <c r="A571" s="7"/>
      <c r="C571" s="30" t="str">
        <f>IF(指数列表!B568="","",指数列表!B568)</f>
        <v/>
      </c>
      <c r="D571" s="35" t="str">
        <f>IF(C571="","",[1]!s_info_name(C571))</f>
        <v/>
      </c>
      <c r="E571" s="24" t="str">
        <f>IF(C571="","",[1]!s_dq_close(C571,$N$1))</f>
        <v/>
      </c>
      <c r="F571" s="28" t="str">
        <f>IF($C571=""," ",[1]!i_pq_pctchange($C571,F$6,$N$1))</f>
        <v xml:space="preserve"> </v>
      </c>
      <c r="G571" s="28" t="str">
        <f>IF($C571=""," ",[1]!i_pq_pctchange($C571,G$6,$N$1))</f>
        <v xml:space="preserve"> </v>
      </c>
      <c r="H571" s="28" t="str">
        <f>IF($C571=""," ",[1]!i_pq_pctchange($C571,H$6,$N$1))</f>
        <v xml:space="preserve"> </v>
      </c>
      <c r="I571" s="28" t="str">
        <f>IF($C571=""," ",[1]!i_pq_pctchange($C571,I$6,$N$1))</f>
        <v xml:space="preserve"> </v>
      </c>
      <c r="J571" s="28" t="str">
        <f>IF($C571=""," ",[1]!i_pq_pctchange($C571,J$6,$N$1))</f>
        <v xml:space="preserve"> </v>
      </c>
      <c r="K571" s="28" t="str">
        <f>IF($C571=""," ",[1]!i_pq_pctchange($C571,K$6,$N$1))</f>
        <v xml:space="preserve"> </v>
      </c>
      <c r="L571" s="28" t="str">
        <f>IF(C571=""," ",[1]!s_wq_pctchange($C571,$N$1))</f>
        <v xml:space="preserve"> </v>
      </c>
      <c r="M571" s="28" t="str">
        <f>IF(C571=""," ",[1]!s_mq_pctchange($C571,$N$1))</f>
        <v xml:space="preserve"> </v>
      </c>
      <c r="N571" s="28" t="str">
        <f>IF(C571=""," ",[1]!s_yq_pctchange($C571,$N$1))</f>
        <v xml:space="preserve"> </v>
      </c>
      <c r="O571" s="11"/>
      <c r="P571" s="7"/>
    </row>
    <row r="572" spans="1:16" x14ac:dyDescent="0.35">
      <c r="A572" s="7"/>
      <c r="C572" s="31" t="str">
        <f>IF(指数列表!B569="","",指数列表!B569)</f>
        <v/>
      </c>
      <c r="D572" s="36" t="str">
        <f>IF(C572="","",[1]!s_info_name(C572))</f>
        <v/>
      </c>
      <c r="E572" s="25" t="str">
        <f>IF(C572="","",[1]!s_dq_close(C572,$N$1))</f>
        <v/>
      </c>
      <c r="F572" s="28" t="str">
        <f>IF($C572=""," ",[1]!i_pq_pctchange($C572,F$6,$N$1))</f>
        <v xml:space="preserve"> </v>
      </c>
      <c r="G572" s="28" t="str">
        <f>IF($C572=""," ",[1]!i_pq_pctchange($C572,G$6,$N$1))</f>
        <v xml:space="preserve"> </v>
      </c>
      <c r="H572" s="28" t="str">
        <f>IF($C572=""," ",[1]!i_pq_pctchange($C572,H$6,$N$1))</f>
        <v xml:space="preserve"> </v>
      </c>
      <c r="I572" s="28" t="str">
        <f>IF($C572=""," ",[1]!i_pq_pctchange($C572,I$6,$N$1))</f>
        <v xml:space="preserve"> </v>
      </c>
      <c r="J572" s="28" t="str">
        <f>IF($C572=""," ",[1]!i_pq_pctchange($C572,J$6,$N$1))</f>
        <v xml:space="preserve"> </v>
      </c>
      <c r="K572" s="28" t="str">
        <f>IF($C572=""," ",[1]!i_pq_pctchange($C572,K$6,$N$1))</f>
        <v xml:space="preserve"> </v>
      </c>
      <c r="L572" s="28" t="str">
        <f>IF(C572=""," ",[1]!s_wq_pctchange($C572,$N$1))</f>
        <v xml:space="preserve"> </v>
      </c>
      <c r="M572" s="28" t="str">
        <f>IF(C572=""," ",[1]!s_mq_pctchange($C572,$N$1))</f>
        <v xml:space="preserve"> </v>
      </c>
      <c r="N572" s="28" t="str">
        <f>IF(C572=""," ",[1]!s_yq_pctchange($C572,$N$1))</f>
        <v xml:space="preserve"> </v>
      </c>
      <c r="O572" s="11"/>
      <c r="P572" s="7"/>
    </row>
    <row r="573" spans="1:16" x14ac:dyDescent="0.35">
      <c r="A573" s="7"/>
      <c r="C573" s="30" t="str">
        <f>IF(指数列表!B570="","",指数列表!B570)</f>
        <v/>
      </c>
      <c r="D573" s="35" t="str">
        <f>IF(C573="","",[1]!s_info_name(C573))</f>
        <v/>
      </c>
      <c r="E573" s="24" t="str">
        <f>IF(C573="","",[1]!s_dq_close(C573,$N$1))</f>
        <v/>
      </c>
      <c r="F573" s="28" t="str">
        <f>IF($C573=""," ",[1]!i_pq_pctchange($C573,F$6,$N$1))</f>
        <v xml:space="preserve"> </v>
      </c>
      <c r="G573" s="28" t="str">
        <f>IF($C573=""," ",[1]!i_pq_pctchange($C573,G$6,$N$1))</f>
        <v xml:space="preserve"> </v>
      </c>
      <c r="H573" s="28" t="str">
        <f>IF($C573=""," ",[1]!i_pq_pctchange($C573,H$6,$N$1))</f>
        <v xml:space="preserve"> </v>
      </c>
      <c r="I573" s="28" t="str">
        <f>IF($C573=""," ",[1]!i_pq_pctchange($C573,I$6,$N$1))</f>
        <v xml:space="preserve"> </v>
      </c>
      <c r="J573" s="28" t="str">
        <f>IF($C573=""," ",[1]!i_pq_pctchange($C573,J$6,$N$1))</f>
        <v xml:space="preserve"> </v>
      </c>
      <c r="K573" s="28" t="str">
        <f>IF($C573=""," ",[1]!i_pq_pctchange($C573,K$6,$N$1))</f>
        <v xml:space="preserve"> </v>
      </c>
      <c r="L573" s="28" t="str">
        <f>IF(C573=""," ",[1]!s_wq_pctchange($C573,$N$1))</f>
        <v xml:space="preserve"> </v>
      </c>
      <c r="M573" s="28" t="str">
        <f>IF(C573=""," ",[1]!s_mq_pctchange($C573,$N$1))</f>
        <v xml:space="preserve"> </v>
      </c>
      <c r="N573" s="28" t="str">
        <f>IF(C573=""," ",[1]!s_yq_pctchange($C573,$N$1))</f>
        <v xml:space="preserve"> </v>
      </c>
      <c r="O573" s="11"/>
      <c r="P573" s="7"/>
    </row>
    <row r="574" spans="1:16" x14ac:dyDescent="0.35">
      <c r="A574" s="7"/>
      <c r="C574" s="31" t="str">
        <f>IF(指数列表!B571="","",指数列表!B571)</f>
        <v/>
      </c>
      <c r="D574" s="36" t="str">
        <f>IF(C574="","",[1]!s_info_name(C574))</f>
        <v/>
      </c>
      <c r="E574" s="25" t="str">
        <f>IF(C574="","",[1]!s_dq_close(C574,$N$1))</f>
        <v/>
      </c>
      <c r="F574" s="28" t="str">
        <f>IF($C574=""," ",[1]!i_pq_pctchange($C574,F$6,$N$1))</f>
        <v xml:space="preserve"> </v>
      </c>
      <c r="G574" s="28" t="str">
        <f>IF($C574=""," ",[1]!i_pq_pctchange($C574,G$6,$N$1))</f>
        <v xml:space="preserve"> </v>
      </c>
      <c r="H574" s="28" t="str">
        <f>IF($C574=""," ",[1]!i_pq_pctchange($C574,H$6,$N$1))</f>
        <v xml:space="preserve"> </v>
      </c>
      <c r="I574" s="28" t="str">
        <f>IF($C574=""," ",[1]!i_pq_pctchange($C574,I$6,$N$1))</f>
        <v xml:space="preserve"> </v>
      </c>
      <c r="J574" s="28" t="str">
        <f>IF($C574=""," ",[1]!i_pq_pctchange($C574,J$6,$N$1))</f>
        <v xml:space="preserve"> </v>
      </c>
      <c r="K574" s="28" t="str">
        <f>IF($C574=""," ",[1]!i_pq_pctchange($C574,K$6,$N$1))</f>
        <v xml:space="preserve"> </v>
      </c>
      <c r="L574" s="28" t="str">
        <f>IF(C574=""," ",[1]!s_wq_pctchange($C574,$N$1))</f>
        <v xml:space="preserve"> </v>
      </c>
      <c r="M574" s="28" t="str">
        <f>IF(C574=""," ",[1]!s_mq_pctchange($C574,$N$1))</f>
        <v xml:space="preserve"> </v>
      </c>
      <c r="N574" s="28" t="str">
        <f>IF(C574=""," ",[1]!s_yq_pctchange($C574,$N$1))</f>
        <v xml:space="preserve"> </v>
      </c>
      <c r="O574" s="11"/>
      <c r="P574" s="7"/>
    </row>
    <row r="575" spans="1:16" x14ac:dyDescent="0.35">
      <c r="A575" s="7"/>
      <c r="C575" s="30" t="str">
        <f>IF(指数列表!B572="","",指数列表!B572)</f>
        <v/>
      </c>
      <c r="D575" s="35" t="str">
        <f>IF(C575="","",[1]!s_info_name(C575))</f>
        <v/>
      </c>
      <c r="E575" s="24" t="str">
        <f>IF(C575="","",[1]!s_dq_close(C575,$N$1))</f>
        <v/>
      </c>
      <c r="F575" s="28" t="str">
        <f>IF($C575=""," ",[1]!i_pq_pctchange($C575,F$6,$N$1))</f>
        <v xml:space="preserve"> </v>
      </c>
      <c r="G575" s="28" t="str">
        <f>IF($C575=""," ",[1]!i_pq_pctchange($C575,G$6,$N$1))</f>
        <v xml:space="preserve"> </v>
      </c>
      <c r="H575" s="28" t="str">
        <f>IF($C575=""," ",[1]!i_pq_pctchange($C575,H$6,$N$1))</f>
        <v xml:space="preserve"> </v>
      </c>
      <c r="I575" s="28" t="str">
        <f>IF($C575=""," ",[1]!i_pq_pctchange($C575,I$6,$N$1))</f>
        <v xml:space="preserve"> </v>
      </c>
      <c r="J575" s="28" t="str">
        <f>IF($C575=""," ",[1]!i_pq_pctchange($C575,J$6,$N$1))</f>
        <v xml:space="preserve"> </v>
      </c>
      <c r="K575" s="28" t="str">
        <f>IF($C575=""," ",[1]!i_pq_pctchange($C575,K$6,$N$1))</f>
        <v xml:space="preserve"> </v>
      </c>
      <c r="L575" s="28" t="str">
        <f>IF(C575=""," ",[1]!s_wq_pctchange($C575,$N$1))</f>
        <v xml:space="preserve"> </v>
      </c>
      <c r="M575" s="28" t="str">
        <f>IF(C575=""," ",[1]!s_mq_pctchange($C575,$N$1))</f>
        <v xml:space="preserve"> </v>
      </c>
      <c r="N575" s="28" t="str">
        <f>IF(C575=""," ",[1]!s_yq_pctchange($C575,$N$1))</f>
        <v xml:space="preserve"> </v>
      </c>
      <c r="O575" s="11"/>
      <c r="P575" s="7"/>
    </row>
    <row r="576" spans="1:16" x14ac:dyDescent="0.35">
      <c r="A576" s="7"/>
      <c r="C576" s="31" t="str">
        <f>IF(指数列表!B573="","",指数列表!B573)</f>
        <v/>
      </c>
      <c r="D576" s="36" t="str">
        <f>IF(C576="","",[1]!s_info_name(C576))</f>
        <v/>
      </c>
      <c r="E576" s="25" t="str">
        <f>IF(C576="","",[1]!s_dq_close(C576,$N$1))</f>
        <v/>
      </c>
      <c r="F576" s="28" t="str">
        <f>IF($C576=""," ",[1]!i_pq_pctchange($C576,F$6,$N$1))</f>
        <v xml:space="preserve"> </v>
      </c>
      <c r="G576" s="28" t="str">
        <f>IF($C576=""," ",[1]!i_pq_pctchange($C576,G$6,$N$1))</f>
        <v xml:space="preserve"> </v>
      </c>
      <c r="H576" s="28" t="str">
        <f>IF($C576=""," ",[1]!i_pq_pctchange($C576,H$6,$N$1))</f>
        <v xml:space="preserve"> </v>
      </c>
      <c r="I576" s="28" t="str">
        <f>IF($C576=""," ",[1]!i_pq_pctchange($C576,I$6,$N$1))</f>
        <v xml:space="preserve"> </v>
      </c>
      <c r="J576" s="28" t="str">
        <f>IF($C576=""," ",[1]!i_pq_pctchange($C576,J$6,$N$1))</f>
        <v xml:space="preserve"> </v>
      </c>
      <c r="K576" s="28" t="str">
        <f>IF($C576=""," ",[1]!i_pq_pctchange($C576,K$6,$N$1))</f>
        <v xml:space="preserve"> </v>
      </c>
      <c r="L576" s="28" t="str">
        <f>IF(C576=""," ",[1]!s_wq_pctchange($C576,$N$1))</f>
        <v xml:space="preserve"> </v>
      </c>
      <c r="M576" s="28" t="str">
        <f>IF(C576=""," ",[1]!s_mq_pctchange($C576,$N$1))</f>
        <v xml:space="preserve"> </v>
      </c>
      <c r="N576" s="28" t="str">
        <f>IF(C576=""," ",[1]!s_yq_pctchange($C576,$N$1))</f>
        <v xml:space="preserve"> </v>
      </c>
      <c r="O576" s="11"/>
      <c r="P576" s="7"/>
    </row>
    <row r="577" spans="1:16" x14ac:dyDescent="0.35">
      <c r="A577" s="7"/>
      <c r="C577" s="30" t="str">
        <f>IF(指数列表!B574="","",指数列表!B574)</f>
        <v/>
      </c>
      <c r="D577" s="35" t="str">
        <f>IF(C577="","",[1]!s_info_name(C577))</f>
        <v/>
      </c>
      <c r="E577" s="24" t="str">
        <f>IF(C577="","",[1]!s_dq_close(C577,$N$1))</f>
        <v/>
      </c>
      <c r="F577" s="28" t="str">
        <f>IF($C577=""," ",[1]!i_pq_pctchange($C577,F$6,$N$1))</f>
        <v xml:space="preserve"> </v>
      </c>
      <c r="G577" s="28" t="str">
        <f>IF($C577=""," ",[1]!i_pq_pctchange($C577,G$6,$N$1))</f>
        <v xml:space="preserve"> </v>
      </c>
      <c r="H577" s="28" t="str">
        <f>IF($C577=""," ",[1]!i_pq_pctchange($C577,H$6,$N$1))</f>
        <v xml:space="preserve"> </v>
      </c>
      <c r="I577" s="28" t="str">
        <f>IF($C577=""," ",[1]!i_pq_pctchange($C577,I$6,$N$1))</f>
        <v xml:space="preserve"> </v>
      </c>
      <c r="J577" s="28" t="str">
        <f>IF($C577=""," ",[1]!i_pq_pctchange($C577,J$6,$N$1))</f>
        <v xml:space="preserve"> </v>
      </c>
      <c r="K577" s="28" t="str">
        <f>IF($C577=""," ",[1]!i_pq_pctchange($C577,K$6,$N$1))</f>
        <v xml:space="preserve"> </v>
      </c>
      <c r="L577" s="28" t="str">
        <f>IF(C577=""," ",[1]!s_wq_pctchange($C577,$N$1))</f>
        <v xml:space="preserve"> </v>
      </c>
      <c r="M577" s="28" t="str">
        <f>IF(C577=""," ",[1]!s_mq_pctchange($C577,$N$1))</f>
        <v xml:space="preserve"> </v>
      </c>
      <c r="N577" s="28" t="str">
        <f>IF(C577=""," ",[1]!s_yq_pctchange($C577,$N$1))</f>
        <v xml:space="preserve"> </v>
      </c>
      <c r="O577" s="11"/>
      <c r="P577" s="7"/>
    </row>
    <row r="578" spans="1:16" x14ac:dyDescent="0.35">
      <c r="A578" s="7"/>
      <c r="C578" s="31" t="str">
        <f>IF(指数列表!B575="","",指数列表!B575)</f>
        <v/>
      </c>
      <c r="D578" s="36" t="str">
        <f>IF(C578="","",[1]!s_info_name(C578))</f>
        <v/>
      </c>
      <c r="E578" s="25" t="str">
        <f>IF(C578="","",[1]!s_dq_close(C578,$N$1))</f>
        <v/>
      </c>
      <c r="F578" s="28" t="str">
        <f>IF($C578=""," ",[1]!i_pq_pctchange($C578,F$6,$N$1))</f>
        <v xml:space="preserve"> </v>
      </c>
      <c r="G578" s="28" t="str">
        <f>IF($C578=""," ",[1]!i_pq_pctchange($C578,G$6,$N$1))</f>
        <v xml:space="preserve"> </v>
      </c>
      <c r="H578" s="28" t="str">
        <f>IF($C578=""," ",[1]!i_pq_pctchange($C578,H$6,$N$1))</f>
        <v xml:space="preserve"> </v>
      </c>
      <c r="I578" s="28" t="str">
        <f>IF($C578=""," ",[1]!i_pq_pctchange($C578,I$6,$N$1))</f>
        <v xml:space="preserve"> </v>
      </c>
      <c r="J578" s="28" t="str">
        <f>IF($C578=""," ",[1]!i_pq_pctchange($C578,J$6,$N$1))</f>
        <v xml:space="preserve"> </v>
      </c>
      <c r="K578" s="28" t="str">
        <f>IF($C578=""," ",[1]!i_pq_pctchange($C578,K$6,$N$1))</f>
        <v xml:space="preserve"> </v>
      </c>
      <c r="L578" s="28" t="str">
        <f>IF(C578=""," ",[1]!s_wq_pctchange($C578,$N$1))</f>
        <v xml:space="preserve"> </v>
      </c>
      <c r="M578" s="28" t="str">
        <f>IF(C578=""," ",[1]!s_mq_pctchange($C578,$N$1))</f>
        <v xml:space="preserve"> </v>
      </c>
      <c r="N578" s="28" t="str">
        <f>IF(C578=""," ",[1]!s_yq_pctchange($C578,$N$1))</f>
        <v xml:space="preserve"> </v>
      </c>
      <c r="O578" s="11"/>
      <c r="P578" s="7"/>
    </row>
    <row r="579" spans="1:16" x14ac:dyDescent="0.35">
      <c r="A579" s="7"/>
      <c r="C579" s="30" t="str">
        <f>IF(指数列表!B576="","",指数列表!B576)</f>
        <v/>
      </c>
      <c r="D579" s="35" t="str">
        <f>IF(C579="","",[1]!s_info_name(C579))</f>
        <v/>
      </c>
      <c r="E579" s="24" t="str">
        <f>IF(C579="","",[1]!s_dq_close(C579,$N$1))</f>
        <v/>
      </c>
      <c r="F579" s="28" t="str">
        <f>IF($C579=""," ",[1]!i_pq_pctchange($C579,F$6,$N$1))</f>
        <v xml:space="preserve"> </v>
      </c>
      <c r="G579" s="28" t="str">
        <f>IF($C579=""," ",[1]!i_pq_pctchange($C579,G$6,$N$1))</f>
        <v xml:space="preserve"> </v>
      </c>
      <c r="H579" s="28" t="str">
        <f>IF($C579=""," ",[1]!i_pq_pctchange($C579,H$6,$N$1))</f>
        <v xml:space="preserve"> </v>
      </c>
      <c r="I579" s="28" t="str">
        <f>IF($C579=""," ",[1]!i_pq_pctchange($C579,I$6,$N$1))</f>
        <v xml:space="preserve"> </v>
      </c>
      <c r="J579" s="28" t="str">
        <f>IF($C579=""," ",[1]!i_pq_pctchange($C579,J$6,$N$1))</f>
        <v xml:space="preserve"> </v>
      </c>
      <c r="K579" s="28" t="str">
        <f>IF($C579=""," ",[1]!i_pq_pctchange($C579,K$6,$N$1))</f>
        <v xml:space="preserve"> </v>
      </c>
      <c r="L579" s="28" t="str">
        <f>IF(C579=""," ",[1]!s_wq_pctchange($C579,$N$1))</f>
        <v xml:space="preserve"> </v>
      </c>
      <c r="M579" s="28" t="str">
        <f>IF(C579=""," ",[1]!s_mq_pctchange($C579,$N$1))</f>
        <v xml:space="preserve"> </v>
      </c>
      <c r="N579" s="28" t="str">
        <f>IF(C579=""," ",[1]!s_yq_pctchange($C579,$N$1))</f>
        <v xml:space="preserve"> </v>
      </c>
      <c r="O579" s="11"/>
      <c r="P579" s="7"/>
    </row>
    <row r="580" spans="1:16" x14ac:dyDescent="0.35">
      <c r="A580" s="7"/>
      <c r="C580" s="31" t="str">
        <f>IF(指数列表!B577="","",指数列表!B577)</f>
        <v/>
      </c>
      <c r="D580" s="36" t="str">
        <f>IF(C580="","",[1]!s_info_name(C580))</f>
        <v/>
      </c>
      <c r="E580" s="25" t="str">
        <f>IF(C580="","",[1]!s_dq_close(C580,$N$1))</f>
        <v/>
      </c>
      <c r="F580" s="28" t="str">
        <f>IF($C580=""," ",[1]!i_pq_pctchange($C580,F$6,$N$1))</f>
        <v xml:space="preserve"> </v>
      </c>
      <c r="G580" s="28" t="str">
        <f>IF($C580=""," ",[1]!i_pq_pctchange($C580,G$6,$N$1))</f>
        <v xml:space="preserve"> </v>
      </c>
      <c r="H580" s="28" t="str">
        <f>IF($C580=""," ",[1]!i_pq_pctchange($C580,H$6,$N$1))</f>
        <v xml:space="preserve"> </v>
      </c>
      <c r="I580" s="28" t="str">
        <f>IF($C580=""," ",[1]!i_pq_pctchange($C580,I$6,$N$1))</f>
        <v xml:space="preserve"> </v>
      </c>
      <c r="J580" s="28" t="str">
        <f>IF($C580=""," ",[1]!i_pq_pctchange($C580,J$6,$N$1))</f>
        <v xml:space="preserve"> </v>
      </c>
      <c r="K580" s="28" t="str">
        <f>IF($C580=""," ",[1]!i_pq_pctchange($C580,K$6,$N$1))</f>
        <v xml:space="preserve"> </v>
      </c>
      <c r="L580" s="28" t="str">
        <f>IF(C580=""," ",[1]!s_wq_pctchange($C580,$N$1))</f>
        <v xml:space="preserve"> </v>
      </c>
      <c r="M580" s="28" t="str">
        <f>IF(C580=""," ",[1]!s_mq_pctchange($C580,$N$1))</f>
        <v xml:space="preserve"> </v>
      </c>
      <c r="N580" s="28" t="str">
        <f>IF(C580=""," ",[1]!s_yq_pctchange($C580,$N$1))</f>
        <v xml:space="preserve"> </v>
      </c>
      <c r="O580" s="11"/>
      <c r="P580" s="7"/>
    </row>
    <row r="581" spans="1:16" x14ac:dyDescent="0.35">
      <c r="A581" s="7"/>
      <c r="C581" s="30" t="str">
        <f>IF(指数列表!B578="","",指数列表!B578)</f>
        <v/>
      </c>
      <c r="D581" s="35" t="str">
        <f>IF(C581="","",[1]!s_info_name(C581))</f>
        <v/>
      </c>
      <c r="E581" s="24" t="str">
        <f>IF(C581="","",[1]!s_dq_close(C581,$N$1))</f>
        <v/>
      </c>
      <c r="F581" s="28" t="str">
        <f>IF($C581=""," ",[1]!i_pq_pctchange($C581,F$6,$N$1))</f>
        <v xml:space="preserve"> </v>
      </c>
      <c r="G581" s="28" t="str">
        <f>IF($C581=""," ",[1]!i_pq_pctchange($C581,G$6,$N$1))</f>
        <v xml:space="preserve"> </v>
      </c>
      <c r="H581" s="28" t="str">
        <f>IF($C581=""," ",[1]!i_pq_pctchange($C581,H$6,$N$1))</f>
        <v xml:space="preserve"> </v>
      </c>
      <c r="I581" s="28" t="str">
        <f>IF($C581=""," ",[1]!i_pq_pctchange($C581,I$6,$N$1))</f>
        <v xml:space="preserve"> </v>
      </c>
      <c r="J581" s="28" t="str">
        <f>IF($C581=""," ",[1]!i_pq_pctchange($C581,J$6,$N$1))</f>
        <v xml:space="preserve"> </v>
      </c>
      <c r="K581" s="28" t="str">
        <f>IF($C581=""," ",[1]!i_pq_pctchange($C581,K$6,$N$1))</f>
        <v xml:space="preserve"> </v>
      </c>
      <c r="L581" s="28" t="str">
        <f>IF(C581=""," ",[1]!s_wq_pctchange($C581,$N$1))</f>
        <v xml:space="preserve"> </v>
      </c>
      <c r="M581" s="28" t="str">
        <f>IF(C581=""," ",[1]!s_mq_pctchange($C581,$N$1))</f>
        <v xml:space="preserve"> </v>
      </c>
      <c r="N581" s="28" t="str">
        <f>IF(C581=""," ",[1]!s_yq_pctchange($C581,$N$1))</f>
        <v xml:space="preserve"> </v>
      </c>
      <c r="O581" s="11"/>
      <c r="P581" s="7"/>
    </row>
    <row r="582" spans="1:16" x14ac:dyDescent="0.35">
      <c r="A582" s="7"/>
      <c r="C582" s="31" t="str">
        <f>IF(指数列表!B579="","",指数列表!B579)</f>
        <v/>
      </c>
      <c r="D582" s="36" t="str">
        <f>IF(C582="","",[1]!s_info_name(C582))</f>
        <v/>
      </c>
      <c r="E582" s="25" t="str">
        <f>IF(C582="","",[1]!s_dq_close(C582,$N$1))</f>
        <v/>
      </c>
      <c r="F582" s="28" t="str">
        <f>IF($C582=""," ",[1]!i_pq_pctchange($C582,F$6,$N$1))</f>
        <v xml:space="preserve"> </v>
      </c>
      <c r="G582" s="28" t="str">
        <f>IF($C582=""," ",[1]!i_pq_pctchange($C582,G$6,$N$1))</f>
        <v xml:space="preserve"> </v>
      </c>
      <c r="H582" s="28" t="str">
        <f>IF($C582=""," ",[1]!i_pq_pctchange($C582,H$6,$N$1))</f>
        <v xml:space="preserve"> </v>
      </c>
      <c r="I582" s="28" t="str">
        <f>IF($C582=""," ",[1]!i_pq_pctchange($C582,I$6,$N$1))</f>
        <v xml:space="preserve"> </v>
      </c>
      <c r="J582" s="28" t="str">
        <f>IF($C582=""," ",[1]!i_pq_pctchange($C582,J$6,$N$1))</f>
        <v xml:space="preserve"> </v>
      </c>
      <c r="K582" s="28" t="str">
        <f>IF($C582=""," ",[1]!i_pq_pctchange($C582,K$6,$N$1))</f>
        <v xml:space="preserve"> </v>
      </c>
      <c r="L582" s="28" t="str">
        <f>IF(C582=""," ",[1]!s_wq_pctchange($C582,$N$1))</f>
        <v xml:space="preserve"> </v>
      </c>
      <c r="M582" s="28" t="str">
        <f>IF(C582=""," ",[1]!s_mq_pctchange($C582,$N$1))</f>
        <v xml:space="preserve"> </v>
      </c>
      <c r="N582" s="28" t="str">
        <f>IF(C582=""," ",[1]!s_yq_pctchange($C582,$N$1))</f>
        <v xml:space="preserve"> </v>
      </c>
      <c r="O582" s="11"/>
      <c r="P582" s="7"/>
    </row>
    <row r="583" spans="1:16" x14ac:dyDescent="0.35">
      <c r="A583" s="7"/>
      <c r="C583" s="30" t="str">
        <f>IF(指数列表!B580="","",指数列表!B580)</f>
        <v/>
      </c>
      <c r="D583" s="35" t="str">
        <f>IF(C583="","",[1]!s_info_name(C583))</f>
        <v/>
      </c>
      <c r="E583" s="24" t="str">
        <f>IF(C583="","",[1]!s_dq_close(C583,$N$1))</f>
        <v/>
      </c>
      <c r="F583" s="28" t="str">
        <f>IF($C583=""," ",[1]!i_pq_pctchange($C583,F$6,$N$1))</f>
        <v xml:space="preserve"> </v>
      </c>
      <c r="G583" s="28" t="str">
        <f>IF($C583=""," ",[1]!i_pq_pctchange($C583,G$6,$N$1))</f>
        <v xml:space="preserve"> </v>
      </c>
      <c r="H583" s="28" t="str">
        <f>IF($C583=""," ",[1]!i_pq_pctchange($C583,H$6,$N$1))</f>
        <v xml:space="preserve"> </v>
      </c>
      <c r="I583" s="28" t="str">
        <f>IF($C583=""," ",[1]!i_pq_pctchange($C583,I$6,$N$1))</f>
        <v xml:space="preserve"> </v>
      </c>
      <c r="J583" s="28" t="str">
        <f>IF($C583=""," ",[1]!i_pq_pctchange($C583,J$6,$N$1))</f>
        <v xml:space="preserve"> </v>
      </c>
      <c r="K583" s="28" t="str">
        <f>IF($C583=""," ",[1]!i_pq_pctchange($C583,K$6,$N$1))</f>
        <v xml:space="preserve"> </v>
      </c>
      <c r="L583" s="28" t="str">
        <f>IF(C583=""," ",[1]!s_wq_pctchange($C583,$N$1))</f>
        <v xml:space="preserve"> </v>
      </c>
      <c r="M583" s="28" t="str">
        <f>IF(C583=""," ",[1]!s_mq_pctchange($C583,$N$1))</f>
        <v xml:space="preserve"> </v>
      </c>
      <c r="N583" s="28" t="str">
        <f>IF(C583=""," ",[1]!s_yq_pctchange($C583,$N$1))</f>
        <v xml:space="preserve"> </v>
      </c>
      <c r="O583" s="11"/>
      <c r="P583" s="7"/>
    </row>
    <row r="584" spans="1:16" x14ac:dyDescent="0.35">
      <c r="A584" s="7"/>
      <c r="C584" s="31" t="str">
        <f>IF(指数列表!B581="","",指数列表!B581)</f>
        <v/>
      </c>
      <c r="D584" s="36" t="str">
        <f>IF(C584="","",[1]!s_info_name(C584))</f>
        <v/>
      </c>
      <c r="E584" s="25" t="str">
        <f>IF(C584="","",[1]!s_dq_close(C584,$N$1))</f>
        <v/>
      </c>
      <c r="F584" s="28" t="str">
        <f>IF($C584=""," ",[1]!i_pq_pctchange($C584,F$6,$N$1))</f>
        <v xml:space="preserve"> </v>
      </c>
      <c r="G584" s="28" t="str">
        <f>IF($C584=""," ",[1]!i_pq_pctchange($C584,G$6,$N$1))</f>
        <v xml:space="preserve"> </v>
      </c>
      <c r="H584" s="28" t="str">
        <f>IF($C584=""," ",[1]!i_pq_pctchange($C584,H$6,$N$1))</f>
        <v xml:space="preserve"> </v>
      </c>
      <c r="I584" s="28" t="str">
        <f>IF($C584=""," ",[1]!i_pq_pctchange($C584,I$6,$N$1))</f>
        <v xml:space="preserve"> </v>
      </c>
      <c r="J584" s="28" t="str">
        <f>IF($C584=""," ",[1]!i_pq_pctchange($C584,J$6,$N$1))</f>
        <v xml:space="preserve"> </v>
      </c>
      <c r="K584" s="28" t="str">
        <f>IF($C584=""," ",[1]!i_pq_pctchange($C584,K$6,$N$1))</f>
        <v xml:space="preserve"> </v>
      </c>
      <c r="L584" s="28" t="str">
        <f>IF(C584=""," ",[1]!s_wq_pctchange($C584,$N$1))</f>
        <v xml:space="preserve"> </v>
      </c>
      <c r="M584" s="28" t="str">
        <f>IF(C584=""," ",[1]!s_mq_pctchange($C584,$N$1))</f>
        <v xml:space="preserve"> </v>
      </c>
      <c r="N584" s="28" t="str">
        <f>IF(C584=""," ",[1]!s_yq_pctchange($C584,$N$1))</f>
        <v xml:space="preserve"> </v>
      </c>
      <c r="O584" s="11"/>
      <c r="P584" s="7"/>
    </row>
    <row r="585" spans="1:16" x14ac:dyDescent="0.35">
      <c r="A585" s="7"/>
      <c r="C585" s="30" t="str">
        <f>IF(指数列表!B582="","",指数列表!B582)</f>
        <v/>
      </c>
      <c r="D585" s="35" t="str">
        <f>IF(C585="","",[1]!s_info_name(C585))</f>
        <v/>
      </c>
      <c r="E585" s="24" t="str">
        <f>IF(C585="","",[1]!s_dq_close(C585,$N$1))</f>
        <v/>
      </c>
      <c r="F585" s="28" t="str">
        <f>IF($C585=""," ",[1]!i_pq_pctchange($C585,F$6,$N$1))</f>
        <v xml:space="preserve"> </v>
      </c>
      <c r="G585" s="28" t="str">
        <f>IF($C585=""," ",[1]!i_pq_pctchange($C585,G$6,$N$1))</f>
        <v xml:space="preserve"> </v>
      </c>
      <c r="H585" s="28" t="str">
        <f>IF($C585=""," ",[1]!i_pq_pctchange($C585,H$6,$N$1))</f>
        <v xml:space="preserve"> </v>
      </c>
      <c r="I585" s="28" t="str">
        <f>IF($C585=""," ",[1]!i_pq_pctchange($C585,I$6,$N$1))</f>
        <v xml:space="preserve"> </v>
      </c>
      <c r="J585" s="28" t="str">
        <f>IF($C585=""," ",[1]!i_pq_pctchange($C585,J$6,$N$1))</f>
        <v xml:space="preserve"> </v>
      </c>
      <c r="K585" s="28" t="str">
        <f>IF($C585=""," ",[1]!i_pq_pctchange($C585,K$6,$N$1))</f>
        <v xml:space="preserve"> </v>
      </c>
      <c r="L585" s="28" t="str">
        <f>IF(C585=""," ",[1]!s_wq_pctchange($C585,$N$1))</f>
        <v xml:space="preserve"> </v>
      </c>
      <c r="M585" s="28" t="str">
        <f>IF(C585=""," ",[1]!s_mq_pctchange($C585,$N$1))</f>
        <v xml:space="preserve"> </v>
      </c>
      <c r="N585" s="28" t="str">
        <f>IF(C585=""," ",[1]!s_yq_pctchange($C585,$N$1))</f>
        <v xml:space="preserve"> </v>
      </c>
      <c r="O585" s="11"/>
      <c r="P585" s="7"/>
    </row>
    <row r="586" spans="1:16" x14ac:dyDescent="0.35">
      <c r="A586" s="7"/>
      <c r="C586" s="31" t="str">
        <f>IF(指数列表!B583="","",指数列表!B583)</f>
        <v/>
      </c>
      <c r="D586" s="36" t="str">
        <f>IF(C586="","",[1]!s_info_name(C586))</f>
        <v/>
      </c>
      <c r="E586" s="25" t="str">
        <f>IF(C586="","",[1]!s_dq_close(C586,$N$1))</f>
        <v/>
      </c>
      <c r="F586" s="28" t="str">
        <f>IF($C586=""," ",[1]!i_pq_pctchange($C586,F$6,$N$1))</f>
        <v xml:space="preserve"> </v>
      </c>
      <c r="G586" s="28" t="str">
        <f>IF($C586=""," ",[1]!i_pq_pctchange($C586,G$6,$N$1))</f>
        <v xml:space="preserve"> </v>
      </c>
      <c r="H586" s="28" t="str">
        <f>IF($C586=""," ",[1]!i_pq_pctchange($C586,H$6,$N$1))</f>
        <v xml:space="preserve"> </v>
      </c>
      <c r="I586" s="28" t="str">
        <f>IF($C586=""," ",[1]!i_pq_pctchange($C586,I$6,$N$1))</f>
        <v xml:space="preserve"> </v>
      </c>
      <c r="J586" s="28" t="str">
        <f>IF($C586=""," ",[1]!i_pq_pctchange($C586,J$6,$N$1))</f>
        <v xml:space="preserve"> </v>
      </c>
      <c r="K586" s="28" t="str">
        <f>IF($C586=""," ",[1]!i_pq_pctchange($C586,K$6,$N$1))</f>
        <v xml:space="preserve"> </v>
      </c>
      <c r="L586" s="28" t="str">
        <f>IF(C586=""," ",[1]!s_wq_pctchange($C586,$N$1))</f>
        <v xml:space="preserve"> </v>
      </c>
      <c r="M586" s="28" t="str">
        <f>IF(C586=""," ",[1]!s_mq_pctchange($C586,$N$1))</f>
        <v xml:space="preserve"> </v>
      </c>
      <c r="N586" s="28" t="str">
        <f>IF(C586=""," ",[1]!s_yq_pctchange($C586,$N$1))</f>
        <v xml:space="preserve"> </v>
      </c>
      <c r="O586" s="11"/>
      <c r="P586" s="7"/>
    </row>
    <row r="587" spans="1:16" x14ac:dyDescent="0.35">
      <c r="A587" s="7"/>
      <c r="C587" s="30" t="str">
        <f>IF(指数列表!B584="","",指数列表!B584)</f>
        <v/>
      </c>
      <c r="D587" s="35" t="str">
        <f>IF(C587="","",[1]!s_info_name(C587))</f>
        <v/>
      </c>
      <c r="E587" s="24" t="str">
        <f>IF(C587="","",[1]!s_dq_close(C587,$N$1))</f>
        <v/>
      </c>
      <c r="F587" s="28" t="str">
        <f>IF($C587=""," ",[1]!i_pq_pctchange($C587,F$6,$N$1))</f>
        <v xml:space="preserve"> </v>
      </c>
      <c r="G587" s="28" t="str">
        <f>IF($C587=""," ",[1]!i_pq_pctchange($C587,G$6,$N$1))</f>
        <v xml:space="preserve"> </v>
      </c>
      <c r="H587" s="28" t="str">
        <f>IF($C587=""," ",[1]!i_pq_pctchange($C587,H$6,$N$1))</f>
        <v xml:space="preserve"> </v>
      </c>
      <c r="I587" s="28" t="str">
        <f>IF($C587=""," ",[1]!i_pq_pctchange($C587,I$6,$N$1))</f>
        <v xml:space="preserve"> </v>
      </c>
      <c r="J587" s="28" t="str">
        <f>IF($C587=""," ",[1]!i_pq_pctchange($C587,J$6,$N$1))</f>
        <v xml:space="preserve"> </v>
      </c>
      <c r="K587" s="28" t="str">
        <f>IF($C587=""," ",[1]!i_pq_pctchange($C587,K$6,$N$1))</f>
        <v xml:space="preserve"> </v>
      </c>
      <c r="L587" s="28" t="str">
        <f>IF(C587=""," ",[1]!s_wq_pctchange($C587,$N$1))</f>
        <v xml:space="preserve"> </v>
      </c>
      <c r="M587" s="28" t="str">
        <f>IF(C587=""," ",[1]!s_mq_pctchange($C587,$N$1))</f>
        <v xml:space="preserve"> </v>
      </c>
      <c r="N587" s="28" t="str">
        <f>IF(C587=""," ",[1]!s_yq_pctchange($C587,$N$1))</f>
        <v xml:space="preserve"> </v>
      </c>
      <c r="O587" s="11"/>
      <c r="P587" s="7"/>
    </row>
    <row r="588" spans="1:16" x14ac:dyDescent="0.35">
      <c r="A588" s="7"/>
      <c r="C588" s="31" t="str">
        <f>IF(指数列表!B585="","",指数列表!B585)</f>
        <v/>
      </c>
      <c r="D588" s="36" t="str">
        <f>IF(C588="","",[1]!s_info_name(C588))</f>
        <v/>
      </c>
      <c r="E588" s="25" t="str">
        <f>IF(C588="","",[1]!s_dq_close(C588,$N$1))</f>
        <v/>
      </c>
      <c r="F588" s="28" t="str">
        <f>IF($C588=""," ",[1]!i_pq_pctchange($C588,F$6,$N$1))</f>
        <v xml:space="preserve"> </v>
      </c>
      <c r="G588" s="28" t="str">
        <f>IF($C588=""," ",[1]!i_pq_pctchange($C588,G$6,$N$1))</f>
        <v xml:space="preserve"> </v>
      </c>
      <c r="H588" s="28" t="str">
        <f>IF($C588=""," ",[1]!i_pq_pctchange($C588,H$6,$N$1))</f>
        <v xml:space="preserve"> </v>
      </c>
      <c r="I588" s="28" t="str">
        <f>IF($C588=""," ",[1]!i_pq_pctchange($C588,I$6,$N$1))</f>
        <v xml:space="preserve"> </v>
      </c>
      <c r="J588" s="28" t="str">
        <f>IF($C588=""," ",[1]!i_pq_pctchange($C588,J$6,$N$1))</f>
        <v xml:space="preserve"> </v>
      </c>
      <c r="K588" s="28" t="str">
        <f>IF($C588=""," ",[1]!i_pq_pctchange($C588,K$6,$N$1))</f>
        <v xml:space="preserve"> </v>
      </c>
      <c r="L588" s="28" t="str">
        <f>IF(C588=""," ",[1]!s_wq_pctchange($C588,$N$1))</f>
        <v xml:space="preserve"> </v>
      </c>
      <c r="M588" s="28" t="str">
        <f>IF(C588=""," ",[1]!s_mq_pctchange($C588,$N$1))</f>
        <v xml:space="preserve"> </v>
      </c>
      <c r="N588" s="28" t="str">
        <f>IF(C588=""," ",[1]!s_yq_pctchange($C588,$N$1))</f>
        <v xml:space="preserve"> </v>
      </c>
      <c r="O588" s="11"/>
      <c r="P588" s="7"/>
    </row>
    <row r="589" spans="1:16" x14ac:dyDescent="0.35">
      <c r="A589" s="7"/>
      <c r="C589" s="30" t="str">
        <f>IF(指数列表!B586="","",指数列表!B586)</f>
        <v/>
      </c>
      <c r="D589" s="35" t="str">
        <f>IF(C589="","",[1]!s_info_name(C589))</f>
        <v/>
      </c>
      <c r="E589" s="24" t="str">
        <f>IF(C589="","",[1]!s_dq_close(C589,$N$1))</f>
        <v/>
      </c>
      <c r="F589" s="28" t="str">
        <f>IF($C589=""," ",[1]!i_pq_pctchange($C589,F$6,$N$1))</f>
        <v xml:space="preserve"> </v>
      </c>
      <c r="G589" s="28" t="str">
        <f>IF($C589=""," ",[1]!i_pq_pctchange($C589,G$6,$N$1))</f>
        <v xml:space="preserve"> </v>
      </c>
      <c r="H589" s="28" t="str">
        <f>IF($C589=""," ",[1]!i_pq_pctchange($C589,H$6,$N$1))</f>
        <v xml:space="preserve"> </v>
      </c>
      <c r="I589" s="28" t="str">
        <f>IF($C589=""," ",[1]!i_pq_pctchange($C589,I$6,$N$1))</f>
        <v xml:space="preserve"> </v>
      </c>
      <c r="J589" s="28" t="str">
        <f>IF($C589=""," ",[1]!i_pq_pctchange($C589,J$6,$N$1))</f>
        <v xml:space="preserve"> </v>
      </c>
      <c r="K589" s="28" t="str">
        <f>IF($C589=""," ",[1]!i_pq_pctchange($C589,K$6,$N$1))</f>
        <v xml:space="preserve"> </v>
      </c>
      <c r="L589" s="28" t="str">
        <f>IF(C589=""," ",[1]!s_wq_pctchange($C589,$N$1))</f>
        <v xml:space="preserve"> </v>
      </c>
      <c r="M589" s="28" t="str">
        <f>IF(C589=""," ",[1]!s_mq_pctchange($C589,$N$1))</f>
        <v xml:space="preserve"> </v>
      </c>
      <c r="N589" s="28" t="str">
        <f>IF(C589=""," ",[1]!s_yq_pctchange($C589,$N$1))</f>
        <v xml:space="preserve"> </v>
      </c>
      <c r="O589" s="11"/>
      <c r="P589" s="7"/>
    </row>
    <row r="590" spans="1:16" x14ac:dyDescent="0.35">
      <c r="A590" s="7"/>
      <c r="C590" s="31" t="str">
        <f>IF(指数列表!B587="","",指数列表!B587)</f>
        <v/>
      </c>
      <c r="D590" s="36" t="str">
        <f>IF(C590="","",[1]!s_info_name(C590))</f>
        <v/>
      </c>
      <c r="E590" s="25" t="str">
        <f>IF(C590="","",[1]!s_dq_close(C590,$N$1))</f>
        <v/>
      </c>
      <c r="F590" s="28" t="str">
        <f>IF($C590=""," ",[1]!i_pq_pctchange($C590,F$6,$N$1))</f>
        <v xml:space="preserve"> </v>
      </c>
      <c r="G590" s="28" t="str">
        <f>IF($C590=""," ",[1]!i_pq_pctchange($C590,G$6,$N$1))</f>
        <v xml:space="preserve"> </v>
      </c>
      <c r="H590" s="28" t="str">
        <f>IF($C590=""," ",[1]!i_pq_pctchange($C590,H$6,$N$1))</f>
        <v xml:space="preserve"> </v>
      </c>
      <c r="I590" s="28" t="str">
        <f>IF($C590=""," ",[1]!i_pq_pctchange($C590,I$6,$N$1))</f>
        <v xml:space="preserve"> </v>
      </c>
      <c r="J590" s="28" t="str">
        <f>IF($C590=""," ",[1]!i_pq_pctchange($C590,J$6,$N$1))</f>
        <v xml:space="preserve"> </v>
      </c>
      <c r="K590" s="28" t="str">
        <f>IF($C590=""," ",[1]!i_pq_pctchange($C590,K$6,$N$1))</f>
        <v xml:space="preserve"> </v>
      </c>
      <c r="L590" s="28" t="str">
        <f>IF(C590=""," ",[1]!s_wq_pctchange($C590,$N$1))</f>
        <v xml:space="preserve"> </v>
      </c>
      <c r="M590" s="28" t="str">
        <f>IF(C590=""," ",[1]!s_mq_pctchange($C590,$N$1))</f>
        <v xml:space="preserve"> </v>
      </c>
      <c r="N590" s="28" t="str">
        <f>IF(C590=""," ",[1]!s_yq_pctchange($C590,$N$1))</f>
        <v xml:space="preserve"> </v>
      </c>
      <c r="O590" s="11"/>
      <c r="P590" s="7"/>
    </row>
    <row r="591" spans="1:16" x14ac:dyDescent="0.35">
      <c r="A591" s="7"/>
      <c r="C591" s="30" t="str">
        <f>IF(指数列表!B588="","",指数列表!B588)</f>
        <v/>
      </c>
      <c r="D591" s="35" t="str">
        <f>IF(C591="","",[1]!s_info_name(C591))</f>
        <v/>
      </c>
      <c r="E591" s="24" t="str">
        <f>IF(C591="","",[1]!s_dq_close(C591,$N$1))</f>
        <v/>
      </c>
      <c r="F591" s="28" t="str">
        <f>IF($C591=""," ",[1]!i_pq_pctchange($C591,F$6,$N$1))</f>
        <v xml:space="preserve"> </v>
      </c>
      <c r="G591" s="28" t="str">
        <f>IF($C591=""," ",[1]!i_pq_pctchange($C591,G$6,$N$1))</f>
        <v xml:space="preserve"> </v>
      </c>
      <c r="H591" s="28" t="str">
        <f>IF($C591=""," ",[1]!i_pq_pctchange($C591,H$6,$N$1))</f>
        <v xml:space="preserve"> </v>
      </c>
      <c r="I591" s="28" t="str">
        <f>IF($C591=""," ",[1]!i_pq_pctchange($C591,I$6,$N$1))</f>
        <v xml:space="preserve"> </v>
      </c>
      <c r="J591" s="28" t="str">
        <f>IF($C591=""," ",[1]!i_pq_pctchange($C591,J$6,$N$1))</f>
        <v xml:space="preserve"> </v>
      </c>
      <c r="K591" s="28" t="str">
        <f>IF($C591=""," ",[1]!i_pq_pctchange($C591,K$6,$N$1))</f>
        <v xml:space="preserve"> </v>
      </c>
      <c r="L591" s="28" t="str">
        <f>IF(C591=""," ",[1]!s_wq_pctchange($C591,$N$1))</f>
        <v xml:space="preserve"> </v>
      </c>
      <c r="M591" s="28" t="str">
        <f>IF(C591=""," ",[1]!s_mq_pctchange($C591,$N$1))</f>
        <v xml:space="preserve"> </v>
      </c>
      <c r="N591" s="28" t="str">
        <f>IF(C591=""," ",[1]!s_yq_pctchange($C591,$N$1))</f>
        <v xml:space="preserve"> </v>
      </c>
      <c r="O591" s="11"/>
      <c r="P591" s="7"/>
    </row>
    <row r="592" spans="1:16" x14ac:dyDescent="0.35">
      <c r="A592" s="7"/>
      <c r="C592" s="31" t="str">
        <f>IF(指数列表!B589="","",指数列表!B589)</f>
        <v/>
      </c>
      <c r="D592" s="36" t="str">
        <f>IF(C592="","",[1]!s_info_name(C592))</f>
        <v/>
      </c>
      <c r="E592" s="25" t="str">
        <f>IF(C592="","",[1]!s_dq_close(C592,$N$1))</f>
        <v/>
      </c>
      <c r="F592" s="28" t="str">
        <f>IF($C592=""," ",[1]!i_pq_pctchange($C592,F$6,$N$1))</f>
        <v xml:space="preserve"> </v>
      </c>
      <c r="G592" s="28" t="str">
        <f>IF($C592=""," ",[1]!i_pq_pctchange($C592,G$6,$N$1))</f>
        <v xml:space="preserve"> </v>
      </c>
      <c r="H592" s="28" t="str">
        <f>IF($C592=""," ",[1]!i_pq_pctchange($C592,H$6,$N$1))</f>
        <v xml:space="preserve"> </v>
      </c>
      <c r="I592" s="28" t="str">
        <f>IF($C592=""," ",[1]!i_pq_pctchange($C592,I$6,$N$1))</f>
        <v xml:space="preserve"> </v>
      </c>
      <c r="J592" s="28" t="str">
        <f>IF($C592=""," ",[1]!i_pq_pctchange($C592,J$6,$N$1))</f>
        <v xml:space="preserve"> </v>
      </c>
      <c r="K592" s="28" t="str">
        <f>IF($C592=""," ",[1]!i_pq_pctchange($C592,K$6,$N$1))</f>
        <v xml:space="preserve"> </v>
      </c>
      <c r="L592" s="28" t="str">
        <f>IF(C592=""," ",[1]!s_wq_pctchange($C592,$N$1))</f>
        <v xml:space="preserve"> </v>
      </c>
      <c r="M592" s="28" t="str">
        <f>IF(C592=""," ",[1]!s_mq_pctchange($C592,$N$1))</f>
        <v xml:space="preserve"> </v>
      </c>
      <c r="N592" s="28" t="str">
        <f>IF(C592=""," ",[1]!s_yq_pctchange($C592,$N$1))</f>
        <v xml:space="preserve"> </v>
      </c>
      <c r="O592" s="11"/>
      <c r="P592" s="7"/>
    </row>
    <row r="593" spans="1:16" x14ac:dyDescent="0.35">
      <c r="A593" s="7"/>
      <c r="C593" s="30" t="str">
        <f>IF(指数列表!B590="","",指数列表!B590)</f>
        <v/>
      </c>
      <c r="D593" s="35" t="str">
        <f>IF(C593="","",[1]!s_info_name(C593))</f>
        <v/>
      </c>
      <c r="E593" s="24" t="str">
        <f>IF(C593="","",[1]!s_dq_close(C593,$N$1))</f>
        <v/>
      </c>
      <c r="F593" s="28" t="str">
        <f>IF($C593=""," ",[1]!i_pq_pctchange($C593,F$6,$N$1))</f>
        <v xml:space="preserve"> </v>
      </c>
      <c r="G593" s="28" t="str">
        <f>IF($C593=""," ",[1]!i_pq_pctchange($C593,G$6,$N$1))</f>
        <v xml:space="preserve"> </v>
      </c>
      <c r="H593" s="28" t="str">
        <f>IF($C593=""," ",[1]!i_pq_pctchange($C593,H$6,$N$1))</f>
        <v xml:space="preserve"> </v>
      </c>
      <c r="I593" s="28" t="str">
        <f>IF($C593=""," ",[1]!i_pq_pctchange($C593,I$6,$N$1))</f>
        <v xml:space="preserve"> </v>
      </c>
      <c r="J593" s="28" t="str">
        <f>IF($C593=""," ",[1]!i_pq_pctchange($C593,J$6,$N$1))</f>
        <v xml:space="preserve"> </v>
      </c>
      <c r="K593" s="28" t="str">
        <f>IF($C593=""," ",[1]!i_pq_pctchange($C593,K$6,$N$1))</f>
        <v xml:space="preserve"> </v>
      </c>
      <c r="L593" s="28" t="str">
        <f>IF(C593=""," ",[1]!s_wq_pctchange($C593,$N$1))</f>
        <v xml:space="preserve"> </v>
      </c>
      <c r="M593" s="28" t="str">
        <f>IF(C593=""," ",[1]!s_mq_pctchange($C593,$N$1))</f>
        <v xml:space="preserve"> </v>
      </c>
      <c r="N593" s="28" t="str">
        <f>IF(C593=""," ",[1]!s_yq_pctchange($C593,$N$1))</f>
        <v xml:space="preserve"> </v>
      </c>
      <c r="O593" s="11"/>
      <c r="P593" s="7"/>
    </row>
    <row r="594" spans="1:16" x14ac:dyDescent="0.35">
      <c r="A594" s="7"/>
      <c r="C594" s="31" t="str">
        <f>IF(指数列表!B591="","",指数列表!B591)</f>
        <v/>
      </c>
      <c r="D594" s="36" t="str">
        <f>IF(C594="","",[1]!s_info_name(C594))</f>
        <v/>
      </c>
      <c r="E594" s="25" t="str">
        <f>IF(C594="","",[1]!s_dq_close(C594,$N$1))</f>
        <v/>
      </c>
      <c r="F594" s="28" t="str">
        <f>IF($C594=""," ",[1]!i_pq_pctchange($C594,F$6,$N$1))</f>
        <v xml:space="preserve"> </v>
      </c>
      <c r="G594" s="28" t="str">
        <f>IF($C594=""," ",[1]!i_pq_pctchange($C594,G$6,$N$1))</f>
        <v xml:space="preserve"> </v>
      </c>
      <c r="H594" s="28" t="str">
        <f>IF($C594=""," ",[1]!i_pq_pctchange($C594,H$6,$N$1))</f>
        <v xml:space="preserve"> </v>
      </c>
      <c r="I594" s="28" t="str">
        <f>IF($C594=""," ",[1]!i_pq_pctchange($C594,I$6,$N$1))</f>
        <v xml:space="preserve"> </v>
      </c>
      <c r="J594" s="28" t="str">
        <f>IF($C594=""," ",[1]!i_pq_pctchange($C594,J$6,$N$1))</f>
        <v xml:space="preserve"> </v>
      </c>
      <c r="K594" s="28" t="str">
        <f>IF($C594=""," ",[1]!i_pq_pctchange($C594,K$6,$N$1))</f>
        <v xml:space="preserve"> </v>
      </c>
      <c r="L594" s="28" t="str">
        <f>IF(C594=""," ",[1]!s_wq_pctchange($C594,$N$1))</f>
        <v xml:space="preserve"> </v>
      </c>
      <c r="M594" s="28" t="str">
        <f>IF(C594=""," ",[1]!s_mq_pctchange($C594,$N$1))</f>
        <v xml:space="preserve"> </v>
      </c>
      <c r="N594" s="28" t="str">
        <f>IF(C594=""," ",[1]!s_yq_pctchange($C594,$N$1))</f>
        <v xml:space="preserve"> </v>
      </c>
      <c r="O594" s="11"/>
      <c r="P594" s="7"/>
    </row>
    <row r="595" spans="1:16" x14ac:dyDescent="0.35">
      <c r="A595" s="7"/>
      <c r="C595" s="30" t="str">
        <f>IF(指数列表!B592="","",指数列表!B592)</f>
        <v/>
      </c>
      <c r="D595" s="35" t="str">
        <f>IF(C595="","",[1]!s_info_name(C595))</f>
        <v/>
      </c>
      <c r="E595" s="24" t="str">
        <f>IF(C595="","",[1]!s_dq_close(C595,$N$1))</f>
        <v/>
      </c>
      <c r="F595" s="28" t="str">
        <f>IF($C595=""," ",[1]!i_pq_pctchange($C595,F$6,$N$1))</f>
        <v xml:space="preserve"> </v>
      </c>
      <c r="G595" s="28" t="str">
        <f>IF($C595=""," ",[1]!i_pq_pctchange($C595,G$6,$N$1))</f>
        <v xml:space="preserve"> </v>
      </c>
      <c r="H595" s="28" t="str">
        <f>IF($C595=""," ",[1]!i_pq_pctchange($C595,H$6,$N$1))</f>
        <v xml:space="preserve"> </v>
      </c>
      <c r="I595" s="28" t="str">
        <f>IF($C595=""," ",[1]!i_pq_pctchange($C595,I$6,$N$1))</f>
        <v xml:space="preserve"> </v>
      </c>
      <c r="J595" s="28" t="str">
        <f>IF($C595=""," ",[1]!i_pq_pctchange($C595,J$6,$N$1))</f>
        <v xml:space="preserve"> </v>
      </c>
      <c r="K595" s="28" t="str">
        <f>IF($C595=""," ",[1]!i_pq_pctchange($C595,K$6,$N$1))</f>
        <v xml:space="preserve"> </v>
      </c>
      <c r="L595" s="28" t="str">
        <f>IF(C595=""," ",[1]!s_wq_pctchange($C595,$N$1))</f>
        <v xml:space="preserve"> </v>
      </c>
      <c r="M595" s="28" t="str">
        <f>IF(C595=""," ",[1]!s_mq_pctchange($C595,$N$1))</f>
        <v xml:space="preserve"> </v>
      </c>
      <c r="N595" s="28" t="str">
        <f>IF(C595=""," ",[1]!s_yq_pctchange($C595,$N$1))</f>
        <v xml:space="preserve"> </v>
      </c>
      <c r="O595" s="11"/>
      <c r="P595" s="7"/>
    </row>
    <row r="596" spans="1:16" x14ac:dyDescent="0.35">
      <c r="A596" s="7"/>
      <c r="C596" s="31" t="str">
        <f>IF(指数列表!B593="","",指数列表!B593)</f>
        <v/>
      </c>
      <c r="D596" s="36" t="str">
        <f>IF(C596="","",[1]!s_info_name(C596))</f>
        <v/>
      </c>
      <c r="E596" s="25" t="str">
        <f>IF(C596="","",[1]!s_dq_close(C596,$N$1))</f>
        <v/>
      </c>
      <c r="F596" s="28" t="str">
        <f>IF($C596=""," ",[1]!i_pq_pctchange($C596,F$6,$N$1))</f>
        <v xml:space="preserve"> </v>
      </c>
      <c r="G596" s="28" t="str">
        <f>IF($C596=""," ",[1]!i_pq_pctchange($C596,G$6,$N$1))</f>
        <v xml:space="preserve"> </v>
      </c>
      <c r="H596" s="28" t="str">
        <f>IF($C596=""," ",[1]!i_pq_pctchange($C596,H$6,$N$1))</f>
        <v xml:space="preserve"> </v>
      </c>
      <c r="I596" s="28" t="str">
        <f>IF($C596=""," ",[1]!i_pq_pctchange($C596,I$6,$N$1))</f>
        <v xml:space="preserve"> </v>
      </c>
      <c r="J596" s="28" t="str">
        <f>IF($C596=""," ",[1]!i_pq_pctchange($C596,J$6,$N$1))</f>
        <v xml:space="preserve"> </v>
      </c>
      <c r="K596" s="28" t="str">
        <f>IF($C596=""," ",[1]!i_pq_pctchange($C596,K$6,$N$1))</f>
        <v xml:space="preserve"> </v>
      </c>
      <c r="L596" s="28" t="str">
        <f>IF(C596=""," ",[1]!s_wq_pctchange($C596,$N$1))</f>
        <v xml:space="preserve"> </v>
      </c>
      <c r="M596" s="28" t="str">
        <f>IF(C596=""," ",[1]!s_mq_pctchange($C596,$N$1))</f>
        <v xml:space="preserve"> </v>
      </c>
      <c r="N596" s="28" t="str">
        <f>IF(C596=""," ",[1]!s_yq_pctchange($C596,$N$1))</f>
        <v xml:space="preserve"> </v>
      </c>
      <c r="O596" s="11"/>
      <c r="P596" s="7"/>
    </row>
    <row r="597" spans="1:16" x14ac:dyDescent="0.35">
      <c r="A597" s="7"/>
      <c r="C597" s="30" t="str">
        <f>IF(指数列表!B594="","",指数列表!B594)</f>
        <v/>
      </c>
      <c r="D597" s="35" t="str">
        <f>IF(C597="","",[1]!s_info_name(C597))</f>
        <v/>
      </c>
      <c r="E597" s="24" t="str">
        <f>IF(C597="","",[1]!s_dq_close(C597,$N$1))</f>
        <v/>
      </c>
      <c r="F597" s="28" t="str">
        <f>IF($C597=""," ",[1]!i_pq_pctchange($C597,F$6,$N$1))</f>
        <v xml:space="preserve"> </v>
      </c>
      <c r="G597" s="28" t="str">
        <f>IF($C597=""," ",[1]!i_pq_pctchange($C597,G$6,$N$1))</f>
        <v xml:space="preserve"> </v>
      </c>
      <c r="H597" s="28" t="str">
        <f>IF($C597=""," ",[1]!i_pq_pctchange($C597,H$6,$N$1))</f>
        <v xml:space="preserve"> </v>
      </c>
      <c r="I597" s="28" t="str">
        <f>IF($C597=""," ",[1]!i_pq_pctchange($C597,I$6,$N$1))</f>
        <v xml:space="preserve"> </v>
      </c>
      <c r="J597" s="28" t="str">
        <f>IF($C597=""," ",[1]!i_pq_pctchange($C597,J$6,$N$1))</f>
        <v xml:space="preserve"> </v>
      </c>
      <c r="K597" s="28" t="str">
        <f>IF($C597=""," ",[1]!i_pq_pctchange($C597,K$6,$N$1))</f>
        <v xml:space="preserve"> </v>
      </c>
      <c r="L597" s="28" t="str">
        <f>IF(C597=""," ",[1]!s_wq_pctchange($C597,$N$1))</f>
        <v xml:space="preserve"> </v>
      </c>
      <c r="M597" s="28" t="str">
        <f>IF(C597=""," ",[1]!s_mq_pctchange($C597,$N$1))</f>
        <v xml:space="preserve"> </v>
      </c>
      <c r="N597" s="28" t="str">
        <f>IF(C597=""," ",[1]!s_yq_pctchange($C597,$N$1))</f>
        <v xml:space="preserve"> </v>
      </c>
      <c r="O597" s="11"/>
      <c r="P597" s="7"/>
    </row>
    <row r="598" spans="1:16" x14ac:dyDescent="0.35">
      <c r="A598" s="7"/>
      <c r="C598" s="31" t="str">
        <f>IF(指数列表!B595="","",指数列表!B595)</f>
        <v/>
      </c>
      <c r="D598" s="36" t="str">
        <f>IF(C598="","",[1]!s_info_name(C598))</f>
        <v/>
      </c>
      <c r="E598" s="25" t="str">
        <f>IF(C598="","",[1]!s_dq_close(C598,$N$1))</f>
        <v/>
      </c>
      <c r="F598" s="28" t="str">
        <f>IF($C598=""," ",[1]!i_pq_pctchange($C598,F$6,$N$1))</f>
        <v xml:space="preserve"> </v>
      </c>
      <c r="G598" s="28" t="str">
        <f>IF($C598=""," ",[1]!i_pq_pctchange($C598,G$6,$N$1))</f>
        <v xml:space="preserve"> </v>
      </c>
      <c r="H598" s="28" t="str">
        <f>IF($C598=""," ",[1]!i_pq_pctchange($C598,H$6,$N$1))</f>
        <v xml:space="preserve"> </v>
      </c>
      <c r="I598" s="28" t="str">
        <f>IF($C598=""," ",[1]!i_pq_pctchange($C598,I$6,$N$1))</f>
        <v xml:space="preserve"> </v>
      </c>
      <c r="J598" s="28" t="str">
        <f>IF($C598=""," ",[1]!i_pq_pctchange($C598,J$6,$N$1))</f>
        <v xml:space="preserve"> </v>
      </c>
      <c r="K598" s="28" t="str">
        <f>IF($C598=""," ",[1]!i_pq_pctchange($C598,K$6,$N$1))</f>
        <v xml:space="preserve"> </v>
      </c>
      <c r="L598" s="28" t="str">
        <f>IF(C598=""," ",[1]!s_wq_pctchange($C598,$N$1))</f>
        <v xml:space="preserve"> </v>
      </c>
      <c r="M598" s="28" t="str">
        <f>IF(C598=""," ",[1]!s_mq_pctchange($C598,$N$1))</f>
        <v xml:space="preserve"> </v>
      </c>
      <c r="N598" s="28" t="str">
        <f>IF(C598=""," ",[1]!s_yq_pctchange($C598,$N$1))</f>
        <v xml:space="preserve"> </v>
      </c>
      <c r="O598" s="11"/>
      <c r="P598" s="7"/>
    </row>
    <row r="599" spans="1:16" x14ac:dyDescent="0.35">
      <c r="A599" s="7"/>
      <c r="C599" s="30" t="str">
        <f>IF(指数列表!B596="","",指数列表!B596)</f>
        <v/>
      </c>
      <c r="D599" s="35" t="str">
        <f>IF(C599="","",[1]!s_info_name(C599))</f>
        <v/>
      </c>
      <c r="E599" s="24" t="str">
        <f>IF(C599="","",[1]!s_dq_close(C599,$N$1))</f>
        <v/>
      </c>
      <c r="F599" s="28" t="str">
        <f>IF($C599=""," ",[1]!i_pq_pctchange($C599,F$6,$N$1))</f>
        <v xml:space="preserve"> </v>
      </c>
      <c r="G599" s="28" t="str">
        <f>IF($C599=""," ",[1]!i_pq_pctchange($C599,G$6,$N$1))</f>
        <v xml:space="preserve"> </v>
      </c>
      <c r="H599" s="28" t="str">
        <f>IF($C599=""," ",[1]!i_pq_pctchange($C599,H$6,$N$1))</f>
        <v xml:space="preserve"> </v>
      </c>
      <c r="I599" s="28" t="str">
        <f>IF($C599=""," ",[1]!i_pq_pctchange($C599,I$6,$N$1))</f>
        <v xml:space="preserve"> </v>
      </c>
      <c r="J599" s="28" t="str">
        <f>IF($C599=""," ",[1]!i_pq_pctchange($C599,J$6,$N$1))</f>
        <v xml:space="preserve"> </v>
      </c>
      <c r="K599" s="28" t="str">
        <f>IF($C599=""," ",[1]!i_pq_pctchange($C599,K$6,$N$1))</f>
        <v xml:space="preserve"> </v>
      </c>
      <c r="L599" s="28" t="str">
        <f>IF(C599=""," ",[1]!s_wq_pctchange($C599,$N$1))</f>
        <v xml:space="preserve"> </v>
      </c>
      <c r="M599" s="28" t="str">
        <f>IF(C599=""," ",[1]!s_mq_pctchange($C599,$N$1))</f>
        <v xml:space="preserve"> </v>
      </c>
      <c r="N599" s="28" t="str">
        <f>IF(C599=""," ",[1]!s_yq_pctchange($C599,$N$1))</f>
        <v xml:space="preserve"> </v>
      </c>
      <c r="O599" s="11"/>
      <c r="P599" s="7"/>
    </row>
    <row r="600" spans="1:16" x14ac:dyDescent="0.35">
      <c r="A600" s="7"/>
      <c r="C600" s="31" t="str">
        <f>IF(指数列表!B597="","",指数列表!B597)</f>
        <v/>
      </c>
      <c r="D600" s="36" t="str">
        <f>IF(C600="","",[1]!s_info_name(C600))</f>
        <v/>
      </c>
      <c r="E600" s="25" t="str">
        <f>IF(C600="","",[1]!s_dq_close(C600,$N$1))</f>
        <v/>
      </c>
      <c r="F600" s="28" t="str">
        <f>IF($C600=""," ",[1]!i_pq_pctchange($C600,F$6,$N$1))</f>
        <v xml:space="preserve"> </v>
      </c>
      <c r="G600" s="28" t="str">
        <f>IF($C600=""," ",[1]!i_pq_pctchange($C600,G$6,$N$1))</f>
        <v xml:space="preserve"> </v>
      </c>
      <c r="H600" s="28" t="str">
        <f>IF($C600=""," ",[1]!i_pq_pctchange($C600,H$6,$N$1))</f>
        <v xml:space="preserve"> </v>
      </c>
      <c r="I600" s="28" t="str">
        <f>IF($C600=""," ",[1]!i_pq_pctchange($C600,I$6,$N$1))</f>
        <v xml:space="preserve"> </v>
      </c>
      <c r="J600" s="28" t="str">
        <f>IF($C600=""," ",[1]!i_pq_pctchange($C600,J$6,$N$1))</f>
        <v xml:space="preserve"> </v>
      </c>
      <c r="K600" s="28" t="str">
        <f>IF($C600=""," ",[1]!i_pq_pctchange($C600,K$6,$N$1))</f>
        <v xml:space="preserve"> </v>
      </c>
      <c r="L600" s="28" t="str">
        <f>IF(C600=""," ",[1]!s_wq_pctchange($C600,$N$1))</f>
        <v xml:space="preserve"> </v>
      </c>
      <c r="M600" s="28" t="str">
        <f>IF(C600=""," ",[1]!s_mq_pctchange($C600,$N$1))</f>
        <v xml:space="preserve"> </v>
      </c>
      <c r="N600" s="28" t="str">
        <f>IF(C600=""," ",[1]!s_yq_pctchange($C600,$N$1))</f>
        <v xml:space="preserve"> </v>
      </c>
      <c r="O600" s="11"/>
      <c r="P600" s="7"/>
    </row>
    <row r="601" spans="1:16" x14ac:dyDescent="0.35">
      <c r="A601" s="7"/>
      <c r="C601" s="30" t="str">
        <f>IF(指数列表!B598="","",指数列表!B598)</f>
        <v/>
      </c>
      <c r="D601" s="35" t="str">
        <f>IF(C601="","",[1]!s_info_name(C601))</f>
        <v/>
      </c>
      <c r="E601" s="24" t="str">
        <f>IF(C601="","",[1]!s_dq_close(C601,$N$1))</f>
        <v/>
      </c>
      <c r="F601" s="28" t="str">
        <f>IF($C601=""," ",[1]!i_pq_pctchange($C601,F$6,$N$1))</f>
        <v xml:space="preserve"> </v>
      </c>
      <c r="G601" s="28" t="str">
        <f>IF($C601=""," ",[1]!i_pq_pctchange($C601,G$6,$N$1))</f>
        <v xml:space="preserve"> </v>
      </c>
      <c r="H601" s="28" t="str">
        <f>IF($C601=""," ",[1]!i_pq_pctchange($C601,H$6,$N$1))</f>
        <v xml:space="preserve"> </v>
      </c>
      <c r="I601" s="28" t="str">
        <f>IF($C601=""," ",[1]!i_pq_pctchange($C601,I$6,$N$1))</f>
        <v xml:space="preserve"> </v>
      </c>
      <c r="J601" s="28" t="str">
        <f>IF($C601=""," ",[1]!i_pq_pctchange($C601,J$6,$N$1))</f>
        <v xml:space="preserve"> </v>
      </c>
      <c r="K601" s="28" t="str">
        <f>IF($C601=""," ",[1]!i_pq_pctchange($C601,K$6,$N$1))</f>
        <v xml:space="preserve"> </v>
      </c>
      <c r="L601" s="28" t="str">
        <f>IF(C601=""," ",[1]!s_wq_pctchange($C601,$N$1))</f>
        <v xml:space="preserve"> </v>
      </c>
      <c r="M601" s="28" t="str">
        <f>IF(C601=""," ",[1]!s_mq_pctchange($C601,$N$1))</f>
        <v xml:space="preserve"> </v>
      </c>
      <c r="N601" s="28" t="str">
        <f>IF(C601=""," ",[1]!s_yq_pctchange($C601,$N$1))</f>
        <v xml:space="preserve"> </v>
      </c>
      <c r="O601" s="11"/>
      <c r="P601" s="7"/>
    </row>
    <row r="602" spans="1:16" x14ac:dyDescent="0.35">
      <c r="A602" s="7"/>
      <c r="C602" s="31" t="str">
        <f>IF(指数列表!B599="","",指数列表!B599)</f>
        <v/>
      </c>
      <c r="D602" s="36" t="str">
        <f>IF(C602="","",[1]!s_info_name(C602))</f>
        <v/>
      </c>
      <c r="E602" s="25" t="str">
        <f>IF(C602="","",[1]!s_dq_close(C602,$N$1))</f>
        <v/>
      </c>
      <c r="F602" s="28" t="str">
        <f>IF($C602=""," ",[1]!i_pq_pctchange($C602,F$6,$N$1))</f>
        <v xml:space="preserve"> </v>
      </c>
      <c r="G602" s="28" t="str">
        <f>IF($C602=""," ",[1]!i_pq_pctchange($C602,G$6,$N$1))</f>
        <v xml:space="preserve"> </v>
      </c>
      <c r="H602" s="28" t="str">
        <f>IF($C602=""," ",[1]!i_pq_pctchange($C602,H$6,$N$1))</f>
        <v xml:space="preserve"> </v>
      </c>
      <c r="I602" s="28" t="str">
        <f>IF($C602=""," ",[1]!i_pq_pctchange($C602,I$6,$N$1))</f>
        <v xml:space="preserve"> </v>
      </c>
      <c r="J602" s="28" t="str">
        <f>IF($C602=""," ",[1]!i_pq_pctchange($C602,J$6,$N$1))</f>
        <v xml:space="preserve"> </v>
      </c>
      <c r="K602" s="28" t="str">
        <f>IF($C602=""," ",[1]!i_pq_pctchange($C602,K$6,$N$1))</f>
        <v xml:space="preserve"> </v>
      </c>
      <c r="L602" s="28" t="str">
        <f>IF(C602=""," ",[1]!s_wq_pctchange($C602,$N$1))</f>
        <v xml:space="preserve"> </v>
      </c>
      <c r="M602" s="28" t="str">
        <f>IF(C602=""," ",[1]!s_mq_pctchange($C602,$N$1))</f>
        <v xml:space="preserve"> </v>
      </c>
      <c r="N602" s="28" t="str">
        <f>IF(C602=""," ",[1]!s_yq_pctchange($C602,$N$1))</f>
        <v xml:space="preserve"> </v>
      </c>
      <c r="O602" s="11"/>
      <c r="P602" s="7"/>
    </row>
    <row r="603" spans="1:16" x14ac:dyDescent="0.35">
      <c r="A603" s="7"/>
      <c r="C603" s="30" t="str">
        <f>IF(指数列表!B600="","",指数列表!B600)</f>
        <v/>
      </c>
      <c r="D603" s="35" t="str">
        <f>IF(C603="","",[1]!s_info_name(C603))</f>
        <v/>
      </c>
      <c r="E603" s="24" t="str">
        <f>IF(C603="","",[1]!s_dq_close(C603,$N$1))</f>
        <v/>
      </c>
      <c r="F603" s="28" t="str">
        <f>IF($C603=""," ",[1]!i_pq_pctchange($C603,F$6,$N$1))</f>
        <v xml:space="preserve"> </v>
      </c>
      <c r="G603" s="28" t="str">
        <f>IF($C603=""," ",[1]!i_pq_pctchange($C603,G$6,$N$1))</f>
        <v xml:space="preserve"> </v>
      </c>
      <c r="H603" s="28" t="str">
        <f>IF($C603=""," ",[1]!i_pq_pctchange($C603,H$6,$N$1))</f>
        <v xml:space="preserve"> </v>
      </c>
      <c r="I603" s="28" t="str">
        <f>IF($C603=""," ",[1]!i_pq_pctchange($C603,I$6,$N$1))</f>
        <v xml:space="preserve"> </v>
      </c>
      <c r="J603" s="28" t="str">
        <f>IF($C603=""," ",[1]!i_pq_pctchange($C603,J$6,$N$1))</f>
        <v xml:space="preserve"> </v>
      </c>
      <c r="K603" s="28" t="str">
        <f>IF($C603=""," ",[1]!i_pq_pctchange($C603,K$6,$N$1))</f>
        <v xml:space="preserve"> </v>
      </c>
      <c r="L603" s="28" t="str">
        <f>IF(C603=""," ",[1]!s_wq_pctchange($C603,$N$1))</f>
        <v xml:space="preserve"> </v>
      </c>
      <c r="M603" s="28" t="str">
        <f>IF(C603=""," ",[1]!s_mq_pctchange($C603,$N$1))</f>
        <v xml:space="preserve"> </v>
      </c>
      <c r="N603" s="28" t="str">
        <f>IF(C603=""," ",[1]!s_yq_pctchange($C603,$N$1))</f>
        <v xml:space="preserve"> </v>
      </c>
      <c r="O603" s="11"/>
      <c r="P603" s="7"/>
    </row>
    <row r="604" spans="1:16" x14ac:dyDescent="0.35">
      <c r="A604" s="7"/>
      <c r="C604" s="31" t="str">
        <f>IF(指数列表!B601="","",指数列表!B601)</f>
        <v/>
      </c>
      <c r="D604" s="36" t="str">
        <f>IF(C604="","",[1]!s_info_name(C604))</f>
        <v/>
      </c>
      <c r="E604" s="25" t="str">
        <f>IF(C604="","",[1]!s_dq_close(C604,$N$1))</f>
        <v/>
      </c>
      <c r="F604" s="28" t="str">
        <f>IF($C604=""," ",[1]!i_pq_pctchange($C604,F$6,$N$1))</f>
        <v xml:space="preserve"> </v>
      </c>
      <c r="G604" s="28" t="str">
        <f>IF($C604=""," ",[1]!i_pq_pctchange($C604,G$6,$N$1))</f>
        <v xml:space="preserve"> </v>
      </c>
      <c r="H604" s="28" t="str">
        <f>IF($C604=""," ",[1]!i_pq_pctchange($C604,H$6,$N$1))</f>
        <v xml:space="preserve"> </v>
      </c>
      <c r="I604" s="28" t="str">
        <f>IF($C604=""," ",[1]!i_pq_pctchange($C604,I$6,$N$1))</f>
        <v xml:space="preserve"> </v>
      </c>
      <c r="J604" s="28" t="str">
        <f>IF($C604=""," ",[1]!i_pq_pctchange($C604,J$6,$N$1))</f>
        <v xml:space="preserve"> </v>
      </c>
      <c r="K604" s="28" t="str">
        <f>IF($C604=""," ",[1]!i_pq_pctchange($C604,K$6,$N$1))</f>
        <v xml:space="preserve"> </v>
      </c>
      <c r="L604" s="28" t="str">
        <f>IF(C604=""," ",[1]!s_wq_pctchange($C604,$N$1))</f>
        <v xml:space="preserve"> </v>
      </c>
      <c r="M604" s="28" t="str">
        <f>IF(C604=""," ",[1]!s_mq_pctchange($C604,$N$1))</f>
        <v xml:space="preserve"> </v>
      </c>
      <c r="N604" s="28" t="str">
        <f>IF(C604=""," ",[1]!s_yq_pctchange($C604,$N$1))</f>
        <v xml:space="preserve"> </v>
      </c>
      <c r="O604" s="11"/>
      <c r="P604" s="7"/>
    </row>
    <row r="605" spans="1:16" x14ac:dyDescent="0.35">
      <c r="A605" s="7"/>
      <c r="C605" s="30" t="str">
        <f>IF(指数列表!B602="","",指数列表!B602)</f>
        <v/>
      </c>
      <c r="D605" s="35" t="str">
        <f>IF(C605="","",[1]!s_info_name(C605))</f>
        <v/>
      </c>
      <c r="E605" s="24" t="str">
        <f>IF(C605="","",[1]!s_dq_close(C605,$N$1))</f>
        <v/>
      </c>
      <c r="F605" s="28" t="str">
        <f>IF($C605=""," ",[1]!i_pq_pctchange($C605,F$6,$N$1))</f>
        <v xml:space="preserve"> </v>
      </c>
      <c r="G605" s="28" t="str">
        <f>IF($C605=""," ",[1]!i_pq_pctchange($C605,G$6,$N$1))</f>
        <v xml:space="preserve"> </v>
      </c>
      <c r="H605" s="28" t="str">
        <f>IF($C605=""," ",[1]!i_pq_pctchange($C605,H$6,$N$1))</f>
        <v xml:space="preserve"> </v>
      </c>
      <c r="I605" s="28" t="str">
        <f>IF($C605=""," ",[1]!i_pq_pctchange($C605,I$6,$N$1))</f>
        <v xml:space="preserve"> </v>
      </c>
      <c r="J605" s="28" t="str">
        <f>IF($C605=""," ",[1]!i_pq_pctchange($C605,J$6,$N$1))</f>
        <v xml:space="preserve"> </v>
      </c>
      <c r="K605" s="28" t="str">
        <f>IF($C605=""," ",[1]!i_pq_pctchange($C605,K$6,$N$1))</f>
        <v xml:space="preserve"> </v>
      </c>
      <c r="L605" s="28" t="str">
        <f>IF(C605=""," ",[1]!s_wq_pctchange($C605,$N$1))</f>
        <v xml:space="preserve"> </v>
      </c>
      <c r="M605" s="28" t="str">
        <f>IF(C605=""," ",[1]!s_mq_pctchange($C605,$N$1))</f>
        <v xml:space="preserve"> </v>
      </c>
      <c r="N605" s="28" t="str">
        <f>IF(C605=""," ",[1]!s_yq_pctchange($C605,$N$1))</f>
        <v xml:space="preserve"> </v>
      </c>
      <c r="O605" s="11"/>
      <c r="P605" s="7"/>
    </row>
    <row r="606" spans="1:16" x14ac:dyDescent="0.35">
      <c r="A606" s="7"/>
      <c r="C606" s="31" t="str">
        <f>IF(指数列表!B603="","",指数列表!B603)</f>
        <v/>
      </c>
      <c r="D606" s="36" t="str">
        <f>IF(C606="","",[1]!s_info_name(C606))</f>
        <v/>
      </c>
      <c r="E606" s="25" t="str">
        <f>IF(C606="","",[1]!s_dq_close(C606,$N$1))</f>
        <v/>
      </c>
      <c r="F606" s="28" t="str">
        <f>IF($C606=""," ",[1]!i_pq_pctchange($C606,F$6,$N$1))</f>
        <v xml:space="preserve"> </v>
      </c>
      <c r="G606" s="28" t="str">
        <f>IF($C606=""," ",[1]!i_pq_pctchange($C606,G$6,$N$1))</f>
        <v xml:space="preserve"> </v>
      </c>
      <c r="H606" s="28" t="str">
        <f>IF($C606=""," ",[1]!i_pq_pctchange($C606,H$6,$N$1))</f>
        <v xml:space="preserve"> </v>
      </c>
      <c r="I606" s="28" t="str">
        <f>IF($C606=""," ",[1]!i_pq_pctchange($C606,I$6,$N$1))</f>
        <v xml:space="preserve"> </v>
      </c>
      <c r="J606" s="28" t="str">
        <f>IF($C606=""," ",[1]!i_pq_pctchange($C606,J$6,$N$1))</f>
        <v xml:space="preserve"> </v>
      </c>
      <c r="K606" s="28" t="str">
        <f>IF($C606=""," ",[1]!i_pq_pctchange($C606,K$6,$N$1))</f>
        <v xml:space="preserve"> </v>
      </c>
      <c r="L606" s="28" t="str">
        <f>IF(C606=""," ",[1]!s_wq_pctchange($C606,$N$1))</f>
        <v xml:space="preserve"> </v>
      </c>
      <c r="M606" s="28" t="str">
        <f>IF(C606=""," ",[1]!s_mq_pctchange($C606,$N$1))</f>
        <v xml:space="preserve"> </v>
      </c>
      <c r="N606" s="28" t="str">
        <f>IF(C606=""," ",[1]!s_yq_pctchange($C606,$N$1))</f>
        <v xml:space="preserve"> </v>
      </c>
      <c r="O606" s="11"/>
      <c r="P606" s="7"/>
    </row>
    <row r="607" spans="1:16" x14ac:dyDescent="0.35">
      <c r="A607" s="7"/>
      <c r="C607" s="30" t="str">
        <f>IF(指数列表!B604="","",指数列表!B604)</f>
        <v/>
      </c>
      <c r="D607" s="35" t="str">
        <f>IF(C607="","",[1]!s_info_name(C607))</f>
        <v/>
      </c>
      <c r="E607" s="24" t="str">
        <f>IF(C607="","",[1]!s_dq_close(C607,$N$1))</f>
        <v/>
      </c>
      <c r="F607" s="28" t="str">
        <f>IF($C607=""," ",[1]!i_pq_pctchange($C607,F$6,$N$1))</f>
        <v xml:space="preserve"> </v>
      </c>
      <c r="G607" s="28" t="str">
        <f>IF($C607=""," ",[1]!i_pq_pctchange($C607,G$6,$N$1))</f>
        <v xml:space="preserve"> </v>
      </c>
      <c r="H607" s="28" t="str">
        <f>IF($C607=""," ",[1]!i_pq_pctchange($C607,H$6,$N$1))</f>
        <v xml:space="preserve"> </v>
      </c>
      <c r="I607" s="28" t="str">
        <f>IF($C607=""," ",[1]!i_pq_pctchange($C607,I$6,$N$1))</f>
        <v xml:space="preserve"> </v>
      </c>
      <c r="J607" s="28" t="str">
        <f>IF($C607=""," ",[1]!i_pq_pctchange($C607,J$6,$N$1))</f>
        <v xml:space="preserve"> </v>
      </c>
      <c r="K607" s="28" t="str">
        <f>IF($C607=""," ",[1]!i_pq_pctchange($C607,K$6,$N$1))</f>
        <v xml:space="preserve"> </v>
      </c>
      <c r="L607" s="28" t="str">
        <f>IF(C607=""," ",[1]!s_wq_pctchange($C607,$N$1))</f>
        <v xml:space="preserve"> </v>
      </c>
      <c r="M607" s="28" t="str">
        <f>IF(C607=""," ",[1]!s_mq_pctchange($C607,$N$1))</f>
        <v xml:space="preserve"> </v>
      </c>
      <c r="N607" s="28" t="str">
        <f>IF(C607=""," ",[1]!s_yq_pctchange($C607,$N$1))</f>
        <v xml:space="preserve"> </v>
      </c>
      <c r="O607" s="11"/>
      <c r="P607" s="7"/>
    </row>
    <row r="608" spans="1:16" x14ac:dyDescent="0.35">
      <c r="A608" s="7"/>
      <c r="C608" s="31" t="str">
        <f>IF(指数列表!B605="","",指数列表!B605)</f>
        <v/>
      </c>
      <c r="D608" s="36" t="str">
        <f>IF(C608="","",[1]!s_info_name(C608))</f>
        <v/>
      </c>
      <c r="E608" s="25" t="str">
        <f>IF(C608="","",[1]!s_dq_close(C608,$N$1))</f>
        <v/>
      </c>
      <c r="F608" s="28" t="str">
        <f>IF($C608=""," ",[1]!i_pq_pctchange($C608,F$6,$N$1))</f>
        <v xml:space="preserve"> </v>
      </c>
      <c r="G608" s="28" t="str">
        <f>IF($C608=""," ",[1]!i_pq_pctchange($C608,G$6,$N$1))</f>
        <v xml:space="preserve"> </v>
      </c>
      <c r="H608" s="28" t="str">
        <f>IF($C608=""," ",[1]!i_pq_pctchange($C608,H$6,$N$1))</f>
        <v xml:space="preserve"> </v>
      </c>
      <c r="I608" s="28" t="str">
        <f>IF($C608=""," ",[1]!i_pq_pctchange($C608,I$6,$N$1))</f>
        <v xml:space="preserve"> </v>
      </c>
      <c r="J608" s="28" t="str">
        <f>IF($C608=""," ",[1]!i_pq_pctchange($C608,J$6,$N$1))</f>
        <v xml:space="preserve"> </v>
      </c>
      <c r="K608" s="28" t="str">
        <f>IF($C608=""," ",[1]!i_pq_pctchange($C608,K$6,$N$1))</f>
        <v xml:space="preserve"> </v>
      </c>
      <c r="L608" s="28" t="str">
        <f>IF(C608=""," ",[1]!s_wq_pctchange($C608,$N$1))</f>
        <v xml:space="preserve"> </v>
      </c>
      <c r="M608" s="28" t="str">
        <f>IF(C608=""," ",[1]!s_mq_pctchange($C608,$N$1))</f>
        <v xml:space="preserve"> </v>
      </c>
      <c r="N608" s="28" t="str">
        <f>IF(C608=""," ",[1]!s_yq_pctchange($C608,$N$1))</f>
        <v xml:space="preserve"> </v>
      </c>
      <c r="O608" s="11"/>
      <c r="P608" s="7"/>
    </row>
    <row r="609" spans="1:16" x14ac:dyDescent="0.35">
      <c r="A609" s="7"/>
      <c r="C609" s="30" t="str">
        <f>IF(指数列表!B606="","",指数列表!B606)</f>
        <v/>
      </c>
      <c r="D609" s="35" t="str">
        <f>IF(C609="","",[1]!s_info_name(C609))</f>
        <v/>
      </c>
      <c r="E609" s="24" t="str">
        <f>IF(C609="","",[1]!s_dq_close(C609,$N$1))</f>
        <v/>
      </c>
      <c r="F609" s="28" t="str">
        <f>IF($C609=""," ",[1]!i_pq_pctchange($C609,F$6,$N$1))</f>
        <v xml:space="preserve"> </v>
      </c>
      <c r="G609" s="28" t="str">
        <f>IF($C609=""," ",[1]!i_pq_pctchange($C609,G$6,$N$1))</f>
        <v xml:space="preserve"> </v>
      </c>
      <c r="H609" s="28" t="str">
        <f>IF($C609=""," ",[1]!i_pq_pctchange($C609,H$6,$N$1))</f>
        <v xml:space="preserve"> </v>
      </c>
      <c r="I609" s="28" t="str">
        <f>IF($C609=""," ",[1]!i_pq_pctchange($C609,I$6,$N$1))</f>
        <v xml:space="preserve"> </v>
      </c>
      <c r="J609" s="28" t="str">
        <f>IF($C609=""," ",[1]!i_pq_pctchange($C609,J$6,$N$1))</f>
        <v xml:space="preserve"> </v>
      </c>
      <c r="K609" s="28" t="str">
        <f>IF($C609=""," ",[1]!i_pq_pctchange($C609,K$6,$N$1))</f>
        <v xml:space="preserve"> </v>
      </c>
      <c r="L609" s="28" t="str">
        <f>IF(C609=""," ",[1]!s_wq_pctchange($C609,$N$1))</f>
        <v xml:space="preserve"> </v>
      </c>
      <c r="M609" s="28" t="str">
        <f>IF(C609=""," ",[1]!s_mq_pctchange($C609,$N$1))</f>
        <v xml:space="preserve"> </v>
      </c>
      <c r="N609" s="28" t="str">
        <f>IF(C609=""," ",[1]!s_yq_pctchange($C609,$N$1))</f>
        <v xml:space="preserve"> </v>
      </c>
      <c r="O609" s="11"/>
      <c r="P609" s="7"/>
    </row>
    <row r="610" spans="1:16" x14ac:dyDescent="0.35">
      <c r="A610" s="7"/>
      <c r="C610" s="31" t="str">
        <f>IF(指数列表!B607="","",指数列表!B607)</f>
        <v/>
      </c>
      <c r="D610" s="36" t="str">
        <f>IF(C610="","",[1]!s_info_name(C610))</f>
        <v/>
      </c>
      <c r="E610" s="25" t="str">
        <f>IF(C610="","",[1]!s_dq_close(C610,$N$1))</f>
        <v/>
      </c>
      <c r="F610" s="28" t="str">
        <f>IF($C610=""," ",[1]!i_pq_pctchange($C610,F$6,$N$1))</f>
        <v xml:space="preserve"> </v>
      </c>
      <c r="G610" s="28" t="str">
        <f>IF($C610=""," ",[1]!i_pq_pctchange($C610,G$6,$N$1))</f>
        <v xml:space="preserve"> </v>
      </c>
      <c r="H610" s="28" t="str">
        <f>IF($C610=""," ",[1]!i_pq_pctchange($C610,H$6,$N$1))</f>
        <v xml:space="preserve"> </v>
      </c>
      <c r="I610" s="28" t="str">
        <f>IF($C610=""," ",[1]!i_pq_pctchange($C610,I$6,$N$1))</f>
        <v xml:space="preserve"> </v>
      </c>
      <c r="J610" s="28" t="str">
        <f>IF($C610=""," ",[1]!i_pq_pctchange($C610,J$6,$N$1))</f>
        <v xml:space="preserve"> </v>
      </c>
      <c r="K610" s="28" t="str">
        <f>IF($C610=""," ",[1]!i_pq_pctchange($C610,K$6,$N$1))</f>
        <v xml:space="preserve"> </v>
      </c>
      <c r="L610" s="28" t="str">
        <f>IF(C610=""," ",[1]!s_wq_pctchange($C610,$N$1))</f>
        <v xml:space="preserve"> </v>
      </c>
      <c r="M610" s="28" t="str">
        <f>IF(C610=""," ",[1]!s_mq_pctchange($C610,$N$1))</f>
        <v xml:space="preserve"> </v>
      </c>
      <c r="N610" s="28" t="str">
        <f>IF(C610=""," ",[1]!s_yq_pctchange($C610,$N$1))</f>
        <v xml:space="preserve"> </v>
      </c>
      <c r="O610" s="11"/>
      <c r="P610" s="7"/>
    </row>
    <row r="611" spans="1:16" x14ac:dyDescent="0.35">
      <c r="A611" s="7"/>
      <c r="C611" s="30" t="str">
        <f>IF(指数列表!B608="","",指数列表!B608)</f>
        <v/>
      </c>
      <c r="D611" s="35" t="str">
        <f>IF(C611="","",[1]!s_info_name(C611))</f>
        <v/>
      </c>
      <c r="E611" s="24" t="str">
        <f>IF(C611="","",[1]!s_dq_close(C611,$N$1))</f>
        <v/>
      </c>
      <c r="F611" s="28" t="str">
        <f>IF($C611=""," ",[1]!i_pq_pctchange($C611,F$6,$N$1))</f>
        <v xml:space="preserve"> </v>
      </c>
      <c r="G611" s="28" t="str">
        <f>IF($C611=""," ",[1]!i_pq_pctchange($C611,G$6,$N$1))</f>
        <v xml:space="preserve"> </v>
      </c>
      <c r="H611" s="28" t="str">
        <f>IF($C611=""," ",[1]!i_pq_pctchange($C611,H$6,$N$1))</f>
        <v xml:space="preserve"> </v>
      </c>
      <c r="I611" s="28" t="str">
        <f>IF($C611=""," ",[1]!i_pq_pctchange($C611,I$6,$N$1))</f>
        <v xml:space="preserve"> </v>
      </c>
      <c r="J611" s="28" t="str">
        <f>IF($C611=""," ",[1]!i_pq_pctchange($C611,J$6,$N$1))</f>
        <v xml:space="preserve"> </v>
      </c>
      <c r="K611" s="28" t="str">
        <f>IF($C611=""," ",[1]!i_pq_pctchange($C611,K$6,$N$1))</f>
        <v xml:space="preserve"> </v>
      </c>
      <c r="L611" s="28" t="str">
        <f>IF(C611=""," ",[1]!s_wq_pctchange($C611,$N$1))</f>
        <v xml:space="preserve"> </v>
      </c>
      <c r="M611" s="28" t="str">
        <f>IF(C611=""," ",[1]!s_mq_pctchange($C611,$N$1))</f>
        <v xml:space="preserve"> </v>
      </c>
      <c r="N611" s="28" t="str">
        <f>IF(C611=""," ",[1]!s_yq_pctchange($C611,$N$1))</f>
        <v xml:space="preserve"> </v>
      </c>
      <c r="O611" s="11"/>
      <c r="P611" s="7"/>
    </row>
    <row r="612" spans="1:16" x14ac:dyDescent="0.35">
      <c r="A612" s="7"/>
      <c r="C612" s="31" t="str">
        <f>IF(指数列表!B609="","",指数列表!B609)</f>
        <v/>
      </c>
      <c r="D612" s="36" t="str">
        <f>IF(C612="","",[1]!s_info_name(C612))</f>
        <v/>
      </c>
      <c r="E612" s="25" t="str">
        <f>IF(C612="","",[1]!s_dq_close(C612,$N$1))</f>
        <v/>
      </c>
      <c r="F612" s="28" t="str">
        <f>IF($C612=""," ",[1]!i_pq_pctchange($C612,F$6,$N$1))</f>
        <v xml:space="preserve"> </v>
      </c>
      <c r="G612" s="28" t="str">
        <f>IF($C612=""," ",[1]!i_pq_pctchange($C612,G$6,$N$1))</f>
        <v xml:space="preserve"> </v>
      </c>
      <c r="H612" s="28" t="str">
        <f>IF($C612=""," ",[1]!i_pq_pctchange($C612,H$6,$N$1))</f>
        <v xml:space="preserve"> </v>
      </c>
      <c r="I612" s="28" t="str">
        <f>IF($C612=""," ",[1]!i_pq_pctchange($C612,I$6,$N$1))</f>
        <v xml:space="preserve"> </v>
      </c>
      <c r="J612" s="28" t="str">
        <f>IF($C612=""," ",[1]!i_pq_pctchange($C612,J$6,$N$1))</f>
        <v xml:space="preserve"> </v>
      </c>
      <c r="K612" s="28" t="str">
        <f>IF($C612=""," ",[1]!i_pq_pctchange($C612,K$6,$N$1))</f>
        <v xml:space="preserve"> </v>
      </c>
      <c r="L612" s="28" t="str">
        <f>IF(C612=""," ",[1]!s_wq_pctchange($C612,$N$1))</f>
        <v xml:space="preserve"> </v>
      </c>
      <c r="M612" s="28" t="str">
        <f>IF(C612=""," ",[1]!s_mq_pctchange($C612,$N$1))</f>
        <v xml:space="preserve"> </v>
      </c>
      <c r="N612" s="28" t="str">
        <f>IF(C612=""," ",[1]!s_yq_pctchange($C612,$N$1))</f>
        <v xml:space="preserve"> </v>
      </c>
      <c r="O612" s="11"/>
      <c r="P612" s="7"/>
    </row>
    <row r="613" spans="1:16" x14ac:dyDescent="0.35">
      <c r="A613" s="7"/>
      <c r="C613" s="30" t="str">
        <f>IF(指数列表!B610="","",指数列表!B610)</f>
        <v/>
      </c>
      <c r="D613" s="35" t="str">
        <f>IF(C613="","",[1]!s_info_name(C613))</f>
        <v/>
      </c>
      <c r="E613" s="24" t="str">
        <f>IF(C613="","",[1]!s_dq_close(C613,$N$1))</f>
        <v/>
      </c>
      <c r="F613" s="28" t="str">
        <f>IF($C613=""," ",[1]!i_pq_pctchange($C613,F$6,$N$1))</f>
        <v xml:space="preserve"> </v>
      </c>
      <c r="G613" s="28" t="str">
        <f>IF($C613=""," ",[1]!i_pq_pctchange($C613,G$6,$N$1))</f>
        <v xml:space="preserve"> </v>
      </c>
      <c r="H613" s="28" t="str">
        <f>IF($C613=""," ",[1]!i_pq_pctchange($C613,H$6,$N$1))</f>
        <v xml:space="preserve"> </v>
      </c>
      <c r="I613" s="28" t="str">
        <f>IF($C613=""," ",[1]!i_pq_pctchange($C613,I$6,$N$1))</f>
        <v xml:space="preserve"> </v>
      </c>
      <c r="J613" s="28" t="str">
        <f>IF($C613=""," ",[1]!i_pq_pctchange($C613,J$6,$N$1))</f>
        <v xml:space="preserve"> </v>
      </c>
      <c r="K613" s="28" t="str">
        <f>IF($C613=""," ",[1]!i_pq_pctchange($C613,K$6,$N$1))</f>
        <v xml:space="preserve"> </v>
      </c>
      <c r="L613" s="28" t="str">
        <f>IF(C613=""," ",[1]!s_wq_pctchange($C613,$N$1))</f>
        <v xml:space="preserve"> </v>
      </c>
      <c r="M613" s="28" t="str">
        <f>IF(C613=""," ",[1]!s_mq_pctchange($C613,$N$1))</f>
        <v xml:space="preserve"> </v>
      </c>
      <c r="N613" s="28" t="str">
        <f>IF(C613=""," ",[1]!s_yq_pctchange($C613,$N$1))</f>
        <v xml:space="preserve"> </v>
      </c>
      <c r="O613" s="11"/>
      <c r="P613" s="7"/>
    </row>
    <row r="614" spans="1:16" x14ac:dyDescent="0.35">
      <c r="A614" s="7"/>
      <c r="C614" s="31" t="str">
        <f>IF(指数列表!B611="","",指数列表!B611)</f>
        <v/>
      </c>
      <c r="D614" s="36" t="str">
        <f>IF(C614="","",[1]!s_info_name(C614))</f>
        <v/>
      </c>
      <c r="E614" s="25" t="str">
        <f>IF(C614="","",[1]!s_dq_close(C614,$N$1))</f>
        <v/>
      </c>
      <c r="F614" s="28" t="str">
        <f>IF($C614=""," ",[1]!i_pq_pctchange($C614,F$6,$N$1))</f>
        <v xml:space="preserve"> </v>
      </c>
      <c r="G614" s="28" t="str">
        <f>IF($C614=""," ",[1]!i_pq_pctchange($C614,G$6,$N$1))</f>
        <v xml:space="preserve"> </v>
      </c>
      <c r="H614" s="28" t="str">
        <f>IF($C614=""," ",[1]!i_pq_pctchange($C614,H$6,$N$1))</f>
        <v xml:space="preserve"> </v>
      </c>
      <c r="I614" s="28" t="str">
        <f>IF($C614=""," ",[1]!i_pq_pctchange($C614,I$6,$N$1))</f>
        <v xml:space="preserve"> </v>
      </c>
      <c r="J614" s="28" t="str">
        <f>IF($C614=""," ",[1]!i_pq_pctchange($C614,J$6,$N$1))</f>
        <v xml:space="preserve"> </v>
      </c>
      <c r="K614" s="28" t="str">
        <f>IF($C614=""," ",[1]!i_pq_pctchange($C614,K$6,$N$1))</f>
        <v xml:space="preserve"> </v>
      </c>
      <c r="L614" s="28" t="str">
        <f>IF(C614=""," ",[1]!s_wq_pctchange($C614,$N$1))</f>
        <v xml:space="preserve"> </v>
      </c>
      <c r="M614" s="28" t="str">
        <f>IF(C614=""," ",[1]!s_mq_pctchange($C614,$N$1))</f>
        <v xml:space="preserve"> </v>
      </c>
      <c r="N614" s="28" t="str">
        <f>IF(C614=""," ",[1]!s_yq_pctchange($C614,$N$1))</f>
        <v xml:space="preserve"> </v>
      </c>
      <c r="O614" s="11"/>
      <c r="P614" s="7"/>
    </row>
    <row r="615" spans="1:16" x14ac:dyDescent="0.35">
      <c r="A615" s="7"/>
      <c r="C615" s="30" t="str">
        <f>IF(指数列表!B612="","",指数列表!B612)</f>
        <v/>
      </c>
      <c r="D615" s="35" t="str">
        <f>IF(C615="","",[1]!s_info_name(C615))</f>
        <v/>
      </c>
      <c r="E615" s="24" t="str">
        <f>IF(C615="","",[1]!s_dq_close(C615,$N$1))</f>
        <v/>
      </c>
      <c r="F615" s="28" t="str">
        <f>IF($C615=""," ",[1]!i_pq_pctchange($C615,F$6,$N$1))</f>
        <v xml:space="preserve"> </v>
      </c>
      <c r="G615" s="28" t="str">
        <f>IF($C615=""," ",[1]!i_pq_pctchange($C615,G$6,$N$1))</f>
        <v xml:space="preserve"> </v>
      </c>
      <c r="H615" s="28" t="str">
        <f>IF($C615=""," ",[1]!i_pq_pctchange($C615,H$6,$N$1))</f>
        <v xml:space="preserve"> </v>
      </c>
      <c r="I615" s="28" t="str">
        <f>IF($C615=""," ",[1]!i_pq_pctchange($C615,I$6,$N$1))</f>
        <v xml:space="preserve"> </v>
      </c>
      <c r="J615" s="28" t="str">
        <f>IF($C615=""," ",[1]!i_pq_pctchange($C615,J$6,$N$1))</f>
        <v xml:space="preserve"> </v>
      </c>
      <c r="K615" s="28" t="str">
        <f>IF($C615=""," ",[1]!i_pq_pctchange($C615,K$6,$N$1))</f>
        <v xml:space="preserve"> </v>
      </c>
      <c r="L615" s="28" t="str">
        <f>IF(C615=""," ",[1]!s_wq_pctchange($C615,$N$1))</f>
        <v xml:space="preserve"> </v>
      </c>
      <c r="M615" s="28" t="str">
        <f>IF(C615=""," ",[1]!s_mq_pctchange($C615,$N$1))</f>
        <v xml:space="preserve"> </v>
      </c>
      <c r="N615" s="28" t="str">
        <f>IF(C615=""," ",[1]!s_yq_pctchange($C615,$N$1))</f>
        <v xml:space="preserve"> </v>
      </c>
      <c r="O615" s="11"/>
      <c r="P615" s="7"/>
    </row>
    <row r="616" spans="1:16" x14ac:dyDescent="0.35">
      <c r="A616" s="7"/>
      <c r="C616" s="31" t="str">
        <f>IF(指数列表!B613="","",指数列表!B613)</f>
        <v/>
      </c>
      <c r="D616" s="36" t="str">
        <f>IF(C616="","",[1]!s_info_name(C616))</f>
        <v/>
      </c>
      <c r="E616" s="25" t="str">
        <f>IF(C616="","",[1]!s_dq_close(C616,$N$1))</f>
        <v/>
      </c>
      <c r="F616" s="28" t="str">
        <f>IF($C616=""," ",[1]!i_pq_pctchange($C616,F$6,$N$1))</f>
        <v xml:space="preserve"> </v>
      </c>
      <c r="G616" s="28" t="str">
        <f>IF($C616=""," ",[1]!i_pq_pctchange($C616,G$6,$N$1))</f>
        <v xml:space="preserve"> </v>
      </c>
      <c r="H616" s="28" t="str">
        <f>IF($C616=""," ",[1]!i_pq_pctchange($C616,H$6,$N$1))</f>
        <v xml:space="preserve"> </v>
      </c>
      <c r="I616" s="28" t="str">
        <f>IF($C616=""," ",[1]!i_pq_pctchange($C616,I$6,$N$1))</f>
        <v xml:space="preserve"> </v>
      </c>
      <c r="J616" s="28" t="str">
        <f>IF($C616=""," ",[1]!i_pq_pctchange($C616,J$6,$N$1))</f>
        <v xml:space="preserve"> </v>
      </c>
      <c r="K616" s="28" t="str">
        <f>IF($C616=""," ",[1]!i_pq_pctchange($C616,K$6,$N$1))</f>
        <v xml:space="preserve"> </v>
      </c>
      <c r="L616" s="28" t="str">
        <f>IF(C616=""," ",[1]!s_wq_pctchange($C616,$N$1))</f>
        <v xml:space="preserve"> </v>
      </c>
      <c r="M616" s="28" t="str">
        <f>IF(C616=""," ",[1]!s_mq_pctchange($C616,$N$1))</f>
        <v xml:space="preserve"> </v>
      </c>
      <c r="N616" s="28" t="str">
        <f>IF(C616=""," ",[1]!s_yq_pctchange($C616,$N$1))</f>
        <v xml:space="preserve"> </v>
      </c>
      <c r="O616" s="11"/>
      <c r="P616" s="7"/>
    </row>
    <row r="617" spans="1:16" x14ac:dyDescent="0.35">
      <c r="A617" s="7"/>
      <c r="C617" s="30" t="str">
        <f>IF(指数列表!B614="","",指数列表!B614)</f>
        <v/>
      </c>
      <c r="D617" s="35" t="str">
        <f>IF(C617="","",[1]!s_info_name(C617))</f>
        <v/>
      </c>
      <c r="E617" s="24" t="str">
        <f>IF(C617="","",[1]!s_dq_close(C617,$N$1))</f>
        <v/>
      </c>
      <c r="F617" s="28" t="str">
        <f>IF($C617=""," ",[1]!i_pq_pctchange($C617,F$6,$N$1))</f>
        <v xml:space="preserve"> </v>
      </c>
      <c r="G617" s="28" t="str">
        <f>IF($C617=""," ",[1]!i_pq_pctchange($C617,G$6,$N$1))</f>
        <v xml:space="preserve"> </v>
      </c>
      <c r="H617" s="28" t="str">
        <f>IF($C617=""," ",[1]!i_pq_pctchange($C617,H$6,$N$1))</f>
        <v xml:space="preserve"> </v>
      </c>
      <c r="I617" s="28" t="str">
        <f>IF($C617=""," ",[1]!i_pq_pctchange($C617,I$6,$N$1))</f>
        <v xml:space="preserve"> </v>
      </c>
      <c r="J617" s="28" t="str">
        <f>IF($C617=""," ",[1]!i_pq_pctchange($C617,J$6,$N$1))</f>
        <v xml:space="preserve"> </v>
      </c>
      <c r="K617" s="28" t="str">
        <f>IF($C617=""," ",[1]!i_pq_pctchange($C617,K$6,$N$1))</f>
        <v xml:space="preserve"> </v>
      </c>
      <c r="L617" s="28" t="str">
        <f>IF(C617=""," ",[1]!s_wq_pctchange($C617,$N$1))</f>
        <v xml:space="preserve"> </v>
      </c>
      <c r="M617" s="28" t="str">
        <f>IF(C617=""," ",[1]!s_mq_pctchange($C617,$N$1))</f>
        <v xml:space="preserve"> </v>
      </c>
      <c r="N617" s="28" t="str">
        <f>IF(C617=""," ",[1]!s_yq_pctchange($C617,$N$1))</f>
        <v xml:space="preserve"> </v>
      </c>
      <c r="O617" s="11"/>
      <c r="P617" s="7"/>
    </row>
    <row r="618" spans="1:16" x14ac:dyDescent="0.35">
      <c r="A618" s="7"/>
      <c r="C618" s="31" t="str">
        <f>IF(指数列表!B615="","",指数列表!B615)</f>
        <v/>
      </c>
      <c r="D618" s="36" t="str">
        <f>IF(C618="","",[1]!s_info_name(C618))</f>
        <v/>
      </c>
      <c r="E618" s="25" t="str">
        <f>IF(C618="","",[1]!s_dq_close(C618,$N$1))</f>
        <v/>
      </c>
      <c r="F618" s="28" t="str">
        <f>IF($C618=""," ",[1]!i_pq_pctchange($C618,F$6,$N$1))</f>
        <v xml:space="preserve"> </v>
      </c>
      <c r="G618" s="28" t="str">
        <f>IF($C618=""," ",[1]!i_pq_pctchange($C618,G$6,$N$1))</f>
        <v xml:space="preserve"> </v>
      </c>
      <c r="H618" s="28" t="str">
        <f>IF($C618=""," ",[1]!i_pq_pctchange($C618,H$6,$N$1))</f>
        <v xml:space="preserve"> </v>
      </c>
      <c r="I618" s="28" t="str">
        <f>IF($C618=""," ",[1]!i_pq_pctchange($C618,I$6,$N$1))</f>
        <v xml:space="preserve"> </v>
      </c>
      <c r="J618" s="28" t="str">
        <f>IF($C618=""," ",[1]!i_pq_pctchange($C618,J$6,$N$1))</f>
        <v xml:space="preserve"> </v>
      </c>
      <c r="K618" s="28" t="str">
        <f>IF($C618=""," ",[1]!i_pq_pctchange($C618,K$6,$N$1))</f>
        <v xml:space="preserve"> </v>
      </c>
      <c r="L618" s="28" t="str">
        <f>IF(C618=""," ",[1]!s_wq_pctchange($C618,$N$1))</f>
        <v xml:space="preserve"> </v>
      </c>
      <c r="M618" s="28" t="str">
        <f>IF(C618=""," ",[1]!s_mq_pctchange($C618,$N$1))</f>
        <v xml:space="preserve"> </v>
      </c>
      <c r="N618" s="28" t="str">
        <f>IF(C618=""," ",[1]!s_yq_pctchange($C618,$N$1))</f>
        <v xml:space="preserve"> </v>
      </c>
      <c r="O618" s="11"/>
      <c r="P618" s="7"/>
    </row>
    <row r="619" spans="1:16" x14ac:dyDescent="0.35">
      <c r="A619" s="7"/>
      <c r="C619" s="30" t="str">
        <f>IF(指数列表!B616="","",指数列表!B616)</f>
        <v/>
      </c>
      <c r="D619" s="35" t="str">
        <f>IF(C619="","",[1]!s_info_name(C619))</f>
        <v/>
      </c>
      <c r="E619" s="24" t="str">
        <f>IF(C619="","",[1]!s_dq_close(C619,$N$1))</f>
        <v/>
      </c>
      <c r="F619" s="28" t="str">
        <f>IF($C619=""," ",[1]!i_pq_pctchange($C619,F$6,$N$1))</f>
        <v xml:space="preserve"> </v>
      </c>
      <c r="G619" s="28" t="str">
        <f>IF($C619=""," ",[1]!i_pq_pctchange($C619,G$6,$N$1))</f>
        <v xml:space="preserve"> </v>
      </c>
      <c r="H619" s="28" t="str">
        <f>IF($C619=""," ",[1]!i_pq_pctchange($C619,H$6,$N$1))</f>
        <v xml:space="preserve"> </v>
      </c>
      <c r="I619" s="28" t="str">
        <f>IF($C619=""," ",[1]!i_pq_pctchange($C619,I$6,$N$1))</f>
        <v xml:space="preserve"> </v>
      </c>
      <c r="J619" s="28" t="str">
        <f>IF($C619=""," ",[1]!i_pq_pctchange($C619,J$6,$N$1))</f>
        <v xml:space="preserve"> </v>
      </c>
      <c r="K619" s="28" t="str">
        <f>IF($C619=""," ",[1]!i_pq_pctchange($C619,K$6,$N$1))</f>
        <v xml:space="preserve"> </v>
      </c>
      <c r="L619" s="28" t="str">
        <f>IF(C619=""," ",[1]!s_wq_pctchange($C619,$N$1))</f>
        <v xml:space="preserve"> </v>
      </c>
      <c r="M619" s="28" t="str">
        <f>IF(C619=""," ",[1]!s_mq_pctchange($C619,$N$1))</f>
        <v xml:space="preserve"> </v>
      </c>
      <c r="N619" s="28" t="str">
        <f>IF(C619=""," ",[1]!s_yq_pctchange($C619,$N$1))</f>
        <v xml:space="preserve"> </v>
      </c>
      <c r="O619" s="11"/>
      <c r="P619" s="7"/>
    </row>
    <row r="620" spans="1:16" x14ac:dyDescent="0.35">
      <c r="A620" s="7"/>
      <c r="C620" s="31" t="str">
        <f>IF(指数列表!B617="","",指数列表!B617)</f>
        <v/>
      </c>
      <c r="D620" s="36" t="str">
        <f>IF(C620="","",[1]!s_info_name(C620))</f>
        <v/>
      </c>
      <c r="E620" s="25" t="str">
        <f>IF(C620="","",[1]!s_dq_close(C620,$N$1))</f>
        <v/>
      </c>
      <c r="F620" s="28" t="str">
        <f>IF($C620=""," ",[1]!i_pq_pctchange($C620,F$6,$N$1))</f>
        <v xml:space="preserve"> </v>
      </c>
      <c r="G620" s="28" t="str">
        <f>IF($C620=""," ",[1]!i_pq_pctchange($C620,G$6,$N$1))</f>
        <v xml:space="preserve"> </v>
      </c>
      <c r="H620" s="28" t="str">
        <f>IF($C620=""," ",[1]!i_pq_pctchange($C620,H$6,$N$1))</f>
        <v xml:space="preserve"> </v>
      </c>
      <c r="I620" s="28" t="str">
        <f>IF($C620=""," ",[1]!i_pq_pctchange($C620,I$6,$N$1))</f>
        <v xml:space="preserve"> </v>
      </c>
      <c r="J620" s="28" t="str">
        <f>IF($C620=""," ",[1]!i_pq_pctchange($C620,J$6,$N$1))</f>
        <v xml:space="preserve"> </v>
      </c>
      <c r="K620" s="28" t="str">
        <f>IF($C620=""," ",[1]!i_pq_pctchange($C620,K$6,$N$1))</f>
        <v xml:space="preserve"> </v>
      </c>
      <c r="L620" s="28" t="str">
        <f>IF(C620=""," ",[1]!s_wq_pctchange($C620,$N$1))</f>
        <v xml:space="preserve"> </v>
      </c>
      <c r="M620" s="28" t="str">
        <f>IF(C620=""," ",[1]!s_mq_pctchange($C620,$N$1))</f>
        <v xml:space="preserve"> </v>
      </c>
      <c r="N620" s="28" t="str">
        <f>IF(C620=""," ",[1]!s_yq_pctchange($C620,$N$1))</f>
        <v xml:space="preserve"> </v>
      </c>
      <c r="O620" s="11"/>
      <c r="P620" s="7"/>
    </row>
    <row r="621" spans="1:16" x14ac:dyDescent="0.35">
      <c r="A621" s="7"/>
      <c r="C621" s="30" t="str">
        <f>IF(指数列表!B618="","",指数列表!B618)</f>
        <v/>
      </c>
      <c r="D621" s="35" t="str">
        <f>IF(C621="","",[1]!s_info_name(C621))</f>
        <v/>
      </c>
      <c r="E621" s="24" t="str">
        <f>IF(C621="","",[1]!s_dq_close(C621,$N$1))</f>
        <v/>
      </c>
      <c r="F621" s="28" t="str">
        <f>IF($C621=""," ",[1]!i_pq_pctchange($C621,F$6,$N$1))</f>
        <v xml:space="preserve"> </v>
      </c>
      <c r="G621" s="28" t="str">
        <f>IF($C621=""," ",[1]!i_pq_pctchange($C621,G$6,$N$1))</f>
        <v xml:space="preserve"> </v>
      </c>
      <c r="H621" s="28" t="str">
        <f>IF($C621=""," ",[1]!i_pq_pctchange($C621,H$6,$N$1))</f>
        <v xml:space="preserve"> </v>
      </c>
      <c r="I621" s="28" t="str">
        <f>IF($C621=""," ",[1]!i_pq_pctchange($C621,I$6,$N$1))</f>
        <v xml:space="preserve"> </v>
      </c>
      <c r="J621" s="28" t="str">
        <f>IF($C621=""," ",[1]!i_pq_pctchange($C621,J$6,$N$1))</f>
        <v xml:space="preserve"> </v>
      </c>
      <c r="K621" s="28" t="str">
        <f>IF($C621=""," ",[1]!i_pq_pctchange($C621,K$6,$N$1))</f>
        <v xml:space="preserve"> </v>
      </c>
      <c r="L621" s="28" t="str">
        <f>IF(C621=""," ",[1]!s_wq_pctchange($C621,$N$1))</f>
        <v xml:space="preserve"> </v>
      </c>
      <c r="M621" s="28" t="str">
        <f>IF(C621=""," ",[1]!s_mq_pctchange($C621,$N$1))</f>
        <v xml:space="preserve"> </v>
      </c>
      <c r="N621" s="28" t="str">
        <f>IF(C621=""," ",[1]!s_yq_pctchange($C621,$N$1))</f>
        <v xml:space="preserve"> </v>
      </c>
      <c r="O621" s="11"/>
      <c r="P621" s="7"/>
    </row>
    <row r="622" spans="1:16" x14ac:dyDescent="0.35">
      <c r="A622" s="7"/>
      <c r="C622" s="31" t="str">
        <f>IF(指数列表!B619="","",指数列表!B619)</f>
        <v/>
      </c>
      <c r="D622" s="36" t="str">
        <f>IF(C622="","",[1]!s_info_name(C622))</f>
        <v/>
      </c>
      <c r="E622" s="25" t="str">
        <f>IF(C622="","",[1]!s_dq_close(C622,$N$1))</f>
        <v/>
      </c>
      <c r="F622" s="28" t="str">
        <f>IF($C622=""," ",[1]!i_pq_pctchange($C622,F$6,$N$1))</f>
        <v xml:space="preserve"> </v>
      </c>
      <c r="G622" s="28" t="str">
        <f>IF($C622=""," ",[1]!i_pq_pctchange($C622,G$6,$N$1))</f>
        <v xml:space="preserve"> </v>
      </c>
      <c r="H622" s="28" t="str">
        <f>IF($C622=""," ",[1]!i_pq_pctchange($C622,H$6,$N$1))</f>
        <v xml:space="preserve"> </v>
      </c>
      <c r="I622" s="28" t="str">
        <f>IF($C622=""," ",[1]!i_pq_pctchange($C622,I$6,$N$1))</f>
        <v xml:space="preserve"> </v>
      </c>
      <c r="J622" s="28" t="str">
        <f>IF($C622=""," ",[1]!i_pq_pctchange($C622,J$6,$N$1))</f>
        <v xml:space="preserve"> </v>
      </c>
      <c r="K622" s="28" t="str">
        <f>IF($C622=""," ",[1]!i_pq_pctchange($C622,K$6,$N$1))</f>
        <v xml:space="preserve"> </v>
      </c>
      <c r="L622" s="28" t="str">
        <f>IF(C622=""," ",[1]!s_wq_pctchange($C622,$N$1))</f>
        <v xml:space="preserve"> </v>
      </c>
      <c r="M622" s="28" t="str">
        <f>IF(C622=""," ",[1]!s_mq_pctchange($C622,$N$1))</f>
        <v xml:space="preserve"> </v>
      </c>
      <c r="N622" s="28" t="str">
        <f>IF(C622=""," ",[1]!s_yq_pctchange($C622,$N$1))</f>
        <v xml:space="preserve"> </v>
      </c>
      <c r="O622" s="11"/>
      <c r="P622" s="7"/>
    </row>
    <row r="623" spans="1:16" x14ac:dyDescent="0.35">
      <c r="A623" s="7"/>
      <c r="C623" s="30" t="str">
        <f>IF(指数列表!B620="","",指数列表!B620)</f>
        <v/>
      </c>
      <c r="D623" s="35" t="str">
        <f>IF(C623="","",[1]!s_info_name(C623))</f>
        <v/>
      </c>
      <c r="E623" s="24" t="str">
        <f>IF(C623="","",[1]!s_dq_close(C623,$N$1))</f>
        <v/>
      </c>
      <c r="F623" s="28" t="str">
        <f>IF($C623=""," ",[1]!i_pq_pctchange($C623,F$6,$N$1))</f>
        <v xml:space="preserve"> </v>
      </c>
      <c r="G623" s="28" t="str">
        <f>IF($C623=""," ",[1]!i_pq_pctchange($C623,G$6,$N$1))</f>
        <v xml:space="preserve"> </v>
      </c>
      <c r="H623" s="28" t="str">
        <f>IF($C623=""," ",[1]!i_pq_pctchange($C623,H$6,$N$1))</f>
        <v xml:space="preserve"> </v>
      </c>
      <c r="I623" s="28" t="str">
        <f>IF($C623=""," ",[1]!i_pq_pctchange($C623,I$6,$N$1))</f>
        <v xml:space="preserve"> </v>
      </c>
      <c r="J623" s="28" t="str">
        <f>IF($C623=""," ",[1]!i_pq_pctchange($C623,J$6,$N$1))</f>
        <v xml:space="preserve"> </v>
      </c>
      <c r="K623" s="28" t="str">
        <f>IF($C623=""," ",[1]!i_pq_pctchange($C623,K$6,$N$1))</f>
        <v xml:space="preserve"> </v>
      </c>
      <c r="L623" s="28" t="str">
        <f>IF(C623=""," ",[1]!s_wq_pctchange($C623,$N$1))</f>
        <v xml:space="preserve"> </v>
      </c>
      <c r="M623" s="28" t="str">
        <f>IF(C623=""," ",[1]!s_mq_pctchange($C623,$N$1))</f>
        <v xml:space="preserve"> </v>
      </c>
      <c r="N623" s="28" t="str">
        <f>IF(C623=""," ",[1]!s_yq_pctchange($C623,$N$1))</f>
        <v xml:space="preserve"> </v>
      </c>
      <c r="O623" s="11"/>
      <c r="P623" s="7"/>
    </row>
    <row r="624" spans="1:16" x14ac:dyDescent="0.35">
      <c r="A624" s="7"/>
      <c r="C624" s="31" t="str">
        <f>IF(指数列表!B621="","",指数列表!B621)</f>
        <v/>
      </c>
      <c r="D624" s="36" t="str">
        <f>IF(C624="","",[1]!s_info_name(C624))</f>
        <v/>
      </c>
      <c r="E624" s="25" t="str">
        <f>IF(C624="","",[1]!s_dq_close(C624,$N$1))</f>
        <v/>
      </c>
      <c r="F624" s="28" t="str">
        <f>IF($C624=""," ",[1]!i_pq_pctchange($C624,F$6,$N$1))</f>
        <v xml:space="preserve"> </v>
      </c>
      <c r="G624" s="28" t="str">
        <f>IF($C624=""," ",[1]!i_pq_pctchange($C624,G$6,$N$1))</f>
        <v xml:space="preserve"> </v>
      </c>
      <c r="H624" s="28" t="str">
        <f>IF($C624=""," ",[1]!i_pq_pctchange($C624,H$6,$N$1))</f>
        <v xml:space="preserve"> </v>
      </c>
      <c r="I624" s="28" t="str">
        <f>IF($C624=""," ",[1]!i_pq_pctchange($C624,I$6,$N$1))</f>
        <v xml:space="preserve"> </v>
      </c>
      <c r="J624" s="28" t="str">
        <f>IF($C624=""," ",[1]!i_pq_pctchange($C624,J$6,$N$1))</f>
        <v xml:space="preserve"> </v>
      </c>
      <c r="K624" s="28" t="str">
        <f>IF($C624=""," ",[1]!i_pq_pctchange($C624,K$6,$N$1))</f>
        <v xml:space="preserve"> </v>
      </c>
      <c r="L624" s="28" t="str">
        <f>IF(C624=""," ",[1]!s_wq_pctchange($C624,$N$1))</f>
        <v xml:space="preserve"> </v>
      </c>
      <c r="M624" s="28" t="str">
        <f>IF(C624=""," ",[1]!s_mq_pctchange($C624,$N$1))</f>
        <v xml:space="preserve"> </v>
      </c>
      <c r="N624" s="28" t="str">
        <f>IF(C624=""," ",[1]!s_yq_pctchange($C624,$N$1))</f>
        <v xml:space="preserve"> </v>
      </c>
      <c r="O624" s="11"/>
      <c r="P624" s="7"/>
    </row>
    <row r="625" spans="1:16" x14ac:dyDescent="0.35">
      <c r="A625" s="7"/>
      <c r="C625" s="30" t="str">
        <f>IF(指数列表!B622="","",指数列表!B622)</f>
        <v/>
      </c>
      <c r="D625" s="35" t="str">
        <f>IF(C625="","",[1]!s_info_name(C625))</f>
        <v/>
      </c>
      <c r="E625" s="24" t="str">
        <f>IF(C625="","",[1]!s_dq_close(C625,$N$1))</f>
        <v/>
      </c>
      <c r="F625" s="28" t="str">
        <f>IF($C625=""," ",[1]!i_pq_pctchange($C625,F$6,$N$1))</f>
        <v xml:space="preserve"> </v>
      </c>
      <c r="G625" s="28" t="str">
        <f>IF($C625=""," ",[1]!i_pq_pctchange($C625,G$6,$N$1))</f>
        <v xml:space="preserve"> </v>
      </c>
      <c r="H625" s="28" t="str">
        <f>IF($C625=""," ",[1]!i_pq_pctchange($C625,H$6,$N$1))</f>
        <v xml:space="preserve"> </v>
      </c>
      <c r="I625" s="28" t="str">
        <f>IF($C625=""," ",[1]!i_pq_pctchange($C625,I$6,$N$1))</f>
        <v xml:space="preserve"> </v>
      </c>
      <c r="J625" s="28" t="str">
        <f>IF($C625=""," ",[1]!i_pq_pctchange($C625,J$6,$N$1))</f>
        <v xml:space="preserve"> </v>
      </c>
      <c r="K625" s="28" t="str">
        <f>IF($C625=""," ",[1]!i_pq_pctchange($C625,K$6,$N$1))</f>
        <v xml:space="preserve"> </v>
      </c>
      <c r="L625" s="28" t="str">
        <f>IF(C625=""," ",[1]!s_wq_pctchange($C625,$N$1))</f>
        <v xml:space="preserve"> </v>
      </c>
      <c r="M625" s="28" t="str">
        <f>IF(C625=""," ",[1]!s_mq_pctchange($C625,$N$1))</f>
        <v xml:space="preserve"> </v>
      </c>
      <c r="N625" s="28" t="str">
        <f>IF(C625=""," ",[1]!s_yq_pctchange($C625,$N$1))</f>
        <v xml:space="preserve"> </v>
      </c>
      <c r="O625" s="11"/>
      <c r="P625" s="7"/>
    </row>
    <row r="626" spans="1:16" x14ac:dyDescent="0.35">
      <c r="A626" s="7"/>
      <c r="C626" s="31" t="str">
        <f>IF(指数列表!B623="","",指数列表!B623)</f>
        <v/>
      </c>
      <c r="D626" s="36" t="str">
        <f>IF(C626="","",[1]!s_info_name(C626))</f>
        <v/>
      </c>
      <c r="E626" s="25" t="str">
        <f>IF(C626="","",[1]!s_dq_close(C626,$N$1))</f>
        <v/>
      </c>
      <c r="F626" s="28" t="str">
        <f>IF($C626=""," ",[1]!i_pq_pctchange($C626,F$6,$N$1))</f>
        <v xml:space="preserve"> </v>
      </c>
      <c r="G626" s="28" t="str">
        <f>IF($C626=""," ",[1]!i_pq_pctchange($C626,G$6,$N$1))</f>
        <v xml:space="preserve"> </v>
      </c>
      <c r="H626" s="28" t="str">
        <f>IF($C626=""," ",[1]!i_pq_pctchange($C626,H$6,$N$1))</f>
        <v xml:space="preserve"> </v>
      </c>
      <c r="I626" s="28" t="str">
        <f>IF($C626=""," ",[1]!i_pq_pctchange($C626,I$6,$N$1))</f>
        <v xml:space="preserve"> </v>
      </c>
      <c r="J626" s="28" t="str">
        <f>IF($C626=""," ",[1]!i_pq_pctchange($C626,J$6,$N$1))</f>
        <v xml:space="preserve"> </v>
      </c>
      <c r="K626" s="28" t="str">
        <f>IF($C626=""," ",[1]!i_pq_pctchange($C626,K$6,$N$1))</f>
        <v xml:space="preserve"> </v>
      </c>
      <c r="L626" s="28" t="str">
        <f>IF(C626=""," ",[1]!s_wq_pctchange($C626,$N$1))</f>
        <v xml:space="preserve"> </v>
      </c>
      <c r="M626" s="28" t="str">
        <f>IF(C626=""," ",[1]!s_mq_pctchange($C626,$N$1))</f>
        <v xml:space="preserve"> </v>
      </c>
      <c r="N626" s="28" t="str">
        <f>IF(C626=""," ",[1]!s_yq_pctchange($C626,$N$1))</f>
        <v xml:space="preserve"> </v>
      </c>
      <c r="O626" s="11"/>
      <c r="P626" s="7"/>
    </row>
    <row r="627" spans="1:16" x14ac:dyDescent="0.35">
      <c r="A627" s="7"/>
      <c r="C627" s="30" t="str">
        <f>IF(指数列表!B624="","",指数列表!B624)</f>
        <v/>
      </c>
      <c r="D627" s="35" t="str">
        <f>IF(C627="","",[1]!s_info_name(C627))</f>
        <v/>
      </c>
      <c r="E627" s="24" t="str">
        <f>IF(C627="","",[1]!s_dq_close(C627,$N$1))</f>
        <v/>
      </c>
      <c r="F627" s="28" t="str">
        <f>IF($C627=""," ",[1]!i_pq_pctchange($C627,F$6,$N$1))</f>
        <v xml:space="preserve"> </v>
      </c>
      <c r="G627" s="28" t="str">
        <f>IF($C627=""," ",[1]!i_pq_pctchange($C627,G$6,$N$1))</f>
        <v xml:space="preserve"> </v>
      </c>
      <c r="H627" s="28" t="str">
        <f>IF($C627=""," ",[1]!i_pq_pctchange($C627,H$6,$N$1))</f>
        <v xml:space="preserve"> </v>
      </c>
      <c r="I627" s="28" t="str">
        <f>IF($C627=""," ",[1]!i_pq_pctchange($C627,I$6,$N$1))</f>
        <v xml:space="preserve"> </v>
      </c>
      <c r="J627" s="28" t="str">
        <f>IF($C627=""," ",[1]!i_pq_pctchange($C627,J$6,$N$1))</f>
        <v xml:space="preserve"> </v>
      </c>
      <c r="K627" s="28" t="str">
        <f>IF($C627=""," ",[1]!i_pq_pctchange($C627,K$6,$N$1))</f>
        <v xml:space="preserve"> </v>
      </c>
      <c r="L627" s="28" t="str">
        <f>IF(C627=""," ",[1]!s_wq_pctchange($C627,$N$1))</f>
        <v xml:space="preserve"> </v>
      </c>
      <c r="M627" s="28" t="str">
        <f>IF(C627=""," ",[1]!s_mq_pctchange($C627,$N$1))</f>
        <v xml:space="preserve"> </v>
      </c>
      <c r="N627" s="28" t="str">
        <f>IF(C627=""," ",[1]!s_yq_pctchange($C627,$N$1))</f>
        <v xml:space="preserve"> </v>
      </c>
      <c r="O627" s="11"/>
      <c r="P627" s="7"/>
    </row>
    <row r="628" spans="1:16" x14ac:dyDescent="0.35">
      <c r="A628" s="7"/>
      <c r="C628" s="31" t="str">
        <f>IF(指数列表!B625="","",指数列表!B625)</f>
        <v/>
      </c>
      <c r="D628" s="36" t="str">
        <f>IF(C628="","",[1]!s_info_name(C628))</f>
        <v/>
      </c>
      <c r="E628" s="25" t="str">
        <f>IF(C628="","",[1]!s_dq_close(C628,$N$1))</f>
        <v/>
      </c>
      <c r="F628" s="28" t="str">
        <f>IF($C628=""," ",[1]!i_pq_pctchange($C628,F$6,$N$1))</f>
        <v xml:space="preserve"> </v>
      </c>
      <c r="G628" s="28" t="str">
        <f>IF($C628=""," ",[1]!i_pq_pctchange($C628,G$6,$N$1))</f>
        <v xml:space="preserve"> </v>
      </c>
      <c r="H628" s="28" t="str">
        <f>IF($C628=""," ",[1]!i_pq_pctchange($C628,H$6,$N$1))</f>
        <v xml:space="preserve"> </v>
      </c>
      <c r="I628" s="28" t="str">
        <f>IF($C628=""," ",[1]!i_pq_pctchange($C628,I$6,$N$1))</f>
        <v xml:space="preserve"> </v>
      </c>
      <c r="J628" s="28" t="str">
        <f>IF($C628=""," ",[1]!i_pq_pctchange($C628,J$6,$N$1))</f>
        <v xml:space="preserve"> </v>
      </c>
      <c r="K628" s="28" t="str">
        <f>IF($C628=""," ",[1]!i_pq_pctchange($C628,K$6,$N$1))</f>
        <v xml:space="preserve"> </v>
      </c>
      <c r="L628" s="28" t="str">
        <f>IF(C628=""," ",[1]!s_wq_pctchange($C628,$N$1))</f>
        <v xml:space="preserve"> </v>
      </c>
      <c r="M628" s="28" t="str">
        <f>IF(C628=""," ",[1]!s_mq_pctchange($C628,$N$1))</f>
        <v xml:space="preserve"> </v>
      </c>
      <c r="N628" s="28" t="str">
        <f>IF(C628=""," ",[1]!s_yq_pctchange($C628,$N$1))</f>
        <v xml:space="preserve"> </v>
      </c>
      <c r="O628" s="11"/>
      <c r="P628" s="7"/>
    </row>
    <row r="629" spans="1:16" x14ac:dyDescent="0.35">
      <c r="A629" s="7"/>
      <c r="C629" s="30" t="str">
        <f>IF(指数列表!B626="","",指数列表!B626)</f>
        <v/>
      </c>
      <c r="D629" s="35" t="str">
        <f>IF(C629="","",[1]!s_info_name(C629))</f>
        <v/>
      </c>
      <c r="E629" s="24" t="str">
        <f>IF(C629="","",[1]!s_dq_close(C629,$N$1))</f>
        <v/>
      </c>
      <c r="F629" s="28" t="str">
        <f>IF($C629=""," ",[1]!i_pq_pctchange($C629,F$6,$N$1))</f>
        <v xml:space="preserve"> </v>
      </c>
      <c r="G629" s="28" t="str">
        <f>IF($C629=""," ",[1]!i_pq_pctchange($C629,G$6,$N$1))</f>
        <v xml:space="preserve"> </v>
      </c>
      <c r="H629" s="28" t="str">
        <f>IF($C629=""," ",[1]!i_pq_pctchange($C629,H$6,$N$1))</f>
        <v xml:space="preserve"> </v>
      </c>
      <c r="I629" s="28" t="str">
        <f>IF($C629=""," ",[1]!i_pq_pctchange($C629,I$6,$N$1))</f>
        <v xml:space="preserve"> </v>
      </c>
      <c r="J629" s="28" t="str">
        <f>IF($C629=""," ",[1]!i_pq_pctchange($C629,J$6,$N$1))</f>
        <v xml:space="preserve"> </v>
      </c>
      <c r="K629" s="28" t="str">
        <f>IF($C629=""," ",[1]!i_pq_pctchange($C629,K$6,$N$1))</f>
        <v xml:space="preserve"> </v>
      </c>
      <c r="L629" s="28" t="str">
        <f>IF(C629=""," ",[1]!s_wq_pctchange($C629,$N$1))</f>
        <v xml:space="preserve"> </v>
      </c>
      <c r="M629" s="28" t="str">
        <f>IF(C629=""," ",[1]!s_mq_pctchange($C629,$N$1))</f>
        <v xml:space="preserve"> </v>
      </c>
      <c r="N629" s="28" t="str">
        <f>IF(C629=""," ",[1]!s_yq_pctchange($C629,$N$1))</f>
        <v xml:space="preserve"> </v>
      </c>
      <c r="O629" s="11"/>
      <c r="P629" s="7"/>
    </row>
    <row r="630" spans="1:16" x14ac:dyDescent="0.35">
      <c r="A630" s="7"/>
      <c r="C630" s="31" t="str">
        <f>IF(指数列表!B627="","",指数列表!B627)</f>
        <v/>
      </c>
      <c r="D630" s="36" t="str">
        <f>IF(C630="","",[1]!s_info_name(C630))</f>
        <v/>
      </c>
      <c r="E630" s="25" t="str">
        <f>IF(C630="","",[1]!s_dq_close(C630,$N$1))</f>
        <v/>
      </c>
      <c r="F630" s="28" t="str">
        <f>IF($C630=""," ",[1]!i_pq_pctchange($C630,F$6,$N$1))</f>
        <v xml:space="preserve"> </v>
      </c>
      <c r="G630" s="28" t="str">
        <f>IF($C630=""," ",[1]!i_pq_pctchange($C630,G$6,$N$1))</f>
        <v xml:space="preserve"> </v>
      </c>
      <c r="H630" s="28" t="str">
        <f>IF($C630=""," ",[1]!i_pq_pctchange($C630,H$6,$N$1))</f>
        <v xml:space="preserve"> </v>
      </c>
      <c r="I630" s="28" t="str">
        <f>IF($C630=""," ",[1]!i_pq_pctchange($C630,I$6,$N$1))</f>
        <v xml:space="preserve"> </v>
      </c>
      <c r="J630" s="28" t="str">
        <f>IF($C630=""," ",[1]!i_pq_pctchange($C630,J$6,$N$1))</f>
        <v xml:space="preserve"> </v>
      </c>
      <c r="K630" s="28" t="str">
        <f>IF($C630=""," ",[1]!i_pq_pctchange($C630,K$6,$N$1))</f>
        <v xml:space="preserve"> </v>
      </c>
      <c r="L630" s="28" t="str">
        <f>IF(C630=""," ",[1]!s_wq_pctchange($C630,$N$1))</f>
        <v xml:space="preserve"> </v>
      </c>
      <c r="M630" s="28" t="str">
        <f>IF(C630=""," ",[1]!s_mq_pctchange($C630,$N$1))</f>
        <v xml:space="preserve"> </v>
      </c>
      <c r="N630" s="28" t="str">
        <f>IF(C630=""," ",[1]!s_yq_pctchange($C630,$N$1))</f>
        <v xml:space="preserve"> </v>
      </c>
      <c r="O630" s="11"/>
      <c r="P630" s="7"/>
    </row>
    <row r="631" spans="1:16" x14ac:dyDescent="0.35">
      <c r="A631" s="7"/>
      <c r="C631" s="30" t="str">
        <f>IF(指数列表!B628="","",指数列表!B628)</f>
        <v/>
      </c>
      <c r="D631" s="35" t="str">
        <f>IF(C631="","",[1]!s_info_name(C631))</f>
        <v/>
      </c>
      <c r="E631" s="24" t="str">
        <f>IF(C631="","",[1]!s_dq_close(C631,$N$1))</f>
        <v/>
      </c>
      <c r="F631" s="28" t="str">
        <f>IF($C631=""," ",[1]!i_pq_pctchange($C631,F$6,$N$1))</f>
        <v xml:space="preserve"> </v>
      </c>
      <c r="G631" s="28" t="str">
        <f>IF($C631=""," ",[1]!i_pq_pctchange($C631,G$6,$N$1))</f>
        <v xml:space="preserve"> </v>
      </c>
      <c r="H631" s="28" t="str">
        <f>IF($C631=""," ",[1]!i_pq_pctchange($C631,H$6,$N$1))</f>
        <v xml:space="preserve"> </v>
      </c>
      <c r="I631" s="28" t="str">
        <f>IF($C631=""," ",[1]!i_pq_pctchange($C631,I$6,$N$1))</f>
        <v xml:space="preserve"> </v>
      </c>
      <c r="J631" s="28" t="str">
        <f>IF($C631=""," ",[1]!i_pq_pctchange($C631,J$6,$N$1))</f>
        <v xml:space="preserve"> </v>
      </c>
      <c r="K631" s="28" t="str">
        <f>IF($C631=""," ",[1]!i_pq_pctchange($C631,K$6,$N$1))</f>
        <v xml:space="preserve"> </v>
      </c>
      <c r="L631" s="28" t="str">
        <f>IF(C631=""," ",[1]!s_wq_pctchange($C631,$N$1))</f>
        <v xml:space="preserve"> </v>
      </c>
      <c r="M631" s="28" t="str">
        <f>IF(C631=""," ",[1]!s_mq_pctchange($C631,$N$1))</f>
        <v xml:space="preserve"> </v>
      </c>
      <c r="N631" s="28" t="str">
        <f>IF(C631=""," ",[1]!s_yq_pctchange($C631,$N$1))</f>
        <v xml:space="preserve"> </v>
      </c>
      <c r="O631" s="11"/>
      <c r="P631" s="7"/>
    </row>
    <row r="632" spans="1:16" x14ac:dyDescent="0.35">
      <c r="A632" s="7"/>
      <c r="C632" s="31" t="str">
        <f>IF(指数列表!B629="","",指数列表!B629)</f>
        <v/>
      </c>
      <c r="D632" s="36" t="str">
        <f>IF(C632="","",[1]!s_info_name(C632))</f>
        <v/>
      </c>
      <c r="E632" s="25" t="str">
        <f>IF(C632="","",[1]!s_dq_close(C632,$N$1))</f>
        <v/>
      </c>
      <c r="F632" s="28" t="str">
        <f>IF($C632=""," ",[1]!i_pq_pctchange($C632,F$6,$N$1))</f>
        <v xml:space="preserve"> </v>
      </c>
      <c r="G632" s="28" t="str">
        <f>IF($C632=""," ",[1]!i_pq_pctchange($C632,G$6,$N$1))</f>
        <v xml:space="preserve"> </v>
      </c>
      <c r="H632" s="28" t="str">
        <f>IF($C632=""," ",[1]!i_pq_pctchange($C632,H$6,$N$1))</f>
        <v xml:space="preserve"> </v>
      </c>
      <c r="I632" s="28" t="str">
        <f>IF($C632=""," ",[1]!i_pq_pctchange($C632,I$6,$N$1))</f>
        <v xml:space="preserve"> </v>
      </c>
      <c r="J632" s="28" t="str">
        <f>IF($C632=""," ",[1]!i_pq_pctchange($C632,J$6,$N$1))</f>
        <v xml:space="preserve"> </v>
      </c>
      <c r="K632" s="28" t="str">
        <f>IF($C632=""," ",[1]!i_pq_pctchange($C632,K$6,$N$1))</f>
        <v xml:space="preserve"> </v>
      </c>
      <c r="L632" s="28" t="str">
        <f>IF(C632=""," ",[1]!s_wq_pctchange($C632,$N$1))</f>
        <v xml:space="preserve"> </v>
      </c>
      <c r="M632" s="28" t="str">
        <f>IF(C632=""," ",[1]!s_mq_pctchange($C632,$N$1))</f>
        <v xml:space="preserve"> </v>
      </c>
      <c r="N632" s="28" t="str">
        <f>IF(C632=""," ",[1]!s_yq_pctchange($C632,$N$1))</f>
        <v xml:space="preserve"> </v>
      </c>
      <c r="O632" s="11"/>
      <c r="P632" s="7"/>
    </row>
    <row r="633" spans="1:16" x14ac:dyDescent="0.35">
      <c r="A633" s="7"/>
      <c r="C633" s="30" t="str">
        <f>IF(指数列表!B630="","",指数列表!B630)</f>
        <v/>
      </c>
      <c r="D633" s="35" t="str">
        <f>IF(C633="","",[1]!s_info_name(C633))</f>
        <v/>
      </c>
      <c r="E633" s="24" t="str">
        <f>IF(C633="","",[1]!s_dq_close(C633,$N$1))</f>
        <v/>
      </c>
      <c r="F633" s="28" t="str">
        <f>IF($C633=""," ",[1]!i_pq_pctchange($C633,F$6,$N$1))</f>
        <v xml:space="preserve"> </v>
      </c>
      <c r="G633" s="28" t="str">
        <f>IF($C633=""," ",[1]!i_pq_pctchange($C633,G$6,$N$1))</f>
        <v xml:space="preserve"> </v>
      </c>
      <c r="H633" s="28" t="str">
        <f>IF($C633=""," ",[1]!i_pq_pctchange($C633,H$6,$N$1))</f>
        <v xml:space="preserve"> </v>
      </c>
      <c r="I633" s="28" t="str">
        <f>IF($C633=""," ",[1]!i_pq_pctchange($C633,I$6,$N$1))</f>
        <v xml:space="preserve"> </v>
      </c>
      <c r="J633" s="28" t="str">
        <f>IF($C633=""," ",[1]!i_pq_pctchange($C633,J$6,$N$1))</f>
        <v xml:space="preserve"> </v>
      </c>
      <c r="K633" s="28" t="str">
        <f>IF($C633=""," ",[1]!i_pq_pctchange($C633,K$6,$N$1))</f>
        <v xml:space="preserve"> </v>
      </c>
      <c r="L633" s="28" t="str">
        <f>IF(C633=""," ",[1]!s_wq_pctchange($C633,$N$1))</f>
        <v xml:space="preserve"> </v>
      </c>
      <c r="M633" s="28" t="str">
        <f>IF(C633=""," ",[1]!s_mq_pctchange($C633,$N$1))</f>
        <v xml:space="preserve"> </v>
      </c>
      <c r="N633" s="28" t="str">
        <f>IF(C633=""," ",[1]!s_yq_pctchange($C633,$N$1))</f>
        <v xml:space="preserve"> </v>
      </c>
      <c r="O633" s="11"/>
      <c r="P633" s="7"/>
    </row>
    <row r="634" spans="1:16" x14ac:dyDescent="0.35">
      <c r="A634" s="7"/>
      <c r="C634" s="31" t="str">
        <f>IF(指数列表!B631="","",指数列表!B631)</f>
        <v/>
      </c>
      <c r="D634" s="36" t="str">
        <f>IF(C634="","",[1]!s_info_name(C634))</f>
        <v/>
      </c>
      <c r="E634" s="25" t="str">
        <f>IF(C634="","",[1]!s_dq_close(C634,$N$1))</f>
        <v/>
      </c>
      <c r="F634" s="28" t="str">
        <f>IF($C634=""," ",[1]!i_pq_pctchange($C634,F$6,$N$1))</f>
        <v xml:space="preserve"> </v>
      </c>
      <c r="G634" s="28" t="str">
        <f>IF($C634=""," ",[1]!i_pq_pctchange($C634,G$6,$N$1))</f>
        <v xml:space="preserve"> </v>
      </c>
      <c r="H634" s="28" t="str">
        <f>IF($C634=""," ",[1]!i_pq_pctchange($C634,H$6,$N$1))</f>
        <v xml:space="preserve"> </v>
      </c>
      <c r="I634" s="28" t="str">
        <f>IF($C634=""," ",[1]!i_pq_pctchange($C634,I$6,$N$1))</f>
        <v xml:space="preserve"> </v>
      </c>
      <c r="J634" s="28" t="str">
        <f>IF($C634=""," ",[1]!i_pq_pctchange($C634,J$6,$N$1))</f>
        <v xml:space="preserve"> </v>
      </c>
      <c r="K634" s="28" t="str">
        <f>IF($C634=""," ",[1]!i_pq_pctchange($C634,K$6,$N$1))</f>
        <v xml:space="preserve"> </v>
      </c>
      <c r="L634" s="28" t="str">
        <f>IF(C634=""," ",[1]!s_wq_pctchange($C634,$N$1))</f>
        <v xml:space="preserve"> </v>
      </c>
      <c r="M634" s="28" t="str">
        <f>IF(C634=""," ",[1]!s_mq_pctchange($C634,$N$1))</f>
        <v xml:space="preserve"> </v>
      </c>
      <c r="N634" s="28" t="str">
        <f>IF(C634=""," ",[1]!s_yq_pctchange($C634,$N$1))</f>
        <v xml:space="preserve"> </v>
      </c>
      <c r="O634" s="11"/>
      <c r="P634" s="7"/>
    </row>
    <row r="635" spans="1:16" x14ac:dyDescent="0.35">
      <c r="A635" s="7"/>
      <c r="C635" s="30" t="str">
        <f>IF(指数列表!B632="","",指数列表!B632)</f>
        <v/>
      </c>
      <c r="D635" s="35" t="str">
        <f>IF(C635="","",[1]!s_info_name(C635))</f>
        <v/>
      </c>
      <c r="E635" s="24" t="str">
        <f>IF(C635="","",[1]!s_dq_close(C635,$N$1))</f>
        <v/>
      </c>
      <c r="F635" s="28" t="str">
        <f>IF($C635=""," ",[1]!i_pq_pctchange($C635,F$6,$N$1))</f>
        <v xml:space="preserve"> </v>
      </c>
      <c r="G635" s="28" t="str">
        <f>IF($C635=""," ",[1]!i_pq_pctchange($C635,G$6,$N$1))</f>
        <v xml:space="preserve"> </v>
      </c>
      <c r="H635" s="28" t="str">
        <f>IF($C635=""," ",[1]!i_pq_pctchange($C635,H$6,$N$1))</f>
        <v xml:space="preserve"> </v>
      </c>
      <c r="I635" s="28" t="str">
        <f>IF($C635=""," ",[1]!i_pq_pctchange($C635,I$6,$N$1))</f>
        <v xml:space="preserve"> </v>
      </c>
      <c r="J635" s="28" t="str">
        <f>IF($C635=""," ",[1]!i_pq_pctchange($C635,J$6,$N$1))</f>
        <v xml:space="preserve"> </v>
      </c>
      <c r="K635" s="28" t="str">
        <f>IF($C635=""," ",[1]!i_pq_pctchange($C635,K$6,$N$1))</f>
        <v xml:space="preserve"> </v>
      </c>
      <c r="L635" s="28" t="str">
        <f>IF(C635=""," ",[1]!s_wq_pctchange($C635,$N$1))</f>
        <v xml:space="preserve"> </v>
      </c>
      <c r="M635" s="28" t="str">
        <f>IF(C635=""," ",[1]!s_mq_pctchange($C635,$N$1))</f>
        <v xml:space="preserve"> </v>
      </c>
      <c r="N635" s="28" t="str">
        <f>IF(C635=""," ",[1]!s_yq_pctchange($C635,$N$1))</f>
        <v xml:space="preserve"> </v>
      </c>
      <c r="O635" s="11"/>
      <c r="P635" s="7"/>
    </row>
    <row r="636" spans="1:16" x14ac:dyDescent="0.35">
      <c r="A636" s="7"/>
      <c r="C636" s="31" t="str">
        <f>IF(指数列表!B633="","",指数列表!B633)</f>
        <v/>
      </c>
      <c r="D636" s="36" t="str">
        <f>IF(C636="","",[1]!s_info_name(C636))</f>
        <v/>
      </c>
      <c r="E636" s="25" t="str">
        <f>IF(C636="","",[1]!s_dq_close(C636,$N$1))</f>
        <v/>
      </c>
      <c r="F636" s="28" t="str">
        <f>IF($C636=""," ",[1]!i_pq_pctchange($C636,F$6,$N$1))</f>
        <v xml:space="preserve"> </v>
      </c>
      <c r="G636" s="28" t="str">
        <f>IF($C636=""," ",[1]!i_pq_pctchange($C636,G$6,$N$1))</f>
        <v xml:space="preserve"> </v>
      </c>
      <c r="H636" s="28" t="str">
        <f>IF($C636=""," ",[1]!i_pq_pctchange($C636,H$6,$N$1))</f>
        <v xml:space="preserve"> </v>
      </c>
      <c r="I636" s="28" t="str">
        <f>IF($C636=""," ",[1]!i_pq_pctchange($C636,I$6,$N$1))</f>
        <v xml:space="preserve"> </v>
      </c>
      <c r="J636" s="28" t="str">
        <f>IF($C636=""," ",[1]!i_pq_pctchange($C636,J$6,$N$1))</f>
        <v xml:space="preserve"> </v>
      </c>
      <c r="K636" s="28" t="str">
        <f>IF($C636=""," ",[1]!i_pq_pctchange($C636,K$6,$N$1))</f>
        <v xml:space="preserve"> </v>
      </c>
      <c r="L636" s="28" t="str">
        <f>IF(C636=""," ",[1]!s_wq_pctchange($C636,$N$1))</f>
        <v xml:space="preserve"> </v>
      </c>
      <c r="M636" s="28" t="str">
        <f>IF(C636=""," ",[1]!s_mq_pctchange($C636,$N$1))</f>
        <v xml:space="preserve"> </v>
      </c>
      <c r="N636" s="28" t="str">
        <f>IF(C636=""," ",[1]!s_yq_pctchange($C636,$N$1))</f>
        <v xml:space="preserve"> </v>
      </c>
      <c r="O636" s="11"/>
      <c r="P636" s="7"/>
    </row>
    <row r="637" spans="1:16" x14ac:dyDescent="0.35">
      <c r="A637" s="7"/>
      <c r="C637" s="30" t="str">
        <f>IF(指数列表!B634="","",指数列表!B634)</f>
        <v/>
      </c>
      <c r="D637" s="35" t="str">
        <f>IF(C637="","",[1]!s_info_name(C637))</f>
        <v/>
      </c>
      <c r="E637" s="24" t="str">
        <f>IF(C637="","",[1]!s_dq_close(C637,$N$1))</f>
        <v/>
      </c>
      <c r="F637" s="28" t="str">
        <f>IF($C637=""," ",[1]!i_pq_pctchange($C637,F$6,$N$1))</f>
        <v xml:space="preserve"> </v>
      </c>
      <c r="G637" s="28" t="str">
        <f>IF($C637=""," ",[1]!i_pq_pctchange($C637,G$6,$N$1))</f>
        <v xml:space="preserve"> </v>
      </c>
      <c r="H637" s="28" t="str">
        <f>IF($C637=""," ",[1]!i_pq_pctchange($C637,H$6,$N$1))</f>
        <v xml:space="preserve"> </v>
      </c>
      <c r="I637" s="28" t="str">
        <f>IF($C637=""," ",[1]!i_pq_pctchange($C637,I$6,$N$1))</f>
        <v xml:space="preserve"> </v>
      </c>
      <c r="J637" s="28" t="str">
        <f>IF($C637=""," ",[1]!i_pq_pctchange($C637,J$6,$N$1))</f>
        <v xml:space="preserve"> </v>
      </c>
      <c r="K637" s="28" t="str">
        <f>IF($C637=""," ",[1]!i_pq_pctchange($C637,K$6,$N$1))</f>
        <v xml:space="preserve"> </v>
      </c>
      <c r="L637" s="28" t="str">
        <f>IF(C637=""," ",[1]!s_wq_pctchange($C637,$N$1))</f>
        <v xml:space="preserve"> </v>
      </c>
      <c r="M637" s="28" t="str">
        <f>IF(C637=""," ",[1]!s_mq_pctchange($C637,$N$1))</f>
        <v xml:space="preserve"> </v>
      </c>
      <c r="N637" s="28" t="str">
        <f>IF(C637=""," ",[1]!s_yq_pctchange($C637,$N$1))</f>
        <v xml:space="preserve"> </v>
      </c>
      <c r="O637" s="11"/>
      <c r="P637" s="7"/>
    </row>
    <row r="638" spans="1:16" x14ac:dyDescent="0.35">
      <c r="A638" s="7"/>
      <c r="C638" s="31" t="str">
        <f>IF(指数列表!B635="","",指数列表!B635)</f>
        <v/>
      </c>
      <c r="D638" s="36" t="str">
        <f>IF(C638="","",[1]!s_info_name(C638))</f>
        <v/>
      </c>
      <c r="E638" s="25" t="str">
        <f>IF(C638="","",[1]!s_dq_close(C638,$N$1))</f>
        <v/>
      </c>
      <c r="F638" s="28" t="str">
        <f>IF($C638=""," ",[1]!i_pq_pctchange($C638,F$6,$N$1))</f>
        <v xml:space="preserve"> </v>
      </c>
      <c r="G638" s="28" t="str">
        <f>IF($C638=""," ",[1]!i_pq_pctchange($C638,G$6,$N$1))</f>
        <v xml:space="preserve"> </v>
      </c>
      <c r="H638" s="28" t="str">
        <f>IF($C638=""," ",[1]!i_pq_pctchange($C638,H$6,$N$1))</f>
        <v xml:space="preserve"> </v>
      </c>
      <c r="I638" s="28" t="str">
        <f>IF($C638=""," ",[1]!i_pq_pctchange($C638,I$6,$N$1))</f>
        <v xml:space="preserve"> </v>
      </c>
      <c r="J638" s="28" t="str">
        <f>IF($C638=""," ",[1]!i_pq_pctchange($C638,J$6,$N$1))</f>
        <v xml:space="preserve"> </v>
      </c>
      <c r="K638" s="28" t="str">
        <f>IF($C638=""," ",[1]!i_pq_pctchange($C638,K$6,$N$1))</f>
        <v xml:space="preserve"> </v>
      </c>
      <c r="L638" s="28" t="str">
        <f>IF(C638=""," ",[1]!s_wq_pctchange($C638,$N$1))</f>
        <v xml:space="preserve"> </v>
      </c>
      <c r="M638" s="28" t="str">
        <f>IF(C638=""," ",[1]!s_mq_pctchange($C638,$N$1))</f>
        <v xml:space="preserve"> </v>
      </c>
      <c r="N638" s="28" t="str">
        <f>IF(C638=""," ",[1]!s_yq_pctchange($C638,$N$1))</f>
        <v xml:space="preserve"> </v>
      </c>
      <c r="O638" s="11"/>
      <c r="P638" s="7"/>
    </row>
    <row r="639" spans="1:16" x14ac:dyDescent="0.35">
      <c r="A639" s="7"/>
      <c r="C639" s="30" t="str">
        <f>IF(指数列表!B636="","",指数列表!B636)</f>
        <v/>
      </c>
      <c r="D639" s="35" t="str">
        <f>IF(C639="","",[1]!s_info_name(C639))</f>
        <v/>
      </c>
      <c r="E639" s="24" t="str">
        <f>IF(C639="","",[1]!s_dq_close(C639,$N$1))</f>
        <v/>
      </c>
      <c r="F639" s="28" t="str">
        <f>IF($C639=""," ",[1]!i_pq_pctchange($C639,F$6,$N$1))</f>
        <v xml:space="preserve"> </v>
      </c>
      <c r="G639" s="28" t="str">
        <f>IF($C639=""," ",[1]!i_pq_pctchange($C639,G$6,$N$1))</f>
        <v xml:space="preserve"> </v>
      </c>
      <c r="H639" s="28" t="str">
        <f>IF($C639=""," ",[1]!i_pq_pctchange($C639,H$6,$N$1))</f>
        <v xml:space="preserve"> </v>
      </c>
      <c r="I639" s="28" t="str">
        <f>IF($C639=""," ",[1]!i_pq_pctchange($C639,I$6,$N$1))</f>
        <v xml:space="preserve"> </v>
      </c>
      <c r="J639" s="28" t="str">
        <f>IF($C639=""," ",[1]!i_pq_pctchange($C639,J$6,$N$1))</f>
        <v xml:space="preserve"> </v>
      </c>
      <c r="K639" s="28" t="str">
        <f>IF($C639=""," ",[1]!i_pq_pctchange($C639,K$6,$N$1))</f>
        <v xml:space="preserve"> </v>
      </c>
      <c r="L639" s="28" t="str">
        <f>IF(C639=""," ",[1]!s_wq_pctchange($C639,$N$1))</f>
        <v xml:space="preserve"> </v>
      </c>
      <c r="M639" s="28" t="str">
        <f>IF(C639=""," ",[1]!s_mq_pctchange($C639,$N$1))</f>
        <v xml:space="preserve"> </v>
      </c>
      <c r="N639" s="28" t="str">
        <f>IF(C639=""," ",[1]!s_yq_pctchange($C639,$N$1))</f>
        <v xml:space="preserve"> </v>
      </c>
      <c r="O639" s="11"/>
      <c r="P639" s="7"/>
    </row>
    <row r="640" spans="1:16" x14ac:dyDescent="0.35">
      <c r="A640" s="7"/>
      <c r="C640" s="31" t="str">
        <f>IF(指数列表!B637="","",指数列表!B637)</f>
        <v/>
      </c>
      <c r="D640" s="36" t="str">
        <f>IF(C640="","",[1]!s_info_name(C640))</f>
        <v/>
      </c>
      <c r="E640" s="25" t="str">
        <f>IF(C640="","",[1]!s_dq_close(C640,$N$1))</f>
        <v/>
      </c>
      <c r="F640" s="28" t="str">
        <f>IF($C640=""," ",[1]!i_pq_pctchange($C640,F$6,$N$1))</f>
        <v xml:space="preserve"> </v>
      </c>
      <c r="G640" s="28" t="str">
        <f>IF($C640=""," ",[1]!i_pq_pctchange($C640,G$6,$N$1))</f>
        <v xml:space="preserve"> </v>
      </c>
      <c r="H640" s="28" t="str">
        <f>IF($C640=""," ",[1]!i_pq_pctchange($C640,H$6,$N$1))</f>
        <v xml:space="preserve"> </v>
      </c>
      <c r="I640" s="28" t="str">
        <f>IF($C640=""," ",[1]!i_pq_pctchange($C640,I$6,$N$1))</f>
        <v xml:space="preserve"> </v>
      </c>
      <c r="J640" s="28" t="str">
        <f>IF($C640=""," ",[1]!i_pq_pctchange($C640,J$6,$N$1))</f>
        <v xml:space="preserve"> </v>
      </c>
      <c r="K640" s="28" t="str">
        <f>IF($C640=""," ",[1]!i_pq_pctchange($C640,K$6,$N$1))</f>
        <v xml:space="preserve"> </v>
      </c>
      <c r="L640" s="28" t="str">
        <f>IF(C640=""," ",[1]!s_wq_pctchange($C640,$N$1))</f>
        <v xml:space="preserve"> </v>
      </c>
      <c r="M640" s="28" t="str">
        <f>IF(C640=""," ",[1]!s_mq_pctchange($C640,$N$1))</f>
        <v xml:space="preserve"> </v>
      </c>
      <c r="N640" s="28" t="str">
        <f>IF(C640=""," ",[1]!s_yq_pctchange($C640,$N$1))</f>
        <v xml:space="preserve"> </v>
      </c>
      <c r="O640" s="11"/>
      <c r="P640" s="7"/>
    </row>
    <row r="641" spans="1:16" x14ac:dyDescent="0.35">
      <c r="A641" s="7"/>
      <c r="C641" s="30" t="str">
        <f>IF(指数列表!B638="","",指数列表!B638)</f>
        <v/>
      </c>
      <c r="D641" s="35" t="str">
        <f>IF(C641="","",[1]!s_info_name(C641))</f>
        <v/>
      </c>
      <c r="E641" s="24" t="str">
        <f>IF(C641="","",[1]!s_dq_close(C641,$N$1))</f>
        <v/>
      </c>
      <c r="F641" s="28" t="str">
        <f>IF($C641=""," ",[1]!i_pq_pctchange($C641,F$6,$N$1))</f>
        <v xml:space="preserve"> </v>
      </c>
      <c r="G641" s="28" t="str">
        <f>IF($C641=""," ",[1]!i_pq_pctchange($C641,G$6,$N$1))</f>
        <v xml:space="preserve"> </v>
      </c>
      <c r="H641" s="28" t="str">
        <f>IF($C641=""," ",[1]!i_pq_pctchange($C641,H$6,$N$1))</f>
        <v xml:space="preserve"> </v>
      </c>
      <c r="I641" s="28" t="str">
        <f>IF($C641=""," ",[1]!i_pq_pctchange($C641,I$6,$N$1))</f>
        <v xml:space="preserve"> </v>
      </c>
      <c r="J641" s="28" t="str">
        <f>IF($C641=""," ",[1]!i_pq_pctchange($C641,J$6,$N$1))</f>
        <v xml:space="preserve"> </v>
      </c>
      <c r="K641" s="28" t="str">
        <f>IF($C641=""," ",[1]!i_pq_pctchange($C641,K$6,$N$1))</f>
        <v xml:space="preserve"> </v>
      </c>
      <c r="L641" s="28" t="str">
        <f>IF(C641=""," ",[1]!s_wq_pctchange($C641,$N$1))</f>
        <v xml:space="preserve"> </v>
      </c>
      <c r="M641" s="28" t="str">
        <f>IF(C641=""," ",[1]!s_mq_pctchange($C641,$N$1))</f>
        <v xml:space="preserve"> </v>
      </c>
      <c r="N641" s="28" t="str">
        <f>IF(C641=""," ",[1]!s_yq_pctchange($C641,$N$1))</f>
        <v xml:space="preserve"> </v>
      </c>
      <c r="O641" s="11"/>
      <c r="P641" s="7"/>
    </row>
    <row r="642" spans="1:16" x14ac:dyDescent="0.35">
      <c r="A642" s="7"/>
      <c r="C642" s="31" t="str">
        <f>IF(指数列表!B639="","",指数列表!B639)</f>
        <v/>
      </c>
      <c r="D642" s="36" t="str">
        <f>IF(C642="","",[1]!s_info_name(C642))</f>
        <v/>
      </c>
      <c r="E642" s="25" t="str">
        <f>IF(C642="","",[1]!s_dq_close(C642,$N$1))</f>
        <v/>
      </c>
      <c r="F642" s="28" t="str">
        <f>IF($C642=""," ",[1]!i_pq_pctchange($C642,F$6,$N$1))</f>
        <v xml:space="preserve"> </v>
      </c>
      <c r="G642" s="28" t="str">
        <f>IF($C642=""," ",[1]!i_pq_pctchange($C642,G$6,$N$1))</f>
        <v xml:space="preserve"> </v>
      </c>
      <c r="H642" s="28" t="str">
        <f>IF($C642=""," ",[1]!i_pq_pctchange($C642,H$6,$N$1))</f>
        <v xml:space="preserve"> </v>
      </c>
      <c r="I642" s="28" t="str">
        <f>IF($C642=""," ",[1]!i_pq_pctchange($C642,I$6,$N$1))</f>
        <v xml:space="preserve"> </v>
      </c>
      <c r="J642" s="28" t="str">
        <f>IF($C642=""," ",[1]!i_pq_pctchange($C642,J$6,$N$1))</f>
        <v xml:space="preserve"> </v>
      </c>
      <c r="K642" s="28" t="str">
        <f>IF($C642=""," ",[1]!i_pq_pctchange($C642,K$6,$N$1))</f>
        <v xml:space="preserve"> </v>
      </c>
      <c r="L642" s="28" t="str">
        <f>IF(C642=""," ",[1]!s_wq_pctchange($C642,$N$1))</f>
        <v xml:space="preserve"> </v>
      </c>
      <c r="M642" s="28" t="str">
        <f>IF(C642=""," ",[1]!s_mq_pctchange($C642,$N$1))</f>
        <v xml:space="preserve"> </v>
      </c>
      <c r="N642" s="28" t="str">
        <f>IF(C642=""," ",[1]!s_yq_pctchange($C642,$N$1))</f>
        <v xml:space="preserve"> </v>
      </c>
      <c r="O642" s="11"/>
      <c r="P642" s="7"/>
    </row>
    <row r="643" spans="1:16" x14ac:dyDescent="0.35">
      <c r="A643" s="7"/>
      <c r="C643" s="30" t="str">
        <f>IF(指数列表!B640="","",指数列表!B640)</f>
        <v/>
      </c>
      <c r="D643" s="35" t="str">
        <f>IF(C643="","",[1]!s_info_name(C643))</f>
        <v/>
      </c>
      <c r="E643" s="24" t="str">
        <f>IF(C643="","",[1]!s_dq_close(C643,$N$1))</f>
        <v/>
      </c>
      <c r="F643" s="28" t="str">
        <f>IF($C643=""," ",[1]!i_pq_pctchange($C643,F$6,$N$1))</f>
        <v xml:space="preserve"> </v>
      </c>
      <c r="G643" s="28" t="str">
        <f>IF($C643=""," ",[1]!i_pq_pctchange($C643,G$6,$N$1))</f>
        <v xml:space="preserve"> </v>
      </c>
      <c r="H643" s="28" t="str">
        <f>IF($C643=""," ",[1]!i_pq_pctchange($C643,H$6,$N$1))</f>
        <v xml:space="preserve"> </v>
      </c>
      <c r="I643" s="28" t="str">
        <f>IF($C643=""," ",[1]!i_pq_pctchange($C643,I$6,$N$1))</f>
        <v xml:space="preserve"> </v>
      </c>
      <c r="J643" s="28" t="str">
        <f>IF($C643=""," ",[1]!i_pq_pctchange($C643,J$6,$N$1))</f>
        <v xml:space="preserve"> </v>
      </c>
      <c r="K643" s="28" t="str">
        <f>IF($C643=""," ",[1]!i_pq_pctchange($C643,K$6,$N$1))</f>
        <v xml:space="preserve"> </v>
      </c>
      <c r="L643" s="28" t="str">
        <f>IF(C643=""," ",[1]!s_wq_pctchange($C643,$N$1))</f>
        <v xml:space="preserve"> </v>
      </c>
      <c r="M643" s="28" t="str">
        <f>IF(C643=""," ",[1]!s_mq_pctchange($C643,$N$1))</f>
        <v xml:space="preserve"> </v>
      </c>
      <c r="N643" s="28" t="str">
        <f>IF(C643=""," ",[1]!s_yq_pctchange($C643,$N$1))</f>
        <v xml:space="preserve"> </v>
      </c>
      <c r="O643" s="11"/>
      <c r="P643" s="7"/>
    </row>
    <row r="644" spans="1:16" x14ac:dyDescent="0.35">
      <c r="A644" s="7"/>
      <c r="C644" s="31" t="str">
        <f>IF(指数列表!B641="","",指数列表!B641)</f>
        <v/>
      </c>
      <c r="D644" s="36" t="str">
        <f>IF(C644="","",[1]!s_info_name(C644))</f>
        <v/>
      </c>
      <c r="E644" s="25" t="str">
        <f>IF(C644="","",[1]!s_dq_close(C644,$N$1))</f>
        <v/>
      </c>
      <c r="F644" s="28" t="str">
        <f>IF($C644=""," ",[1]!i_pq_pctchange($C644,F$6,$N$1))</f>
        <v xml:space="preserve"> </v>
      </c>
      <c r="G644" s="28" t="str">
        <f>IF($C644=""," ",[1]!i_pq_pctchange($C644,G$6,$N$1))</f>
        <v xml:space="preserve"> </v>
      </c>
      <c r="H644" s="28" t="str">
        <f>IF($C644=""," ",[1]!i_pq_pctchange($C644,H$6,$N$1))</f>
        <v xml:space="preserve"> </v>
      </c>
      <c r="I644" s="28" t="str">
        <f>IF($C644=""," ",[1]!i_pq_pctchange($C644,I$6,$N$1))</f>
        <v xml:space="preserve"> </v>
      </c>
      <c r="J644" s="28" t="str">
        <f>IF($C644=""," ",[1]!i_pq_pctchange($C644,J$6,$N$1))</f>
        <v xml:space="preserve"> </v>
      </c>
      <c r="K644" s="28" t="str">
        <f>IF($C644=""," ",[1]!i_pq_pctchange($C644,K$6,$N$1))</f>
        <v xml:space="preserve"> </v>
      </c>
      <c r="L644" s="28" t="str">
        <f>IF(C644=""," ",[1]!s_wq_pctchange($C644,$N$1))</f>
        <v xml:space="preserve"> </v>
      </c>
      <c r="M644" s="28" t="str">
        <f>IF(C644=""," ",[1]!s_mq_pctchange($C644,$N$1))</f>
        <v xml:space="preserve"> </v>
      </c>
      <c r="N644" s="28" t="str">
        <f>IF(C644=""," ",[1]!s_yq_pctchange($C644,$N$1))</f>
        <v xml:space="preserve"> </v>
      </c>
      <c r="O644" s="11"/>
      <c r="P644" s="7"/>
    </row>
    <row r="645" spans="1:16" x14ac:dyDescent="0.35">
      <c r="A645" s="7"/>
      <c r="C645" s="30" t="str">
        <f>IF(指数列表!B642="","",指数列表!B642)</f>
        <v/>
      </c>
      <c r="D645" s="35" t="str">
        <f>IF(C645="","",[1]!s_info_name(C645))</f>
        <v/>
      </c>
      <c r="E645" s="24" t="str">
        <f>IF(C645="","",[1]!s_dq_close(C645,$N$1))</f>
        <v/>
      </c>
      <c r="F645" s="28" t="str">
        <f>IF($C645=""," ",[1]!i_pq_pctchange($C645,F$6,$N$1))</f>
        <v xml:space="preserve"> </v>
      </c>
      <c r="G645" s="28" t="str">
        <f>IF($C645=""," ",[1]!i_pq_pctchange($C645,G$6,$N$1))</f>
        <v xml:space="preserve"> </v>
      </c>
      <c r="H645" s="28" t="str">
        <f>IF($C645=""," ",[1]!i_pq_pctchange($C645,H$6,$N$1))</f>
        <v xml:space="preserve"> </v>
      </c>
      <c r="I645" s="28" t="str">
        <f>IF($C645=""," ",[1]!i_pq_pctchange($C645,I$6,$N$1))</f>
        <v xml:space="preserve"> </v>
      </c>
      <c r="J645" s="28" t="str">
        <f>IF($C645=""," ",[1]!i_pq_pctchange($C645,J$6,$N$1))</f>
        <v xml:space="preserve"> </v>
      </c>
      <c r="K645" s="28" t="str">
        <f>IF($C645=""," ",[1]!i_pq_pctchange($C645,K$6,$N$1))</f>
        <v xml:space="preserve"> </v>
      </c>
      <c r="L645" s="28" t="str">
        <f>IF(C645=""," ",[1]!s_wq_pctchange($C645,$N$1))</f>
        <v xml:space="preserve"> </v>
      </c>
      <c r="M645" s="28" t="str">
        <f>IF(C645=""," ",[1]!s_mq_pctchange($C645,$N$1))</f>
        <v xml:space="preserve"> </v>
      </c>
      <c r="N645" s="28" t="str">
        <f>IF(C645=""," ",[1]!s_yq_pctchange($C645,$N$1))</f>
        <v xml:space="preserve"> </v>
      </c>
      <c r="O645" s="11"/>
      <c r="P645" s="7"/>
    </row>
    <row r="646" spans="1:16" x14ac:dyDescent="0.35">
      <c r="A646" s="7"/>
      <c r="C646" s="31" t="str">
        <f>IF(指数列表!B643="","",指数列表!B643)</f>
        <v/>
      </c>
      <c r="D646" s="36" t="str">
        <f>IF(C646="","",[1]!s_info_name(C646))</f>
        <v/>
      </c>
      <c r="E646" s="25" t="str">
        <f>IF(C646="","",[1]!s_dq_close(C646,$N$1))</f>
        <v/>
      </c>
      <c r="F646" s="28" t="str">
        <f>IF($C646=""," ",[1]!i_pq_pctchange($C646,F$6,$N$1))</f>
        <v xml:space="preserve"> </v>
      </c>
      <c r="G646" s="28" t="str">
        <f>IF($C646=""," ",[1]!i_pq_pctchange($C646,G$6,$N$1))</f>
        <v xml:space="preserve"> </v>
      </c>
      <c r="H646" s="28" t="str">
        <f>IF($C646=""," ",[1]!i_pq_pctchange($C646,H$6,$N$1))</f>
        <v xml:space="preserve"> </v>
      </c>
      <c r="I646" s="28" t="str">
        <f>IF($C646=""," ",[1]!i_pq_pctchange($C646,I$6,$N$1))</f>
        <v xml:space="preserve"> </v>
      </c>
      <c r="J646" s="28" t="str">
        <f>IF($C646=""," ",[1]!i_pq_pctchange($C646,J$6,$N$1))</f>
        <v xml:space="preserve"> </v>
      </c>
      <c r="K646" s="28" t="str">
        <f>IF($C646=""," ",[1]!i_pq_pctchange($C646,K$6,$N$1))</f>
        <v xml:space="preserve"> </v>
      </c>
      <c r="L646" s="28" t="str">
        <f>IF(C646=""," ",[1]!s_wq_pctchange($C646,$N$1))</f>
        <v xml:space="preserve"> </v>
      </c>
      <c r="M646" s="28" t="str">
        <f>IF(C646=""," ",[1]!s_mq_pctchange($C646,$N$1))</f>
        <v xml:space="preserve"> </v>
      </c>
      <c r="N646" s="28" t="str">
        <f>IF(C646=""," ",[1]!s_yq_pctchange($C646,$N$1))</f>
        <v xml:space="preserve"> </v>
      </c>
      <c r="O646" s="11"/>
      <c r="P646" s="7"/>
    </row>
    <row r="647" spans="1:16" x14ac:dyDescent="0.35">
      <c r="A647" s="7"/>
      <c r="C647" s="30" t="str">
        <f>IF(指数列表!B644="","",指数列表!B644)</f>
        <v/>
      </c>
      <c r="D647" s="35" t="str">
        <f>IF(C647="","",[1]!s_info_name(C647))</f>
        <v/>
      </c>
      <c r="E647" s="24" t="str">
        <f>IF(C647="","",[1]!s_dq_close(C647,$N$1))</f>
        <v/>
      </c>
      <c r="F647" s="28" t="str">
        <f>IF($C647=""," ",[1]!i_pq_pctchange($C647,F$6,$N$1))</f>
        <v xml:space="preserve"> </v>
      </c>
      <c r="G647" s="28" t="str">
        <f>IF($C647=""," ",[1]!i_pq_pctchange($C647,G$6,$N$1))</f>
        <v xml:space="preserve"> </v>
      </c>
      <c r="H647" s="28" t="str">
        <f>IF($C647=""," ",[1]!i_pq_pctchange($C647,H$6,$N$1))</f>
        <v xml:space="preserve"> </v>
      </c>
      <c r="I647" s="28" t="str">
        <f>IF($C647=""," ",[1]!i_pq_pctchange($C647,I$6,$N$1))</f>
        <v xml:space="preserve"> </v>
      </c>
      <c r="J647" s="28" t="str">
        <f>IF($C647=""," ",[1]!i_pq_pctchange($C647,J$6,$N$1))</f>
        <v xml:space="preserve"> </v>
      </c>
      <c r="K647" s="28" t="str">
        <f>IF($C647=""," ",[1]!i_pq_pctchange($C647,K$6,$N$1))</f>
        <v xml:space="preserve"> </v>
      </c>
      <c r="L647" s="28" t="str">
        <f>IF(C647=""," ",[1]!s_wq_pctchange($C647,$N$1))</f>
        <v xml:space="preserve"> </v>
      </c>
      <c r="M647" s="28" t="str">
        <f>IF(C647=""," ",[1]!s_mq_pctchange($C647,$N$1))</f>
        <v xml:space="preserve"> </v>
      </c>
      <c r="N647" s="28" t="str">
        <f>IF(C647=""," ",[1]!s_yq_pctchange($C647,$N$1))</f>
        <v xml:space="preserve"> </v>
      </c>
      <c r="O647" s="11"/>
      <c r="P647" s="7"/>
    </row>
    <row r="648" spans="1:16" x14ac:dyDescent="0.35">
      <c r="A648" s="7"/>
      <c r="C648" s="31" t="str">
        <f>IF(指数列表!B645="","",指数列表!B645)</f>
        <v/>
      </c>
      <c r="D648" s="36" t="str">
        <f>IF(C648="","",[1]!s_info_name(C648))</f>
        <v/>
      </c>
      <c r="E648" s="25" t="str">
        <f>IF(C648="","",[1]!s_dq_close(C648,$N$1))</f>
        <v/>
      </c>
      <c r="F648" s="28" t="str">
        <f>IF($C648=""," ",[1]!i_pq_pctchange($C648,F$6,$N$1))</f>
        <v xml:space="preserve"> </v>
      </c>
      <c r="G648" s="28" t="str">
        <f>IF($C648=""," ",[1]!i_pq_pctchange($C648,G$6,$N$1))</f>
        <v xml:space="preserve"> </v>
      </c>
      <c r="H648" s="28" t="str">
        <f>IF($C648=""," ",[1]!i_pq_pctchange($C648,H$6,$N$1))</f>
        <v xml:space="preserve"> </v>
      </c>
      <c r="I648" s="28" t="str">
        <f>IF($C648=""," ",[1]!i_pq_pctchange($C648,I$6,$N$1))</f>
        <v xml:space="preserve"> </v>
      </c>
      <c r="J648" s="28" t="str">
        <f>IF($C648=""," ",[1]!i_pq_pctchange($C648,J$6,$N$1))</f>
        <v xml:space="preserve"> </v>
      </c>
      <c r="K648" s="28" t="str">
        <f>IF($C648=""," ",[1]!i_pq_pctchange($C648,K$6,$N$1))</f>
        <v xml:space="preserve"> </v>
      </c>
      <c r="L648" s="28" t="str">
        <f>IF(C648=""," ",[1]!s_wq_pctchange($C648,$N$1))</f>
        <v xml:space="preserve"> </v>
      </c>
      <c r="M648" s="28" t="str">
        <f>IF(C648=""," ",[1]!s_mq_pctchange($C648,$N$1))</f>
        <v xml:space="preserve"> </v>
      </c>
      <c r="N648" s="28" t="str">
        <f>IF(C648=""," ",[1]!s_yq_pctchange($C648,$N$1))</f>
        <v xml:space="preserve"> </v>
      </c>
      <c r="O648" s="11"/>
      <c r="P648" s="7"/>
    </row>
    <row r="649" spans="1:16" x14ac:dyDescent="0.35">
      <c r="A649" s="7"/>
      <c r="C649" s="30" t="str">
        <f>IF(指数列表!B646="","",指数列表!B646)</f>
        <v/>
      </c>
      <c r="D649" s="35" t="str">
        <f>IF(C649="","",[1]!s_info_name(C649))</f>
        <v/>
      </c>
      <c r="E649" s="24" t="str">
        <f>IF(C649="","",[1]!s_dq_close(C649,$N$1))</f>
        <v/>
      </c>
      <c r="F649" s="28" t="str">
        <f>IF($C649=""," ",[1]!i_pq_pctchange($C649,F$6,$N$1))</f>
        <v xml:space="preserve"> </v>
      </c>
      <c r="G649" s="28" t="str">
        <f>IF($C649=""," ",[1]!i_pq_pctchange($C649,G$6,$N$1))</f>
        <v xml:space="preserve"> </v>
      </c>
      <c r="H649" s="28" t="str">
        <f>IF($C649=""," ",[1]!i_pq_pctchange($C649,H$6,$N$1))</f>
        <v xml:space="preserve"> </v>
      </c>
      <c r="I649" s="28" t="str">
        <f>IF($C649=""," ",[1]!i_pq_pctchange($C649,I$6,$N$1))</f>
        <v xml:space="preserve"> </v>
      </c>
      <c r="J649" s="28" t="str">
        <f>IF($C649=""," ",[1]!i_pq_pctchange($C649,J$6,$N$1))</f>
        <v xml:space="preserve"> </v>
      </c>
      <c r="K649" s="28" t="str">
        <f>IF($C649=""," ",[1]!i_pq_pctchange($C649,K$6,$N$1))</f>
        <v xml:space="preserve"> </v>
      </c>
      <c r="L649" s="28" t="str">
        <f>IF(C649=""," ",[1]!s_wq_pctchange($C649,$N$1))</f>
        <v xml:space="preserve"> </v>
      </c>
      <c r="M649" s="28" t="str">
        <f>IF(C649=""," ",[1]!s_mq_pctchange($C649,$N$1))</f>
        <v xml:space="preserve"> </v>
      </c>
      <c r="N649" s="28" t="str">
        <f>IF(C649=""," ",[1]!s_yq_pctchange($C649,$N$1))</f>
        <v xml:space="preserve"> </v>
      </c>
      <c r="O649" s="11"/>
      <c r="P649" s="7"/>
    </row>
    <row r="650" spans="1:16" x14ac:dyDescent="0.35">
      <c r="A650" s="7"/>
      <c r="C650" s="31" t="str">
        <f>IF(指数列表!B647="","",指数列表!B647)</f>
        <v/>
      </c>
      <c r="D650" s="36" t="str">
        <f>IF(C650="","",[1]!s_info_name(C650))</f>
        <v/>
      </c>
      <c r="E650" s="25" t="str">
        <f>IF(C650="","",[1]!s_dq_close(C650,$N$1))</f>
        <v/>
      </c>
      <c r="F650" s="28" t="str">
        <f>IF($C650=""," ",[1]!i_pq_pctchange($C650,F$6,$N$1))</f>
        <v xml:space="preserve"> </v>
      </c>
      <c r="G650" s="28" t="str">
        <f>IF($C650=""," ",[1]!i_pq_pctchange($C650,G$6,$N$1))</f>
        <v xml:space="preserve"> </v>
      </c>
      <c r="H650" s="28" t="str">
        <f>IF($C650=""," ",[1]!i_pq_pctchange($C650,H$6,$N$1))</f>
        <v xml:space="preserve"> </v>
      </c>
      <c r="I650" s="28" t="str">
        <f>IF($C650=""," ",[1]!i_pq_pctchange($C650,I$6,$N$1))</f>
        <v xml:space="preserve"> </v>
      </c>
      <c r="J650" s="28" t="str">
        <f>IF($C650=""," ",[1]!i_pq_pctchange($C650,J$6,$N$1))</f>
        <v xml:space="preserve"> </v>
      </c>
      <c r="K650" s="28" t="str">
        <f>IF($C650=""," ",[1]!i_pq_pctchange($C650,K$6,$N$1))</f>
        <v xml:space="preserve"> </v>
      </c>
      <c r="L650" s="28" t="str">
        <f>IF(C650=""," ",[1]!s_wq_pctchange($C650,$N$1))</f>
        <v xml:space="preserve"> </v>
      </c>
      <c r="M650" s="28" t="str">
        <f>IF(C650=""," ",[1]!s_mq_pctchange($C650,$N$1))</f>
        <v xml:space="preserve"> </v>
      </c>
      <c r="N650" s="28" t="str">
        <f>IF(C650=""," ",[1]!s_yq_pctchange($C650,$N$1))</f>
        <v xml:space="preserve"> </v>
      </c>
      <c r="O650" s="11"/>
      <c r="P650" s="7"/>
    </row>
    <row r="651" spans="1:16" x14ac:dyDescent="0.35">
      <c r="A651" s="7"/>
      <c r="C651" s="30" t="str">
        <f>IF(指数列表!B648="","",指数列表!B648)</f>
        <v/>
      </c>
      <c r="D651" s="35" t="str">
        <f>IF(C651="","",[1]!s_info_name(C651))</f>
        <v/>
      </c>
      <c r="E651" s="24" t="str">
        <f>IF(C651="","",[1]!s_dq_close(C651,$N$1))</f>
        <v/>
      </c>
      <c r="F651" s="28" t="str">
        <f>IF($C651=""," ",[1]!i_pq_pctchange($C651,F$6,$N$1))</f>
        <v xml:space="preserve"> </v>
      </c>
      <c r="G651" s="28" t="str">
        <f>IF($C651=""," ",[1]!i_pq_pctchange($C651,G$6,$N$1))</f>
        <v xml:space="preserve"> </v>
      </c>
      <c r="H651" s="28" t="str">
        <f>IF($C651=""," ",[1]!i_pq_pctchange($C651,H$6,$N$1))</f>
        <v xml:space="preserve"> </v>
      </c>
      <c r="I651" s="28" t="str">
        <f>IF($C651=""," ",[1]!i_pq_pctchange($C651,I$6,$N$1))</f>
        <v xml:space="preserve"> </v>
      </c>
      <c r="J651" s="28" t="str">
        <f>IF($C651=""," ",[1]!i_pq_pctchange($C651,J$6,$N$1))</f>
        <v xml:space="preserve"> </v>
      </c>
      <c r="K651" s="28" t="str">
        <f>IF($C651=""," ",[1]!i_pq_pctchange($C651,K$6,$N$1))</f>
        <v xml:space="preserve"> </v>
      </c>
      <c r="L651" s="28" t="str">
        <f>IF(C651=""," ",[1]!s_wq_pctchange($C651,$N$1))</f>
        <v xml:space="preserve"> </v>
      </c>
      <c r="M651" s="28" t="str">
        <f>IF(C651=""," ",[1]!s_mq_pctchange($C651,$N$1))</f>
        <v xml:space="preserve"> </v>
      </c>
      <c r="N651" s="28" t="str">
        <f>IF(C651=""," ",[1]!s_yq_pctchange($C651,$N$1))</f>
        <v xml:space="preserve"> </v>
      </c>
      <c r="O651" s="11"/>
      <c r="P651" s="7"/>
    </row>
    <row r="652" spans="1:16" x14ac:dyDescent="0.35">
      <c r="A652" s="7"/>
      <c r="C652" s="31" t="str">
        <f>IF(指数列表!B649="","",指数列表!B649)</f>
        <v/>
      </c>
      <c r="D652" s="36" t="str">
        <f>IF(C652="","",[1]!s_info_name(C652))</f>
        <v/>
      </c>
      <c r="E652" s="25" t="str">
        <f>IF(C652="","",[1]!s_dq_close(C652,$N$1))</f>
        <v/>
      </c>
      <c r="F652" s="28" t="str">
        <f>IF($C652=""," ",[1]!i_pq_pctchange($C652,F$6,$N$1))</f>
        <v xml:space="preserve"> </v>
      </c>
      <c r="G652" s="28" t="str">
        <f>IF($C652=""," ",[1]!i_pq_pctchange($C652,G$6,$N$1))</f>
        <v xml:space="preserve"> </v>
      </c>
      <c r="H652" s="28" t="str">
        <f>IF($C652=""," ",[1]!i_pq_pctchange($C652,H$6,$N$1))</f>
        <v xml:space="preserve"> </v>
      </c>
      <c r="I652" s="28" t="str">
        <f>IF($C652=""," ",[1]!i_pq_pctchange($C652,I$6,$N$1))</f>
        <v xml:space="preserve"> </v>
      </c>
      <c r="J652" s="28" t="str">
        <f>IF($C652=""," ",[1]!i_pq_pctchange($C652,J$6,$N$1))</f>
        <v xml:space="preserve"> </v>
      </c>
      <c r="K652" s="28" t="str">
        <f>IF($C652=""," ",[1]!i_pq_pctchange($C652,K$6,$N$1))</f>
        <v xml:space="preserve"> </v>
      </c>
      <c r="L652" s="28" t="str">
        <f>IF(C652=""," ",[1]!s_wq_pctchange($C652,$N$1))</f>
        <v xml:space="preserve"> </v>
      </c>
      <c r="M652" s="28" t="str">
        <f>IF(C652=""," ",[1]!s_mq_pctchange($C652,$N$1))</f>
        <v xml:space="preserve"> </v>
      </c>
      <c r="N652" s="28" t="str">
        <f>IF(C652=""," ",[1]!s_yq_pctchange($C652,$N$1))</f>
        <v xml:space="preserve"> </v>
      </c>
      <c r="O652" s="11"/>
      <c r="P652" s="7"/>
    </row>
    <row r="653" spans="1:16" x14ac:dyDescent="0.35">
      <c r="A653" s="7"/>
      <c r="C653" s="30" t="str">
        <f>IF(指数列表!B650="","",指数列表!B650)</f>
        <v/>
      </c>
      <c r="D653" s="35" t="str">
        <f>IF(C653="","",[1]!s_info_name(C653))</f>
        <v/>
      </c>
      <c r="E653" s="24" t="str">
        <f>IF(C653="","",[1]!s_dq_close(C653,$N$1))</f>
        <v/>
      </c>
      <c r="F653" s="28" t="str">
        <f>IF($C653=""," ",[1]!i_pq_pctchange($C653,F$6,$N$1))</f>
        <v xml:space="preserve"> </v>
      </c>
      <c r="G653" s="28" t="str">
        <f>IF($C653=""," ",[1]!i_pq_pctchange($C653,G$6,$N$1))</f>
        <v xml:space="preserve"> </v>
      </c>
      <c r="H653" s="28" t="str">
        <f>IF($C653=""," ",[1]!i_pq_pctchange($C653,H$6,$N$1))</f>
        <v xml:space="preserve"> </v>
      </c>
      <c r="I653" s="28" t="str">
        <f>IF($C653=""," ",[1]!i_pq_pctchange($C653,I$6,$N$1))</f>
        <v xml:space="preserve"> </v>
      </c>
      <c r="J653" s="28" t="str">
        <f>IF($C653=""," ",[1]!i_pq_pctchange($C653,J$6,$N$1))</f>
        <v xml:space="preserve"> </v>
      </c>
      <c r="K653" s="28" t="str">
        <f>IF($C653=""," ",[1]!i_pq_pctchange($C653,K$6,$N$1))</f>
        <v xml:space="preserve"> </v>
      </c>
      <c r="L653" s="28" t="str">
        <f>IF(C653=""," ",[1]!s_wq_pctchange($C653,$N$1))</f>
        <v xml:space="preserve"> </v>
      </c>
      <c r="M653" s="28" t="str">
        <f>IF(C653=""," ",[1]!s_mq_pctchange($C653,$N$1))</f>
        <v xml:space="preserve"> </v>
      </c>
      <c r="N653" s="28" t="str">
        <f>IF(C653=""," ",[1]!s_yq_pctchange($C653,$N$1))</f>
        <v xml:space="preserve"> </v>
      </c>
      <c r="O653" s="11"/>
      <c r="P653" s="7"/>
    </row>
    <row r="654" spans="1:16" x14ac:dyDescent="0.35">
      <c r="A654" s="7"/>
      <c r="C654" s="31" t="str">
        <f>IF(指数列表!B651="","",指数列表!B651)</f>
        <v/>
      </c>
      <c r="D654" s="36" t="str">
        <f>IF(C654="","",[1]!s_info_name(C654))</f>
        <v/>
      </c>
      <c r="E654" s="25" t="str">
        <f>IF(C654="","",[1]!s_dq_close(C654,$N$1))</f>
        <v/>
      </c>
      <c r="F654" s="28" t="str">
        <f>IF($C654=""," ",[1]!i_pq_pctchange($C654,F$6,$N$1))</f>
        <v xml:space="preserve"> </v>
      </c>
      <c r="G654" s="28" t="str">
        <f>IF($C654=""," ",[1]!i_pq_pctchange($C654,G$6,$N$1))</f>
        <v xml:space="preserve"> </v>
      </c>
      <c r="H654" s="28" t="str">
        <f>IF($C654=""," ",[1]!i_pq_pctchange($C654,H$6,$N$1))</f>
        <v xml:space="preserve"> </v>
      </c>
      <c r="I654" s="28" t="str">
        <f>IF($C654=""," ",[1]!i_pq_pctchange($C654,I$6,$N$1))</f>
        <v xml:space="preserve"> </v>
      </c>
      <c r="J654" s="28" t="str">
        <f>IF($C654=""," ",[1]!i_pq_pctchange($C654,J$6,$N$1))</f>
        <v xml:space="preserve"> </v>
      </c>
      <c r="K654" s="28" t="str">
        <f>IF($C654=""," ",[1]!i_pq_pctchange($C654,K$6,$N$1))</f>
        <v xml:space="preserve"> </v>
      </c>
      <c r="L654" s="28" t="str">
        <f>IF(C654=""," ",[1]!s_wq_pctchange($C654,$N$1))</f>
        <v xml:space="preserve"> </v>
      </c>
      <c r="M654" s="28" t="str">
        <f>IF(C654=""," ",[1]!s_mq_pctchange($C654,$N$1))</f>
        <v xml:space="preserve"> </v>
      </c>
      <c r="N654" s="28" t="str">
        <f>IF(C654=""," ",[1]!s_yq_pctchange($C654,$N$1))</f>
        <v xml:space="preserve"> </v>
      </c>
      <c r="O654" s="11"/>
      <c r="P654" s="7"/>
    </row>
    <row r="655" spans="1:16" x14ac:dyDescent="0.35">
      <c r="A655" s="7"/>
      <c r="C655" s="30" t="str">
        <f>IF(指数列表!B652="","",指数列表!B652)</f>
        <v/>
      </c>
      <c r="D655" s="35" t="str">
        <f>IF(C655="","",[1]!s_info_name(C655))</f>
        <v/>
      </c>
      <c r="E655" s="24" t="str">
        <f>IF(C655="","",[1]!s_dq_close(C655,$N$1))</f>
        <v/>
      </c>
      <c r="F655" s="28" t="str">
        <f>IF($C655=""," ",[1]!i_pq_pctchange($C655,F$6,$N$1))</f>
        <v xml:space="preserve"> </v>
      </c>
      <c r="G655" s="28" t="str">
        <f>IF($C655=""," ",[1]!i_pq_pctchange($C655,G$6,$N$1))</f>
        <v xml:space="preserve"> </v>
      </c>
      <c r="H655" s="28" t="str">
        <f>IF($C655=""," ",[1]!i_pq_pctchange($C655,H$6,$N$1))</f>
        <v xml:space="preserve"> </v>
      </c>
      <c r="I655" s="28" t="str">
        <f>IF($C655=""," ",[1]!i_pq_pctchange($C655,I$6,$N$1))</f>
        <v xml:space="preserve"> </v>
      </c>
      <c r="J655" s="28" t="str">
        <f>IF($C655=""," ",[1]!i_pq_pctchange($C655,J$6,$N$1))</f>
        <v xml:space="preserve"> </v>
      </c>
      <c r="K655" s="28" t="str">
        <f>IF($C655=""," ",[1]!i_pq_pctchange($C655,K$6,$N$1))</f>
        <v xml:space="preserve"> </v>
      </c>
      <c r="L655" s="28" t="str">
        <f>IF(C655=""," ",[1]!s_wq_pctchange($C655,$N$1))</f>
        <v xml:space="preserve"> </v>
      </c>
      <c r="M655" s="28" t="str">
        <f>IF(C655=""," ",[1]!s_mq_pctchange($C655,$N$1))</f>
        <v xml:space="preserve"> </v>
      </c>
      <c r="N655" s="28" t="str">
        <f>IF(C655=""," ",[1]!s_yq_pctchange($C655,$N$1))</f>
        <v xml:space="preserve"> </v>
      </c>
      <c r="O655" s="11"/>
      <c r="P655" s="7"/>
    </row>
    <row r="656" spans="1:16" x14ac:dyDescent="0.35">
      <c r="A656" s="7"/>
      <c r="C656" s="31" t="str">
        <f>IF(指数列表!B653="","",指数列表!B653)</f>
        <v/>
      </c>
      <c r="D656" s="36" t="str">
        <f>IF(C656="","",[1]!s_info_name(C656))</f>
        <v/>
      </c>
      <c r="E656" s="25" t="str">
        <f>IF(C656="","",[1]!s_dq_close(C656,$N$1))</f>
        <v/>
      </c>
      <c r="F656" s="28" t="str">
        <f>IF($C656=""," ",[1]!i_pq_pctchange($C656,F$6,$N$1))</f>
        <v xml:space="preserve"> </v>
      </c>
      <c r="G656" s="28" t="str">
        <f>IF($C656=""," ",[1]!i_pq_pctchange($C656,G$6,$N$1))</f>
        <v xml:space="preserve"> </v>
      </c>
      <c r="H656" s="28" t="str">
        <f>IF($C656=""," ",[1]!i_pq_pctchange($C656,H$6,$N$1))</f>
        <v xml:space="preserve"> </v>
      </c>
      <c r="I656" s="28" t="str">
        <f>IF($C656=""," ",[1]!i_pq_pctchange($C656,I$6,$N$1))</f>
        <v xml:space="preserve"> </v>
      </c>
      <c r="J656" s="28" t="str">
        <f>IF($C656=""," ",[1]!i_pq_pctchange($C656,J$6,$N$1))</f>
        <v xml:space="preserve"> </v>
      </c>
      <c r="K656" s="28" t="str">
        <f>IF($C656=""," ",[1]!i_pq_pctchange($C656,K$6,$N$1))</f>
        <v xml:space="preserve"> </v>
      </c>
      <c r="L656" s="28" t="str">
        <f>IF(C656=""," ",[1]!s_wq_pctchange($C656,$N$1))</f>
        <v xml:space="preserve"> </v>
      </c>
      <c r="M656" s="28" t="str">
        <f>IF(C656=""," ",[1]!s_mq_pctchange($C656,$N$1))</f>
        <v xml:space="preserve"> </v>
      </c>
      <c r="N656" s="28" t="str">
        <f>IF(C656=""," ",[1]!s_yq_pctchange($C656,$N$1))</f>
        <v xml:space="preserve"> </v>
      </c>
      <c r="O656" s="11"/>
      <c r="P656" s="7"/>
    </row>
    <row r="657" spans="1:16" x14ac:dyDescent="0.35">
      <c r="A657" s="7"/>
      <c r="C657" s="30" t="str">
        <f>IF(指数列表!B654="","",指数列表!B654)</f>
        <v/>
      </c>
      <c r="D657" s="35" t="str">
        <f>IF(C657="","",[1]!s_info_name(C657))</f>
        <v/>
      </c>
      <c r="E657" s="24" t="str">
        <f>IF(C657="","",[1]!s_dq_close(C657,$N$1))</f>
        <v/>
      </c>
      <c r="F657" s="28" t="str">
        <f>IF($C657=""," ",[1]!i_pq_pctchange($C657,F$6,$N$1))</f>
        <v xml:space="preserve"> </v>
      </c>
      <c r="G657" s="28" t="str">
        <f>IF($C657=""," ",[1]!i_pq_pctchange($C657,G$6,$N$1))</f>
        <v xml:space="preserve"> </v>
      </c>
      <c r="H657" s="28" t="str">
        <f>IF($C657=""," ",[1]!i_pq_pctchange($C657,H$6,$N$1))</f>
        <v xml:space="preserve"> </v>
      </c>
      <c r="I657" s="28" t="str">
        <f>IF($C657=""," ",[1]!i_pq_pctchange($C657,I$6,$N$1))</f>
        <v xml:space="preserve"> </v>
      </c>
      <c r="J657" s="28" t="str">
        <f>IF($C657=""," ",[1]!i_pq_pctchange($C657,J$6,$N$1))</f>
        <v xml:space="preserve"> </v>
      </c>
      <c r="K657" s="28" t="str">
        <f>IF($C657=""," ",[1]!i_pq_pctchange($C657,K$6,$N$1))</f>
        <v xml:space="preserve"> </v>
      </c>
      <c r="L657" s="28" t="str">
        <f>IF(C657=""," ",[1]!s_wq_pctchange($C657,$N$1))</f>
        <v xml:space="preserve"> </v>
      </c>
      <c r="M657" s="28" t="str">
        <f>IF(C657=""," ",[1]!s_mq_pctchange($C657,$N$1))</f>
        <v xml:space="preserve"> </v>
      </c>
      <c r="N657" s="28" t="str">
        <f>IF(C657=""," ",[1]!s_yq_pctchange($C657,$N$1))</f>
        <v xml:space="preserve"> </v>
      </c>
      <c r="O657" s="11"/>
      <c r="P657" s="7"/>
    </row>
    <row r="658" spans="1:16" x14ac:dyDescent="0.35">
      <c r="A658" s="7"/>
      <c r="C658" s="31" t="str">
        <f>IF(指数列表!B655="","",指数列表!B655)</f>
        <v/>
      </c>
      <c r="D658" s="36" t="str">
        <f>IF(C658="","",[1]!s_info_name(C658))</f>
        <v/>
      </c>
      <c r="E658" s="25" t="str">
        <f>IF(C658="","",[1]!s_dq_close(C658,$N$1))</f>
        <v/>
      </c>
      <c r="F658" s="28" t="str">
        <f>IF($C658=""," ",[1]!i_pq_pctchange($C658,F$6,$N$1))</f>
        <v xml:space="preserve"> </v>
      </c>
      <c r="G658" s="28" t="str">
        <f>IF($C658=""," ",[1]!i_pq_pctchange($C658,G$6,$N$1))</f>
        <v xml:space="preserve"> </v>
      </c>
      <c r="H658" s="28" t="str">
        <f>IF($C658=""," ",[1]!i_pq_pctchange($C658,H$6,$N$1))</f>
        <v xml:space="preserve"> </v>
      </c>
      <c r="I658" s="28" t="str">
        <f>IF($C658=""," ",[1]!i_pq_pctchange($C658,I$6,$N$1))</f>
        <v xml:space="preserve"> </v>
      </c>
      <c r="J658" s="28" t="str">
        <f>IF($C658=""," ",[1]!i_pq_pctchange($C658,J$6,$N$1))</f>
        <v xml:space="preserve"> </v>
      </c>
      <c r="K658" s="28" t="str">
        <f>IF($C658=""," ",[1]!i_pq_pctchange($C658,K$6,$N$1))</f>
        <v xml:space="preserve"> </v>
      </c>
      <c r="L658" s="28" t="str">
        <f>IF(C658=""," ",[1]!s_wq_pctchange($C658,$N$1))</f>
        <v xml:space="preserve"> </v>
      </c>
      <c r="M658" s="28" t="str">
        <f>IF(C658=""," ",[1]!s_mq_pctchange($C658,$N$1))</f>
        <v xml:space="preserve"> </v>
      </c>
      <c r="N658" s="28" t="str">
        <f>IF(C658=""," ",[1]!s_yq_pctchange($C658,$N$1))</f>
        <v xml:space="preserve"> </v>
      </c>
      <c r="O658" s="11"/>
      <c r="P658" s="7"/>
    </row>
    <row r="659" spans="1:16" x14ac:dyDescent="0.35">
      <c r="A659" s="7"/>
      <c r="C659" s="30" t="str">
        <f>IF(指数列表!B656="","",指数列表!B656)</f>
        <v/>
      </c>
      <c r="D659" s="35" t="str">
        <f>IF(C659="","",[1]!s_info_name(C659))</f>
        <v/>
      </c>
      <c r="E659" s="24" t="str">
        <f>IF(C659="","",[1]!s_dq_close(C659,$N$1))</f>
        <v/>
      </c>
      <c r="F659" s="28" t="str">
        <f>IF($C659=""," ",[1]!i_pq_pctchange($C659,F$6,$N$1))</f>
        <v xml:space="preserve"> </v>
      </c>
      <c r="G659" s="28" t="str">
        <f>IF($C659=""," ",[1]!i_pq_pctchange($C659,G$6,$N$1))</f>
        <v xml:space="preserve"> </v>
      </c>
      <c r="H659" s="28" t="str">
        <f>IF($C659=""," ",[1]!i_pq_pctchange($C659,H$6,$N$1))</f>
        <v xml:space="preserve"> </v>
      </c>
      <c r="I659" s="28" t="str">
        <f>IF($C659=""," ",[1]!i_pq_pctchange($C659,I$6,$N$1))</f>
        <v xml:space="preserve"> </v>
      </c>
      <c r="J659" s="28" t="str">
        <f>IF($C659=""," ",[1]!i_pq_pctchange($C659,J$6,$N$1))</f>
        <v xml:space="preserve"> </v>
      </c>
      <c r="K659" s="28" t="str">
        <f>IF($C659=""," ",[1]!i_pq_pctchange($C659,K$6,$N$1))</f>
        <v xml:space="preserve"> </v>
      </c>
      <c r="L659" s="28" t="str">
        <f>IF(C659=""," ",[1]!s_wq_pctchange($C659,$N$1))</f>
        <v xml:space="preserve"> </v>
      </c>
      <c r="M659" s="28" t="str">
        <f>IF(C659=""," ",[1]!s_mq_pctchange($C659,$N$1))</f>
        <v xml:space="preserve"> </v>
      </c>
      <c r="N659" s="28" t="str">
        <f>IF(C659=""," ",[1]!s_yq_pctchange($C659,$N$1))</f>
        <v xml:space="preserve"> </v>
      </c>
      <c r="O659" s="11"/>
      <c r="P659" s="7"/>
    </row>
    <row r="660" spans="1:16" x14ac:dyDescent="0.35">
      <c r="A660" s="7"/>
      <c r="C660" s="31" t="str">
        <f>IF(指数列表!B657="","",指数列表!B657)</f>
        <v/>
      </c>
      <c r="D660" s="36" t="str">
        <f>IF(C660="","",[1]!s_info_name(C660))</f>
        <v/>
      </c>
      <c r="E660" s="25" t="str">
        <f>IF(C660="","",[1]!s_dq_close(C660,$N$1))</f>
        <v/>
      </c>
      <c r="F660" s="28" t="str">
        <f>IF($C660=""," ",[1]!i_pq_pctchange($C660,F$6,$N$1))</f>
        <v xml:space="preserve"> </v>
      </c>
      <c r="G660" s="28" t="str">
        <f>IF($C660=""," ",[1]!i_pq_pctchange($C660,G$6,$N$1))</f>
        <v xml:space="preserve"> </v>
      </c>
      <c r="H660" s="28" t="str">
        <f>IF($C660=""," ",[1]!i_pq_pctchange($C660,H$6,$N$1))</f>
        <v xml:space="preserve"> </v>
      </c>
      <c r="I660" s="28" t="str">
        <f>IF($C660=""," ",[1]!i_pq_pctchange($C660,I$6,$N$1))</f>
        <v xml:space="preserve"> </v>
      </c>
      <c r="J660" s="28" t="str">
        <f>IF($C660=""," ",[1]!i_pq_pctchange($C660,J$6,$N$1))</f>
        <v xml:space="preserve"> </v>
      </c>
      <c r="K660" s="28" t="str">
        <f>IF($C660=""," ",[1]!i_pq_pctchange($C660,K$6,$N$1))</f>
        <v xml:space="preserve"> </v>
      </c>
      <c r="L660" s="28" t="str">
        <f>IF(C660=""," ",[1]!s_wq_pctchange($C660,$N$1))</f>
        <v xml:space="preserve"> </v>
      </c>
      <c r="M660" s="28" t="str">
        <f>IF(C660=""," ",[1]!s_mq_pctchange($C660,$N$1))</f>
        <v xml:space="preserve"> </v>
      </c>
      <c r="N660" s="28" t="str">
        <f>IF(C660=""," ",[1]!s_yq_pctchange($C660,$N$1))</f>
        <v xml:space="preserve"> </v>
      </c>
      <c r="O660" s="11"/>
      <c r="P660" s="7"/>
    </row>
    <row r="661" spans="1:16" x14ac:dyDescent="0.35">
      <c r="A661" s="7"/>
      <c r="C661" s="30" t="str">
        <f>IF(指数列表!B658="","",指数列表!B658)</f>
        <v/>
      </c>
      <c r="D661" s="35" t="str">
        <f>IF(C661="","",[1]!s_info_name(C661))</f>
        <v/>
      </c>
      <c r="E661" s="24" t="str">
        <f>IF(C661="","",[1]!s_dq_close(C661,$N$1))</f>
        <v/>
      </c>
      <c r="F661" s="28" t="str">
        <f>IF($C661=""," ",[1]!i_pq_pctchange($C661,F$6,$N$1))</f>
        <v xml:space="preserve"> </v>
      </c>
      <c r="G661" s="28" t="str">
        <f>IF($C661=""," ",[1]!i_pq_pctchange($C661,G$6,$N$1))</f>
        <v xml:space="preserve"> </v>
      </c>
      <c r="H661" s="28" t="str">
        <f>IF($C661=""," ",[1]!i_pq_pctchange($C661,H$6,$N$1))</f>
        <v xml:space="preserve"> </v>
      </c>
      <c r="I661" s="28" t="str">
        <f>IF($C661=""," ",[1]!i_pq_pctchange($C661,I$6,$N$1))</f>
        <v xml:space="preserve"> </v>
      </c>
      <c r="J661" s="28" t="str">
        <f>IF($C661=""," ",[1]!i_pq_pctchange($C661,J$6,$N$1))</f>
        <v xml:space="preserve"> </v>
      </c>
      <c r="K661" s="28" t="str">
        <f>IF($C661=""," ",[1]!i_pq_pctchange($C661,K$6,$N$1))</f>
        <v xml:space="preserve"> </v>
      </c>
      <c r="L661" s="28" t="str">
        <f>IF(C661=""," ",[1]!s_wq_pctchange($C661,$N$1))</f>
        <v xml:space="preserve"> </v>
      </c>
      <c r="M661" s="28" t="str">
        <f>IF(C661=""," ",[1]!s_mq_pctchange($C661,$N$1))</f>
        <v xml:space="preserve"> </v>
      </c>
      <c r="N661" s="28" t="str">
        <f>IF(C661=""," ",[1]!s_yq_pctchange($C661,$N$1))</f>
        <v xml:space="preserve"> </v>
      </c>
      <c r="O661" s="11"/>
      <c r="P661" s="7"/>
    </row>
    <row r="662" spans="1:16" x14ac:dyDescent="0.35">
      <c r="A662" s="7"/>
      <c r="C662" s="31" t="str">
        <f>IF(指数列表!B659="","",指数列表!B659)</f>
        <v/>
      </c>
      <c r="D662" s="36" t="str">
        <f>IF(C662="","",[1]!s_info_name(C662))</f>
        <v/>
      </c>
      <c r="E662" s="25" t="str">
        <f>IF(C662="","",[1]!s_dq_close(C662,$N$1))</f>
        <v/>
      </c>
      <c r="F662" s="28" t="str">
        <f>IF($C662=""," ",[1]!i_pq_pctchange($C662,F$6,$N$1))</f>
        <v xml:space="preserve"> </v>
      </c>
      <c r="G662" s="28" t="str">
        <f>IF($C662=""," ",[1]!i_pq_pctchange($C662,G$6,$N$1))</f>
        <v xml:space="preserve"> </v>
      </c>
      <c r="H662" s="28" t="str">
        <f>IF($C662=""," ",[1]!i_pq_pctchange($C662,H$6,$N$1))</f>
        <v xml:space="preserve"> </v>
      </c>
      <c r="I662" s="28" t="str">
        <f>IF($C662=""," ",[1]!i_pq_pctchange($C662,I$6,$N$1))</f>
        <v xml:space="preserve"> </v>
      </c>
      <c r="J662" s="28" t="str">
        <f>IF($C662=""," ",[1]!i_pq_pctchange($C662,J$6,$N$1))</f>
        <v xml:space="preserve"> </v>
      </c>
      <c r="K662" s="28" t="str">
        <f>IF($C662=""," ",[1]!i_pq_pctchange($C662,K$6,$N$1))</f>
        <v xml:space="preserve"> </v>
      </c>
      <c r="L662" s="28" t="str">
        <f>IF(C662=""," ",[1]!s_wq_pctchange($C662,$N$1))</f>
        <v xml:space="preserve"> </v>
      </c>
      <c r="M662" s="28" t="str">
        <f>IF(C662=""," ",[1]!s_mq_pctchange($C662,$N$1))</f>
        <v xml:space="preserve"> </v>
      </c>
      <c r="N662" s="28" t="str">
        <f>IF(C662=""," ",[1]!s_yq_pctchange($C662,$N$1))</f>
        <v xml:space="preserve"> </v>
      </c>
      <c r="O662" s="11"/>
      <c r="P662" s="7"/>
    </row>
    <row r="663" spans="1:16" x14ac:dyDescent="0.35">
      <c r="A663" s="7"/>
      <c r="C663" s="30" t="str">
        <f>IF(指数列表!B660="","",指数列表!B660)</f>
        <v/>
      </c>
      <c r="D663" s="35" t="str">
        <f>IF(C663="","",[1]!s_info_name(C663))</f>
        <v/>
      </c>
      <c r="E663" s="24" t="str">
        <f>IF(C663="","",[1]!s_dq_close(C663,$N$1))</f>
        <v/>
      </c>
      <c r="F663" s="28" t="str">
        <f>IF($C663=""," ",[1]!i_pq_pctchange($C663,F$6,$N$1))</f>
        <v xml:space="preserve"> </v>
      </c>
      <c r="G663" s="28" t="str">
        <f>IF($C663=""," ",[1]!i_pq_pctchange($C663,G$6,$N$1))</f>
        <v xml:space="preserve"> </v>
      </c>
      <c r="H663" s="28" t="str">
        <f>IF($C663=""," ",[1]!i_pq_pctchange($C663,H$6,$N$1))</f>
        <v xml:space="preserve"> </v>
      </c>
      <c r="I663" s="28" t="str">
        <f>IF($C663=""," ",[1]!i_pq_pctchange($C663,I$6,$N$1))</f>
        <v xml:space="preserve"> </v>
      </c>
      <c r="J663" s="28" t="str">
        <f>IF($C663=""," ",[1]!i_pq_pctchange($C663,J$6,$N$1))</f>
        <v xml:space="preserve"> </v>
      </c>
      <c r="K663" s="28" t="str">
        <f>IF($C663=""," ",[1]!i_pq_pctchange($C663,K$6,$N$1))</f>
        <v xml:space="preserve"> </v>
      </c>
      <c r="L663" s="28" t="str">
        <f>IF(C663=""," ",[1]!s_wq_pctchange($C663,$N$1))</f>
        <v xml:space="preserve"> </v>
      </c>
      <c r="M663" s="28" t="str">
        <f>IF(C663=""," ",[1]!s_mq_pctchange($C663,$N$1))</f>
        <v xml:space="preserve"> </v>
      </c>
      <c r="N663" s="28" t="str">
        <f>IF(C663=""," ",[1]!s_yq_pctchange($C663,$N$1))</f>
        <v xml:space="preserve"> </v>
      </c>
      <c r="O663" s="11"/>
      <c r="P663" s="7"/>
    </row>
    <row r="664" spans="1:16" x14ac:dyDescent="0.35">
      <c r="A664" s="7"/>
      <c r="C664" s="31" t="str">
        <f>IF(指数列表!B661="","",指数列表!B661)</f>
        <v/>
      </c>
      <c r="D664" s="36" t="str">
        <f>IF(C664="","",[1]!s_info_name(C664))</f>
        <v/>
      </c>
      <c r="E664" s="25" t="str">
        <f>IF(C664="","",[1]!s_dq_close(C664,$N$1))</f>
        <v/>
      </c>
      <c r="F664" s="28" t="str">
        <f>IF($C664=""," ",[1]!i_pq_pctchange($C664,F$6,$N$1))</f>
        <v xml:space="preserve"> </v>
      </c>
      <c r="G664" s="28" t="str">
        <f>IF($C664=""," ",[1]!i_pq_pctchange($C664,G$6,$N$1))</f>
        <v xml:space="preserve"> </v>
      </c>
      <c r="H664" s="28" t="str">
        <f>IF($C664=""," ",[1]!i_pq_pctchange($C664,H$6,$N$1))</f>
        <v xml:space="preserve"> </v>
      </c>
      <c r="I664" s="28" t="str">
        <f>IF($C664=""," ",[1]!i_pq_pctchange($C664,I$6,$N$1))</f>
        <v xml:space="preserve"> </v>
      </c>
      <c r="J664" s="28" t="str">
        <f>IF($C664=""," ",[1]!i_pq_pctchange($C664,J$6,$N$1))</f>
        <v xml:space="preserve"> </v>
      </c>
      <c r="K664" s="28" t="str">
        <f>IF($C664=""," ",[1]!i_pq_pctchange($C664,K$6,$N$1))</f>
        <v xml:space="preserve"> </v>
      </c>
      <c r="L664" s="28" t="str">
        <f>IF(C664=""," ",[1]!s_wq_pctchange($C664,$N$1))</f>
        <v xml:space="preserve"> </v>
      </c>
      <c r="M664" s="28" t="str">
        <f>IF(C664=""," ",[1]!s_mq_pctchange($C664,$N$1))</f>
        <v xml:space="preserve"> </v>
      </c>
      <c r="N664" s="28" t="str">
        <f>IF(C664=""," ",[1]!s_yq_pctchange($C664,$N$1))</f>
        <v xml:space="preserve"> </v>
      </c>
      <c r="O664" s="11"/>
      <c r="P664" s="7"/>
    </row>
    <row r="665" spans="1:16" x14ac:dyDescent="0.35">
      <c r="A665" s="7"/>
      <c r="C665" s="30" t="str">
        <f>IF(指数列表!B662="","",指数列表!B662)</f>
        <v/>
      </c>
      <c r="D665" s="35" t="str">
        <f>IF(C665="","",[1]!s_info_name(C665))</f>
        <v/>
      </c>
      <c r="E665" s="24" t="str">
        <f>IF(C665="","",[1]!s_dq_close(C665,$N$1))</f>
        <v/>
      </c>
      <c r="F665" s="28" t="str">
        <f>IF($C665=""," ",[1]!i_pq_pctchange($C665,F$6,$N$1))</f>
        <v xml:space="preserve"> </v>
      </c>
      <c r="G665" s="28" t="str">
        <f>IF($C665=""," ",[1]!i_pq_pctchange($C665,G$6,$N$1))</f>
        <v xml:space="preserve"> </v>
      </c>
      <c r="H665" s="28" t="str">
        <f>IF($C665=""," ",[1]!i_pq_pctchange($C665,H$6,$N$1))</f>
        <v xml:space="preserve"> </v>
      </c>
      <c r="I665" s="28" t="str">
        <f>IF($C665=""," ",[1]!i_pq_pctchange($C665,I$6,$N$1))</f>
        <v xml:space="preserve"> </v>
      </c>
      <c r="J665" s="28" t="str">
        <f>IF($C665=""," ",[1]!i_pq_pctchange($C665,J$6,$N$1))</f>
        <v xml:space="preserve"> </v>
      </c>
      <c r="K665" s="28" t="str">
        <f>IF($C665=""," ",[1]!i_pq_pctchange($C665,K$6,$N$1))</f>
        <v xml:space="preserve"> </v>
      </c>
      <c r="L665" s="28" t="str">
        <f>IF(C665=""," ",[1]!s_wq_pctchange($C665,$N$1))</f>
        <v xml:space="preserve"> </v>
      </c>
      <c r="M665" s="28" t="str">
        <f>IF(C665=""," ",[1]!s_mq_pctchange($C665,$N$1))</f>
        <v xml:space="preserve"> </v>
      </c>
      <c r="N665" s="28" t="str">
        <f>IF(C665=""," ",[1]!s_yq_pctchange($C665,$N$1))</f>
        <v xml:space="preserve"> </v>
      </c>
      <c r="O665" s="11"/>
      <c r="P665" s="7"/>
    </row>
    <row r="666" spans="1:16" x14ac:dyDescent="0.35">
      <c r="A666" s="7"/>
      <c r="C666" s="31" t="str">
        <f>IF(指数列表!B663="","",指数列表!B663)</f>
        <v/>
      </c>
      <c r="D666" s="36" t="str">
        <f>IF(C666="","",[1]!s_info_name(C666))</f>
        <v/>
      </c>
      <c r="E666" s="25" t="str">
        <f>IF(C666="","",[1]!s_dq_close(C666,$N$1))</f>
        <v/>
      </c>
      <c r="F666" s="28" t="str">
        <f>IF($C666=""," ",[1]!i_pq_pctchange($C666,F$6,$N$1))</f>
        <v xml:space="preserve"> </v>
      </c>
      <c r="G666" s="28" t="str">
        <f>IF($C666=""," ",[1]!i_pq_pctchange($C666,G$6,$N$1))</f>
        <v xml:space="preserve"> </v>
      </c>
      <c r="H666" s="28" t="str">
        <f>IF($C666=""," ",[1]!i_pq_pctchange($C666,H$6,$N$1))</f>
        <v xml:space="preserve"> </v>
      </c>
      <c r="I666" s="28" t="str">
        <f>IF($C666=""," ",[1]!i_pq_pctchange($C666,I$6,$N$1))</f>
        <v xml:space="preserve"> </v>
      </c>
      <c r="J666" s="28" t="str">
        <f>IF($C666=""," ",[1]!i_pq_pctchange($C666,J$6,$N$1))</f>
        <v xml:space="preserve"> </v>
      </c>
      <c r="K666" s="28" t="str">
        <f>IF($C666=""," ",[1]!i_pq_pctchange($C666,K$6,$N$1))</f>
        <v xml:space="preserve"> </v>
      </c>
      <c r="L666" s="28" t="str">
        <f>IF(C666=""," ",[1]!s_wq_pctchange($C666,$N$1))</f>
        <v xml:space="preserve"> </v>
      </c>
      <c r="M666" s="28" t="str">
        <f>IF(C666=""," ",[1]!s_mq_pctchange($C666,$N$1))</f>
        <v xml:space="preserve"> </v>
      </c>
      <c r="N666" s="28" t="str">
        <f>IF(C666=""," ",[1]!s_yq_pctchange($C666,$N$1))</f>
        <v xml:space="preserve"> </v>
      </c>
      <c r="O666" s="11"/>
      <c r="P666" s="7"/>
    </row>
    <row r="667" spans="1:16" x14ac:dyDescent="0.35">
      <c r="A667" s="7"/>
      <c r="C667" s="30" t="str">
        <f>IF(指数列表!B664="","",指数列表!B664)</f>
        <v/>
      </c>
      <c r="D667" s="35" t="str">
        <f>IF(C667="","",[1]!s_info_name(C667))</f>
        <v/>
      </c>
      <c r="E667" s="24" t="str">
        <f>IF(C667="","",[1]!s_dq_close(C667,$N$1))</f>
        <v/>
      </c>
      <c r="F667" s="28" t="str">
        <f>IF($C667=""," ",[1]!i_pq_pctchange($C667,F$6,$N$1))</f>
        <v xml:space="preserve"> </v>
      </c>
      <c r="G667" s="28" t="str">
        <f>IF($C667=""," ",[1]!i_pq_pctchange($C667,G$6,$N$1))</f>
        <v xml:space="preserve"> </v>
      </c>
      <c r="H667" s="28" t="str">
        <f>IF($C667=""," ",[1]!i_pq_pctchange($C667,H$6,$N$1))</f>
        <v xml:space="preserve"> </v>
      </c>
      <c r="I667" s="28" t="str">
        <f>IF($C667=""," ",[1]!i_pq_pctchange($C667,I$6,$N$1))</f>
        <v xml:space="preserve"> </v>
      </c>
      <c r="J667" s="28" t="str">
        <f>IF($C667=""," ",[1]!i_pq_pctchange($C667,J$6,$N$1))</f>
        <v xml:space="preserve"> </v>
      </c>
      <c r="K667" s="28" t="str">
        <f>IF($C667=""," ",[1]!i_pq_pctchange($C667,K$6,$N$1))</f>
        <v xml:space="preserve"> </v>
      </c>
      <c r="L667" s="28" t="str">
        <f>IF(C667=""," ",[1]!s_wq_pctchange($C667,$N$1))</f>
        <v xml:space="preserve"> </v>
      </c>
      <c r="M667" s="28" t="str">
        <f>IF(C667=""," ",[1]!s_mq_pctchange($C667,$N$1))</f>
        <v xml:space="preserve"> </v>
      </c>
      <c r="N667" s="28" t="str">
        <f>IF(C667=""," ",[1]!s_yq_pctchange($C667,$N$1))</f>
        <v xml:space="preserve"> </v>
      </c>
      <c r="O667" s="11"/>
      <c r="P667" s="7"/>
    </row>
    <row r="668" spans="1:16" x14ac:dyDescent="0.35">
      <c r="A668" s="7"/>
      <c r="C668" s="31" t="str">
        <f>IF(指数列表!B665="","",指数列表!B665)</f>
        <v/>
      </c>
      <c r="D668" s="36" t="str">
        <f>IF(C668="","",[1]!s_info_name(C668))</f>
        <v/>
      </c>
      <c r="E668" s="25" t="str">
        <f>IF(C668="","",[1]!s_dq_close(C668,$N$1))</f>
        <v/>
      </c>
      <c r="F668" s="28" t="str">
        <f>IF($C668=""," ",[1]!i_pq_pctchange($C668,F$6,$N$1))</f>
        <v xml:space="preserve"> </v>
      </c>
      <c r="G668" s="28" t="str">
        <f>IF($C668=""," ",[1]!i_pq_pctchange($C668,G$6,$N$1))</f>
        <v xml:space="preserve"> </v>
      </c>
      <c r="H668" s="28" t="str">
        <f>IF($C668=""," ",[1]!i_pq_pctchange($C668,H$6,$N$1))</f>
        <v xml:space="preserve"> </v>
      </c>
      <c r="I668" s="28" t="str">
        <f>IF($C668=""," ",[1]!i_pq_pctchange($C668,I$6,$N$1))</f>
        <v xml:space="preserve"> </v>
      </c>
      <c r="J668" s="28" t="str">
        <f>IF($C668=""," ",[1]!i_pq_pctchange($C668,J$6,$N$1))</f>
        <v xml:space="preserve"> </v>
      </c>
      <c r="K668" s="28" t="str">
        <f>IF($C668=""," ",[1]!i_pq_pctchange($C668,K$6,$N$1))</f>
        <v xml:space="preserve"> </v>
      </c>
      <c r="L668" s="28" t="str">
        <f>IF(C668=""," ",[1]!s_wq_pctchange($C668,$N$1))</f>
        <v xml:space="preserve"> </v>
      </c>
      <c r="M668" s="28" t="str">
        <f>IF(C668=""," ",[1]!s_mq_pctchange($C668,$N$1))</f>
        <v xml:space="preserve"> </v>
      </c>
      <c r="N668" s="28" t="str">
        <f>IF(C668=""," ",[1]!s_yq_pctchange($C668,$N$1))</f>
        <v xml:space="preserve"> </v>
      </c>
      <c r="O668" s="11"/>
      <c r="P668" s="7"/>
    </row>
    <row r="669" spans="1:16" x14ac:dyDescent="0.35">
      <c r="A669" s="7"/>
      <c r="C669" s="30" t="str">
        <f>IF(指数列表!B666="","",指数列表!B666)</f>
        <v/>
      </c>
      <c r="D669" s="35" t="str">
        <f>IF(C669="","",[1]!s_info_name(C669))</f>
        <v/>
      </c>
      <c r="E669" s="24" t="str">
        <f>IF(C669="","",[1]!s_dq_close(C669,$N$1))</f>
        <v/>
      </c>
      <c r="F669" s="28" t="str">
        <f>IF($C669=""," ",[1]!i_pq_pctchange($C669,F$6,$N$1))</f>
        <v xml:space="preserve"> </v>
      </c>
      <c r="G669" s="28" t="str">
        <f>IF($C669=""," ",[1]!i_pq_pctchange($C669,G$6,$N$1))</f>
        <v xml:space="preserve"> </v>
      </c>
      <c r="H669" s="28" t="str">
        <f>IF($C669=""," ",[1]!i_pq_pctchange($C669,H$6,$N$1))</f>
        <v xml:space="preserve"> </v>
      </c>
      <c r="I669" s="28" t="str">
        <f>IF($C669=""," ",[1]!i_pq_pctchange($C669,I$6,$N$1))</f>
        <v xml:space="preserve"> </v>
      </c>
      <c r="J669" s="28" t="str">
        <f>IF($C669=""," ",[1]!i_pq_pctchange($C669,J$6,$N$1))</f>
        <v xml:space="preserve"> </v>
      </c>
      <c r="K669" s="28" t="str">
        <f>IF($C669=""," ",[1]!i_pq_pctchange($C669,K$6,$N$1))</f>
        <v xml:space="preserve"> </v>
      </c>
      <c r="L669" s="28" t="str">
        <f>IF(C669=""," ",[1]!s_wq_pctchange($C669,$N$1))</f>
        <v xml:space="preserve"> </v>
      </c>
      <c r="M669" s="28" t="str">
        <f>IF(C669=""," ",[1]!s_mq_pctchange($C669,$N$1))</f>
        <v xml:space="preserve"> </v>
      </c>
      <c r="N669" s="28" t="str">
        <f>IF(C669=""," ",[1]!s_yq_pctchange($C669,$N$1))</f>
        <v xml:space="preserve"> </v>
      </c>
      <c r="O669" s="11"/>
      <c r="P669" s="7"/>
    </row>
    <row r="670" spans="1:16" x14ac:dyDescent="0.35">
      <c r="A670" s="7"/>
      <c r="C670" s="31" t="str">
        <f>IF(指数列表!B667="","",指数列表!B667)</f>
        <v/>
      </c>
      <c r="D670" s="36" t="str">
        <f>IF(C670="","",[1]!s_info_name(C670))</f>
        <v/>
      </c>
      <c r="E670" s="25" t="str">
        <f>IF(C670="","",[1]!s_dq_close(C670,$N$1))</f>
        <v/>
      </c>
      <c r="F670" s="28" t="str">
        <f>IF($C670=""," ",[1]!i_pq_pctchange($C670,F$6,$N$1))</f>
        <v xml:space="preserve"> </v>
      </c>
      <c r="G670" s="28" t="str">
        <f>IF($C670=""," ",[1]!i_pq_pctchange($C670,G$6,$N$1))</f>
        <v xml:space="preserve"> </v>
      </c>
      <c r="H670" s="28" t="str">
        <f>IF($C670=""," ",[1]!i_pq_pctchange($C670,H$6,$N$1))</f>
        <v xml:space="preserve"> </v>
      </c>
      <c r="I670" s="28" t="str">
        <f>IF($C670=""," ",[1]!i_pq_pctchange($C670,I$6,$N$1))</f>
        <v xml:space="preserve"> </v>
      </c>
      <c r="J670" s="28" t="str">
        <f>IF($C670=""," ",[1]!i_pq_pctchange($C670,J$6,$N$1))</f>
        <v xml:space="preserve"> </v>
      </c>
      <c r="K670" s="28" t="str">
        <f>IF($C670=""," ",[1]!i_pq_pctchange($C670,K$6,$N$1))</f>
        <v xml:space="preserve"> </v>
      </c>
      <c r="L670" s="28" t="str">
        <f>IF(C670=""," ",[1]!s_wq_pctchange($C670,$N$1))</f>
        <v xml:space="preserve"> </v>
      </c>
      <c r="M670" s="28" t="str">
        <f>IF(C670=""," ",[1]!s_mq_pctchange($C670,$N$1))</f>
        <v xml:space="preserve"> </v>
      </c>
      <c r="N670" s="28" t="str">
        <f>IF(C670=""," ",[1]!s_yq_pctchange($C670,$N$1))</f>
        <v xml:space="preserve"> </v>
      </c>
      <c r="O670" s="11"/>
      <c r="P670" s="7"/>
    </row>
    <row r="671" spans="1:16" x14ac:dyDescent="0.35">
      <c r="A671" s="7"/>
      <c r="C671" s="30" t="str">
        <f>IF(指数列表!B668="","",指数列表!B668)</f>
        <v/>
      </c>
      <c r="D671" s="35" t="str">
        <f>IF(C671="","",[1]!s_info_name(C671))</f>
        <v/>
      </c>
      <c r="E671" s="24" t="str">
        <f>IF(C671="","",[1]!s_dq_close(C671,$N$1))</f>
        <v/>
      </c>
      <c r="F671" s="28" t="str">
        <f>IF($C671=""," ",[1]!i_pq_pctchange($C671,F$6,$N$1))</f>
        <v xml:space="preserve"> </v>
      </c>
      <c r="G671" s="28" t="str">
        <f>IF($C671=""," ",[1]!i_pq_pctchange($C671,G$6,$N$1))</f>
        <v xml:space="preserve"> </v>
      </c>
      <c r="H671" s="28" t="str">
        <f>IF($C671=""," ",[1]!i_pq_pctchange($C671,H$6,$N$1))</f>
        <v xml:space="preserve"> </v>
      </c>
      <c r="I671" s="28" t="str">
        <f>IF($C671=""," ",[1]!i_pq_pctchange($C671,I$6,$N$1))</f>
        <v xml:space="preserve"> </v>
      </c>
      <c r="J671" s="28" t="str">
        <f>IF($C671=""," ",[1]!i_pq_pctchange($C671,J$6,$N$1))</f>
        <v xml:space="preserve"> </v>
      </c>
      <c r="K671" s="28" t="str">
        <f>IF($C671=""," ",[1]!i_pq_pctchange($C671,K$6,$N$1))</f>
        <v xml:space="preserve"> </v>
      </c>
      <c r="L671" s="28" t="str">
        <f>IF(C671=""," ",[1]!s_wq_pctchange($C671,$N$1))</f>
        <v xml:space="preserve"> </v>
      </c>
      <c r="M671" s="28" t="str">
        <f>IF(C671=""," ",[1]!s_mq_pctchange($C671,$N$1))</f>
        <v xml:space="preserve"> </v>
      </c>
      <c r="N671" s="28" t="str">
        <f>IF(C671=""," ",[1]!s_yq_pctchange($C671,$N$1))</f>
        <v xml:space="preserve"> </v>
      </c>
      <c r="O671" s="11"/>
      <c r="P671" s="7"/>
    </row>
    <row r="672" spans="1:16" x14ac:dyDescent="0.35">
      <c r="A672" s="7"/>
      <c r="C672" s="31" t="str">
        <f>IF(指数列表!B669="","",指数列表!B669)</f>
        <v/>
      </c>
      <c r="D672" s="36" t="str">
        <f>IF(C672="","",[1]!s_info_name(C672))</f>
        <v/>
      </c>
      <c r="E672" s="25" t="str">
        <f>IF(C672="","",[1]!s_dq_close(C672,$N$1))</f>
        <v/>
      </c>
      <c r="F672" s="28" t="str">
        <f>IF($C672=""," ",[1]!i_pq_pctchange($C672,F$6,$N$1))</f>
        <v xml:space="preserve"> </v>
      </c>
      <c r="G672" s="28" t="str">
        <f>IF($C672=""," ",[1]!i_pq_pctchange($C672,G$6,$N$1))</f>
        <v xml:space="preserve"> </v>
      </c>
      <c r="H672" s="28" t="str">
        <f>IF($C672=""," ",[1]!i_pq_pctchange($C672,H$6,$N$1))</f>
        <v xml:space="preserve"> </v>
      </c>
      <c r="I672" s="28" t="str">
        <f>IF($C672=""," ",[1]!i_pq_pctchange($C672,I$6,$N$1))</f>
        <v xml:space="preserve"> </v>
      </c>
      <c r="J672" s="28" t="str">
        <f>IF($C672=""," ",[1]!i_pq_pctchange($C672,J$6,$N$1))</f>
        <v xml:space="preserve"> </v>
      </c>
      <c r="K672" s="28" t="str">
        <f>IF($C672=""," ",[1]!i_pq_pctchange($C672,K$6,$N$1))</f>
        <v xml:space="preserve"> </v>
      </c>
      <c r="L672" s="28" t="str">
        <f>IF(C672=""," ",[1]!s_wq_pctchange($C672,$N$1))</f>
        <v xml:space="preserve"> </v>
      </c>
      <c r="M672" s="28" t="str">
        <f>IF(C672=""," ",[1]!s_mq_pctchange($C672,$N$1))</f>
        <v xml:space="preserve"> </v>
      </c>
      <c r="N672" s="28" t="str">
        <f>IF(C672=""," ",[1]!s_yq_pctchange($C672,$N$1))</f>
        <v xml:space="preserve"> </v>
      </c>
      <c r="O672" s="11"/>
      <c r="P672" s="7"/>
    </row>
    <row r="673" spans="1:16" x14ac:dyDescent="0.35">
      <c r="A673" s="7"/>
      <c r="C673" s="30" t="str">
        <f>IF(指数列表!B670="","",指数列表!B670)</f>
        <v/>
      </c>
      <c r="D673" s="35" t="str">
        <f>IF(C673="","",[1]!s_info_name(C673))</f>
        <v/>
      </c>
      <c r="E673" s="24" t="str">
        <f>IF(C673="","",[1]!s_dq_close(C673,$N$1))</f>
        <v/>
      </c>
      <c r="F673" s="28" t="str">
        <f>IF($C673=""," ",[1]!i_pq_pctchange($C673,F$6,$N$1))</f>
        <v xml:space="preserve"> </v>
      </c>
      <c r="G673" s="28" t="str">
        <f>IF($C673=""," ",[1]!i_pq_pctchange($C673,G$6,$N$1))</f>
        <v xml:space="preserve"> </v>
      </c>
      <c r="H673" s="28" t="str">
        <f>IF($C673=""," ",[1]!i_pq_pctchange($C673,H$6,$N$1))</f>
        <v xml:space="preserve"> </v>
      </c>
      <c r="I673" s="28" t="str">
        <f>IF($C673=""," ",[1]!i_pq_pctchange($C673,I$6,$N$1))</f>
        <v xml:space="preserve"> </v>
      </c>
      <c r="J673" s="28" t="str">
        <f>IF($C673=""," ",[1]!i_pq_pctchange($C673,J$6,$N$1))</f>
        <v xml:space="preserve"> </v>
      </c>
      <c r="K673" s="28" t="str">
        <f>IF($C673=""," ",[1]!i_pq_pctchange($C673,K$6,$N$1))</f>
        <v xml:space="preserve"> </v>
      </c>
      <c r="L673" s="28" t="str">
        <f>IF(C673=""," ",[1]!s_wq_pctchange($C673,$N$1))</f>
        <v xml:space="preserve"> </v>
      </c>
      <c r="M673" s="28" t="str">
        <f>IF(C673=""," ",[1]!s_mq_pctchange($C673,$N$1))</f>
        <v xml:space="preserve"> </v>
      </c>
      <c r="N673" s="28" t="str">
        <f>IF(C673=""," ",[1]!s_yq_pctchange($C673,$N$1))</f>
        <v xml:space="preserve"> </v>
      </c>
      <c r="O673" s="11"/>
      <c r="P673" s="7"/>
    </row>
    <row r="674" spans="1:16" x14ac:dyDescent="0.35">
      <c r="A674" s="7"/>
      <c r="C674" s="31" t="str">
        <f>IF(指数列表!B671="","",指数列表!B671)</f>
        <v/>
      </c>
      <c r="D674" s="36" t="str">
        <f>IF(C674="","",[1]!s_info_name(C674))</f>
        <v/>
      </c>
      <c r="E674" s="25" t="str">
        <f>IF(C674="","",[1]!s_dq_close(C674,$N$1))</f>
        <v/>
      </c>
      <c r="F674" s="28" t="str">
        <f>IF($C674=""," ",[1]!i_pq_pctchange($C674,F$6,$N$1))</f>
        <v xml:space="preserve"> </v>
      </c>
      <c r="G674" s="28" t="str">
        <f>IF($C674=""," ",[1]!i_pq_pctchange($C674,G$6,$N$1))</f>
        <v xml:space="preserve"> </v>
      </c>
      <c r="H674" s="28" t="str">
        <f>IF($C674=""," ",[1]!i_pq_pctchange($C674,H$6,$N$1))</f>
        <v xml:space="preserve"> </v>
      </c>
      <c r="I674" s="28" t="str">
        <f>IF($C674=""," ",[1]!i_pq_pctchange($C674,I$6,$N$1))</f>
        <v xml:space="preserve"> </v>
      </c>
      <c r="J674" s="28" t="str">
        <f>IF($C674=""," ",[1]!i_pq_pctchange($C674,J$6,$N$1))</f>
        <v xml:space="preserve"> </v>
      </c>
      <c r="K674" s="28" t="str">
        <f>IF($C674=""," ",[1]!i_pq_pctchange($C674,K$6,$N$1))</f>
        <v xml:space="preserve"> </v>
      </c>
      <c r="L674" s="28" t="str">
        <f>IF(C674=""," ",[1]!s_wq_pctchange($C674,$N$1))</f>
        <v xml:space="preserve"> </v>
      </c>
      <c r="M674" s="28" t="str">
        <f>IF(C674=""," ",[1]!s_mq_pctchange($C674,$N$1))</f>
        <v xml:space="preserve"> </v>
      </c>
      <c r="N674" s="28" t="str">
        <f>IF(C674=""," ",[1]!s_yq_pctchange($C674,$N$1))</f>
        <v xml:space="preserve"> </v>
      </c>
      <c r="O674" s="11"/>
      <c r="P674" s="7"/>
    </row>
    <row r="675" spans="1:16" x14ac:dyDescent="0.35">
      <c r="A675" s="7"/>
      <c r="C675" s="30" t="str">
        <f>IF(指数列表!B672="","",指数列表!B672)</f>
        <v/>
      </c>
      <c r="D675" s="35" t="str">
        <f>IF(C675="","",[1]!s_info_name(C675))</f>
        <v/>
      </c>
      <c r="E675" s="24" t="str">
        <f>IF(C675="","",[1]!s_dq_close(C675,$N$1))</f>
        <v/>
      </c>
      <c r="F675" s="28" t="str">
        <f>IF($C675=""," ",[1]!i_pq_pctchange($C675,F$6,$N$1))</f>
        <v xml:space="preserve"> </v>
      </c>
      <c r="G675" s="28" t="str">
        <f>IF($C675=""," ",[1]!i_pq_pctchange($C675,G$6,$N$1))</f>
        <v xml:space="preserve"> </v>
      </c>
      <c r="H675" s="28" t="str">
        <f>IF($C675=""," ",[1]!i_pq_pctchange($C675,H$6,$N$1))</f>
        <v xml:space="preserve"> </v>
      </c>
      <c r="I675" s="28" t="str">
        <f>IF($C675=""," ",[1]!i_pq_pctchange($C675,I$6,$N$1))</f>
        <v xml:space="preserve"> </v>
      </c>
      <c r="J675" s="28" t="str">
        <f>IF($C675=""," ",[1]!i_pq_pctchange($C675,J$6,$N$1))</f>
        <v xml:space="preserve"> </v>
      </c>
      <c r="K675" s="28" t="str">
        <f>IF($C675=""," ",[1]!i_pq_pctchange($C675,K$6,$N$1))</f>
        <v xml:space="preserve"> </v>
      </c>
      <c r="L675" s="28" t="str">
        <f>IF(C675=""," ",[1]!s_wq_pctchange($C675,$N$1))</f>
        <v xml:space="preserve"> </v>
      </c>
      <c r="M675" s="28" t="str">
        <f>IF(C675=""," ",[1]!s_mq_pctchange($C675,$N$1))</f>
        <v xml:space="preserve"> </v>
      </c>
      <c r="N675" s="28" t="str">
        <f>IF(C675=""," ",[1]!s_yq_pctchange($C675,$N$1))</f>
        <v xml:space="preserve"> </v>
      </c>
      <c r="O675" s="11"/>
      <c r="P675" s="7"/>
    </row>
    <row r="676" spans="1:16" x14ac:dyDescent="0.35">
      <c r="A676" s="7"/>
      <c r="C676" s="31" t="str">
        <f>IF(指数列表!B673="","",指数列表!B673)</f>
        <v/>
      </c>
      <c r="D676" s="36" t="str">
        <f>IF(C676="","",[1]!s_info_name(C676))</f>
        <v/>
      </c>
      <c r="E676" s="25" t="str">
        <f>IF(C676="","",[1]!s_dq_close(C676,$N$1))</f>
        <v/>
      </c>
      <c r="F676" s="28" t="str">
        <f>IF($C676=""," ",[1]!i_pq_pctchange($C676,F$6,$N$1))</f>
        <v xml:space="preserve"> </v>
      </c>
      <c r="G676" s="28" t="str">
        <f>IF($C676=""," ",[1]!i_pq_pctchange($C676,G$6,$N$1))</f>
        <v xml:space="preserve"> </v>
      </c>
      <c r="H676" s="28" t="str">
        <f>IF($C676=""," ",[1]!i_pq_pctchange($C676,H$6,$N$1))</f>
        <v xml:space="preserve"> </v>
      </c>
      <c r="I676" s="28" t="str">
        <f>IF($C676=""," ",[1]!i_pq_pctchange($C676,I$6,$N$1))</f>
        <v xml:space="preserve"> </v>
      </c>
      <c r="J676" s="28" t="str">
        <f>IF($C676=""," ",[1]!i_pq_pctchange($C676,J$6,$N$1))</f>
        <v xml:space="preserve"> </v>
      </c>
      <c r="K676" s="28" t="str">
        <f>IF($C676=""," ",[1]!i_pq_pctchange($C676,K$6,$N$1))</f>
        <v xml:space="preserve"> </v>
      </c>
      <c r="L676" s="28" t="str">
        <f>IF(C676=""," ",[1]!s_wq_pctchange($C676,$N$1))</f>
        <v xml:space="preserve"> </v>
      </c>
      <c r="M676" s="28" t="str">
        <f>IF(C676=""," ",[1]!s_mq_pctchange($C676,$N$1))</f>
        <v xml:space="preserve"> </v>
      </c>
      <c r="N676" s="28" t="str">
        <f>IF(C676=""," ",[1]!s_yq_pctchange($C676,$N$1))</f>
        <v xml:space="preserve"> </v>
      </c>
      <c r="O676" s="11"/>
      <c r="P676" s="7"/>
    </row>
    <row r="677" spans="1:16" x14ac:dyDescent="0.35">
      <c r="A677" s="7"/>
      <c r="C677" s="30" t="str">
        <f>IF(指数列表!B674="","",指数列表!B674)</f>
        <v/>
      </c>
      <c r="D677" s="35" t="str">
        <f>IF(C677="","",[1]!s_info_name(C677))</f>
        <v/>
      </c>
      <c r="E677" s="24" t="str">
        <f>IF(C677="","",[1]!s_dq_close(C677,$N$1))</f>
        <v/>
      </c>
      <c r="F677" s="28" t="str">
        <f>IF($C677=""," ",[1]!i_pq_pctchange($C677,F$6,$N$1))</f>
        <v xml:space="preserve"> </v>
      </c>
      <c r="G677" s="28" t="str">
        <f>IF($C677=""," ",[1]!i_pq_pctchange($C677,G$6,$N$1))</f>
        <v xml:space="preserve"> </v>
      </c>
      <c r="H677" s="28" t="str">
        <f>IF($C677=""," ",[1]!i_pq_pctchange($C677,H$6,$N$1))</f>
        <v xml:space="preserve"> </v>
      </c>
      <c r="I677" s="28" t="str">
        <f>IF($C677=""," ",[1]!i_pq_pctchange($C677,I$6,$N$1))</f>
        <v xml:space="preserve"> </v>
      </c>
      <c r="J677" s="28" t="str">
        <f>IF($C677=""," ",[1]!i_pq_pctchange($C677,J$6,$N$1))</f>
        <v xml:space="preserve"> </v>
      </c>
      <c r="K677" s="28" t="str">
        <f>IF($C677=""," ",[1]!i_pq_pctchange($C677,K$6,$N$1))</f>
        <v xml:space="preserve"> </v>
      </c>
      <c r="L677" s="28" t="str">
        <f>IF(C677=""," ",[1]!s_wq_pctchange($C677,$N$1))</f>
        <v xml:space="preserve"> </v>
      </c>
      <c r="M677" s="28" t="str">
        <f>IF(C677=""," ",[1]!s_mq_pctchange($C677,$N$1))</f>
        <v xml:space="preserve"> </v>
      </c>
      <c r="N677" s="28" t="str">
        <f>IF(C677=""," ",[1]!s_yq_pctchange($C677,$N$1))</f>
        <v xml:space="preserve"> </v>
      </c>
      <c r="O677" s="11"/>
      <c r="P677" s="7"/>
    </row>
    <row r="678" spans="1:16" x14ac:dyDescent="0.35">
      <c r="A678" s="7"/>
      <c r="C678" s="31" t="str">
        <f>IF(指数列表!B675="","",指数列表!B675)</f>
        <v/>
      </c>
      <c r="D678" s="36" t="str">
        <f>IF(C678="","",[1]!s_info_name(C678))</f>
        <v/>
      </c>
      <c r="E678" s="25" t="str">
        <f>IF(C678="","",[1]!s_dq_close(C678,$N$1))</f>
        <v/>
      </c>
      <c r="F678" s="28" t="str">
        <f>IF($C678=""," ",[1]!i_pq_pctchange($C678,F$6,$N$1))</f>
        <v xml:space="preserve"> </v>
      </c>
      <c r="G678" s="28" t="str">
        <f>IF($C678=""," ",[1]!i_pq_pctchange($C678,G$6,$N$1))</f>
        <v xml:space="preserve"> </v>
      </c>
      <c r="H678" s="28" t="str">
        <f>IF($C678=""," ",[1]!i_pq_pctchange($C678,H$6,$N$1))</f>
        <v xml:space="preserve"> </v>
      </c>
      <c r="I678" s="28" t="str">
        <f>IF($C678=""," ",[1]!i_pq_pctchange($C678,I$6,$N$1))</f>
        <v xml:space="preserve"> </v>
      </c>
      <c r="J678" s="28" t="str">
        <f>IF($C678=""," ",[1]!i_pq_pctchange($C678,J$6,$N$1))</f>
        <v xml:space="preserve"> </v>
      </c>
      <c r="K678" s="28" t="str">
        <f>IF($C678=""," ",[1]!i_pq_pctchange($C678,K$6,$N$1))</f>
        <v xml:space="preserve"> </v>
      </c>
      <c r="L678" s="28" t="str">
        <f>IF(C678=""," ",[1]!s_wq_pctchange($C678,$N$1))</f>
        <v xml:space="preserve"> </v>
      </c>
      <c r="M678" s="28" t="str">
        <f>IF(C678=""," ",[1]!s_mq_pctchange($C678,$N$1))</f>
        <v xml:space="preserve"> </v>
      </c>
      <c r="N678" s="28" t="str">
        <f>IF(C678=""," ",[1]!s_yq_pctchange($C678,$N$1))</f>
        <v xml:space="preserve"> </v>
      </c>
      <c r="O678" s="11"/>
      <c r="P678" s="7"/>
    </row>
    <row r="679" spans="1:16" x14ac:dyDescent="0.35">
      <c r="A679" s="7"/>
      <c r="C679" s="30" t="str">
        <f>IF(指数列表!B676="","",指数列表!B676)</f>
        <v/>
      </c>
      <c r="D679" s="35" t="str">
        <f>IF(C679="","",[1]!s_info_name(C679))</f>
        <v/>
      </c>
      <c r="E679" s="24" t="str">
        <f>IF(C679="","",[1]!s_dq_close(C679,$N$1))</f>
        <v/>
      </c>
      <c r="F679" s="28" t="str">
        <f>IF($C679=""," ",[1]!i_pq_pctchange($C679,F$6,$N$1))</f>
        <v xml:space="preserve"> </v>
      </c>
      <c r="G679" s="28" t="str">
        <f>IF($C679=""," ",[1]!i_pq_pctchange($C679,G$6,$N$1))</f>
        <v xml:space="preserve"> </v>
      </c>
      <c r="H679" s="28" t="str">
        <f>IF($C679=""," ",[1]!i_pq_pctchange($C679,H$6,$N$1))</f>
        <v xml:space="preserve"> </v>
      </c>
      <c r="I679" s="28" t="str">
        <f>IF($C679=""," ",[1]!i_pq_pctchange($C679,I$6,$N$1))</f>
        <v xml:space="preserve"> </v>
      </c>
      <c r="J679" s="28" t="str">
        <f>IF($C679=""," ",[1]!i_pq_pctchange($C679,J$6,$N$1))</f>
        <v xml:space="preserve"> </v>
      </c>
      <c r="K679" s="28" t="str">
        <f>IF($C679=""," ",[1]!i_pq_pctchange($C679,K$6,$N$1))</f>
        <v xml:space="preserve"> </v>
      </c>
      <c r="L679" s="28" t="str">
        <f>IF(C679=""," ",[1]!s_wq_pctchange($C679,$N$1))</f>
        <v xml:space="preserve"> </v>
      </c>
      <c r="M679" s="28" t="str">
        <f>IF(C679=""," ",[1]!s_mq_pctchange($C679,$N$1))</f>
        <v xml:space="preserve"> </v>
      </c>
      <c r="N679" s="28" t="str">
        <f>IF(C679=""," ",[1]!s_yq_pctchange($C679,$N$1))</f>
        <v xml:space="preserve"> </v>
      </c>
      <c r="O679" s="11"/>
      <c r="P679" s="7"/>
    </row>
    <row r="680" spans="1:16" x14ac:dyDescent="0.35">
      <c r="A680" s="7"/>
      <c r="C680" s="31" t="str">
        <f>IF(指数列表!B677="","",指数列表!B677)</f>
        <v/>
      </c>
      <c r="D680" s="36" t="str">
        <f>IF(C680="","",[1]!s_info_name(C680))</f>
        <v/>
      </c>
      <c r="E680" s="25" t="str">
        <f>IF(C680="","",[1]!s_dq_close(C680,$N$1))</f>
        <v/>
      </c>
      <c r="F680" s="28" t="str">
        <f>IF($C680=""," ",[1]!i_pq_pctchange($C680,F$6,$N$1))</f>
        <v xml:space="preserve"> </v>
      </c>
      <c r="G680" s="28" t="str">
        <f>IF($C680=""," ",[1]!i_pq_pctchange($C680,G$6,$N$1))</f>
        <v xml:space="preserve"> </v>
      </c>
      <c r="H680" s="28" t="str">
        <f>IF($C680=""," ",[1]!i_pq_pctchange($C680,H$6,$N$1))</f>
        <v xml:space="preserve"> </v>
      </c>
      <c r="I680" s="28" t="str">
        <f>IF($C680=""," ",[1]!i_pq_pctchange($C680,I$6,$N$1))</f>
        <v xml:space="preserve"> </v>
      </c>
      <c r="J680" s="28" t="str">
        <f>IF($C680=""," ",[1]!i_pq_pctchange($C680,J$6,$N$1))</f>
        <v xml:space="preserve"> </v>
      </c>
      <c r="K680" s="28" t="str">
        <f>IF($C680=""," ",[1]!i_pq_pctchange($C680,K$6,$N$1))</f>
        <v xml:space="preserve"> </v>
      </c>
      <c r="L680" s="28" t="str">
        <f>IF(C680=""," ",[1]!s_wq_pctchange($C680,$N$1))</f>
        <v xml:space="preserve"> </v>
      </c>
      <c r="M680" s="28" t="str">
        <f>IF(C680=""," ",[1]!s_mq_pctchange($C680,$N$1))</f>
        <v xml:space="preserve"> </v>
      </c>
      <c r="N680" s="28" t="str">
        <f>IF(C680=""," ",[1]!s_yq_pctchange($C680,$N$1))</f>
        <v xml:space="preserve"> </v>
      </c>
      <c r="O680" s="11"/>
      <c r="P680" s="7"/>
    </row>
    <row r="681" spans="1:16" x14ac:dyDescent="0.35">
      <c r="A681" s="7"/>
      <c r="C681" s="30" t="str">
        <f>IF(指数列表!B678="","",指数列表!B678)</f>
        <v/>
      </c>
      <c r="D681" s="35" t="str">
        <f>IF(C681="","",[1]!s_info_name(C681))</f>
        <v/>
      </c>
      <c r="E681" s="24" t="str">
        <f>IF(C681="","",[1]!s_dq_close(C681,$N$1))</f>
        <v/>
      </c>
      <c r="F681" s="28" t="str">
        <f>IF($C681=""," ",[1]!i_pq_pctchange($C681,F$6,$N$1))</f>
        <v xml:space="preserve"> </v>
      </c>
      <c r="G681" s="28" t="str">
        <f>IF($C681=""," ",[1]!i_pq_pctchange($C681,G$6,$N$1))</f>
        <v xml:space="preserve"> </v>
      </c>
      <c r="H681" s="28" t="str">
        <f>IF($C681=""," ",[1]!i_pq_pctchange($C681,H$6,$N$1))</f>
        <v xml:space="preserve"> </v>
      </c>
      <c r="I681" s="28" t="str">
        <f>IF($C681=""," ",[1]!i_pq_pctchange($C681,I$6,$N$1))</f>
        <v xml:space="preserve"> </v>
      </c>
      <c r="J681" s="28" t="str">
        <f>IF($C681=""," ",[1]!i_pq_pctchange($C681,J$6,$N$1))</f>
        <v xml:space="preserve"> </v>
      </c>
      <c r="K681" s="28" t="str">
        <f>IF($C681=""," ",[1]!i_pq_pctchange($C681,K$6,$N$1))</f>
        <v xml:space="preserve"> </v>
      </c>
      <c r="L681" s="28" t="str">
        <f>IF(C681=""," ",[1]!s_wq_pctchange($C681,$N$1))</f>
        <v xml:space="preserve"> </v>
      </c>
      <c r="M681" s="28" t="str">
        <f>IF(C681=""," ",[1]!s_mq_pctchange($C681,$N$1))</f>
        <v xml:space="preserve"> </v>
      </c>
      <c r="N681" s="28" t="str">
        <f>IF(C681=""," ",[1]!s_yq_pctchange($C681,$N$1))</f>
        <v xml:space="preserve"> </v>
      </c>
      <c r="O681" s="11"/>
      <c r="P681" s="7"/>
    </row>
    <row r="682" spans="1:16" x14ac:dyDescent="0.35">
      <c r="A682" s="7"/>
      <c r="C682" s="31" t="str">
        <f>IF(指数列表!B679="","",指数列表!B679)</f>
        <v/>
      </c>
      <c r="D682" s="36" t="str">
        <f>IF(C682="","",[1]!s_info_name(C682))</f>
        <v/>
      </c>
      <c r="E682" s="25" t="str">
        <f>IF(C682="","",[1]!s_dq_close(C682,$N$1))</f>
        <v/>
      </c>
      <c r="F682" s="28" t="str">
        <f>IF($C682=""," ",[1]!i_pq_pctchange($C682,F$6,$N$1))</f>
        <v xml:space="preserve"> </v>
      </c>
      <c r="G682" s="28" t="str">
        <f>IF($C682=""," ",[1]!i_pq_pctchange($C682,G$6,$N$1))</f>
        <v xml:space="preserve"> </v>
      </c>
      <c r="H682" s="28" t="str">
        <f>IF($C682=""," ",[1]!i_pq_pctchange($C682,H$6,$N$1))</f>
        <v xml:space="preserve"> </v>
      </c>
      <c r="I682" s="28" t="str">
        <f>IF($C682=""," ",[1]!i_pq_pctchange($C682,I$6,$N$1))</f>
        <v xml:space="preserve"> </v>
      </c>
      <c r="J682" s="28" t="str">
        <f>IF($C682=""," ",[1]!i_pq_pctchange($C682,J$6,$N$1))</f>
        <v xml:space="preserve"> </v>
      </c>
      <c r="K682" s="28" t="str">
        <f>IF($C682=""," ",[1]!i_pq_pctchange($C682,K$6,$N$1))</f>
        <v xml:space="preserve"> </v>
      </c>
      <c r="L682" s="28" t="str">
        <f>IF(C682=""," ",[1]!s_wq_pctchange($C682,$N$1))</f>
        <v xml:space="preserve"> </v>
      </c>
      <c r="M682" s="28" t="str">
        <f>IF(C682=""," ",[1]!s_mq_pctchange($C682,$N$1))</f>
        <v xml:space="preserve"> </v>
      </c>
      <c r="N682" s="28" t="str">
        <f>IF(C682=""," ",[1]!s_yq_pctchange($C682,$N$1))</f>
        <v xml:space="preserve"> </v>
      </c>
      <c r="O682" s="11"/>
      <c r="P682" s="7"/>
    </row>
    <row r="683" spans="1:16" x14ac:dyDescent="0.35">
      <c r="A683" s="7"/>
      <c r="C683" s="30" t="str">
        <f>IF(指数列表!B680="","",指数列表!B680)</f>
        <v/>
      </c>
      <c r="D683" s="35" t="str">
        <f>IF(C683="","",[1]!s_info_name(C683))</f>
        <v/>
      </c>
      <c r="E683" s="24" t="str">
        <f>IF(C683="","",[1]!s_dq_close(C683,$N$1))</f>
        <v/>
      </c>
      <c r="F683" s="28" t="str">
        <f>IF($C683=""," ",[1]!i_pq_pctchange($C683,F$6,$N$1))</f>
        <v xml:space="preserve"> </v>
      </c>
      <c r="G683" s="28" t="str">
        <f>IF($C683=""," ",[1]!i_pq_pctchange($C683,G$6,$N$1))</f>
        <v xml:space="preserve"> </v>
      </c>
      <c r="H683" s="28" t="str">
        <f>IF($C683=""," ",[1]!i_pq_pctchange($C683,H$6,$N$1))</f>
        <v xml:space="preserve"> </v>
      </c>
      <c r="I683" s="28" t="str">
        <f>IF($C683=""," ",[1]!i_pq_pctchange($C683,I$6,$N$1))</f>
        <v xml:space="preserve"> </v>
      </c>
      <c r="J683" s="28" t="str">
        <f>IF($C683=""," ",[1]!i_pq_pctchange($C683,J$6,$N$1))</f>
        <v xml:space="preserve"> </v>
      </c>
      <c r="K683" s="28" t="str">
        <f>IF($C683=""," ",[1]!i_pq_pctchange($C683,K$6,$N$1))</f>
        <v xml:space="preserve"> </v>
      </c>
      <c r="L683" s="28" t="str">
        <f>IF(C683=""," ",[1]!s_wq_pctchange($C683,$N$1))</f>
        <v xml:space="preserve"> </v>
      </c>
      <c r="M683" s="28" t="str">
        <f>IF(C683=""," ",[1]!s_mq_pctchange($C683,$N$1))</f>
        <v xml:space="preserve"> </v>
      </c>
      <c r="N683" s="28" t="str">
        <f>IF(C683=""," ",[1]!s_yq_pctchange($C683,$N$1))</f>
        <v xml:space="preserve"> </v>
      </c>
      <c r="O683" s="11"/>
      <c r="P683" s="7"/>
    </row>
    <row r="684" spans="1:16" x14ac:dyDescent="0.35">
      <c r="A684" s="7"/>
      <c r="C684" s="31" t="str">
        <f>IF(指数列表!B681="","",指数列表!B681)</f>
        <v/>
      </c>
      <c r="D684" s="36" t="str">
        <f>IF(C684="","",[1]!s_info_name(C684))</f>
        <v/>
      </c>
      <c r="E684" s="25" t="str">
        <f>IF(C684="","",[1]!s_dq_close(C684,$N$1))</f>
        <v/>
      </c>
      <c r="F684" s="28" t="str">
        <f>IF($C684=""," ",[1]!i_pq_pctchange($C684,F$6,$N$1))</f>
        <v xml:space="preserve"> </v>
      </c>
      <c r="G684" s="28" t="str">
        <f>IF($C684=""," ",[1]!i_pq_pctchange($C684,G$6,$N$1))</f>
        <v xml:space="preserve"> </v>
      </c>
      <c r="H684" s="28" t="str">
        <f>IF($C684=""," ",[1]!i_pq_pctchange($C684,H$6,$N$1))</f>
        <v xml:space="preserve"> </v>
      </c>
      <c r="I684" s="28" t="str">
        <f>IF($C684=""," ",[1]!i_pq_pctchange($C684,I$6,$N$1))</f>
        <v xml:space="preserve"> </v>
      </c>
      <c r="J684" s="28" t="str">
        <f>IF($C684=""," ",[1]!i_pq_pctchange($C684,J$6,$N$1))</f>
        <v xml:space="preserve"> </v>
      </c>
      <c r="K684" s="28" t="str">
        <f>IF($C684=""," ",[1]!i_pq_pctchange($C684,K$6,$N$1))</f>
        <v xml:space="preserve"> </v>
      </c>
      <c r="L684" s="28" t="str">
        <f>IF(C684=""," ",[1]!s_wq_pctchange($C684,$N$1))</f>
        <v xml:space="preserve"> </v>
      </c>
      <c r="M684" s="28" t="str">
        <f>IF(C684=""," ",[1]!s_mq_pctchange($C684,$N$1))</f>
        <v xml:space="preserve"> </v>
      </c>
      <c r="N684" s="28" t="str">
        <f>IF(C684=""," ",[1]!s_yq_pctchange($C684,$N$1))</f>
        <v xml:space="preserve"> </v>
      </c>
      <c r="O684" s="11"/>
      <c r="P684" s="7"/>
    </row>
    <row r="685" spans="1:16" x14ac:dyDescent="0.35">
      <c r="A685" s="7"/>
      <c r="C685" s="30" t="str">
        <f>IF(指数列表!B682="","",指数列表!B682)</f>
        <v/>
      </c>
      <c r="D685" s="35" t="str">
        <f>IF(C685="","",[1]!s_info_name(C685))</f>
        <v/>
      </c>
      <c r="E685" s="24" t="str">
        <f>IF(C685="","",[1]!s_dq_close(C685,$N$1))</f>
        <v/>
      </c>
      <c r="F685" s="28" t="str">
        <f>IF($C685=""," ",[1]!i_pq_pctchange($C685,F$6,$N$1))</f>
        <v xml:space="preserve"> </v>
      </c>
      <c r="G685" s="28" t="str">
        <f>IF($C685=""," ",[1]!i_pq_pctchange($C685,G$6,$N$1))</f>
        <v xml:space="preserve"> </v>
      </c>
      <c r="H685" s="28" t="str">
        <f>IF($C685=""," ",[1]!i_pq_pctchange($C685,H$6,$N$1))</f>
        <v xml:space="preserve"> </v>
      </c>
      <c r="I685" s="28" t="str">
        <f>IF($C685=""," ",[1]!i_pq_pctchange($C685,I$6,$N$1))</f>
        <v xml:space="preserve"> </v>
      </c>
      <c r="J685" s="28" t="str">
        <f>IF($C685=""," ",[1]!i_pq_pctchange($C685,J$6,$N$1))</f>
        <v xml:space="preserve"> </v>
      </c>
      <c r="K685" s="28" t="str">
        <f>IF($C685=""," ",[1]!i_pq_pctchange($C685,K$6,$N$1))</f>
        <v xml:space="preserve"> </v>
      </c>
      <c r="L685" s="28" t="str">
        <f>IF(C685=""," ",[1]!s_wq_pctchange($C685,$N$1))</f>
        <v xml:space="preserve"> </v>
      </c>
      <c r="M685" s="28" t="str">
        <f>IF(C685=""," ",[1]!s_mq_pctchange($C685,$N$1))</f>
        <v xml:space="preserve"> </v>
      </c>
      <c r="N685" s="28" t="str">
        <f>IF(C685=""," ",[1]!s_yq_pctchange($C685,$N$1))</f>
        <v xml:space="preserve"> </v>
      </c>
      <c r="O685" s="11"/>
      <c r="P685" s="7"/>
    </row>
    <row r="686" spans="1:16" x14ac:dyDescent="0.35">
      <c r="A686" s="7"/>
      <c r="C686" s="31" t="str">
        <f>IF(指数列表!B683="","",指数列表!B683)</f>
        <v/>
      </c>
      <c r="D686" s="36" t="str">
        <f>IF(C686="","",[1]!s_info_name(C686))</f>
        <v/>
      </c>
      <c r="E686" s="25" t="str">
        <f>IF(C686="","",[1]!s_dq_close(C686,$N$1))</f>
        <v/>
      </c>
      <c r="F686" s="28" t="str">
        <f>IF($C686=""," ",[1]!i_pq_pctchange($C686,F$6,$N$1))</f>
        <v xml:space="preserve"> </v>
      </c>
      <c r="G686" s="28" t="str">
        <f>IF($C686=""," ",[1]!i_pq_pctchange($C686,G$6,$N$1))</f>
        <v xml:space="preserve"> </v>
      </c>
      <c r="H686" s="28" t="str">
        <f>IF($C686=""," ",[1]!i_pq_pctchange($C686,H$6,$N$1))</f>
        <v xml:space="preserve"> </v>
      </c>
      <c r="I686" s="28" t="str">
        <f>IF($C686=""," ",[1]!i_pq_pctchange($C686,I$6,$N$1))</f>
        <v xml:space="preserve"> </v>
      </c>
      <c r="J686" s="28" t="str">
        <f>IF($C686=""," ",[1]!i_pq_pctchange($C686,J$6,$N$1))</f>
        <v xml:space="preserve"> </v>
      </c>
      <c r="K686" s="28" t="str">
        <f>IF($C686=""," ",[1]!i_pq_pctchange($C686,K$6,$N$1))</f>
        <v xml:space="preserve"> </v>
      </c>
      <c r="L686" s="28" t="str">
        <f>IF(C686=""," ",[1]!s_wq_pctchange($C686,$N$1))</f>
        <v xml:space="preserve"> </v>
      </c>
      <c r="M686" s="28" t="str">
        <f>IF(C686=""," ",[1]!s_mq_pctchange($C686,$N$1))</f>
        <v xml:space="preserve"> </v>
      </c>
      <c r="N686" s="28" t="str">
        <f>IF(C686=""," ",[1]!s_yq_pctchange($C686,$N$1))</f>
        <v xml:space="preserve"> </v>
      </c>
      <c r="O686" s="11"/>
      <c r="P686" s="7"/>
    </row>
    <row r="687" spans="1:16" x14ac:dyDescent="0.35">
      <c r="A687" s="7"/>
      <c r="C687" s="30" t="str">
        <f>IF(指数列表!B684="","",指数列表!B684)</f>
        <v/>
      </c>
      <c r="D687" s="35" t="str">
        <f>IF(C687="","",[1]!s_info_name(C687))</f>
        <v/>
      </c>
      <c r="E687" s="24" t="str">
        <f>IF(C687="","",[1]!s_dq_close(C687,$N$1))</f>
        <v/>
      </c>
      <c r="F687" s="28" t="str">
        <f>IF($C687=""," ",[1]!i_pq_pctchange($C687,F$6,$N$1))</f>
        <v xml:space="preserve"> </v>
      </c>
      <c r="G687" s="28" t="str">
        <f>IF($C687=""," ",[1]!i_pq_pctchange($C687,G$6,$N$1))</f>
        <v xml:space="preserve"> </v>
      </c>
      <c r="H687" s="28" t="str">
        <f>IF($C687=""," ",[1]!i_pq_pctchange($C687,H$6,$N$1))</f>
        <v xml:space="preserve"> </v>
      </c>
      <c r="I687" s="28" t="str">
        <f>IF($C687=""," ",[1]!i_pq_pctchange($C687,I$6,$N$1))</f>
        <v xml:space="preserve"> </v>
      </c>
      <c r="J687" s="28" t="str">
        <f>IF($C687=""," ",[1]!i_pq_pctchange($C687,J$6,$N$1))</f>
        <v xml:space="preserve"> </v>
      </c>
      <c r="K687" s="28" t="str">
        <f>IF($C687=""," ",[1]!i_pq_pctchange($C687,K$6,$N$1))</f>
        <v xml:space="preserve"> </v>
      </c>
      <c r="L687" s="28" t="str">
        <f>IF(C687=""," ",[1]!s_wq_pctchange($C687,$N$1))</f>
        <v xml:space="preserve"> </v>
      </c>
      <c r="M687" s="28" t="str">
        <f>IF(C687=""," ",[1]!s_mq_pctchange($C687,$N$1))</f>
        <v xml:space="preserve"> </v>
      </c>
      <c r="N687" s="28" t="str">
        <f>IF(C687=""," ",[1]!s_yq_pctchange($C687,$N$1))</f>
        <v xml:space="preserve"> </v>
      </c>
      <c r="O687" s="11"/>
      <c r="P687" s="7"/>
    </row>
    <row r="688" spans="1:16" x14ac:dyDescent="0.35">
      <c r="A688" s="7"/>
      <c r="C688" s="31" t="str">
        <f>IF(指数列表!B685="","",指数列表!B685)</f>
        <v/>
      </c>
      <c r="D688" s="36" t="str">
        <f>IF(C688="","",[1]!s_info_name(C688))</f>
        <v/>
      </c>
      <c r="E688" s="25" t="str">
        <f>IF(C688="","",[1]!s_dq_close(C688,$N$1))</f>
        <v/>
      </c>
      <c r="F688" s="28" t="str">
        <f>IF($C688=""," ",[1]!i_pq_pctchange($C688,F$6,$N$1))</f>
        <v xml:space="preserve"> </v>
      </c>
      <c r="G688" s="28" t="str">
        <f>IF($C688=""," ",[1]!i_pq_pctchange($C688,G$6,$N$1))</f>
        <v xml:space="preserve"> </v>
      </c>
      <c r="H688" s="28" t="str">
        <f>IF($C688=""," ",[1]!i_pq_pctchange($C688,H$6,$N$1))</f>
        <v xml:space="preserve"> </v>
      </c>
      <c r="I688" s="28" t="str">
        <f>IF($C688=""," ",[1]!i_pq_pctchange($C688,I$6,$N$1))</f>
        <v xml:space="preserve"> </v>
      </c>
      <c r="J688" s="28" t="str">
        <f>IF($C688=""," ",[1]!i_pq_pctchange($C688,J$6,$N$1))</f>
        <v xml:space="preserve"> </v>
      </c>
      <c r="K688" s="28" t="str">
        <f>IF($C688=""," ",[1]!i_pq_pctchange($C688,K$6,$N$1))</f>
        <v xml:space="preserve"> </v>
      </c>
      <c r="L688" s="28" t="str">
        <f>IF(C688=""," ",[1]!s_wq_pctchange($C688,$N$1))</f>
        <v xml:space="preserve"> </v>
      </c>
      <c r="M688" s="28" t="str">
        <f>IF(C688=""," ",[1]!s_mq_pctchange($C688,$N$1))</f>
        <v xml:space="preserve"> </v>
      </c>
      <c r="N688" s="28" t="str">
        <f>IF(C688=""," ",[1]!s_yq_pctchange($C688,$N$1))</f>
        <v xml:space="preserve"> </v>
      </c>
      <c r="O688" s="11"/>
      <c r="P688" s="7"/>
    </row>
    <row r="689" spans="1:16" x14ac:dyDescent="0.35">
      <c r="A689" s="7"/>
      <c r="C689" s="30" t="str">
        <f>IF(指数列表!B686="","",指数列表!B686)</f>
        <v/>
      </c>
      <c r="D689" s="35" t="str">
        <f>IF(C689="","",[1]!s_info_name(C689))</f>
        <v/>
      </c>
      <c r="E689" s="24" t="str">
        <f>IF(C689="","",[1]!s_dq_close(C689,$N$1))</f>
        <v/>
      </c>
      <c r="F689" s="28" t="str">
        <f>IF($C689=""," ",[1]!i_pq_pctchange($C689,F$6,$N$1))</f>
        <v xml:space="preserve"> </v>
      </c>
      <c r="G689" s="28" t="str">
        <f>IF($C689=""," ",[1]!i_pq_pctchange($C689,G$6,$N$1))</f>
        <v xml:space="preserve"> </v>
      </c>
      <c r="H689" s="28" t="str">
        <f>IF($C689=""," ",[1]!i_pq_pctchange($C689,H$6,$N$1))</f>
        <v xml:space="preserve"> </v>
      </c>
      <c r="I689" s="28" t="str">
        <f>IF($C689=""," ",[1]!i_pq_pctchange($C689,I$6,$N$1))</f>
        <v xml:space="preserve"> </v>
      </c>
      <c r="J689" s="28" t="str">
        <f>IF($C689=""," ",[1]!i_pq_pctchange($C689,J$6,$N$1))</f>
        <v xml:space="preserve"> </v>
      </c>
      <c r="K689" s="28" t="str">
        <f>IF($C689=""," ",[1]!i_pq_pctchange($C689,K$6,$N$1))</f>
        <v xml:space="preserve"> </v>
      </c>
      <c r="L689" s="28" t="str">
        <f>IF(C689=""," ",[1]!s_wq_pctchange($C689,$N$1))</f>
        <v xml:space="preserve"> </v>
      </c>
      <c r="M689" s="28" t="str">
        <f>IF(C689=""," ",[1]!s_mq_pctchange($C689,$N$1))</f>
        <v xml:space="preserve"> </v>
      </c>
      <c r="N689" s="28" t="str">
        <f>IF(C689=""," ",[1]!s_yq_pctchange($C689,$N$1))</f>
        <v xml:space="preserve"> </v>
      </c>
      <c r="O689" s="11"/>
      <c r="P689" s="7"/>
    </row>
    <row r="690" spans="1:16" x14ac:dyDescent="0.35">
      <c r="A690" s="7"/>
      <c r="C690" s="31" t="str">
        <f>IF(指数列表!B687="","",指数列表!B687)</f>
        <v/>
      </c>
      <c r="D690" s="36" t="str">
        <f>IF(C690="","",[1]!s_info_name(C690))</f>
        <v/>
      </c>
      <c r="E690" s="25" t="str">
        <f>IF(C690="","",[1]!s_dq_close(C690,$N$1))</f>
        <v/>
      </c>
      <c r="F690" s="28" t="str">
        <f>IF($C690=""," ",[1]!i_pq_pctchange($C690,F$6,$N$1))</f>
        <v xml:space="preserve"> </v>
      </c>
      <c r="G690" s="28" t="str">
        <f>IF($C690=""," ",[1]!i_pq_pctchange($C690,G$6,$N$1))</f>
        <v xml:space="preserve"> </v>
      </c>
      <c r="H690" s="28" t="str">
        <f>IF($C690=""," ",[1]!i_pq_pctchange($C690,H$6,$N$1))</f>
        <v xml:space="preserve"> </v>
      </c>
      <c r="I690" s="28" t="str">
        <f>IF($C690=""," ",[1]!i_pq_pctchange($C690,I$6,$N$1))</f>
        <v xml:space="preserve"> </v>
      </c>
      <c r="J690" s="28" t="str">
        <f>IF($C690=""," ",[1]!i_pq_pctchange($C690,J$6,$N$1))</f>
        <v xml:space="preserve"> </v>
      </c>
      <c r="K690" s="28" t="str">
        <f>IF($C690=""," ",[1]!i_pq_pctchange($C690,K$6,$N$1))</f>
        <v xml:space="preserve"> </v>
      </c>
      <c r="L690" s="28" t="str">
        <f>IF(C690=""," ",[1]!s_wq_pctchange($C690,$N$1))</f>
        <v xml:space="preserve"> </v>
      </c>
      <c r="M690" s="28" t="str">
        <f>IF(C690=""," ",[1]!s_mq_pctchange($C690,$N$1))</f>
        <v xml:space="preserve"> </v>
      </c>
      <c r="N690" s="28" t="str">
        <f>IF(C690=""," ",[1]!s_yq_pctchange($C690,$N$1))</f>
        <v xml:space="preserve"> </v>
      </c>
      <c r="O690" s="11"/>
      <c r="P690" s="7"/>
    </row>
    <row r="691" spans="1:16" x14ac:dyDescent="0.35">
      <c r="A691" s="7"/>
      <c r="C691" s="30" t="str">
        <f>IF(指数列表!B688="","",指数列表!B688)</f>
        <v/>
      </c>
      <c r="D691" s="35" t="str">
        <f>IF(C691="","",[1]!s_info_name(C691))</f>
        <v/>
      </c>
      <c r="E691" s="24" t="str">
        <f>IF(C691="","",[1]!s_dq_close(C691,$N$1))</f>
        <v/>
      </c>
      <c r="F691" s="28" t="str">
        <f>IF($C691=""," ",[1]!i_pq_pctchange($C691,F$6,$N$1))</f>
        <v xml:space="preserve"> </v>
      </c>
      <c r="G691" s="28" t="str">
        <f>IF($C691=""," ",[1]!i_pq_pctchange($C691,G$6,$N$1))</f>
        <v xml:space="preserve"> </v>
      </c>
      <c r="H691" s="28" t="str">
        <f>IF($C691=""," ",[1]!i_pq_pctchange($C691,H$6,$N$1))</f>
        <v xml:space="preserve"> </v>
      </c>
      <c r="I691" s="28" t="str">
        <f>IF($C691=""," ",[1]!i_pq_pctchange($C691,I$6,$N$1))</f>
        <v xml:space="preserve"> </v>
      </c>
      <c r="J691" s="28" t="str">
        <f>IF($C691=""," ",[1]!i_pq_pctchange($C691,J$6,$N$1))</f>
        <v xml:space="preserve"> </v>
      </c>
      <c r="K691" s="28" t="str">
        <f>IF($C691=""," ",[1]!i_pq_pctchange($C691,K$6,$N$1))</f>
        <v xml:space="preserve"> </v>
      </c>
      <c r="L691" s="28" t="str">
        <f>IF(C691=""," ",[1]!s_wq_pctchange($C691,$N$1))</f>
        <v xml:space="preserve"> </v>
      </c>
      <c r="M691" s="28" t="str">
        <f>IF(C691=""," ",[1]!s_mq_pctchange($C691,$N$1))</f>
        <v xml:space="preserve"> </v>
      </c>
      <c r="N691" s="28" t="str">
        <f>IF(C691=""," ",[1]!s_yq_pctchange($C691,$N$1))</f>
        <v xml:space="preserve"> </v>
      </c>
      <c r="O691" s="11"/>
      <c r="P691" s="7"/>
    </row>
    <row r="692" spans="1:16" x14ac:dyDescent="0.35">
      <c r="A692" s="7"/>
      <c r="C692" s="31" t="str">
        <f>IF(指数列表!B689="","",指数列表!B689)</f>
        <v/>
      </c>
      <c r="D692" s="36" t="str">
        <f>IF(C692="","",[1]!s_info_name(C692))</f>
        <v/>
      </c>
      <c r="E692" s="25" t="str">
        <f>IF(C692="","",[1]!s_dq_close(C692,$N$1))</f>
        <v/>
      </c>
      <c r="F692" s="28" t="str">
        <f>IF($C692=""," ",[1]!i_pq_pctchange($C692,F$6,$N$1))</f>
        <v xml:space="preserve"> </v>
      </c>
      <c r="G692" s="28" t="str">
        <f>IF($C692=""," ",[1]!i_pq_pctchange($C692,G$6,$N$1))</f>
        <v xml:space="preserve"> </v>
      </c>
      <c r="H692" s="28" t="str">
        <f>IF($C692=""," ",[1]!i_pq_pctchange($C692,H$6,$N$1))</f>
        <v xml:space="preserve"> </v>
      </c>
      <c r="I692" s="28" t="str">
        <f>IF($C692=""," ",[1]!i_pq_pctchange($C692,I$6,$N$1))</f>
        <v xml:space="preserve"> </v>
      </c>
      <c r="J692" s="28" t="str">
        <f>IF($C692=""," ",[1]!i_pq_pctchange($C692,J$6,$N$1))</f>
        <v xml:space="preserve"> </v>
      </c>
      <c r="K692" s="28" t="str">
        <f>IF($C692=""," ",[1]!i_pq_pctchange($C692,K$6,$N$1))</f>
        <v xml:space="preserve"> </v>
      </c>
      <c r="L692" s="28" t="str">
        <f>IF(C692=""," ",[1]!s_wq_pctchange($C692,$N$1))</f>
        <v xml:space="preserve"> </v>
      </c>
      <c r="M692" s="28" t="str">
        <f>IF(C692=""," ",[1]!s_mq_pctchange($C692,$N$1))</f>
        <v xml:space="preserve"> </v>
      </c>
      <c r="N692" s="28" t="str">
        <f>IF(C692=""," ",[1]!s_yq_pctchange($C692,$N$1))</f>
        <v xml:space="preserve"> </v>
      </c>
      <c r="O692" s="11"/>
      <c r="P692" s="7"/>
    </row>
    <row r="693" spans="1:16" x14ac:dyDescent="0.35">
      <c r="A693" s="7"/>
      <c r="C693" s="30" t="str">
        <f>IF(指数列表!B690="","",指数列表!B690)</f>
        <v/>
      </c>
      <c r="D693" s="35" t="str">
        <f>IF(C693="","",[1]!s_info_name(C693))</f>
        <v/>
      </c>
      <c r="E693" s="24" t="str">
        <f>IF(C693="","",[1]!s_dq_close(C693,$N$1))</f>
        <v/>
      </c>
      <c r="F693" s="28" t="str">
        <f>IF($C693=""," ",[1]!i_pq_pctchange($C693,F$6,$N$1))</f>
        <v xml:space="preserve"> </v>
      </c>
      <c r="G693" s="28" t="str">
        <f>IF($C693=""," ",[1]!i_pq_pctchange($C693,G$6,$N$1))</f>
        <v xml:space="preserve"> </v>
      </c>
      <c r="H693" s="28" t="str">
        <f>IF($C693=""," ",[1]!i_pq_pctchange($C693,H$6,$N$1))</f>
        <v xml:space="preserve"> </v>
      </c>
      <c r="I693" s="28" t="str">
        <f>IF($C693=""," ",[1]!i_pq_pctchange($C693,I$6,$N$1))</f>
        <v xml:space="preserve"> </v>
      </c>
      <c r="J693" s="28" t="str">
        <f>IF($C693=""," ",[1]!i_pq_pctchange($C693,J$6,$N$1))</f>
        <v xml:space="preserve"> </v>
      </c>
      <c r="K693" s="28" t="str">
        <f>IF($C693=""," ",[1]!i_pq_pctchange($C693,K$6,$N$1))</f>
        <v xml:space="preserve"> </v>
      </c>
      <c r="L693" s="28" t="str">
        <f>IF(C693=""," ",[1]!s_wq_pctchange($C693,$N$1))</f>
        <v xml:space="preserve"> </v>
      </c>
      <c r="M693" s="28" t="str">
        <f>IF(C693=""," ",[1]!s_mq_pctchange($C693,$N$1))</f>
        <v xml:space="preserve"> </v>
      </c>
      <c r="N693" s="28" t="str">
        <f>IF(C693=""," ",[1]!s_yq_pctchange($C693,$N$1))</f>
        <v xml:space="preserve"> </v>
      </c>
      <c r="O693" s="11"/>
      <c r="P693" s="7"/>
    </row>
    <row r="694" spans="1:16" x14ac:dyDescent="0.35">
      <c r="A694" s="7"/>
      <c r="C694" s="31" t="str">
        <f>IF(指数列表!B691="","",指数列表!B691)</f>
        <v/>
      </c>
      <c r="D694" s="36" t="str">
        <f>IF(C694="","",[1]!s_info_name(C694))</f>
        <v/>
      </c>
      <c r="E694" s="25" t="str">
        <f>IF(C694="","",[1]!s_dq_close(C694,$N$1))</f>
        <v/>
      </c>
      <c r="F694" s="28" t="str">
        <f>IF($C694=""," ",[1]!i_pq_pctchange($C694,F$6,$N$1))</f>
        <v xml:space="preserve"> </v>
      </c>
      <c r="G694" s="28" t="str">
        <f>IF($C694=""," ",[1]!i_pq_pctchange($C694,G$6,$N$1))</f>
        <v xml:space="preserve"> </v>
      </c>
      <c r="H694" s="28" t="str">
        <f>IF($C694=""," ",[1]!i_pq_pctchange($C694,H$6,$N$1))</f>
        <v xml:space="preserve"> </v>
      </c>
      <c r="I694" s="28" t="str">
        <f>IF($C694=""," ",[1]!i_pq_pctchange($C694,I$6,$N$1))</f>
        <v xml:space="preserve"> </v>
      </c>
      <c r="J694" s="28" t="str">
        <f>IF($C694=""," ",[1]!i_pq_pctchange($C694,J$6,$N$1))</f>
        <v xml:space="preserve"> </v>
      </c>
      <c r="K694" s="28" t="str">
        <f>IF($C694=""," ",[1]!i_pq_pctchange($C694,K$6,$N$1))</f>
        <v xml:space="preserve"> </v>
      </c>
      <c r="L694" s="28" t="str">
        <f>IF(C694=""," ",[1]!s_wq_pctchange($C694,$N$1))</f>
        <v xml:space="preserve"> </v>
      </c>
      <c r="M694" s="28" t="str">
        <f>IF(C694=""," ",[1]!s_mq_pctchange($C694,$N$1))</f>
        <v xml:space="preserve"> </v>
      </c>
      <c r="N694" s="28" t="str">
        <f>IF(C694=""," ",[1]!s_yq_pctchange($C694,$N$1))</f>
        <v xml:space="preserve"> </v>
      </c>
      <c r="O694" s="11"/>
      <c r="P694" s="7"/>
    </row>
    <row r="695" spans="1:16" x14ac:dyDescent="0.35">
      <c r="A695" s="7"/>
      <c r="C695" s="30" t="str">
        <f>IF(指数列表!B692="","",指数列表!B692)</f>
        <v/>
      </c>
      <c r="D695" s="35" t="str">
        <f>IF(C695="","",[1]!s_info_name(C695))</f>
        <v/>
      </c>
      <c r="E695" s="24" t="str">
        <f>IF(C695="","",[1]!s_dq_close(C695,$N$1))</f>
        <v/>
      </c>
      <c r="F695" s="28" t="str">
        <f>IF($C695=""," ",[1]!i_pq_pctchange($C695,F$6,$N$1))</f>
        <v xml:space="preserve"> </v>
      </c>
      <c r="G695" s="28" t="str">
        <f>IF($C695=""," ",[1]!i_pq_pctchange($C695,G$6,$N$1))</f>
        <v xml:space="preserve"> </v>
      </c>
      <c r="H695" s="28" t="str">
        <f>IF($C695=""," ",[1]!i_pq_pctchange($C695,H$6,$N$1))</f>
        <v xml:space="preserve"> </v>
      </c>
      <c r="I695" s="28" t="str">
        <f>IF($C695=""," ",[1]!i_pq_pctchange($C695,I$6,$N$1))</f>
        <v xml:space="preserve"> </v>
      </c>
      <c r="J695" s="28" t="str">
        <f>IF($C695=""," ",[1]!i_pq_pctchange($C695,J$6,$N$1))</f>
        <v xml:space="preserve"> </v>
      </c>
      <c r="K695" s="28" t="str">
        <f>IF($C695=""," ",[1]!i_pq_pctchange($C695,K$6,$N$1))</f>
        <v xml:space="preserve"> </v>
      </c>
      <c r="L695" s="28" t="str">
        <f>IF(C695=""," ",[1]!s_wq_pctchange($C695,$N$1))</f>
        <v xml:space="preserve"> </v>
      </c>
      <c r="M695" s="28" t="str">
        <f>IF(C695=""," ",[1]!s_mq_pctchange($C695,$N$1))</f>
        <v xml:space="preserve"> </v>
      </c>
      <c r="N695" s="28" t="str">
        <f>IF(C695=""," ",[1]!s_yq_pctchange($C695,$N$1))</f>
        <v xml:space="preserve"> </v>
      </c>
      <c r="O695" s="11"/>
      <c r="P695" s="7"/>
    </row>
    <row r="696" spans="1:16" x14ac:dyDescent="0.35">
      <c r="A696" s="7"/>
      <c r="C696" s="31" t="str">
        <f>IF(指数列表!B693="","",指数列表!B693)</f>
        <v/>
      </c>
      <c r="D696" s="36" t="str">
        <f>IF(C696="","",[1]!s_info_name(C696))</f>
        <v/>
      </c>
      <c r="E696" s="25" t="str">
        <f>IF(C696="","",[1]!s_dq_close(C696,$N$1))</f>
        <v/>
      </c>
      <c r="F696" s="28" t="str">
        <f>IF($C696=""," ",[1]!i_pq_pctchange($C696,F$6,$N$1))</f>
        <v xml:space="preserve"> </v>
      </c>
      <c r="G696" s="28" t="str">
        <f>IF($C696=""," ",[1]!i_pq_pctchange($C696,G$6,$N$1))</f>
        <v xml:space="preserve"> </v>
      </c>
      <c r="H696" s="28" t="str">
        <f>IF($C696=""," ",[1]!i_pq_pctchange($C696,H$6,$N$1))</f>
        <v xml:space="preserve"> </v>
      </c>
      <c r="I696" s="28" t="str">
        <f>IF($C696=""," ",[1]!i_pq_pctchange($C696,I$6,$N$1))</f>
        <v xml:space="preserve"> </v>
      </c>
      <c r="J696" s="28" t="str">
        <f>IF($C696=""," ",[1]!i_pq_pctchange($C696,J$6,$N$1))</f>
        <v xml:space="preserve"> </v>
      </c>
      <c r="K696" s="28" t="str">
        <f>IF($C696=""," ",[1]!i_pq_pctchange($C696,K$6,$N$1))</f>
        <v xml:space="preserve"> </v>
      </c>
      <c r="L696" s="28" t="str">
        <f>IF(C696=""," ",[1]!s_wq_pctchange($C696,$N$1))</f>
        <v xml:space="preserve"> </v>
      </c>
      <c r="M696" s="28" t="str">
        <f>IF(C696=""," ",[1]!s_mq_pctchange($C696,$N$1))</f>
        <v xml:space="preserve"> </v>
      </c>
      <c r="N696" s="28" t="str">
        <f>IF(C696=""," ",[1]!s_yq_pctchange($C696,$N$1))</f>
        <v xml:space="preserve"> </v>
      </c>
      <c r="O696" s="11"/>
      <c r="P696" s="7"/>
    </row>
    <row r="697" spans="1:16" x14ac:dyDescent="0.35">
      <c r="A697" s="7"/>
      <c r="C697" s="30" t="str">
        <f>IF(指数列表!B694="","",指数列表!B694)</f>
        <v/>
      </c>
      <c r="D697" s="35" t="str">
        <f>IF(C697="","",[1]!s_info_name(C697))</f>
        <v/>
      </c>
      <c r="E697" s="24" t="str">
        <f>IF(C697="","",[1]!s_dq_close(C697,$N$1))</f>
        <v/>
      </c>
      <c r="F697" s="28" t="str">
        <f>IF($C697=""," ",[1]!i_pq_pctchange($C697,F$6,$N$1))</f>
        <v xml:space="preserve"> </v>
      </c>
      <c r="G697" s="28" t="str">
        <f>IF($C697=""," ",[1]!i_pq_pctchange($C697,G$6,$N$1))</f>
        <v xml:space="preserve"> </v>
      </c>
      <c r="H697" s="28" t="str">
        <f>IF($C697=""," ",[1]!i_pq_pctchange($C697,H$6,$N$1))</f>
        <v xml:space="preserve"> </v>
      </c>
      <c r="I697" s="28" t="str">
        <f>IF($C697=""," ",[1]!i_pq_pctchange($C697,I$6,$N$1))</f>
        <v xml:space="preserve"> </v>
      </c>
      <c r="J697" s="28" t="str">
        <f>IF($C697=""," ",[1]!i_pq_pctchange($C697,J$6,$N$1))</f>
        <v xml:space="preserve"> </v>
      </c>
      <c r="K697" s="28" t="str">
        <f>IF($C697=""," ",[1]!i_pq_pctchange($C697,K$6,$N$1))</f>
        <v xml:space="preserve"> </v>
      </c>
      <c r="L697" s="28" t="str">
        <f>IF(C697=""," ",[1]!s_wq_pctchange($C697,$N$1))</f>
        <v xml:space="preserve"> </v>
      </c>
      <c r="M697" s="28" t="str">
        <f>IF(C697=""," ",[1]!s_mq_pctchange($C697,$N$1))</f>
        <v xml:space="preserve"> </v>
      </c>
      <c r="N697" s="28" t="str">
        <f>IF(C697=""," ",[1]!s_yq_pctchange($C697,$N$1))</f>
        <v xml:space="preserve"> </v>
      </c>
      <c r="O697" s="11"/>
      <c r="P697" s="7"/>
    </row>
    <row r="698" spans="1:16" x14ac:dyDescent="0.35">
      <c r="A698" s="7"/>
      <c r="C698" s="31" t="str">
        <f>IF(指数列表!B695="","",指数列表!B695)</f>
        <v/>
      </c>
      <c r="D698" s="36" t="str">
        <f>IF(C698="","",[1]!s_info_name(C698))</f>
        <v/>
      </c>
      <c r="E698" s="25" t="str">
        <f>IF(C698="","",[1]!s_dq_close(C698,$N$1))</f>
        <v/>
      </c>
      <c r="F698" s="28" t="str">
        <f>IF($C698=""," ",[1]!i_pq_pctchange($C698,F$6,$N$1))</f>
        <v xml:space="preserve"> </v>
      </c>
      <c r="G698" s="28" t="str">
        <f>IF($C698=""," ",[1]!i_pq_pctchange($C698,G$6,$N$1))</f>
        <v xml:space="preserve"> </v>
      </c>
      <c r="H698" s="28" t="str">
        <f>IF($C698=""," ",[1]!i_pq_pctchange($C698,H$6,$N$1))</f>
        <v xml:space="preserve"> </v>
      </c>
      <c r="I698" s="28" t="str">
        <f>IF($C698=""," ",[1]!i_pq_pctchange($C698,I$6,$N$1))</f>
        <v xml:space="preserve"> </v>
      </c>
      <c r="J698" s="28" t="str">
        <f>IF($C698=""," ",[1]!i_pq_pctchange($C698,J$6,$N$1))</f>
        <v xml:space="preserve"> </v>
      </c>
      <c r="K698" s="28" t="str">
        <f>IF($C698=""," ",[1]!i_pq_pctchange($C698,K$6,$N$1))</f>
        <v xml:space="preserve"> </v>
      </c>
      <c r="L698" s="28" t="str">
        <f>IF(C698=""," ",[1]!s_wq_pctchange($C698,$N$1))</f>
        <v xml:space="preserve"> </v>
      </c>
      <c r="M698" s="28" t="str">
        <f>IF(C698=""," ",[1]!s_mq_pctchange($C698,$N$1))</f>
        <v xml:space="preserve"> </v>
      </c>
      <c r="N698" s="28" t="str">
        <f>IF(C698=""," ",[1]!s_yq_pctchange($C698,$N$1))</f>
        <v xml:space="preserve"> </v>
      </c>
      <c r="O698" s="11"/>
      <c r="P698" s="7"/>
    </row>
    <row r="699" spans="1:16" x14ac:dyDescent="0.35">
      <c r="A699" s="7"/>
      <c r="C699" s="30" t="str">
        <f>IF(指数列表!B696="","",指数列表!B696)</f>
        <v/>
      </c>
      <c r="D699" s="35" t="str">
        <f>IF(C699="","",[1]!s_info_name(C699))</f>
        <v/>
      </c>
      <c r="E699" s="24" t="str">
        <f>IF(C699="","",[1]!s_dq_close(C699,$N$1))</f>
        <v/>
      </c>
      <c r="F699" s="28" t="str">
        <f>IF($C699=""," ",[1]!i_pq_pctchange($C699,F$6,$N$1))</f>
        <v xml:space="preserve"> </v>
      </c>
      <c r="G699" s="28" t="str">
        <f>IF($C699=""," ",[1]!i_pq_pctchange($C699,G$6,$N$1))</f>
        <v xml:space="preserve"> </v>
      </c>
      <c r="H699" s="28" t="str">
        <f>IF($C699=""," ",[1]!i_pq_pctchange($C699,H$6,$N$1))</f>
        <v xml:space="preserve"> </v>
      </c>
      <c r="I699" s="28" t="str">
        <f>IF($C699=""," ",[1]!i_pq_pctchange($C699,I$6,$N$1))</f>
        <v xml:space="preserve"> </v>
      </c>
      <c r="J699" s="28" t="str">
        <f>IF($C699=""," ",[1]!i_pq_pctchange($C699,J$6,$N$1))</f>
        <v xml:space="preserve"> </v>
      </c>
      <c r="K699" s="28" t="str">
        <f>IF($C699=""," ",[1]!i_pq_pctchange($C699,K$6,$N$1))</f>
        <v xml:space="preserve"> </v>
      </c>
      <c r="L699" s="28" t="str">
        <f>IF(C699=""," ",[1]!s_wq_pctchange($C699,$N$1))</f>
        <v xml:space="preserve"> </v>
      </c>
      <c r="M699" s="28" t="str">
        <f>IF(C699=""," ",[1]!s_mq_pctchange($C699,$N$1))</f>
        <v xml:space="preserve"> </v>
      </c>
      <c r="N699" s="28" t="str">
        <f>IF(C699=""," ",[1]!s_yq_pctchange($C699,$N$1))</f>
        <v xml:space="preserve"> </v>
      </c>
      <c r="O699" s="11"/>
      <c r="P699" s="7"/>
    </row>
    <row r="700" spans="1:16" x14ac:dyDescent="0.35">
      <c r="A700" s="7"/>
      <c r="C700" s="31" t="str">
        <f>IF(指数列表!B697="","",指数列表!B697)</f>
        <v/>
      </c>
      <c r="D700" s="36" t="str">
        <f>IF(C700="","",[1]!s_info_name(C700))</f>
        <v/>
      </c>
      <c r="E700" s="25" t="str">
        <f>IF(C700="","",[1]!s_dq_close(C700,$N$1))</f>
        <v/>
      </c>
      <c r="F700" s="28" t="str">
        <f>IF($C700=""," ",[1]!i_pq_pctchange($C700,F$6,$N$1))</f>
        <v xml:space="preserve"> </v>
      </c>
      <c r="G700" s="28" t="str">
        <f>IF($C700=""," ",[1]!i_pq_pctchange($C700,G$6,$N$1))</f>
        <v xml:space="preserve"> </v>
      </c>
      <c r="H700" s="28" t="str">
        <f>IF($C700=""," ",[1]!i_pq_pctchange($C700,H$6,$N$1))</f>
        <v xml:space="preserve"> </v>
      </c>
      <c r="I700" s="28" t="str">
        <f>IF($C700=""," ",[1]!i_pq_pctchange($C700,I$6,$N$1))</f>
        <v xml:space="preserve"> </v>
      </c>
      <c r="J700" s="28" t="str">
        <f>IF($C700=""," ",[1]!i_pq_pctchange($C700,J$6,$N$1))</f>
        <v xml:space="preserve"> </v>
      </c>
      <c r="K700" s="28" t="str">
        <f>IF($C700=""," ",[1]!i_pq_pctchange($C700,K$6,$N$1))</f>
        <v xml:space="preserve"> </v>
      </c>
      <c r="L700" s="28" t="str">
        <f>IF(C700=""," ",[1]!s_wq_pctchange($C700,$N$1))</f>
        <v xml:space="preserve"> </v>
      </c>
      <c r="M700" s="28" t="str">
        <f>IF(C700=""," ",[1]!s_mq_pctchange($C700,$N$1))</f>
        <v xml:space="preserve"> </v>
      </c>
      <c r="N700" s="28" t="str">
        <f>IF(C700=""," ",[1]!s_yq_pctchange($C700,$N$1))</f>
        <v xml:space="preserve"> </v>
      </c>
      <c r="O700" s="11"/>
      <c r="P700" s="7"/>
    </row>
    <row r="701" spans="1:16" x14ac:dyDescent="0.35">
      <c r="A701" s="7"/>
      <c r="C701" s="30" t="str">
        <f>IF(指数列表!B698="","",指数列表!B698)</f>
        <v/>
      </c>
      <c r="D701" s="35" t="str">
        <f>IF(C701="","",[1]!s_info_name(C701))</f>
        <v/>
      </c>
      <c r="E701" s="24" t="str">
        <f>IF(C701="","",[1]!s_dq_close(C701,$N$1))</f>
        <v/>
      </c>
      <c r="F701" s="28" t="str">
        <f>IF($C701=""," ",[1]!i_pq_pctchange($C701,F$6,$N$1))</f>
        <v xml:space="preserve"> </v>
      </c>
      <c r="G701" s="28" t="str">
        <f>IF($C701=""," ",[1]!i_pq_pctchange($C701,G$6,$N$1))</f>
        <v xml:space="preserve"> </v>
      </c>
      <c r="H701" s="28" t="str">
        <f>IF($C701=""," ",[1]!i_pq_pctchange($C701,H$6,$N$1))</f>
        <v xml:space="preserve"> </v>
      </c>
      <c r="I701" s="28" t="str">
        <f>IF($C701=""," ",[1]!i_pq_pctchange($C701,I$6,$N$1))</f>
        <v xml:space="preserve"> </v>
      </c>
      <c r="J701" s="28" t="str">
        <f>IF($C701=""," ",[1]!i_pq_pctchange($C701,J$6,$N$1))</f>
        <v xml:space="preserve"> </v>
      </c>
      <c r="K701" s="28" t="str">
        <f>IF($C701=""," ",[1]!i_pq_pctchange($C701,K$6,$N$1))</f>
        <v xml:space="preserve"> </v>
      </c>
      <c r="L701" s="28" t="str">
        <f>IF(C701=""," ",[1]!s_wq_pctchange($C701,$N$1))</f>
        <v xml:space="preserve"> </v>
      </c>
      <c r="M701" s="28" t="str">
        <f>IF(C701=""," ",[1]!s_mq_pctchange($C701,$N$1))</f>
        <v xml:space="preserve"> </v>
      </c>
      <c r="N701" s="28" t="str">
        <f>IF(C701=""," ",[1]!s_yq_pctchange($C701,$N$1))</f>
        <v xml:space="preserve"> </v>
      </c>
      <c r="O701" s="11"/>
      <c r="P701" s="7"/>
    </row>
    <row r="702" spans="1:16" x14ac:dyDescent="0.35">
      <c r="A702" s="7"/>
      <c r="C702" s="31" t="str">
        <f>IF(指数列表!B699="","",指数列表!B699)</f>
        <v/>
      </c>
      <c r="D702" s="36" t="str">
        <f>IF(C702="","",[1]!s_info_name(C702))</f>
        <v/>
      </c>
      <c r="E702" s="25" t="str">
        <f>IF(C702="","",[1]!s_dq_close(C702,$N$1))</f>
        <v/>
      </c>
      <c r="F702" s="28" t="str">
        <f>IF($C702=""," ",[1]!i_pq_pctchange($C702,F$6,$N$1))</f>
        <v xml:space="preserve"> </v>
      </c>
      <c r="G702" s="28" t="str">
        <f>IF($C702=""," ",[1]!i_pq_pctchange($C702,G$6,$N$1))</f>
        <v xml:space="preserve"> </v>
      </c>
      <c r="H702" s="28" t="str">
        <f>IF($C702=""," ",[1]!i_pq_pctchange($C702,H$6,$N$1))</f>
        <v xml:space="preserve"> </v>
      </c>
      <c r="I702" s="28" t="str">
        <f>IF($C702=""," ",[1]!i_pq_pctchange($C702,I$6,$N$1))</f>
        <v xml:space="preserve"> </v>
      </c>
      <c r="J702" s="28" t="str">
        <f>IF($C702=""," ",[1]!i_pq_pctchange($C702,J$6,$N$1))</f>
        <v xml:space="preserve"> </v>
      </c>
      <c r="K702" s="28" t="str">
        <f>IF($C702=""," ",[1]!i_pq_pctchange($C702,K$6,$N$1))</f>
        <v xml:space="preserve"> </v>
      </c>
      <c r="L702" s="28" t="str">
        <f>IF(C702=""," ",[1]!s_wq_pctchange($C702,$N$1))</f>
        <v xml:space="preserve"> </v>
      </c>
      <c r="M702" s="28" t="str">
        <f>IF(C702=""," ",[1]!s_mq_pctchange($C702,$N$1))</f>
        <v xml:space="preserve"> </v>
      </c>
      <c r="N702" s="28" t="str">
        <f>IF(C702=""," ",[1]!s_yq_pctchange($C702,$N$1))</f>
        <v xml:space="preserve"> </v>
      </c>
      <c r="O702" s="11"/>
      <c r="P702" s="7"/>
    </row>
    <row r="703" spans="1:16" x14ac:dyDescent="0.35">
      <c r="A703" s="7"/>
      <c r="C703" s="30" t="str">
        <f>IF(指数列表!B700="","",指数列表!B700)</f>
        <v/>
      </c>
      <c r="D703" s="35" t="str">
        <f>IF(C703="","",[1]!s_info_name(C703))</f>
        <v/>
      </c>
      <c r="E703" s="24" t="str">
        <f>IF(C703="","",[1]!s_dq_close(C703,$N$1))</f>
        <v/>
      </c>
      <c r="F703" s="28" t="str">
        <f>IF($C703=""," ",[1]!i_pq_pctchange($C703,F$6,$N$1))</f>
        <v xml:space="preserve"> </v>
      </c>
      <c r="G703" s="28" t="str">
        <f>IF($C703=""," ",[1]!i_pq_pctchange($C703,G$6,$N$1))</f>
        <v xml:space="preserve"> </v>
      </c>
      <c r="H703" s="28" t="str">
        <f>IF($C703=""," ",[1]!i_pq_pctchange($C703,H$6,$N$1))</f>
        <v xml:space="preserve"> </v>
      </c>
      <c r="I703" s="28" t="str">
        <f>IF($C703=""," ",[1]!i_pq_pctchange($C703,I$6,$N$1))</f>
        <v xml:space="preserve"> </v>
      </c>
      <c r="J703" s="28" t="str">
        <f>IF($C703=""," ",[1]!i_pq_pctchange($C703,J$6,$N$1))</f>
        <v xml:space="preserve"> </v>
      </c>
      <c r="K703" s="28" t="str">
        <f>IF($C703=""," ",[1]!i_pq_pctchange($C703,K$6,$N$1))</f>
        <v xml:space="preserve"> </v>
      </c>
      <c r="L703" s="28" t="str">
        <f>IF(C703=""," ",[1]!s_wq_pctchange($C703,$N$1))</f>
        <v xml:space="preserve"> </v>
      </c>
      <c r="M703" s="28" t="str">
        <f>IF(C703=""," ",[1]!s_mq_pctchange($C703,$N$1))</f>
        <v xml:space="preserve"> </v>
      </c>
      <c r="N703" s="28" t="str">
        <f>IF(C703=""," ",[1]!s_yq_pctchange($C703,$N$1))</f>
        <v xml:space="preserve"> </v>
      </c>
      <c r="O703" s="11"/>
      <c r="P703" s="7"/>
    </row>
    <row r="704" spans="1:16" x14ac:dyDescent="0.35">
      <c r="A704" s="7"/>
      <c r="C704" s="31" t="str">
        <f>IF(指数列表!B701="","",指数列表!B701)</f>
        <v/>
      </c>
      <c r="D704" s="36" t="str">
        <f>IF(C704="","",[1]!s_info_name(C704))</f>
        <v/>
      </c>
      <c r="E704" s="25" t="str">
        <f>IF(C704="","",[1]!s_dq_close(C704,$N$1))</f>
        <v/>
      </c>
      <c r="F704" s="28" t="str">
        <f>IF($C704=""," ",[1]!i_pq_pctchange($C704,F$6,$N$1))</f>
        <v xml:space="preserve"> </v>
      </c>
      <c r="G704" s="28" t="str">
        <f>IF($C704=""," ",[1]!i_pq_pctchange($C704,G$6,$N$1))</f>
        <v xml:space="preserve"> </v>
      </c>
      <c r="H704" s="28" t="str">
        <f>IF($C704=""," ",[1]!i_pq_pctchange($C704,H$6,$N$1))</f>
        <v xml:space="preserve"> </v>
      </c>
      <c r="I704" s="28" t="str">
        <f>IF($C704=""," ",[1]!i_pq_pctchange($C704,I$6,$N$1))</f>
        <v xml:space="preserve"> </v>
      </c>
      <c r="J704" s="28" t="str">
        <f>IF($C704=""," ",[1]!i_pq_pctchange($C704,J$6,$N$1))</f>
        <v xml:space="preserve"> </v>
      </c>
      <c r="K704" s="28" t="str">
        <f>IF($C704=""," ",[1]!i_pq_pctchange($C704,K$6,$N$1))</f>
        <v xml:space="preserve"> </v>
      </c>
      <c r="L704" s="28" t="str">
        <f>IF(C704=""," ",[1]!s_wq_pctchange($C704,$N$1))</f>
        <v xml:space="preserve"> </v>
      </c>
      <c r="M704" s="28" t="str">
        <f>IF(C704=""," ",[1]!s_mq_pctchange($C704,$N$1))</f>
        <v xml:space="preserve"> </v>
      </c>
      <c r="N704" s="28" t="str">
        <f>IF(C704=""," ",[1]!s_yq_pctchange($C704,$N$1))</f>
        <v xml:space="preserve"> </v>
      </c>
      <c r="O704" s="11"/>
      <c r="P704" s="7"/>
    </row>
    <row r="705" spans="1:16" x14ac:dyDescent="0.35">
      <c r="A705" s="7"/>
      <c r="C705" s="30" t="str">
        <f>IF(指数列表!B702="","",指数列表!B702)</f>
        <v/>
      </c>
      <c r="D705" s="35" t="str">
        <f>IF(C705="","",[1]!s_info_name(C705))</f>
        <v/>
      </c>
      <c r="E705" s="24" t="str">
        <f>IF(C705="","",[1]!s_dq_close(C705,$N$1))</f>
        <v/>
      </c>
      <c r="F705" s="28" t="str">
        <f>IF($C705=""," ",[1]!i_pq_pctchange($C705,F$6,$N$1))</f>
        <v xml:space="preserve"> </v>
      </c>
      <c r="G705" s="28" t="str">
        <f>IF($C705=""," ",[1]!i_pq_pctchange($C705,G$6,$N$1))</f>
        <v xml:space="preserve"> </v>
      </c>
      <c r="H705" s="28" t="str">
        <f>IF($C705=""," ",[1]!i_pq_pctchange($C705,H$6,$N$1))</f>
        <v xml:space="preserve"> </v>
      </c>
      <c r="I705" s="28" t="str">
        <f>IF($C705=""," ",[1]!i_pq_pctchange($C705,I$6,$N$1))</f>
        <v xml:space="preserve"> </v>
      </c>
      <c r="J705" s="28" t="str">
        <f>IF($C705=""," ",[1]!i_pq_pctchange($C705,J$6,$N$1))</f>
        <v xml:space="preserve"> </v>
      </c>
      <c r="K705" s="28" t="str">
        <f>IF($C705=""," ",[1]!i_pq_pctchange($C705,K$6,$N$1))</f>
        <v xml:space="preserve"> </v>
      </c>
      <c r="L705" s="28" t="str">
        <f>IF(C705=""," ",[1]!s_wq_pctchange($C705,$N$1))</f>
        <v xml:space="preserve"> </v>
      </c>
      <c r="M705" s="28" t="str">
        <f>IF(C705=""," ",[1]!s_mq_pctchange($C705,$N$1))</f>
        <v xml:space="preserve"> </v>
      </c>
      <c r="N705" s="28" t="str">
        <f>IF(C705=""," ",[1]!s_yq_pctchange($C705,$N$1))</f>
        <v xml:space="preserve"> </v>
      </c>
      <c r="O705" s="11"/>
      <c r="P705" s="7"/>
    </row>
    <row r="706" spans="1:16" x14ac:dyDescent="0.35">
      <c r="A706" s="7"/>
      <c r="C706" s="31" t="str">
        <f>IF(指数列表!B703="","",指数列表!B703)</f>
        <v/>
      </c>
      <c r="D706" s="36" t="str">
        <f>IF(C706="","",[1]!s_info_name(C706))</f>
        <v/>
      </c>
      <c r="E706" s="25" t="str">
        <f>IF(C706="","",[1]!s_dq_close(C706,$N$1))</f>
        <v/>
      </c>
      <c r="F706" s="28" t="str">
        <f>IF($C706=""," ",[1]!i_pq_pctchange($C706,F$6,$N$1))</f>
        <v xml:space="preserve"> </v>
      </c>
      <c r="G706" s="28" t="str">
        <f>IF($C706=""," ",[1]!i_pq_pctchange($C706,G$6,$N$1))</f>
        <v xml:space="preserve"> </v>
      </c>
      <c r="H706" s="28" t="str">
        <f>IF($C706=""," ",[1]!i_pq_pctchange($C706,H$6,$N$1))</f>
        <v xml:space="preserve"> </v>
      </c>
      <c r="I706" s="28" t="str">
        <f>IF($C706=""," ",[1]!i_pq_pctchange($C706,I$6,$N$1))</f>
        <v xml:space="preserve"> </v>
      </c>
      <c r="J706" s="28" t="str">
        <f>IF($C706=""," ",[1]!i_pq_pctchange($C706,J$6,$N$1))</f>
        <v xml:space="preserve"> </v>
      </c>
      <c r="K706" s="28" t="str">
        <f>IF($C706=""," ",[1]!i_pq_pctchange($C706,K$6,$N$1))</f>
        <v xml:space="preserve"> </v>
      </c>
      <c r="L706" s="28" t="str">
        <f>IF(C706=""," ",[1]!s_wq_pctchange($C706,$N$1))</f>
        <v xml:space="preserve"> </v>
      </c>
      <c r="M706" s="28" t="str">
        <f>IF(C706=""," ",[1]!s_mq_pctchange($C706,$N$1))</f>
        <v xml:space="preserve"> </v>
      </c>
      <c r="N706" s="28" t="str">
        <f>IF(C706=""," ",[1]!s_yq_pctchange($C706,$N$1))</f>
        <v xml:space="preserve"> </v>
      </c>
      <c r="O706" s="11"/>
      <c r="P706" s="7"/>
    </row>
    <row r="707" spans="1:16" x14ac:dyDescent="0.35">
      <c r="A707" s="7"/>
      <c r="C707" s="30" t="str">
        <f>IF(指数列表!B704="","",指数列表!B704)</f>
        <v/>
      </c>
      <c r="D707" s="35" t="str">
        <f>IF(C707="","",[1]!s_info_name(C707))</f>
        <v/>
      </c>
      <c r="E707" s="24" t="str">
        <f>IF(C707="","",[1]!s_dq_close(C707,$N$1))</f>
        <v/>
      </c>
      <c r="F707" s="28" t="str">
        <f>IF($C707=""," ",[1]!i_pq_pctchange($C707,F$6,$N$1))</f>
        <v xml:space="preserve"> </v>
      </c>
      <c r="G707" s="28" t="str">
        <f>IF($C707=""," ",[1]!i_pq_pctchange($C707,G$6,$N$1))</f>
        <v xml:space="preserve"> </v>
      </c>
      <c r="H707" s="28" t="str">
        <f>IF($C707=""," ",[1]!i_pq_pctchange($C707,H$6,$N$1))</f>
        <v xml:space="preserve"> </v>
      </c>
      <c r="I707" s="28" t="str">
        <f>IF($C707=""," ",[1]!i_pq_pctchange($C707,I$6,$N$1))</f>
        <v xml:space="preserve"> </v>
      </c>
      <c r="J707" s="28" t="str">
        <f>IF($C707=""," ",[1]!i_pq_pctchange($C707,J$6,$N$1))</f>
        <v xml:space="preserve"> </v>
      </c>
      <c r="K707" s="28" t="str">
        <f>IF($C707=""," ",[1]!i_pq_pctchange($C707,K$6,$N$1))</f>
        <v xml:space="preserve"> </v>
      </c>
      <c r="L707" s="28" t="str">
        <f>IF(C707=""," ",[1]!s_wq_pctchange($C707,$N$1))</f>
        <v xml:space="preserve"> </v>
      </c>
      <c r="M707" s="28" t="str">
        <f>IF(C707=""," ",[1]!s_mq_pctchange($C707,$N$1))</f>
        <v xml:space="preserve"> </v>
      </c>
      <c r="N707" s="28" t="str">
        <f>IF(C707=""," ",[1]!s_yq_pctchange($C707,$N$1))</f>
        <v xml:space="preserve"> </v>
      </c>
      <c r="O707" s="11"/>
      <c r="P707" s="7"/>
    </row>
    <row r="708" spans="1:16" x14ac:dyDescent="0.35">
      <c r="A708" s="7"/>
      <c r="C708" s="31" t="str">
        <f>IF(指数列表!B705="","",指数列表!B705)</f>
        <v/>
      </c>
      <c r="D708" s="36" t="str">
        <f>IF(C708="","",[1]!s_info_name(C708))</f>
        <v/>
      </c>
      <c r="E708" s="25" t="str">
        <f>IF(C708="","",[1]!s_dq_close(C708,$N$1))</f>
        <v/>
      </c>
      <c r="F708" s="28" t="str">
        <f>IF($C708=""," ",[1]!i_pq_pctchange($C708,F$6,$N$1))</f>
        <v xml:space="preserve"> </v>
      </c>
      <c r="G708" s="28" t="str">
        <f>IF($C708=""," ",[1]!i_pq_pctchange($C708,G$6,$N$1))</f>
        <v xml:space="preserve"> </v>
      </c>
      <c r="H708" s="28" t="str">
        <f>IF($C708=""," ",[1]!i_pq_pctchange($C708,H$6,$N$1))</f>
        <v xml:space="preserve"> </v>
      </c>
      <c r="I708" s="28" t="str">
        <f>IF($C708=""," ",[1]!i_pq_pctchange($C708,I$6,$N$1))</f>
        <v xml:space="preserve"> </v>
      </c>
      <c r="J708" s="28" t="str">
        <f>IF($C708=""," ",[1]!i_pq_pctchange($C708,J$6,$N$1))</f>
        <v xml:space="preserve"> </v>
      </c>
      <c r="K708" s="28" t="str">
        <f>IF($C708=""," ",[1]!i_pq_pctchange($C708,K$6,$N$1))</f>
        <v xml:space="preserve"> </v>
      </c>
      <c r="L708" s="28" t="str">
        <f>IF(C708=""," ",[1]!s_wq_pctchange($C708,$N$1))</f>
        <v xml:space="preserve"> </v>
      </c>
      <c r="M708" s="28" t="str">
        <f>IF(C708=""," ",[1]!s_mq_pctchange($C708,$N$1))</f>
        <v xml:space="preserve"> </v>
      </c>
      <c r="N708" s="28" t="str">
        <f>IF(C708=""," ",[1]!s_yq_pctchange($C708,$N$1))</f>
        <v xml:space="preserve"> </v>
      </c>
      <c r="O708" s="11"/>
      <c r="P708" s="7"/>
    </row>
    <row r="709" spans="1:16" x14ac:dyDescent="0.35">
      <c r="A709" s="7"/>
      <c r="C709" s="30" t="str">
        <f>IF(指数列表!B706="","",指数列表!B706)</f>
        <v/>
      </c>
      <c r="D709" s="35" t="str">
        <f>IF(C709="","",[1]!s_info_name(C709))</f>
        <v/>
      </c>
      <c r="E709" s="24" t="str">
        <f>IF(C709="","",[1]!s_dq_close(C709,$N$1))</f>
        <v/>
      </c>
      <c r="F709" s="28" t="str">
        <f>IF($C709=""," ",[1]!i_pq_pctchange($C709,F$6,$N$1))</f>
        <v xml:space="preserve"> </v>
      </c>
      <c r="G709" s="28" t="str">
        <f>IF($C709=""," ",[1]!i_pq_pctchange($C709,G$6,$N$1))</f>
        <v xml:space="preserve"> </v>
      </c>
      <c r="H709" s="28" t="str">
        <f>IF($C709=""," ",[1]!i_pq_pctchange($C709,H$6,$N$1))</f>
        <v xml:space="preserve"> </v>
      </c>
      <c r="I709" s="28" t="str">
        <f>IF($C709=""," ",[1]!i_pq_pctchange($C709,I$6,$N$1))</f>
        <v xml:space="preserve"> </v>
      </c>
      <c r="J709" s="28" t="str">
        <f>IF($C709=""," ",[1]!i_pq_pctchange($C709,J$6,$N$1))</f>
        <v xml:space="preserve"> </v>
      </c>
      <c r="K709" s="28" t="str">
        <f>IF($C709=""," ",[1]!i_pq_pctchange($C709,K$6,$N$1))</f>
        <v xml:space="preserve"> </v>
      </c>
      <c r="L709" s="28" t="str">
        <f>IF(C709=""," ",[1]!s_wq_pctchange($C709,$N$1))</f>
        <v xml:space="preserve"> </v>
      </c>
      <c r="M709" s="28" t="str">
        <f>IF(C709=""," ",[1]!s_mq_pctchange($C709,$N$1))</f>
        <v xml:space="preserve"> </v>
      </c>
      <c r="N709" s="28" t="str">
        <f>IF(C709=""," ",[1]!s_yq_pctchange($C709,$N$1))</f>
        <v xml:space="preserve"> </v>
      </c>
      <c r="O709" s="11"/>
      <c r="P709" s="7"/>
    </row>
    <row r="710" spans="1:16" x14ac:dyDescent="0.35">
      <c r="A710" s="7"/>
      <c r="C710" s="31" t="str">
        <f>IF(指数列表!B707="","",指数列表!B707)</f>
        <v/>
      </c>
      <c r="D710" s="36" t="str">
        <f>IF(C710="","",[1]!s_info_name(C710))</f>
        <v/>
      </c>
      <c r="E710" s="25" t="str">
        <f>IF(C710="","",[1]!s_dq_close(C710,$N$1))</f>
        <v/>
      </c>
      <c r="F710" s="28" t="str">
        <f>IF($C710=""," ",[1]!i_pq_pctchange($C710,F$6,$N$1))</f>
        <v xml:space="preserve"> </v>
      </c>
      <c r="G710" s="28" t="str">
        <f>IF($C710=""," ",[1]!i_pq_pctchange($C710,G$6,$N$1))</f>
        <v xml:space="preserve"> </v>
      </c>
      <c r="H710" s="28" t="str">
        <f>IF($C710=""," ",[1]!i_pq_pctchange($C710,H$6,$N$1))</f>
        <v xml:space="preserve"> </v>
      </c>
      <c r="I710" s="28" t="str">
        <f>IF($C710=""," ",[1]!i_pq_pctchange($C710,I$6,$N$1))</f>
        <v xml:space="preserve"> </v>
      </c>
      <c r="J710" s="28" t="str">
        <f>IF($C710=""," ",[1]!i_pq_pctchange($C710,J$6,$N$1))</f>
        <v xml:space="preserve"> </v>
      </c>
      <c r="K710" s="28" t="str">
        <f>IF($C710=""," ",[1]!i_pq_pctchange($C710,K$6,$N$1))</f>
        <v xml:space="preserve"> </v>
      </c>
      <c r="L710" s="28" t="str">
        <f>IF(C710=""," ",[1]!s_wq_pctchange($C710,$N$1))</f>
        <v xml:space="preserve"> </v>
      </c>
      <c r="M710" s="28" t="str">
        <f>IF(C710=""," ",[1]!s_mq_pctchange($C710,$N$1))</f>
        <v xml:space="preserve"> </v>
      </c>
      <c r="N710" s="28" t="str">
        <f>IF(C710=""," ",[1]!s_yq_pctchange($C710,$N$1))</f>
        <v xml:space="preserve"> </v>
      </c>
      <c r="O710" s="11"/>
      <c r="P710" s="7"/>
    </row>
    <row r="711" spans="1:16" x14ac:dyDescent="0.35">
      <c r="A711" s="7"/>
      <c r="C711" s="30" t="str">
        <f>IF(指数列表!B708="","",指数列表!B708)</f>
        <v/>
      </c>
      <c r="D711" s="35" t="str">
        <f>IF(C711="","",[1]!s_info_name(C711))</f>
        <v/>
      </c>
      <c r="E711" s="24" t="str">
        <f>IF(C711="","",[1]!s_dq_close(C711,$N$1))</f>
        <v/>
      </c>
      <c r="F711" s="28" t="str">
        <f>IF($C711=""," ",[1]!i_pq_pctchange($C711,F$6,$N$1))</f>
        <v xml:space="preserve"> </v>
      </c>
      <c r="G711" s="28" t="str">
        <f>IF($C711=""," ",[1]!i_pq_pctchange($C711,G$6,$N$1))</f>
        <v xml:space="preserve"> </v>
      </c>
      <c r="H711" s="28" t="str">
        <f>IF($C711=""," ",[1]!i_pq_pctchange($C711,H$6,$N$1))</f>
        <v xml:space="preserve"> </v>
      </c>
      <c r="I711" s="28" t="str">
        <f>IF($C711=""," ",[1]!i_pq_pctchange($C711,I$6,$N$1))</f>
        <v xml:space="preserve"> </v>
      </c>
      <c r="J711" s="28" t="str">
        <f>IF($C711=""," ",[1]!i_pq_pctchange($C711,J$6,$N$1))</f>
        <v xml:space="preserve"> </v>
      </c>
      <c r="K711" s="28" t="str">
        <f>IF($C711=""," ",[1]!i_pq_pctchange($C711,K$6,$N$1))</f>
        <v xml:space="preserve"> </v>
      </c>
      <c r="L711" s="28" t="str">
        <f>IF(C711=""," ",[1]!s_wq_pctchange($C711,$N$1))</f>
        <v xml:space="preserve"> </v>
      </c>
      <c r="M711" s="28" t="str">
        <f>IF(C711=""," ",[1]!s_mq_pctchange($C711,$N$1))</f>
        <v xml:space="preserve"> </v>
      </c>
      <c r="N711" s="28" t="str">
        <f>IF(C711=""," ",[1]!s_yq_pctchange($C711,$N$1))</f>
        <v xml:space="preserve"> </v>
      </c>
      <c r="O711" s="11"/>
      <c r="P711" s="7"/>
    </row>
    <row r="712" spans="1:16" x14ac:dyDescent="0.35">
      <c r="A712" s="7"/>
      <c r="C712" s="31" t="str">
        <f>IF(指数列表!B709="","",指数列表!B709)</f>
        <v/>
      </c>
      <c r="D712" s="36" t="str">
        <f>IF(C712="","",[1]!s_info_name(C712))</f>
        <v/>
      </c>
      <c r="E712" s="25" t="str">
        <f>IF(C712="","",[1]!s_dq_close(C712,$N$1))</f>
        <v/>
      </c>
      <c r="F712" s="28" t="str">
        <f>IF($C712=""," ",[1]!i_pq_pctchange($C712,F$6,$N$1))</f>
        <v xml:space="preserve"> </v>
      </c>
      <c r="G712" s="28" t="str">
        <f>IF($C712=""," ",[1]!i_pq_pctchange($C712,G$6,$N$1))</f>
        <v xml:space="preserve"> </v>
      </c>
      <c r="H712" s="28" t="str">
        <f>IF($C712=""," ",[1]!i_pq_pctchange($C712,H$6,$N$1))</f>
        <v xml:space="preserve"> </v>
      </c>
      <c r="I712" s="28" t="str">
        <f>IF($C712=""," ",[1]!i_pq_pctchange($C712,I$6,$N$1))</f>
        <v xml:space="preserve"> </v>
      </c>
      <c r="J712" s="28" t="str">
        <f>IF($C712=""," ",[1]!i_pq_pctchange($C712,J$6,$N$1))</f>
        <v xml:space="preserve"> </v>
      </c>
      <c r="K712" s="28" t="str">
        <f>IF($C712=""," ",[1]!i_pq_pctchange($C712,K$6,$N$1))</f>
        <v xml:space="preserve"> </v>
      </c>
      <c r="L712" s="28" t="str">
        <f>IF(C712=""," ",[1]!s_wq_pctchange($C712,$N$1))</f>
        <v xml:space="preserve"> </v>
      </c>
      <c r="M712" s="28" t="str">
        <f>IF(C712=""," ",[1]!s_mq_pctchange($C712,$N$1))</f>
        <v xml:space="preserve"> </v>
      </c>
      <c r="N712" s="28" t="str">
        <f>IF(C712=""," ",[1]!s_yq_pctchange($C712,$N$1))</f>
        <v xml:space="preserve"> </v>
      </c>
      <c r="O712" s="11"/>
      <c r="P712" s="7"/>
    </row>
    <row r="713" spans="1:16" x14ac:dyDescent="0.35">
      <c r="A713" s="7"/>
      <c r="C713" s="30" t="str">
        <f>IF(指数列表!B710="","",指数列表!B710)</f>
        <v/>
      </c>
      <c r="D713" s="35" t="str">
        <f>IF(C713="","",[1]!s_info_name(C713))</f>
        <v/>
      </c>
      <c r="E713" s="24" t="str">
        <f>IF(C713="","",[1]!s_dq_close(C713,$N$1))</f>
        <v/>
      </c>
      <c r="F713" s="28" t="str">
        <f>IF($C713=""," ",[1]!i_pq_pctchange($C713,F$6,$N$1))</f>
        <v xml:space="preserve"> </v>
      </c>
      <c r="G713" s="28" t="str">
        <f>IF($C713=""," ",[1]!i_pq_pctchange($C713,G$6,$N$1))</f>
        <v xml:space="preserve"> </v>
      </c>
      <c r="H713" s="28" t="str">
        <f>IF($C713=""," ",[1]!i_pq_pctchange($C713,H$6,$N$1))</f>
        <v xml:space="preserve"> </v>
      </c>
      <c r="I713" s="28" t="str">
        <f>IF($C713=""," ",[1]!i_pq_pctchange($C713,I$6,$N$1))</f>
        <v xml:space="preserve"> </v>
      </c>
      <c r="J713" s="28" t="str">
        <f>IF($C713=""," ",[1]!i_pq_pctchange($C713,J$6,$N$1))</f>
        <v xml:space="preserve"> </v>
      </c>
      <c r="K713" s="28" t="str">
        <f>IF($C713=""," ",[1]!i_pq_pctchange($C713,K$6,$N$1))</f>
        <v xml:space="preserve"> </v>
      </c>
      <c r="L713" s="28" t="str">
        <f>IF(C713=""," ",[1]!s_wq_pctchange($C713,$N$1))</f>
        <v xml:space="preserve"> </v>
      </c>
      <c r="M713" s="28" t="str">
        <f>IF(C713=""," ",[1]!s_mq_pctchange($C713,$N$1))</f>
        <v xml:space="preserve"> </v>
      </c>
      <c r="N713" s="28" t="str">
        <f>IF(C713=""," ",[1]!s_yq_pctchange($C713,$N$1))</f>
        <v xml:space="preserve"> </v>
      </c>
      <c r="O713" s="11"/>
      <c r="P713" s="7"/>
    </row>
    <row r="714" spans="1:16" x14ac:dyDescent="0.35">
      <c r="A714" s="7"/>
      <c r="C714" s="31" t="str">
        <f>IF(指数列表!B711="","",指数列表!B711)</f>
        <v/>
      </c>
      <c r="D714" s="36" t="str">
        <f>IF(C714="","",[1]!s_info_name(C714))</f>
        <v/>
      </c>
      <c r="E714" s="25" t="str">
        <f>IF(C714="","",[1]!s_dq_close(C714,$N$1))</f>
        <v/>
      </c>
      <c r="F714" s="28" t="str">
        <f>IF($C714=""," ",[1]!i_pq_pctchange($C714,F$6,$N$1))</f>
        <v xml:space="preserve"> </v>
      </c>
      <c r="G714" s="28" t="str">
        <f>IF($C714=""," ",[1]!i_pq_pctchange($C714,G$6,$N$1))</f>
        <v xml:space="preserve"> </v>
      </c>
      <c r="H714" s="28" t="str">
        <f>IF($C714=""," ",[1]!i_pq_pctchange($C714,H$6,$N$1))</f>
        <v xml:space="preserve"> </v>
      </c>
      <c r="I714" s="28" t="str">
        <f>IF($C714=""," ",[1]!i_pq_pctchange($C714,I$6,$N$1))</f>
        <v xml:space="preserve"> </v>
      </c>
      <c r="J714" s="28" t="str">
        <f>IF($C714=""," ",[1]!i_pq_pctchange($C714,J$6,$N$1))</f>
        <v xml:space="preserve"> </v>
      </c>
      <c r="K714" s="28" t="str">
        <f>IF($C714=""," ",[1]!i_pq_pctchange($C714,K$6,$N$1))</f>
        <v xml:space="preserve"> </v>
      </c>
      <c r="L714" s="28" t="str">
        <f>IF(C714=""," ",[1]!s_wq_pctchange($C714,$N$1))</f>
        <v xml:space="preserve"> </v>
      </c>
      <c r="M714" s="28" t="str">
        <f>IF(C714=""," ",[1]!s_mq_pctchange($C714,$N$1))</f>
        <v xml:space="preserve"> </v>
      </c>
      <c r="N714" s="28" t="str">
        <f>IF(C714=""," ",[1]!s_yq_pctchange($C714,$N$1))</f>
        <v xml:space="preserve"> </v>
      </c>
      <c r="O714" s="11"/>
      <c r="P714" s="7"/>
    </row>
    <row r="715" spans="1:16" x14ac:dyDescent="0.35">
      <c r="A715" s="7"/>
      <c r="C715" s="30" t="str">
        <f>IF(指数列表!B712="","",指数列表!B712)</f>
        <v/>
      </c>
      <c r="D715" s="35" t="str">
        <f>IF(C715="","",[1]!s_info_name(C715))</f>
        <v/>
      </c>
      <c r="E715" s="24" t="str">
        <f>IF(C715="","",[1]!s_dq_close(C715,$N$1))</f>
        <v/>
      </c>
      <c r="F715" s="28" t="str">
        <f>IF($C715=""," ",[1]!i_pq_pctchange($C715,F$6,$N$1))</f>
        <v xml:space="preserve"> </v>
      </c>
      <c r="G715" s="28" t="str">
        <f>IF($C715=""," ",[1]!i_pq_pctchange($C715,G$6,$N$1))</f>
        <v xml:space="preserve"> </v>
      </c>
      <c r="H715" s="28" t="str">
        <f>IF($C715=""," ",[1]!i_pq_pctchange($C715,H$6,$N$1))</f>
        <v xml:space="preserve"> </v>
      </c>
      <c r="I715" s="28" t="str">
        <f>IF($C715=""," ",[1]!i_pq_pctchange($C715,I$6,$N$1))</f>
        <v xml:space="preserve"> </v>
      </c>
      <c r="J715" s="28" t="str">
        <f>IF($C715=""," ",[1]!i_pq_pctchange($C715,J$6,$N$1))</f>
        <v xml:space="preserve"> </v>
      </c>
      <c r="K715" s="28" t="str">
        <f>IF($C715=""," ",[1]!i_pq_pctchange($C715,K$6,$N$1))</f>
        <v xml:space="preserve"> </v>
      </c>
      <c r="L715" s="28" t="str">
        <f>IF(C715=""," ",[1]!s_wq_pctchange($C715,$N$1))</f>
        <v xml:space="preserve"> </v>
      </c>
      <c r="M715" s="28" t="str">
        <f>IF(C715=""," ",[1]!s_mq_pctchange($C715,$N$1))</f>
        <v xml:space="preserve"> </v>
      </c>
      <c r="N715" s="28" t="str">
        <f>IF(C715=""," ",[1]!s_yq_pctchange($C715,$N$1))</f>
        <v xml:space="preserve"> </v>
      </c>
      <c r="O715" s="11"/>
      <c r="P715" s="7"/>
    </row>
    <row r="716" spans="1:16" x14ac:dyDescent="0.35">
      <c r="A716" s="7"/>
      <c r="C716" s="31" t="str">
        <f>IF(指数列表!B713="","",指数列表!B713)</f>
        <v/>
      </c>
      <c r="D716" s="36" t="str">
        <f>IF(C716="","",[1]!s_info_name(C716))</f>
        <v/>
      </c>
      <c r="E716" s="25" t="str">
        <f>IF(C716="","",[1]!s_dq_close(C716,$N$1))</f>
        <v/>
      </c>
      <c r="F716" s="28" t="str">
        <f>IF($C716=""," ",[1]!i_pq_pctchange($C716,F$6,$N$1))</f>
        <v xml:space="preserve"> </v>
      </c>
      <c r="G716" s="28" t="str">
        <f>IF($C716=""," ",[1]!i_pq_pctchange($C716,G$6,$N$1))</f>
        <v xml:space="preserve"> </v>
      </c>
      <c r="H716" s="28" t="str">
        <f>IF($C716=""," ",[1]!i_pq_pctchange($C716,H$6,$N$1))</f>
        <v xml:space="preserve"> </v>
      </c>
      <c r="I716" s="28" t="str">
        <f>IF($C716=""," ",[1]!i_pq_pctchange($C716,I$6,$N$1))</f>
        <v xml:space="preserve"> </v>
      </c>
      <c r="J716" s="28" t="str">
        <f>IF($C716=""," ",[1]!i_pq_pctchange($C716,J$6,$N$1))</f>
        <v xml:space="preserve"> </v>
      </c>
      <c r="K716" s="28" t="str">
        <f>IF($C716=""," ",[1]!i_pq_pctchange($C716,K$6,$N$1))</f>
        <v xml:space="preserve"> </v>
      </c>
      <c r="L716" s="28" t="str">
        <f>IF(C716=""," ",[1]!s_wq_pctchange($C716,$N$1))</f>
        <v xml:space="preserve"> </v>
      </c>
      <c r="M716" s="28" t="str">
        <f>IF(C716=""," ",[1]!s_mq_pctchange($C716,$N$1))</f>
        <v xml:space="preserve"> </v>
      </c>
      <c r="N716" s="28" t="str">
        <f>IF(C716=""," ",[1]!s_yq_pctchange($C716,$N$1))</f>
        <v xml:space="preserve"> </v>
      </c>
      <c r="O716" s="11"/>
      <c r="P716" s="7"/>
    </row>
    <row r="717" spans="1:16" x14ac:dyDescent="0.35">
      <c r="A717" s="7"/>
      <c r="C717" s="30" t="str">
        <f>IF(指数列表!B714="","",指数列表!B714)</f>
        <v/>
      </c>
      <c r="D717" s="35" t="str">
        <f>IF(C717="","",[1]!s_info_name(C717))</f>
        <v/>
      </c>
      <c r="E717" s="24" t="str">
        <f>IF(C717="","",[1]!s_dq_close(C717,$N$1))</f>
        <v/>
      </c>
      <c r="F717" s="28" t="str">
        <f>IF($C717=""," ",[1]!i_pq_pctchange($C717,F$6,$N$1))</f>
        <v xml:space="preserve"> </v>
      </c>
      <c r="G717" s="28" t="str">
        <f>IF($C717=""," ",[1]!i_pq_pctchange($C717,G$6,$N$1))</f>
        <v xml:space="preserve"> </v>
      </c>
      <c r="H717" s="28" t="str">
        <f>IF($C717=""," ",[1]!i_pq_pctchange($C717,H$6,$N$1))</f>
        <v xml:space="preserve"> </v>
      </c>
      <c r="I717" s="28" t="str">
        <f>IF($C717=""," ",[1]!i_pq_pctchange($C717,I$6,$N$1))</f>
        <v xml:space="preserve"> </v>
      </c>
      <c r="J717" s="28" t="str">
        <f>IF($C717=""," ",[1]!i_pq_pctchange($C717,J$6,$N$1))</f>
        <v xml:space="preserve"> </v>
      </c>
      <c r="K717" s="28" t="str">
        <f>IF($C717=""," ",[1]!i_pq_pctchange($C717,K$6,$N$1))</f>
        <v xml:space="preserve"> </v>
      </c>
      <c r="L717" s="28" t="str">
        <f>IF(C717=""," ",[1]!s_wq_pctchange($C717,$N$1))</f>
        <v xml:space="preserve"> </v>
      </c>
      <c r="M717" s="28" t="str">
        <f>IF(C717=""," ",[1]!s_mq_pctchange($C717,$N$1))</f>
        <v xml:space="preserve"> </v>
      </c>
      <c r="N717" s="28" t="str">
        <f>IF(C717=""," ",[1]!s_yq_pctchange($C717,$N$1))</f>
        <v xml:space="preserve"> </v>
      </c>
      <c r="O717" s="11"/>
      <c r="P717" s="7"/>
    </row>
    <row r="718" spans="1:16" x14ac:dyDescent="0.35">
      <c r="A718" s="7"/>
      <c r="C718" s="31" t="str">
        <f>IF(指数列表!B715="","",指数列表!B715)</f>
        <v/>
      </c>
      <c r="D718" s="36" t="str">
        <f>IF(C718="","",[1]!s_info_name(C718))</f>
        <v/>
      </c>
      <c r="E718" s="25" t="str">
        <f>IF(C718="","",[1]!s_dq_close(C718,$N$1))</f>
        <v/>
      </c>
      <c r="F718" s="28" t="str">
        <f>IF($C718=""," ",[1]!i_pq_pctchange($C718,F$6,$N$1))</f>
        <v xml:space="preserve"> </v>
      </c>
      <c r="G718" s="28" t="str">
        <f>IF($C718=""," ",[1]!i_pq_pctchange($C718,G$6,$N$1))</f>
        <v xml:space="preserve"> </v>
      </c>
      <c r="H718" s="28" t="str">
        <f>IF($C718=""," ",[1]!i_pq_pctchange($C718,H$6,$N$1))</f>
        <v xml:space="preserve"> </v>
      </c>
      <c r="I718" s="28" t="str">
        <f>IF($C718=""," ",[1]!i_pq_pctchange($C718,I$6,$N$1))</f>
        <v xml:space="preserve"> </v>
      </c>
      <c r="J718" s="28" t="str">
        <f>IF($C718=""," ",[1]!i_pq_pctchange($C718,J$6,$N$1))</f>
        <v xml:space="preserve"> </v>
      </c>
      <c r="K718" s="28" t="str">
        <f>IF($C718=""," ",[1]!i_pq_pctchange($C718,K$6,$N$1))</f>
        <v xml:space="preserve"> </v>
      </c>
      <c r="L718" s="28" t="str">
        <f>IF(C718=""," ",[1]!s_wq_pctchange($C718,$N$1))</f>
        <v xml:space="preserve"> </v>
      </c>
      <c r="M718" s="28" t="str">
        <f>IF(C718=""," ",[1]!s_mq_pctchange($C718,$N$1))</f>
        <v xml:space="preserve"> </v>
      </c>
      <c r="N718" s="28" t="str">
        <f>IF(C718=""," ",[1]!s_yq_pctchange($C718,$N$1))</f>
        <v xml:space="preserve"> </v>
      </c>
      <c r="O718" s="11"/>
      <c r="P718" s="7"/>
    </row>
    <row r="719" spans="1:16" x14ac:dyDescent="0.35">
      <c r="A719" s="7"/>
      <c r="C719" s="30" t="str">
        <f>IF(指数列表!B716="","",指数列表!B716)</f>
        <v/>
      </c>
      <c r="D719" s="35" t="str">
        <f>IF(C719="","",[1]!s_info_name(C719))</f>
        <v/>
      </c>
      <c r="E719" s="24" t="str">
        <f>IF(C719="","",[1]!s_dq_close(C719,$N$1))</f>
        <v/>
      </c>
      <c r="F719" s="28" t="str">
        <f>IF($C719=""," ",[1]!i_pq_pctchange($C719,F$6,$N$1))</f>
        <v xml:space="preserve"> </v>
      </c>
      <c r="G719" s="28" t="str">
        <f>IF($C719=""," ",[1]!i_pq_pctchange($C719,G$6,$N$1))</f>
        <v xml:space="preserve"> </v>
      </c>
      <c r="H719" s="28" t="str">
        <f>IF($C719=""," ",[1]!i_pq_pctchange($C719,H$6,$N$1))</f>
        <v xml:space="preserve"> </v>
      </c>
      <c r="I719" s="28" t="str">
        <f>IF($C719=""," ",[1]!i_pq_pctchange($C719,I$6,$N$1))</f>
        <v xml:space="preserve"> </v>
      </c>
      <c r="J719" s="28" t="str">
        <f>IF($C719=""," ",[1]!i_pq_pctchange($C719,J$6,$N$1))</f>
        <v xml:space="preserve"> </v>
      </c>
      <c r="K719" s="28" t="str">
        <f>IF($C719=""," ",[1]!i_pq_pctchange($C719,K$6,$N$1))</f>
        <v xml:space="preserve"> </v>
      </c>
      <c r="L719" s="28" t="str">
        <f>IF(C719=""," ",[1]!s_wq_pctchange($C719,$N$1))</f>
        <v xml:space="preserve"> </v>
      </c>
      <c r="M719" s="28" t="str">
        <f>IF(C719=""," ",[1]!s_mq_pctchange($C719,$N$1))</f>
        <v xml:space="preserve"> </v>
      </c>
      <c r="N719" s="28" t="str">
        <f>IF(C719=""," ",[1]!s_yq_pctchange($C719,$N$1))</f>
        <v xml:space="preserve"> </v>
      </c>
      <c r="O719" s="11"/>
      <c r="P719" s="7"/>
    </row>
    <row r="720" spans="1:16" x14ac:dyDescent="0.35">
      <c r="A720" s="7"/>
      <c r="C720" s="31" t="str">
        <f>IF(指数列表!B717="","",指数列表!B717)</f>
        <v/>
      </c>
      <c r="D720" s="36" t="str">
        <f>IF(C720="","",[1]!s_info_name(C720))</f>
        <v/>
      </c>
      <c r="E720" s="25" t="str">
        <f>IF(C720="","",[1]!s_dq_close(C720,$N$1))</f>
        <v/>
      </c>
      <c r="F720" s="28" t="str">
        <f>IF($C720=""," ",[1]!i_pq_pctchange($C720,F$6,$N$1))</f>
        <v xml:space="preserve"> </v>
      </c>
      <c r="G720" s="28" t="str">
        <f>IF($C720=""," ",[1]!i_pq_pctchange($C720,G$6,$N$1))</f>
        <v xml:space="preserve"> </v>
      </c>
      <c r="H720" s="28" t="str">
        <f>IF($C720=""," ",[1]!i_pq_pctchange($C720,H$6,$N$1))</f>
        <v xml:space="preserve"> </v>
      </c>
      <c r="I720" s="28" t="str">
        <f>IF($C720=""," ",[1]!i_pq_pctchange($C720,I$6,$N$1))</f>
        <v xml:space="preserve"> </v>
      </c>
      <c r="J720" s="28" t="str">
        <f>IF($C720=""," ",[1]!i_pq_pctchange($C720,J$6,$N$1))</f>
        <v xml:space="preserve"> </v>
      </c>
      <c r="K720" s="28" t="str">
        <f>IF($C720=""," ",[1]!i_pq_pctchange($C720,K$6,$N$1))</f>
        <v xml:space="preserve"> </v>
      </c>
      <c r="L720" s="28" t="str">
        <f>IF(C720=""," ",[1]!s_wq_pctchange($C720,$N$1))</f>
        <v xml:space="preserve"> </v>
      </c>
      <c r="M720" s="28" t="str">
        <f>IF(C720=""," ",[1]!s_mq_pctchange($C720,$N$1))</f>
        <v xml:space="preserve"> </v>
      </c>
      <c r="N720" s="28" t="str">
        <f>IF(C720=""," ",[1]!s_yq_pctchange($C720,$N$1))</f>
        <v xml:space="preserve"> </v>
      </c>
      <c r="O720" s="11"/>
      <c r="P720" s="7"/>
    </row>
    <row r="721" spans="1:16" x14ac:dyDescent="0.35">
      <c r="A721" s="7"/>
      <c r="C721" s="30" t="str">
        <f>IF(指数列表!B718="","",指数列表!B718)</f>
        <v/>
      </c>
      <c r="D721" s="35" t="str">
        <f>IF(C721="","",[1]!s_info_name(C721))</f>
        <v/>
      </c>
      <c r="E721" s="24" t="str">
        <f>IF(C721="","",[1]!s_dq_close(C721,$N$1))</f>
        <v/>
      </c>
      <c r="F721" s="28" t="str">
        <f>IF($C721=""," ",[1]!i_pq_pctchange($C721,F$6,$N$1))</f>
        <v xml:space="preserve"> </v>
      </c>
      <c r="G721" s="28" t="str">
        <f>IF($C721=""," ",[1]!i_pq_pctchange($C721,G$6,$N$1))</f>
        <v xml:space="preserve"> </v>
      </c>
      <c r="H721" s="28" t="str">
        <f>IF($C721=""," ",[1]!i_pq_pctchange($C721,H$6,$N$1))</f>
        <v xml:space="preserve"> </v>
      </c>
      <c r="I721" s="28" t="str">
        <f>IF($C721=""," ",[1]!i_pq_pctchange($C721,I$6,$N$1))</f>
        <v xml:space="preserve"> </v>
      </c>
      <c r="J721" s="28" t="str">
        <f>IF($C721=""," ",[1]!i_pq_pctchange($C721,J$6,$N$1))</f>
        <v xml:space="preserve"> </v>
      </c>
      <c r="K721" s="28" t="str">
        <f>IF($C721=""," ",[1]!i_pq_pctchange($C721,K$6,$N$1))</f>
        <v xml:space="preserve"> </v>
      </c>
      <c r="L721" s="28" t="str">
        <f>IF(C721=""," ",[1]!s_wq_pctchange($C721,$N$1))</f>
        <v xml:space="preserve"> </v>
      </c>
      <c r="M721" s="28" t="str">
        <f>IF(C721=""," ",[1]!s_mq_pctchange($C721,$N$1))</f>
        <v xml:space="preserve"> </v>
      </c>
      <c r="N721" s="28" t="str">
        <f>IF(C721=""," ",[1]!s_yq_pctchange($C721,$N$1))</f>
        <v xml:space="preserve"> </v>
      </c>
      <c r="O721" s="11"/>
      <c r="P721" s="7"/>
    </row>
    <row r="722" spans="1:16" x14ac:dyDescent="0.35">
      <c r="A722" s="7"/>
      <c r="C722" s="31" t="str">
        <f>IF(指数列表!B719="","",指数列表!B719)</f>
        <v/>
      </c>
      <c r="D722" s="36" t="str">
        <f>IF(C722="","",[1]!s_info_name(C722))</f>
        <v/>
      </c>
      <c r="E722" s="25" t="str">
        <f>IF(C722="","",[1]!s_dq_close(C722,$N$1))</f>
        <v/>
      </c>
      <c r="F722" s="28" t="str">
        <f>IF($C722=""," ",[1]!i_pq_pctchange($C722,F$6,$N$1))</f>
        <v xml:space="preserve"> </v>
      </c>
      <c r="G722" s="28" t="str">
        <f>IF($C722=""," ",[1]!i_pq_pctchange($C722,G$6,$N$1))</f>
        <v xml:space="preserve"> </v>
      </c>
      <c r="H722" s="28" t="str">
        <f>IF($C722=""," ",[1]!i_pq_pctchange($C722,H$6,$N$1))</f>
        <v xml:space="preserve"> </v>
      </c>
      <c r="I722" s="28" t="str">
        <f>IF($C722=""," ",[1]!i_pq_pctchange($C722,I$6,$N$1))</f>
        <v xml:space="preserve"> </v>
      </c>
      <c r="J722" s="28" t="str">
        <f>IF($C722=""," ",[1]!i_pq_pctchange($C722,J$6,$N$1))</f>
        <v xml:space="preserve"> </v>
      </c>
      <c r="K722" s="28" t="str">
        <f>IF($C722=""," ",[1]!i_pq_pctchange($C722,K$6,$N$1))</f>
        <v xml:space="preserve"> </v>
      </c>
      <c r="L722" s="28" t="str">
        <f>IF(C722=""," ",[1]!s_wq_pctchange($C722,$N$1))</f>
        <v xml:space="preserve"> </v>
      </c>
      <c r="M722" s="28" t="str">
        <f>IF(C722=""," ",[1]!s_mq_pctchange($C722,$N$1))</f>
        <v xml:space="preserve"> </v>
      </c>
      <c r="N722" s="28" t="str">
        <f>IF(C722=""," ",[1]!s_yq_pctchange($C722,$N$1))</f>
        <v xml:space="preserve"> </v>
      </c>
      <c r="O722" s="11"/>
      <c r="P722" s="7"/>
    </row>
    <row r="723" spans="1:16" x14ac:dyDescent="0.35">
      <c r="A723" s="7"/>
      <c r="C723" s="30" t="str">
        <f>IF(指数列表!B720="","",指数列表!B720)</f>
        <v/>
      </c>
      <c r="D723" s="35" t="str">
        <f>IF(C723="","",[1]!s_info_name(C723))</f>
        <v/>
      </c>
      <c r="E723" s="24" t="str">
        <f>IF(C723="","",[1]!s_dq_close(C723,$N$1))</f>
        <v/>
      </c>
      <c r="F723" s="28" t="str">
        <f>IF($C723=""," ",[1]!i_pq_pctchange($C723,F$6,$N$1))</f>
        <v xml:space="preserve"> </v>
      </c>
      <c r="G723" s="28" t="str">
        <f>IF($C723=""," ",[1]!i_pq_pctchange($C723,G$6,$N$1))</f>
        <v xml:space="preserve"> </v>
      </c>
      <c r="H723" s="28" t="str">
        <f>IF($C723=""," ",[1]!i_pq_pctchange($C723,H$6,$N$1))</f>
        <v xml:space="preserve"> </v>
      </c>
      <c r="I723" s="28" t="str">
        <f>IF($C723=""," ",[1]!i_pq_pctchange($C723,I$6,$N$1))</f>
        <v xml:space="preserve"> </v>
      </c>
      <c r="J723" s="28" t="str">
        <f>IF($C723=""," ",[1]!i_pq_pctchange($C723,J$6,$N$1))</f>
        <v xml:space="preserve"> </v>
      </c>
      <c r="K723" s="28" t="str">
        <f>IF($C723=""," ",[1]!i_pq_pctchange($C723,K$6,$N$1))</f>
        <v xml:space="preserve"> </v>
      </c>
      <c r="L723" s="28" t="str">
        <f>IF(C723=""," ",[1]!s_wq_pctchange($C723,$N$1))</f>
        <v xml:space="preserve"> </v>
      </c>
      <c r="M723" s="28" t="str">
        <f>IF(C723=""," ",[1]!s_mq_pctchange($C723,$N$1))</f>
        <v xml:space="preserve"> </v>
      </c>
      <c r="N723" s="28" t="str">
        <f>IF(C723=""," ",[1]!s_yq_pctchange($C723,$N$1))</f>
        <v xml:space="preserve"> </v>
      </c>
      <c r="O723" s="11"/>
      <c r="P723" s="7"/>
    </row>
    <row r="724" spans="1:16" x14ac:dyDescent="0.35">
      <c r="A724" s="7"/>
      <c r="C724" s="31" t="str">
        <f>IF(指数列表!B721="","",指数列表!B721)</f>
        <v/>
      </c>
      <c r="D724" s="36" t="str">
        <f>IF(C724="","",[1]!s_info_name(C724))</f>
        <v/>
      </c>
      <c r="E724" s="25" t="str">
        <f>IF(C724="","",[1]!s_dq_close(C724,$N$1))</f>
        <v/>
      </c>
      <c r="F724" s="28" t="str">
        <f>IF($C724=""," ",[1]!i_pq_pctchange($C724,F$6,$N$1))</f>
        <v xml:space="preserve"> </v>
      </c>
      <c r="G724" s="28" t="str">
        <f>IF($C724=""," ",[1]!i_pq_pctchange($C724,G$6,$N$1))</f>
        <v xml:space="preserve"> </v>
      </c>
      <c r="H724" s="28" t="str">
        <f>IF($C724=""," ",[1]!i_pq_pctchange($C724,H$6,$N$1))</f>
        <v xml:space="preserve"> </v>
      </c>
      <c r="I724" s="28" t="str">
        <f>IF($C724=""," ",[1]!i_pq_pctchange($C724,I$6,$N$1))</f>
        <v xml:space="preserve"> </v>
      </c>
      <c r="J724" s="28" t="str">
        <f>IF($C724=""," ",[1]!i_pq_pctchange($C724,J$6,$N$1))</f>
        <v xml:space="preserve"> </v>
      </c>
      <c r="K724" s="28" t="str">
        <f>IF($C724=""," ",[1]!i_pq_pctchange($C724,K$6,$N$1))</f>
        <v xml:space="preserve"> </v>
      </c>
      <c r="L724" s="28" t="str">
        <f>IF(C724=""," ",[1]!s_wq_pctchange($C724,$N$1))</f>
        <v xml:space="preserve"> </v>
      </c>
      <c r="M724" s="28" t="str">
        <f>IF(C724=""," ",[1]!s_mq_pctchange($C724,$N$1))</f>
        <v xml:space="preserve"> </v>
      </c>
      <c r="N724" s="28" t="str">
        <f>IF(C724=""," ",[1]!s_yq_pctchange($C724,$N$1))</f>
        <v xml:space="preserve"> </v>
      </c>
      <c r="O724" s="11"/>
      <c r="P724" s="7"/>
    </row>
    <row r="725" spans="1:16" x14ac:dyDescent="0.35">
      <c r="A725" s="7"/>
      <c r="C725" s="30" t="str">
        <f>IF(指数列表!B722="","",指数列表!B722)</f>
        <v/>
      </c>
      <c r="D725" s="35" t="str">
        <f>IF(C725="","",[1]!s_info_name(C725))</f>
        <v/>
      </c>
      <c r="E725" s="24" t="str">
        <f>IF(C725="","",[1]!s_dq_close(C725,$N$1))</f>
        <v/>
      </c>
      <c r="F725" s="28" t="str">
        <f>IF($C725=""," ",[1]!i_pq_pctchange($C725,F$6,$N$1))</f>
        <v xml:space="preserve"> </v>
      </c>
      <c r="G725" s="28" t="str">
        <f>IF($C725=""," ",[1]!i_pq_pctchange($C725,G$6,$N$1))</f>
        <v xml:space="preserve"> </v>
      </c>
      <c r="H725" s="28" t="str">
        <f>IF($C725=""," ",[1]!i_pq_pctchange($C725,H$6,$N$1))</f>
        <v xml:space="preserve"> </v>
      </c>
      <c r="I725" s="28" t="str">
        <f>IF($C725=""," ",[1]!i_pq_pctchange($C725,I$6,$N$1))</f>
        <v xml:space="preserve"> </v>
      </c>
      <c r="J725" s="28" t="str">
        <f>IF($C725=""," ",[1]!i_pq_pctchange($C725,J$6,$N$1))</f>
        <v xml:space="preserve"> </v>
      </c>
      <c r="K725" s="28" t="str">
        <f>IF($C725=""," ",[1]!i_pq_pctchange($C725,K$6,$N$1))</f>
        <v xml:space="preserve"> </v>
      </c>
      <c r="L725" s="28" t="str">
        <f>IF(C725=""," ",[1]!s_wq_pctchange($C725,$N$1))</f>
        <v xml:space="preserve"> </v>
      </c>
      <c r="M725" s="28" t="str">
        <f>IF(C725=""," ",[1]!s_mq_pctchange($C725,$N$1))</f>
        <v xml:space="preserve"> </v>
      </c>
      <c r="N725" s="28" t="str">
        <f>IF(C725=""," ",[1]!s_yq_pctchange($C725,$N$1))</f>
        <v xml:space="preserve"> </v>
      </c>
      <c r="O725" s="11"/>
      <c r="P725" s="7"/>
    </row>
    <row r="726" spans="1:16" x14ac:dyDescent="0.35">
      <c r="A726" s="7"/>
      <c r="C726" s="31" t="str">
        <f>IF(指数列表!B723="","",指数列表!B723)</f>
        <v/>
      </c>
      <c r="D726" s="36" t="str">
        <f>IF(C726="","",[1]!s_info_name(C726))</f>
        <v/>
      </c>
      <c r="E726" s="25" t="str">
        <f>IF(C726="","",[1]!s_dq_close(C726,$N$1))</f>
        <v/>
      </c>
      <c r="F726" s="28" t="str">
        <f>IF($C726=""," ",[1]!i_pq_pctchange($C726,F$6,$N$1))</f>
        <v xml:space="preserve"> </v>
      </c>
      <c r="G726" s="28" t="str">
        <f>IF($C726=""," ",[1]!i_pq_pctchange($C726,G$6,$N$1))</f>
        <v xml:space="preserve"> </v>
      </c>
      <c r="H726" s="28" t="str">
        <f>IF($C726=""," ",[1]!i_pq_pctchange($C726,H$6,$N$1))</f>
        <v xml:space="preserve"> </v>
      </c>
      <c r="I726" s="28" t="str">
        <f>IF($C726=""," ",[1]!i_pq_pctchange($C726,I$6,$N$1))</f>
        <v xml:space="preserve"> </v>
      </c>
      <c r="J726" s="28" t="str">
        <f>IF($C726=""," ",[1]!i_pq_pctchange($C726,J$6,$N$1))</f>
        <v xml:space="preserve"> </v>
      </c>
      <c r="K726" s="28" t="str">
        <f>IF($C726=""," ",[1]!i_pq_pctchange($C726,K$6,$N$1))</f>
        <v xml:space="preserve"> </v>
      </c>
      <c r="L726" s="28" t="str">
        <f>IF(C726=""," ",[1]!s_wq_pctchange($C726,$N$1))</f>
        <v xml:space="preserve"> </v>
      </c>
      <c r="M726" s="28" t="str">
        <f>IF(C726=""," ",[1]!s_mq_pctchange($C726,$N$1))</f>
        <v xml:space="preserve"> </v>
      </c>
      <c r="N726" s="28" t="str">
        <f>IF(C726=""," ",[1]!s_yq_pctchange($C726,$N$1))</f>
        <v xml:space="preserve"> </v>
      </c>
      <c r="O726" s="11"/>
      <c r="P726" s="7"/>
    </row>
    <row r="727" spans="1:16" x14ac:dyDescent="0.35">
      <c r="A727" s="7"/>
      <c r="C727" s="30" t="str">
        <f>IF(指数列表!B724="","",指数列表!B724)</f>
        <v/>
      </c>
      <c r="D727" s="35" t="str">
        <f>IF(C727="","",[1]!s_info_name(C727))</f>
        <v/>
      </c>
      <c r="E727" s="24" t="str">
        <f>IF(C727="","",[1]!s_dq_close(C727,$N$1))</f>
        <v/>
      </c>
      <c r="F727" s="28" t="str">
        <f>IF($C727=""," ",[1]!i_pq_pctchange($C727,F$6,$N$1))</f>
        <v xml:space="preserve"> </v>
      </c>
      <c r="G727" s="28" t="str">
        <f>IF($C727=""," ",[1]!i_pq_pctchange($C727,G$6,$N$1))</f>
        <v xml:space="preserve"> </v>
      </c>
      <c r="H727" s="28" t="str">
        <f>IF($C727=""," ",[1]!i_pq_pctchange($C727,H$6,$N$1))</f>
        <v xml:space="preserve"> </v>
      </c>
      <c r="I727" s="28" t="str">
        <f>IF($C727=""," ",[1]!i_pq_pctchange($C727,I$6,$N$1))</f>
        <v xml:space="preserve"> </v>
      </c>
      <c r="J727" s="28" t="str">
        <f>IF($C727=""," ",[1]!i_pq_pctchange($C727,J$6,$N$1))</f>
        <v xml:space="preserve"> </v>
      </c>
      <c r="K727" s="28" t="str">
        <f>IF($C727=""," ",[1]!i_pq_pctchange($C727,K$6,$N$1))</f>
        <v xml:space="preserve"> </v>
      </c>
      <c r="L727" s="28" t="str">
        <f>IF(C727=""," ",[1]!s_wq_pctchange($C727,$N$1))</f>
        <v xml:space="preserve"> </v>
      </c>
      <c r="M727" s="28" t="str">
        <f>IF(C727=""," ",[1]!s_mq_pctchange($C727,$N$1))</f>
        <v xml:space="preserve"> </v>
      </c>
      <c r="N727" s="28" t="str">
        <f>IF(C727=""," ",[1]!s_yq_pctchange($C727,$N$1))</f>
        <v xml:space="preserve"> </v>
      </c>
      <c r="O727" s="11"/>
      <c r="P727" s="7"/>
    </row>
    <row r="728" spans="1:16" x14ac:dyDescent="0.35">
      <c r="A728" s="7"/>
      <c r="C728" s="31" t="str">
        <f>IF(指数列表!B725="","",指数列表!B725)</f>
        <v/>
      </c>
      <c r="D728" s="36" t="str">
        <f>IF(C728="","",[1]!s_info_name(C728))</f>
        <v/>
      </c>
      <c r="E728" s="25" t="str">
        <f>IF(C728="","",[1]!s_dq_close(C728,$N$1))</f>
        <v/>
      </c>
      <c r="F728" s="28" t="str">
        <f>IF($C728=""," ",[1]!i_pq_pctchange($C728,F$6,$N$1))</f>
        <v xml:space="preserve"> </v>
      </c>
      <c r="G728" s="28" t="str">
        <f>IF($C728=""," ",[1]!i_pq_pctchange($C728,G$6,$N$1))</f>
        <v xml:space="preserve"> </v>
      </c>
      <c r="H728" s="28" t="str">
        <f>IF($C728=""," ",[1]!i_pq_pctchange($C728,H$6,$N$1))</f>
        <v xml:space="preserve"> </v>
      </c>
      <c r="I728" s="28" t="str">
        <f>IF($C728=""," ",[1]!i_pq_pctchange($C728,I$6,$N$1))</f>
        <v xml:space="preserve"> </v>
      </c>
      <c r="J728" s="28" t="str">
        <f>IF($C728=""," ",[1]!i_pq_pctchange($C728,J$6,$N$1))</f>
        <v xml:space="preserve"> </v>
      </c>
      <c r="K728" s="28" t="str">
        <f>IF($C728=""," ",[1]!i_pq_pctchange($C728,K$6,$N$1))</f>
        <v xml:space="preserve"> </v>
      </c>
      <c r="L728" s="28" t="str">
        <f>IF(C728=""," ",[1]!s_wq_pctchange($C728,$N$1))</f>
        <v xml:space="preserve"> </v>
      </c>
      <c r="M728" s="28" t="str">
        <f>IF(C728=""," ",[1]!s_mq_pctchange($C728,$N$1))</f>
        <v xml:space="preserve"> </v>
      </c>
      <c r="N728" s="28" t="str">
        <f>IF(C728=""," ",[1]!s_yq_pctchange($C728,$N$1))</f>
        <v xml:space="preserve"> </v>
      </c>
      <c r="O728" s="11"/>
      <c r="P728" s="7"/>
    </row>
    <row r="729" spans="1:16" x14ac:dyDescent="0.35">
      <c r="A729" s="7"/>
      <c r="C729" s="30" t="str">
        <f>IF(指数列表!B726="","",指数列表!B726)</f>
        <v/>
      </c>
      <c r="D729" s="35" t="str">
        <f>IF(C729="","",[1]!s_info_name(C729))</f>
        <v/>
      </c>
      <c r="E729" s="24" t="str">
        <f>IF(C729="","",[1]!s_dq_close(C729,$N$1))</f>
        <v/>
      </c>
      <c r="F729" s="28" t="str">
        <f>IF($C729=""," ",[1]!i_pq_pctchange($C729,F$6,$N$1))</f>
        <v xml:space="preserve"> </v>
      </c>
      <c r="G729" s="28" t="str">
        <f>IF($C729=""," ",[1]!i_pq_pctchange($C729,G$6,$N$1))</f>
        <v xml:space="preserve"> </v>
      </c>
      <c r="H729" s="28" t="str">
        <f>IF($C729=""," ",[1]!i_pq_pctchange($C729,H$6,$N$1))</f>
        <v xml:space="preserve"> </v>
      </c>
      <c r="I729" s="28" t="str">
        <f>IF($C729=""," ",[1]!i_pq_pctchange($C729,I$6,$N$1))</f>
        <v xml:space="preserve"> </v>
      </c>
      <c r="J729" s="28" t="str">
        <f>IF($C729=""," ",[1]!i_pq_pctchange($C729,J$6,$N$1))</f>
        <v xml:space="preserve"> </v>
      </c>
      <c r="K729" s="28" t="str">
        <f>IF($C729=""," ",[1]!i_pq_pctchange($C729,K$6,$N$1))</f>
        <v xml:space="preserve"> </v>
      </c>
      <c r="L729" s="28" t="str">
        <f>IF(C729=""," ",[1]!s_wq_pctchange($C729,$N$1))</f>
        <v xml:space="preserve"> </v>
      </c>
      <c r="M729" s="28" t="str">
        <f>IF(C729=""," ",[1]!s_mq_pctchange($C729,$N$1))</f>
        <v xml:space="preserve"> </v>
      </c>
      <c r="N729" s="28" t="str">
        <f>IF(C729=""," ",[1]!s_yq_pctchange($C729,$N$1))</f>
        <v xml:space="preserve"> </v>
      </c>
      <c r="O729" s="11"/>
      <c r="P729" s="7"/>
    </row>
    <row r="730" spans="1:16" x14ac:dyDescent="0.35">
      <c r="A730" s="7"/>
      <c r="C730" s="31" t="str">
        <f>IF(指数列表!B727="","",指数列表!B727)</f>
        <v/>
      </c>
      <c r="D730" s="36" t="str">
        <f>IF(C730="","",[1]!s_info_name(C730))</f>
        <v/>
      </c>
      <c r="E730" s="25" t="str">
        <f>IF(C730="","",[1]!s_dq_close(C730,$N$1))</f>
        <v/>
      </c>
      <c r="F730" s="28" t="str">
        <f>IF($C730=""," ",[1]!i_pq_pctchange($C730,F$6,$N$1))</f>
        <v xml:space="preserve"> </v>
      </c>
      <c r="G730" s="28" t="str">
        <f>IF($C730=""," ",[1]!i_pq_pctchange($C730,G$6,$N$1))</f>
        <v xml:space="preserve"> </v>
      </c>
      <c r="H730" s="28" t="str">
        <f>IF($C730=""," ",[1]!i_pq_pctchange($C730,H$6,$N$1))</f>
        <v xml:space="preserve"> </v>
      </c>
      <c r="I730" s="28" t="str">
        <f>IF($C730=""," ",[1]!i_pq_pctchange($C730,I$6,$N$1))</f>
        <v xml:space="preserve"> </v>
      </c>
      <c r="J730" s="28" t="str">
        <f>IF($C730=""," ",[1]!i_pq_pctchange($C730,J$6,$N$1))</f>
        <v xml:space="preserve"> </v>
      </c>
      <c r="K730" s="28" t="str">
        <f>IF($C730=""," ",[1]!i_pq_pctchange($C730,K$6,$N$1))</f>
        <v xml:space="preserve"> </v>
      </c>
      <c r="L730" s="28" t="str">
        <f>IF(C730=""," ",[1]!s_wq_pctchange($C730,$N$1))</f>
        <v xml:space="preserve"> </v>
      </c>
      <c r="M730" s="28" t="str">
        <f>IF(C730=""," ",[1]!s_mq_pctchange($C730,$N$1))</f>
        <v xml:space="preserve"> </v>
      </c>
      <c r="N730" s="28" t="str">
        <f>IF(C730=""," ",[1]!s_yq_pctchange($C730,$N$1))</f>
        <v xml:space="preserve"> </v>
      </c>
      <c r="O730" s="11"/>
      <c r="P730" s="7"/>
    </row>
    <row r="731" spans="1:16" x14ac:dyDescent="0.35">
      <c r="A731" s="7"/>
      <c r="C731" s="30" t="str">
        <f>IF(指数列表!B728="","",指数列表!B728)</f>
        <v/>
      </c>
      <c r="D731" s="35" t="str">
        <f>IF(C731="","",[1]!s_info_name(C731))</f>
        <v/>
      </c>
      <c r="E731" s="24" t="str">
        <f>IF(C731="","",[1]!s_dq_close(C731,$N$1))</f>
        <v/>
      </c>
      <c r="F731" s="28" t="str">
        <f>IF($C731=""," ",[1]!i_pq_pctchange($C731,F$6,$N$1))</f>
        <v xml:space="preserve"> </v>
      </c>
      <c r="G731" s="28" t="str">
        <f>IF($C731=""," ",[1]!i_pq_pctchange($C731,G$6,$N$1))</f>
        <v xml:space="preserve"> </v>
      </c>
      <c r="H731" s="28" t="str">
        <f>IF($C731=""," ",[1]!i_pq_pctchange($C731,H$6,$N$1))</f>
        <v xml:space="preserve"> </v>
      </c>
      <c r="I731" s="28" t="str">
        <f>IF($C731=""," ",[1]!i_pq_pctchange($C731,I$6,$N$1))</f>
        <v xml:space="preserve"> </v>
      </c>
      <c r="J731" s="28" t="str">
        <f>IF($C731=""," ",[1]!i_pq_pctchange($C731,J$6,$N$1))</f>
        <v xml:space="preserve"> </v>
      </c>
      <c r="K731" s="28" t="str">
        <f>IF($C731=""," ",[1]!i_pq_pctchange($C731,K$6,$N$1))</f>
        <v xml:space="preserve"> </v>
      </c>
      <c r="L731" s="28" t="str">
        <f>IF(C731=""," ",[1]!s_wq_pctchange($C731,$N$1))</f>
        <v xml:space="preserve"> </v>
      </c>
      <c r="M731" s="28" t="str">
        <f>IF(C731=""," ",[1]!s_mq_pctchange($C731,$N$1))</f>
        <v xml:space="preserve"> </v>
      </c>
      <c r="N731" s="28" t="str">
        <f>IF(C731=""," ",[1]!s_yq_pctchange($C731,$N$1))</f>
        <v xml:space="preserve"> </v>
      </c>
      <c r="O731" s="11"/>
      <c r="P731" s="7"/>
    </row>
    <row r="732" spans="1:16" x14ac:dyDescent="0.35">
      <c r="A732" s="7"/>
      <c r="C732" s="31" t="str">
        <f>IF(指数列表!B729="","",指数列表!B729)</f>
        <v/>
      </c>
      <c r="D732" s="36" t="str">
        <f>IF(C732="","",[1]!s_info_name(C732))</f>
        <v/>
      </c>
      <c r="E732" s="25" t="str">
        <f>IF(C732="","",[1]!s_dq_close(C732,$N$1))</f>
        <v/>
      </c>
      <c r="F732" s="28" t="str">
        <f>IF($C732=""," ",[1]!i_pq_pctchange($C732,F$6,$N$1))</f>
        <v xml:space="preserve"> </v>
      </c>
      <c r="G732" s="28" t="str">
        <f>IF($C732=""," ",[1]!i_pq_pctchange($C732,G$6,$N$1))</f>
        <v xml:space="preserve"> </v>
      </c>
      <c r="H732" s="28" t="str">
        <f>IF($C732=""," ",[1]!i_pq_pctchange($C732,H$6,$N$1))</f>
        <v xml:space="preserve"> </v>
      </c>
      <c r="I732" s="28" t="str">
        <f>IF($C732=""," ",[1]!i_pq_pctchange($C732,I$6,$N$1))</f>
        <v xml:space="preserve"> </v>
      </c>
      <c r="J732" s="28" t="str">
        <f>IF($C732=""," ",[1]!i_pq_pctchange($C732,J$6,$N$1))</f>
        <v xml:space="preserve"> </v>
      </c>
      <c r="K732" s="28" t="str">
        <f>IF($C732=""," ",[1]!i_pq_pctchange($C732,K$6,$N$1))</f>
        <v xml:space="preserve"> </v>
      </c>
      <c r="L732" s="28" t="str">
        <f>IF(C732=""," ",[1]!s_wq_pctchange($C732,$N$1))</f>
        <v xml:space="preserve"> </v>
      </c>
      <c r="M732" s="28" t="str">
        <f>IF(C732=""," ",[1]!s_mq_pctchange($C732,$N$1))</f>
        <v xml:space="preserve"> </v>
      </c>
      <c r="N732" s="28" t="str">
        <f>IF(C732=""," ",[1]!s_yq_pctchange($C732,$N$1))</f>
        <v xml:space="preserve"> </v>
      </c>
      <c r="O732" s="11"/>
      <c r="P732" s="7"/>
    </row>
    <row r="733" spans="1:16" x14ac:dyDescent="0.35">
      <c r="A733" s="7"/>
      <c r="C733" s="30" t="str">
        <f>IF(指数列表!B730="","",指数列表!B730)</f>
        <v/>
      </c>
      <c r="D733" s="35" t="str">
        <f>IF(C733="","",[1]!s_info_name(C733))</f>
        <v/>
      </c>
      <c r="E733" s="24" t="str">
        <f>IF(C733="","",[1]!s_dq_close(C733,$N$1))</f>
        <v/>
      </c>
      <c r="F733" s="28" t="str">
        <f>IF($C733=""," ",[1]!i_pq_pctchange($C733,F$6,$N$1))</f>
        <v xml:space="preserve"> </v>
      </c>
      <c r="G733" s="28" t="str">
        <f>IF($C733=""," ",[1]!i_pq_pctchange($C733,G$6,$N$1))</f>
        <v xml:space="preserve"> </v>
      </c>
      <c r="H733" s="28" t="str">
        <f>IF($C733=""," ",[1]!i_pq_pctchange($C733,H$6,$N$1))</f>
        <v xml:space="preserve"> </v>
      </c>
      <c r="I733" s="28" t="str">
        <f>IF($C733=""," ",[1]!i_pq_pctchange($C733,I$6,$N$1))</f>
        <v xml:space="preserve"> </v>
      </c>
      <c r="J733" s="28" t="str">
        <f>IF($C733=""," ",[1]!i_pq_pctchange($C733,J$6,$N$1))</f>
        <v xml:space="preserve"> </v>
      </c>
      <c r="K733" s="28" t="str">
        <f>IF($C733=""," ",[1]!i_pq_pctchange($C733,K$6,$N$1))</f>
        <v xml:space="preserve"> </v>
      </c>
      <c r="L733" s="28" t="str">
        <f>IF(C733=""," ",[1]!s_wq_pctchange($C733,$N$1))</f>
        <v xml:space="preserve"> </v>
      </c>
      <c r="M733" s="28" t="str">
        <f>IF(C733=""," ",[1]!s_mq_pctchange($C733,$N$1))</f>
        <v xml:space="preserve"> </v>
      </c>
      <c r="N733" s="28" t="str">
        <f>IF(C733=""," ",[1]!s_yq_pctchange($C733,$N$1))</f>
        <v xml:space="preserve"> </v>
      </c>
      <c r="O733" s="11"/>
      <c r="P733" s="7"/>
    </row>
    <row r="734" spans="1:16" x14ac:dyDescent="0.35">
      <c r="A734" s="7"/>
      <c r="C734" s="31" t="str">
        <f>IF(指数列表!B731="","",指数列表!B731)</f>
        <v/>
      </c>
      <c r="D734" s="36" t="str">
        <f>IF(C734="","",[1]!s_info_name(C734))</f>
        <v/>
      </c>
      <c r="E734" s="25" t="str">
        <f>IF(C734="","",[1]!s_dq_close(C734,$N$1))</f>
        <v/>
      </c>
      <c r="F734" s="28" t="str">
        <f>IF($C734=""," ",[1]!i_pq_pctchange($C734,F$6,$N$1))</f>
        <v xml:space="preserve"> </v>
      </c>
      <c r="G734" s="28" t="str">
        <f>IF($C734=""," ",[1]!i_pq_pctchange($C734,G$6,$N$1))</f>
        <v xml:space="preserve"> </v>
      </c>
      <c r="H734" s="28" t="str">
        <f>IF($C734=""," ",[1]!i_pq_pctchange($C734,H$6,$N$1))</f>
        <v xml:space="preserve"> </v>
      </c>
      <c r="I734" s="28" t="str">
        <f>IF($C734=""," ",[1]!i_pq_pctchange($C734,I$6,$N$1))</f>
        <v xml:space="preserve"> </v>
      </c>
      <c r="J734" s="28" t="str">
        <f>IF($C734=""," ",[1]!i_pq_pctchange($C734,J$6,$N$1))</f>
        <v xml:space="preserve"> </v>
      </c>
      <c r="K734" s="28" t="str">
        <f>IF($C734=""," ",[1]!i_pq_pctchange($C734,K$6,$N$1))</f>
        <v xml:space="preserve"> </v>
      </c>
      <c r="L734" s="28" t="str">
        <f>IF(C734=""," ",[1]!s_wq_pctchange($C734,$N$1))</f>
        <v xml:space="preserve"> </v>
      </c>
      <c r="M734" s="28" t="str">
        <f>IF(C734=""," ",[1]!s_mq_pctchange($C734,$N$1))</f>
        <v xml:space="preserve"> </v>
      </c>
      <c r="N734" s="28" t="str">
        <f>IF(C734=""," ",[1]!s_yq_pctchange($C734,$N$1))</f>
        <v xml:space="preserve"> </v>
      </c>
      <c r="O734" s="11"/>
      <c r="P734" s="7"/>
    </row>
    <row r="735" spans="1:16" x14ac:dyDescent="0.35">
      <c r="A735" s="7"/>
      <c r="C735" s="30" t="str">
        <f>IF(指数列表!B732="","",指数列表!B732)</f>
        <v/>
      </c>
      <c r="D735" s="35" t="str">
        <f>IF(C735="","",[1]!s_info_name(C735))</f>
        <v/>
      </c>
      <c r="E735" s="24" t="str">
        <f>IF(C735="","",[1]!s_dq_close(C735,$N$1))</f>
        <v/>
      </c>
      <c r="F735" s="28" t="str">
        <f>IF($C735=""," ",[1]!i_pq_pctchange($C735,F$6,$N$1))</f>
        <v xml:space="preserve"> </v>
      </c>
      <c r="G735" s="28" t="str">
        <f>IF($C735=""," ",[1]!i_pq_pctchange($C735,G$6,$N$1))</f>
        <v xml:space="preserve"> </v>
      </c>
      <c r="H735" s="28" t="str">
        <f>IF($C735=""," ",[1]!i_pq_pctchange($C735,H$6,$N$1))</f>
        <v xml:space="preserve"> </v>
      </c>
      <c r="I735" s="28" t="str">
        <f>IF($C735=""," ",[1]!i_pq_pctchange($C735,I$6,$N$1))</f>
        <v xml:space="preserve"> </v>
      </c>
      <c r="J735" s="28" t="str">
        <f>IF($C735=""," ",[1]!i_pq_pctchange($C735,J$6,$N$1))</f>
        <v xml:space="preserve"> </v>
      </c>
      <c r="K735" s="28" t="str">
        <f>IF($C735=""," ",[1]!i_pq_pctchange($C735,K$6,$N$1))</f>
        <v xml:space="preserve"> </v>
      </c>
      <c r="L735" s="28" t="str">
        <f>IF(C735=""," ",[1]!s_wq_pctchange($C735,$N$1))</f>
        <v xml:space="preserve"> </v>
      </c>
      <c r="M735" s="28" t="str">
        <f>IF(C735=""," ",[1]!s_mq_pctchange($C735,$N$1))</f>
        <v xml:space="preserve"> </v>
      </c>
      <c r="N735" s="28" t="str">
        <f>IF(C735=""," ",[1]!s_yq_pctchange($C735,$N$1))</f>
        <v xml:space="preserve"> </v>
      </c>
      <c r="O735" s="11"/>
      <c r="P735" s="7"/>
    </row>
    <row r="736" spans="1:16" x14ac:dyDescent="0.35">
      <c r="A736" s="7"/>
      <c r="C736" s="31" t="str">
        <f>IF(指数列表!B733="","",指数列表!B733)</f>
        <v/>
      </c>
      <c r="D736" s="36" t="str">
        <f>IF(C736="","",[1]!s_info_name(C736))</f>
        <v/>
      </c>
      <c r="E736" s="25" t="str">
        <f>IF(C736="","",[1]!s_dq_close(C736,$N$1))</f>
        <v/>
      </c>
      <c r="F736" s="28" t="str">
        <f>IF($C736=""," ",[1]!i_pq_pctchange($C736,F$6,$N$1))</f>
        <v xml:space="preserve"> </v>
      </c>
      <c r="G736" s="28" t="str">
        <f>IF($C736=""," ",[1]!i_pq_pctchange($C736,G$6,$N$1))</f>
        <v xml:space="preserve"> </v>
      </c>
      <c r="H736" s="28" t="str">
        <f>IF($C736=""," ",[1]!i_pq_pctchange($C736,H$6,$N$1))</f>
        <v xml:space="preserve"> </v>
      </c>
      <c r="I736" s="28" t="str">
        <f>IF($C736=""," ",[1]!i_pq_pctchange($C736,I$6,$N$1))</f>
        <v xml:space="preserve"> </v>
      </c>
      <c r="J736" s="28" t="str">
        <f>IF($C736=""," ",[1]!i_pq_pctchange($C736,J$6,$N$1))</f>
        <v xml:space="preserve"> </v>
      </c>
      <c r="K736" s="28" t="str">
        <f>IF($C736=""," ",[1]!i_pq_pctchange($C736,K$6,$N$1))</f>
        <v xml:space="preserve"> </v>
      </c>
      <c r="L736" s="28" t="str">
        <f>IF(C736=""," ",[1]!s_wq_pctchange($C736,$N$1))</f>
        <v xml:space="preserve"> </v>
      </c>
      <c r="M736" s="28" t="str">
        <f>IF(C736=""," ",[1]!s_mq_pctchange($C736,$N$1))</f>
        <v xml:space="preserve"> </v>
      </c>
      <c r="N736" s="28" t="str">
        <f>IF(C736=""," ",[1]!s_yq_pctchange($C736,$N$1))</f>
        <v xml:space="preserve"> </v>
      </c>
      <c r="O736" s="11"/>
      <c r="P736" s="7"/>
    </row>
    <row r="737" spans="1:16" x14ac:dyDescent="0.35">
      <c r="A737" s="7"/>
      <c r="C737" s="30" t="str">
        <f>IF(指数列表!B734="","",指数列表!B734)</f>
        <v/>
      </c>
      <c r="D737" s="35" t="str">
        <f>IF(C737="","",[1]!s_info_name(C737))</f>
        <v/>
      </c>
      <c r="E737" s="24" t="str">
        <f>IF(C737="","",[1]!s_dq_close(C737,$N$1))</f>
        <v/>
      </c>
      <c r="F737" s="28" t="str">
        <f>IF($C737=""," ",[1]!i_pq_pctchange($C737,F$6,$N$1))</f>
        <v xml:space="preserve"> </v>
      </c>
      <c r="G737" s="28" t="str">
        <f>IF($C737=""," ",[1]!i_pq_pctchange($C737,G$6,$N$1))</f>
        <v xml:space="preserve"> </v>
      </c>
      <c r="H737" s="28" t="str">
        <f>IF($C737=""," ",[1]!i_pq_pctchange($C737,H$6,$N$1))</f>
        <v xml:space="preserve"> </v>
      </c>
      <c r="I737" s="28" t="str">
        <f>IF($C737=""," ",[1]!i_pq_pctchange($C737,I$6,$N$1))</f>
        <v xml:space="preserve"> </v>
      </c>
      <c r="J737" s="28" t="str">
        <f>IF($C737=""," ",[1]!i_pq_pctchange($C737,J$6,$N$1))</f>
        <v xml:space="preserve"> </v>
      </c>
      <c r="K737" s="28" t="str">
        <f>IF($C737=""," ",[1]!i_pq_pctchange($C737,K$6,$N$1))</f>
        <v xml:space="preserve"> </v>
      </c>
      <c r="L737" s="28" t="str">
        <f>IF(C737=""," ",[1]!s_wq_pctchange($C737,$N$1))</f>
        <v xml:space="preserve"> </v>
      </c>
      <c r="M737" s="28" t="str">
        <f>IF(C737=""," ",[1]!s_mq_pctchange($C737,$N$1))</f>
        <v xml:space="preserve"> </v>
      </c>
      <c r="N737" s="28" t="str">
        <f>IF(C737=""," ",[1]!s_yq_pctchange($C737,$N$1))</f>
        <v xml:space="preserve"> </v>
      </c>
      <c r="O737" s="11"/>
      <c r="P737" s="7"/>
    </row>
    <row r="738" spans="1:16" x14ac:dyDescent="0.35">
      <c r="A738" s="7"/>
      <c r="C738" s="31" t="str">
        <f>IF(指数列表!B735="","",指数列表!B735)</f>
        <v/>
      </c>
      <c r="D738" s="36" t="str">
        <f>IF(C738="","",[1]!s_info_name(C738))</f>
        <v/>
      </c>
      <c r="E738" s="25" t="str">
        <f>IF(C738="","",[1]!s_dq_close(C738,$N$1))</f>
        <v/>
      </c>
      <c r="F738" s="28" t="str">
        <f>IF($C738=""," ",[1]!i_pq_pctchange($C738,F$6,$N$1))</f>
        <v xml:space="preserve"> </v>
      </c>
      <c r="G738" s="28" t="str">
        <f>IF($C738=""," ",[1]!i_pq_pctchange($C738,G$6,$N$1))</f>
        <v xml:space="preserve"> </v>
      </c>
      <c r="H738" s="28" t="str">
        <f>IF($C738=""," ",[1]!i_pq_pctchange($C738,H$6,$N$1))</f>
        <v xml:space="preserve"> </v>
      </c>
      <c r="I738" s="28" t="str">
        <f>IF($C738=""," ",[1]!i_pq_pctchange($C738,I$6,$N$1))</f>
        <v xml:space="preserve"> </v>
      </c>
      <c r="J738" s="28" t="str">
        <f>IF($C738=""," ",[1]!i_pq_pctchange($C738,J$6,$N$1))</f>
        <v xml:space="preserve"> </v>
      </c>
      <c r="K738" s="28" t="str">
        <f>IF($C738=""," ",[1]!i_pq_pctchange($C738,K$6,$N$1))</f>
        <v xml:space="preserve"> </v>
      </c>
      <c r="L738" s="28" t="str">
        <f>IF(C738=""," ",[1]!s_wq_pctchange($C738,$N$1))</f>
        <v xml:space="preserve"> </v>
      </c>
      <c r="M738" s="28" t="str">
        <f>IF(C738=""," ",[1]!s_mq_pctchange($C738,$N$1))</f>
        <v xml:space="preserve"> </v>
      </c>
      <c r="N738" s="28" t="str">
        <f>IF(C738=""," ",[1]!s_yq_pctchange($C738,$N$1))</f>
        <v xml:space="preserve"> </v>
      </c>
      <c r="O738" s="11"/>
      <c r="P738" s="7"/>
    </row>
    <row r="739" spans="1:16" x14ac:dyDescent="0.35">
      <c r="A739" s="7"/>
      <c r="C739" s="30" t="str">
        <f>IF(指数列表!B736="","",指数列表!B736)</f>
        <v/>
      </c>
      <c r="D739" s="35" t="str">
        <f>IF(C739="","",[1]!s_info_name(C739))</f>
        <v/>
      </c>
      <c r="E739" s="24" t="str">
        <f>IF(C739="","",[1]!s_dq_close(C739,$N$1))</f>
        <v/>
      </c>
      <c r="F739" s="28" t="str">
        <f>IF($C739=""," ",[1]!i_pq_pctchange($C739,F$6,$N$1))</f>
        <v xml:space="preserve"> </v>
      </c>
      <c r="G739" s="28" t="str">
        <f>IF($C739=""," ",[1]!i_pq_pctchange($C739,G$6,$N$1))</f>
        <v xml:space="preserve"> </v>
      </c>
      <c r="H739" s="28" t="str">
        <f>IF($C739=""," ",[1]!i_pq_pctchange($C739,H$6,$N$1))</f>
        <v xml:space="preserve"> </v>
      </c>
      <c r="I739" s="28" t="str">
        <f>IF($C739=""," ",[1]!i_pq_pctchange($C739,I$6,$N$1))</f>
        <v xml:space="preserve"> </v>
      </c>
      <c r="J739" s="28" t="str">
        <f>IF($C739=""," ",[1]!i_pq_pctchange($C739,J$6,$N$1))</f>
        <v xml:space="preserve"> </v>
      </c>
      <c r="K739" s="28" t="str">
        <f>IF($C739=""," ",[1]!i_pq_pctchange($C739,K$6,$N$1))</f>
        <v xml:space="preserve"> </v>
      </c>
      <c r="L739" s="28" t="str">
        <f>IF(C739=""," ",[1]!s_wq_pctchange($C739,$N$1))</f>
        <v xml:space="preserve"> </v>
      </c>
      <c r="M739" s="28" t="str">
        <f>IF(C739=""," ",[1]!s_mq_pctchange($C739,$N$1))</f>
        <v xml:space="preserve"> </v>
      </c>
      <c r="N739" s="28" t="str">
        <f>IF(C739=""," ",[1]!s_yq_pctchange($C739,$N$1))</f>
        <v xml:space="preserve"> </v>
      </c>
      <c r="O739" s="11"/>
      <c r="P739" s="7"/>
    </row>
    <row r="740" spans="1:16" x14ac:dyDescent="0.35">
      <c r="A740" s="7"/>
      <c r="C740" s="31" t="str">
        <f>IF(指数列表!B737="","",指数列表!B737)</f>
        <v/>
      </c>
      <c r="D740" s="36" t="str">
        <f>IF(C740="","",[1]!s_info_name(C740))</f>
        <v/>
      </c>
      <c r="E740" s="25" t="str">
        <f>IF(C740="","",[1]!s_dq_close(C740,$N$1))</f>
        <v/>
      </c>
      <c r="F740" s="28" t="str">
        <f>IF($C740=""," ",[1]!i_pq_pctchange($C740,F$6,$N$1))</f>
        <v xml:space="preserve"> </v>
      </c>
      <c r="G740" s="28" t="str">
        <f>IF($C740=""," ",[1]!i_pq_pctchange($C740,G$6,$N$1))</f>
        <v xml:space="preserve"> </v>
      </c>
      <c r="H740" s="28" t="str">
        <f>IF($C740=""," ",[1]!i_pq_pctchange($C740,H$6,$N$1))</f>
        <v xml:space="preserve"> </v>
      </c>
      <c r="I740" s="28" t="str">
        <f>IF($C740=""," ",[1]!i_pq_pctchange($C740,I$6,$N$1))</f>
        <v xml:space="preserve"> </v>
      </c>
      <c r="J740" s="28" t="str">
        <f>IF($C740=""," ",[1]!i_pq_pctchange($C740,J$6,$N$1))</f>
        <v xml:space="preserve"> </v>
      </c>
      <c r="K740" s="28" t="str">
        <f>IF($C740=""," ",[1]!i_pq_pctchange($C740,K$6,$N$1))</f>
        <v xml:space="preserve"> </v>
      </c>
      <c r="L740" s="28" t="str">
        <f>IF(C740=""," ",[1]!s_wq_pctchange($C740,$N$1))</f>
        <v xml:space="preserve"> </v>
      </c>
      <c r="M740" s="28" t="str">
        <f>IF(C740=""," ",[1]!s_mq_pctchange($C740,$N$1))</f>
        <v xml:space="preserve"> </v>
      </c>
      <c r="N740" s="28" t="str">
        <f>IF(C740=""," ",[1]!s_yq_pctchange($C740,$N$1))</f>
        <v xml:space="preserve"> </v>
      </c>
      <c r="O740" s="11"/>
      <c r="P740" s="7"/>
    </row>
    <row r="741" spans="1:16" x14ac:dyDescent="0.35">
      <c r="A741" s="7"/>
      <c r="C741" s="30" t="str">
        <f>IF(指数列表!B738="","",指数列表!B738)</f>
        <v/>
      </c>
      <c r="D741" s="35" t="str">
        <f>IF(C741="","",[1]!s_info_name(C741))</f>
        <v/>
      </c>
      <c r="E741" s="24" t="str">
        <f>IF(C741="","",[1]!s_dq_close(C741,$N$1))</f>
        <v/>
      </c>
      <c r="F741" s="28" t="str">
        <f>IF($C741=""," ",[1]!i_pq_pctchange($C741,F$6,$N$1))</f>
        <v xml:space="preserve"> </v>
      </c>
      <c r="G741" s="28" t="str">
        <f>IF($C741=""," ",[1]!i_pq_pctchange($C741,G$6,$N$1))</f>
        <v xml:space="preserve"> </v>
      </c>
      <c r="H741" s="28" t="str">
        <f>IF($C741=""," ",[1]!i_pq_pctchange($C741,H$6,$N$1))</f>
        <v xml:space="preserve"> </v>
      </c>
      <c r="I741" s="28" t="str">
        <f>IF($C741=""," ",[1]!i_pq_pctchange($C741,I$6,$N$1))</f>
        <v xml:space="preserve"> </v>
      </c>
      <c r="J741" s="28" t="str">
        <f>IF($C741=""," ",[1]!i_pq_pctchange($C741,J$6,$N$1))</f>
        <v xml:space="preserve"> </v>
      </c>
      <c r="K741" s="28" t="str">
        <f>IF($C741=""," ",[1]!i_pq_pctchange($C741,K$6,$N$1))</f>
        <v xml:space="preserve"> </v>
      </c>
      <c r="L741" s="28" t="str">
        <f>IF(C741=""," ",[1]!s_wq_pctchange($C741,$N$1))</f>
        <v xml:space="preserve"> </v>
      </c>
      <c r="M741" s="28" t="str">
        <f>IF(C741=""," ",[1]!s_mq_pctchange($C741,$N$1))</f>
        <v xml:space="preserve"> </v>
      </c>
      <c r="N741" s="28" t="str">
        <f>IF(C741=""," ",[1]!s_yq_pctchange($C741,$N$1))</f>
        <v xml:space="preserve"> </v>
      </c>
      <c r="O741" s="11"/>
      <c r="P741" s="7"/>
    </row>
    <row r="742" spans="1:16" x14ac:dyDescent="0.35">
      <c r="A742" s="7"/>
      <c r="C742" s="31" t="str">
        <f>IF(指数列表!B739="","",指数列表!B739)</f>
        <v/>
      </c>
      <c r="D742" s="36" t="str">
        <f>IF(C742="","",[1]!s_info_name(C742))</f>
        <v/>
      </c>
      <c r="E742" s="25" t="str">
        <f>IF(C742="","",[1]!s_dq_close(C742,$N$1))</f>
        <v/>
      </c>
      <c r="F742" s="28" t="str">
        <f>IF($C742=""," ",[1]!i_pq_pctchange($C742,F$6,$N$1))</f>
        <v xml:space="preserve"> </v>
      </c>
      <c r="G742" s="28" t="str">
        <f>IF($C742=""," ",[1]!i_pq_pctchange($C742,G$6,$N$1))</f>
        <v xml:space="preserve"> </v>
      </c>
      <c r="H742" s="28" t="str">
        <f>IF($C742=""," ",[1]!i_pq_pctchange($C742,H$6,$N$1))</f>
        <v xml:space="preserve"> </v>
      </c>
      <c r="I742" s="28" t="str">
        <f>IF($C742=""," ",[1]!i_pq_pctchange($C742,I$6,$N$1))</f>
        <v xml:space="preserve"> </v>
      </c>
      <c r="J742" s="28" t="str">
        <f>IF($C742=""," ",[1]!i_pq_pctchange($C742,J$6,$N$1))</f>
        <v xml:space="preserve"> </v>
      </c>
      <c r="K742" s="28" t="str">
        <f>IF($C742=""," ",[1]!i_pq_pctchange($C742,K$6,$N$1))</f>
        <v xml:space="preserve"> </v>
      </c>
      <c r="L742" s="28" t="str">
        <f>IF(C742=""," ",[1]!s_wq_pctchange($C742,$N$1))</f>
        <v xml:space="preserve"> </v>
      </c>
      <c r="M742" s="28" t="str">
        <f>IF(C742=""," ",[1]!s_mq_pctchange($C742,$N$1))</f>
        <v xml:space="preserve"> </v>
      </c>
      <c r="N742" s="28" t="str">
        <f>IF(C742=""," ",[1]!s_yq_pctchange($C742,$N$1))</f>
        <v xml:space="preserve"> </v>
      </c>
      <c r="O742" s="11"/>
      <c r="P742" s="7"/>
    </row>
    <row r="743" spans="1:16" x14ac:dyDescent="0.35">
      <c r="A743" s="7"/>
      <c r="C743" s="30" t="str">
        <f>IF(指数列表!B740="","",指数列表!B740)</f>
        <v/>
      </c>
      <c r="D743" s="35" t="str">
        <f>IF(C743="","",[1]!s_info_name(C743))</f>
        <v/>
      </c>
      <c r="E743" s="24" t="str">
        <f>IF(C743="","",[1]!s_dq_close(C743,$N$1))</f>
        <v/>
      </c>
      <c r="F743" s="28" t="str">
        <f>IF($C743=""," ",[1]!i_pq_pctchange($C743,F$6,$N$1))</f>
        <v xml:space="preserve"> </v>
      </c>
      <c r="G743" s="28" t="str">
        <f>IF($C743=""," ",[1]!i_pq_pctchange($C743,G$6,$N$1))</f>
        <v xml:space="preserve"> </v>
      </c>
      <c r="H743" s="28" t="str">
        <f>IF($C743=""," ",[1]!i_pq_pctchange($C743,H$6,$N$1))</f>
        <v xml:space="preserve"> </v>
      </c>
      <c r="I743" s="28" t="str">
        <f>IF($C743=""," ",[1]!i_pq_pctchange($C743,I$6,$N$1))</f>
        <v xml:space="preserve"> </v>
      </c>
      <c r="J743" s="28" t="str">
        <f>IF($C743=""," ",[1]!i_pq_pctchange($C743,J$6,$N$1))</f>
        <v xml:space="preserve"> </v>
      </c>
      <c r="K743" s="28" t="str">
        <f>IF($C743=""," ",[1]!i_pq_pctchange($C743,K$6,$N$1))</f>
        <v xml:space="preserve"> </v>
      </c>
      <c r="L743" s="28" t="str">
        <f>IF(C743=""," ",[1]!s_wq_pctchange($C743,$N$1))</f>
        <v xml:space="preserve"> </v>
      </c>
      <c r="M743" s="28" t="str">
        <f>IF(C743=""," ",[1]!s_mq_pctchange($C743,$N$1))</f>
        <v xml:space="preserve"> </v>
      </c>
      <c r="N743" s="28" t="str">
        <f>IF(C743=""," ",[1]!s_yq_pctchange($C743,$N$1))</f>
        <v xml:space="preserve"> </v>
      </c>
      <c r="O743" s="11"/>
      <c r="P743" s="7"/>
    </row>
    <row r="744" spans="1:16" x14ac:dyDescent="0.35">
      <c r="A744" s="7"/>
      <c r="C744" s="31" t="str">
        <f>IF(指数列表!B741="","",指数列表!B741)</f>
        <v/>
      </c>
      <c r="D744" s="36" t="str">
        <f>IF(C744="","",[1]!s_info_name(C744))</f>
        <v/>
      </c>
      <c r="E744" s="25" t="str">
        <f>IF(C744="","",[1]!s_dq_close(C744,$N$1))</f>
        <v/>
      </c>
      <c r="F744" s="28" t="str">
        <f>IF($C744=""," ",[1]!i_pq_pctchange($C744,F$6,$N$1))</f>
        <v xml:space="preserve"> </v>
      </c>
      <c r="G744" s="28" t="str">
        <f>IF($C744=""," ",[1]!i_pq_pctchange($C744,G$6,$N$1))</f>
        <v xml:space="preserve"> </v>
      </c>
      <c r="H744" s="28" t="str">
        <f>IF($C744=""," ",[1]!i_pq_pctchange($C744,H$6,$N$1))</f>
        <v xml:space="preserve"> </v>
      </c>
      <c r="I744" s="28" t="str">
        <f>IF($C744=""," ",[1]!i_pq_pctchange($C744,I$6,$N$1))</f>
        <v xml:space="preserve"> </v>
      </c>
      <c r="J744" s="28" t="str">
        <f>IF($C744=""," ",[1]!i_pq_pctchange($C744,J$6,$N$1))</f>
        <v xml:space="preserve"> </v>
      </c>
      <c r="K744" s="28" t="str">
        <f>IF($C744=""," ",[1]!i_pq_pctchange($C744,K$6,$N$1))</f>
        <v xml:space="preserve"> </v>
      </c>
      <c r="L744" s="28" t="str">
        <f>IF(C744=""," ",[1]!s_wq_pctchange($C744,$N$1))</f>
        <v xml:space="preserve"> </v>
      </c>
      <c r="M744" s="28" t="str">
        <f>IF(C744=""," ",[1]!s_mq_pctchange($C744,$N$1))</f>
        <v xml:space="preserve"> </v>
      </c>
      <c r="N744" s="28" t="str">
        <f>IF(C744=""," ",[1]!s_yq_pctchange($C744,$N$1))</f>
        <v xml:space="preserve"> </v>
      </c>
      <c r="O744" s="11"/>
      <c r="P744" s="7"/>
    </row>
    <row r="745" spans="1:16" x14ac:dyDescent="0.35">
      <c r="A745" s="7"/>
      <c r="C745" s="30" t="str">
        <f>IF(指数列表!B742="","",指数列表!B742)</f>
        <v/>
      </c>
      <c r="D745" s="35" t="str">
        <f>IF(C745="","",[1]!s_info_name(C745))</f>
        <v/>
      </c>
      <c r="E745" s="24" t="str">
        <f>IF(C745="","",[1]!s_dq_close(C745,$N$1))</f>
        <v/>
      </c>
      <c r="F745" s="28" t="str">
        <f>IF($C745=""," ",[1]!i_pq_pctchange($C745,F$6,$N$1))</f>
        <v xml:space="preserve"> </v>
      </c>
      <c r="G745" s="28" t="str">
        <f>IF($C745=""," ",[1]!i_pq_pctchange($C745,G$6,$N$1))</f>
        <v xml:space="preserve"> </v>
      </c>
      <c r="H745" s="28" t="str">
        <f>IF($C745=""," ",[1]!i_pq_pctchange($C745,H$6,$N$1))</f>
        <v xml:space="preserve"> </v>
      </c>
      <c r="I745" s="28" t="str">
        <f>IF($C745=""," ",[1]!i_pq_pctchange($C745,I$6,$N$1))</f>
        <v xml:space="preserve"> </v>
      </c>
      <c r="J745" s="28" t="str">
        <f>IF($C745=""," ",[1]!i_pq_pctchange($C745,J$6,$N$1))</f>
        <v xml:space="preserve"> </v>
      </c>
      <c r="K745" s="28" t="str">
        <f>IF($C745=""," ",[1]!i_pq_pctchange($C745,K$6,$N$1))</f>
        <v xml:space="preserve"> </v>
      </c>
      <c r="L745" s="28" t="str">
        <f>IF(C745=""," ",[1]!s_wq_pctchange($C745,$N$1))</f>
        <v xml:space="preserve"> </v>
      </c>
      <c r="M745" s="28" t="str">
        <f>IF(C745=""," ",[1]!s_mq_pctchange($C745,$N$1))</f>
        <v xml:space="preserve"> </v>
      </c>
      <c r="N745" s="28" t="str">
        <f>IF(C745=""," ",[1]!s_yq_pctchange($C745,$N$1))</f>
        <v xml:space="preserve"> </v>
      </c>
      <c r="O745" s="11"/>
      <c r="P745" s="7"/>
    </row>
    <row r="746" spans="1:16" x14ac:dyDescent="0.35">
      <c r="A746" s="7"/>
      <c r="C746" s="31" t="str">
        <f>IF(指数列表!B743="","",指数列表!B743)</f>
        <v/>
      </c>
      <c r="D746" s="36" t="str">
        <f>IF(C746="","",[1]!s_info_name(C746))</f>
        <v/>
      </c>
      <c r="E746" s="25" t="str">
        <f>IF(C746="","",[1]!s_dq_close(C746,$N$1))</f>
        <v/>
      </c>
      <c r="F746" s="28" t="str">
        <f>IF($C746=""," ",[1]!i_pq_pctchange($C746,F$6,$N$1))</f>
        <v xml:space="preserve"> </v>
      </c>
      <c r="G746" s="28" t="str">
        <f>IF($C746=""," ",[1]!i_pq_pctchange($C746,G$6,$N$1))</f>
        <v xml:space="preserve"> </v>
      </c>
      <c r="H746" s="28" t="str">
        <f>IF($C746=""," ",[1]!i_pq_pctchange($C746,H$6,$N$1))</f>
        <v xml:space="preserve"> </v>
      </c>
      <c r="I746" s="28" t="str">
        <f>IF($C746=""," ",[1]!i_pq_pctchange($C746,I$6,$N$1))</f>
        <v xml:space="preserve"> </v>
      </c>
      <c r="J746" s="28" t="str">
        <f>IF($C746=""," ",[1]!i_pq_pctchange($C746,J$6,$N$1))</f>
        <v xml:space="preserve"> </v>
      </c>
      <c r="K746" s="28" t="str">
        <f>IF($C746=""," ",[1]!i_pq_pctchange($C746,K$6,$N$1))</f>
        <v xml:space="preserve"> </v>
      </c>
      <c r="L746" s="28" t="str">
        <f>IF(C746=""," ",[1]!s_wq_pctchange($C746,$N$1))</f>
        <v xml:space="preserve"> </v>
      </c>
      <c r="M746" s="28" t="str">
        <f>IF(C746=""," ",[1]!s_mq_pctchange($C746,$N$1))</f>
        <v xml:space="preserve"> </v>
      </c>
      <c r="N746" s="28" t="str">
        <f>IF(C746=""," ",[1]!s_yq_pctchange($C746,$N$1))</f>
        <v xml:space="preserve"> </v>
      </c>
      <c r="O746" s="11"/>
      <c r="P746" s="7"/>
    </row>
    <row r="747" spans="1:16" x14ac:dyDescent="0.35">
      <c r="A747" s="7"/>
      <c r="C747" s="30" t="str">
        <f>IF(指数列表!B744="","",指数列表!B744)</f>
        <v/>
      </c>
      <c r="D747" s="35" t="str">
        <f>IF(C747="","",[1]!s_info_name(C747))</f>
        <v/>
      </c>
      <c r="E747" s="24" t="str">
        <f>IF(C747="","",[1]!s_dq_close(C747,$N$1))</f>
        <v/>
      </c>
      <c r="F747" s="28" t="str">
        <f>IF($C747=""," ",[1]!i_pq_pctchange($C747,F$6,$N$1))</f>
        <v xml:space="preserve"> </v>
      </c>
      <c r="G747" s="28" t="str">
        <f>IF($C747=""," ",[1]!i_pq_pctchange($C747,G$6,$N$1))</f>
        <v xml:space="preserve"> </v>
      </c>
      <c r="H747" s="28" t="str">
        <f>IF($C747=""," ",[1]!i_pq_pctchange($C747,H$6,$N$1))</f>
        <v xml:space="preserve"> </v>
      </c>
      <c r="I747" s="28" t="str">
        <f>IF($C747=""," ",[1]!i_pq_pctchange($C747,I$6,$N$1))</f>
        <v xml:space="preserve"> </v>
      </c>
      <c r="J747" s="28" t="str">
        <f>IF($C747=""," ",[1]!i_pq_pctchange($C747,J$6,$N$1))</f>
        <v xml:space="preserve"> </v>
      </c>
      <c r="K747" s="28" t="str">
        <f>IF($C747=""," ",[1]!i_pq_pctchange($C747,K$6,$N$1))</f>
        <v xml:space="preserve"> </v>
      </c>
      <c r="L747" s="28" t="str">
        <f>IF(C747=""," ",[1]!s_wq_pctchange($C747,$N$1))</f>
        <v xml:space="preserve"> </v>
      </c>
      <c r="M747" s="28" t="str">
        <f>IF(C747=""," ",[1]!s_mq_pctchange($C747,$N$1))</f>
        <v xml:space="preserve"> </v>
      </c>
      <c r="N747" s="28" t="str">
        <f>IF(C747=""," ",[1]!s_yq_pctchange($C747,$N$1))</f>
        <v xml:space="preserve"> </v>
      </c>
      <c r="O747" s="11"/>
      <c r="P747" s="7"/>
    </row>
    <row r="748" spans="1:16" x14ac:dyDescent="0.35">
      <c r="A748" s="7"/>
      <c r="C748" s="31" t="str">
        <f>IF(指数列表!B745="","",指数列表!B745)</f>
        <v/>
      </c>
      <c r="D748" s="36" t="str">
        <f>IF(C748="","",[1]!s_info_name(C748))</f>
        <v/>
      </c>
      <c r="E748" s="25" t="str">
        <f>IF(C748="","",[1]!s_dq_close(C748,$N$1))</f>
        <v/>
      </c>
      <c r="F748" s="28" t="str">
        <f>IF($C748=""," ",[1]!i_pq_pctchange($C748,F$6,$N$1))</f>
        <v xml:space="preserve"> </v>
      </c>
      <c r="G748" s="28" t="str">
        <f>IF($C748=""," ",[1]!i_pq_pctchange($C748,G$6,$N$1))</f>
        <v xml:space="preserve"> </v>
      </c>
      <c r="H748" s="28" t="str">
        <f>IF($C748=""," ",[1]!i_pq_pctchange($C748,H$6,$N$1))</f>
        <v xml:space="preserve"> </v>
      </c>
      <c r="I748" s="28" t="str">
        <f>IF($C748=""," ",[1]!i_pq_pctchange($C748,I$6,$N$1))</f>
        <v xml:space="preserve"> </v>
      </c>
      <c r="J748" s="28" t="str">
        <f>IF($C748=""," ",[1]!i_pq_pctchange($C748,J$6,$N$1))</f>
        <v xml:space="preserve"> </v>
      </c>
      <c r="K748" s="28" t="str">
        <f>IF($C748=""," ",[1]!i_pq_pctchange($C748,K$6,$N$1))</f>
        <v xml:space="preserve"> </v>
      </c>
      <c r="L748" s="28" t="str">
        <f>IF(C748=""," ",[1]!s_wq_pctchange($C748,$N$1))</f>
        <v xml:space="preserve"> </v>
      </c>
      <c r="M748" s="28" t="str">
        <f>IF(C748=""," ",[1]!s_mq_pctchange($C748,$N$1))</f>
        <v xml:space="preserve"> </v>
      </c>
      <c r="N748" s="28" t="str">
        <f>IF(C748=""," ",[1]!s_yq_pctchange($C748,$N$1))</f>
        <v xml:space="preserve"> </v>
      </c>
      <c r="O748" s="11"/>
      <c r="P748" s="7"/>
    </row>
    <row r="749" spans="1:16" x14ac:dyDescent="0.35">
      <c r="A749" s="7"/>
      <c r="C749" s="30" t="str">
        <f>IF(指数列表!B746="","",指数列表!B746)</f>
        <v/>
      </c>
      <c r="D749" s="35" t="str">
        <f>IF(C749="","",[1]!s_info_name(C749))</f>
        <v/>
      </c>
      <c r="E749" s="24" t="str">
        <f>IF(C749="","",[1]!s_dq_close(C749,$N$1))</f>
        <v/>
      </c>
      <c r="F749" s="28" t="str">
        <f>IF($C749=""," ",[1]!i_pq_pctchange($C749,F$6,$N$1))</f>
        <v xml:space="preserve"> </v>
      </c>
      <c r="G749" s="28" t="str">
        <f>IF($C749=""," ",[1]!i_pq_pctchange($C749,G$6,$N$1))</f>
        <v xml:space="preserve"> </v>
      </c>
      <c r="H749" s="28" t="str">
        <f>IF($C749=""," ",[1]!i_pq_pctchange($C749,H$6,$N$1))</f>
        <v xml:space="preserve"> </v>
      </c>
      <c r="I749" s="28" t="str">
        <f>IF($C749=""," ",[1]!i_pq_pctchange($C749,I$6,$N$1))</f>
        <v xml:space="preserve"> </v>
      </c>
      <c r="J749" s="28" t="str">
        <f>IF($C749=""," ",[1]!i_pq_pctchange($C749,J$6,$N$1))</f>
        <v xml:space="preserve"> </v>
      </c>
      <c r="K749" s="28" t="str">
        <f>IF($C749=""," ",[1]!i_pq_pctchange($C749,K$6,$N$1))</f>
        <v xml:space="preserve"> </v>
      </c>
      <c r="L749" s="28" t="str">
        <f>IF(C749=""," ",[1]!s_wq_pctchange($C749,$N$1))</f>
        <v xml:space="preserve"> </v>
      </c>
      <c r="M749" s="28" t="str">
        <f>IF(C749=""," ",[1]!s_mq_pctchange($C749,$N$1))</f>
        <v xml:space="preserve"> </v>
      </c>
      <c r="N749" s="28" t="str">
        <f>IF(C749=""," ",[1]!s_yq_pctchange($C749,$N$1))</f>
        <v xml:space="preserve"> </v>
      </c>
      <c r="O749" s="11"/>
      <c r="P749" s="7"/>
    </row>
    <row r="750" spans="1:16" x14ac:dyDescent="0.35">
      <c r="A750" s="7"/>
      <c r="C750" s="31" t="str">
        <f>IF(指数列表!B747="","",指数列表!B747)</f>
        <v/>
      </c>
      <c r="D750" s="36" t="str">
        <f>IF(C750="","",[1]!s_info_name(C750))</f>
        <v/>
      </c>
      <c r="E750" s="25" t="str">
        <f>IF(C750="","",[1]!s_dq_close(C750,$N$1))</f>
        <v/>
      </c>
      <c r="F750" s="28" t="str">
        <f>IF($C750=""," ",[1]!i_pq_pctchange($C750,F$6,$N$1))</f>
        <v xml:space="preserve"> </v>
      </c>
      <c r="G750" s="28" t="str">
        <f>IF($C750=""," ",[1]!i_pq_pctchange($C750,G$6,$N$1))</f>
        <v xml:space="preserve"> </v>
      </c>
      <c r="H750" s="28" t="str">
        <f>IF($C750=""," ",[1]!i_pq_pctchange($C750,H$6,$N$1))</f>
        <v xml:space="preserve"> </v>
      </c>
      <c r="I750" s="28" t="str">
        <f>IF($C750=""," ",[1]!i_pq_pctchange($C750,I$6,$N$1))</f>
        <v xml:space="preserve"> </v>
      </c>
      <c r="J750" s="28" t="str">
        <f>IF($C750=""," ",[1]!i_pq_pctchange($C750,J$6,$N$1))</f>
        <v xml:space="preserve"> </v>
      </c>
      <c r="K750" s="28" t="str">
        <f>IF($C750=""," ",[1]!i_pq_pctchange($C750,K$6,$N$1))</f>
        <v xml:space="preserve"> </v>
      </c>
      <c r="L750" s="28" t="str">
        <f>IF(C750=""," ",[1]!s_wq_pctchange($C750,$N$1))</f>
        <v xml:space="preserve"> </v>
      </c>
      <c r="M750" s="28" t="str">
        <f>IF(C750=""," ",[1]!s_mq_pctchange($C750,$N$1))</f>
        <v xml:space="preserve"> </v>
      </c>
      <c r="N750" s="28" t="str">
        <f>IF(C750=""," ",[1]!s_yq_pctchange($C750,$N$1))</f>
        <v xml:space="preserve"> </v>
      </c>
      <c r="O750" s="11"/>
      <c r="P750" s="7"/>
    </row>
    <row r="751" spans="1:16" x14ac:dyDescent="0.35">
      <c r="A751" s="7"/>
      <c r="C751" s="30" t="str">
        <f>IF(指数列表!B748="","",指数列表!B748)</f>
        <v/>
      </c>
      <c r="D751" s="35" t="str">
        <f>IF(C751="","",[1]!s_info_name(C751))</f>
        <v/>
      </c>
      <c r="E751" s="24" t="str">
        <f>IF(C751="","",[1]!s_dq_close(C751,$N$1))</f>
        <v/>
      </c>
      <c r="F751" s="28" t="str">
        <f>IF($C751=""," ",[1]!i_pq_pctchange($C751,F$6,$N$1))</f>
        <v xml:space="preserve"> </v>
      </c>
      <c r="G751" s="28" t="str">
        <f>IF($C751=""," ",[1]!i_pq_pctchange($C751,G$6,$N$1))</f>
        <v xml:space="preserve"> </v>
      </c>
      <c r="H751" s="28" t="str">
        <f>IF($C751=""," ",[1]!i_pq_pctchange($C751,H$6,$N$1))</f>
        <v xml:space="preserve"> </v>
      </c>
      <c r="I751" s="28" t="str">
        <f>IF($C751=""," ",[1]!i_pq_pctchange($C751,I$6,$N$1))</f>
        <v xml:space="preserve"> </v>
      </c>
      <c r="J751" s="28" t="str">
        <f>IF($C751=""," ",[1]!i_pq_pctchange($C751,J$6,$N$1))</f>
        <v xml:space="preserve"> </v>
      </c>
      <c r="K751" s="28" t="str">
        <f>IF($C751=""," ",[1]!i_pq_pctchange($C751,K$6,$N$1))</f>
        <v xml:space="preserve"> </v>
      </c>
      <c r="L751" s="28" t="str">
        <f>IF(C751=""," ",[1]!s_wq_pctchange($C751,$N$1))</f>
        <v xml:space="preserve"> </v>
      </c>
      <c r="M751" s="28" t="str">
        <f>IF(C751=""," ",[1]!s_mq_pctchange($C751,$N$1))</f>
        <v xml:space="preserve"> </v>
      </c>
      <c r="N751" s="28" t="str">
        <f>IF(C751=""," ",[1]!s_yq_pctchange($C751,$N$1))</f>
        <v xml:space="preserve"> </v>
      </c>
      <c r="O751" s="11"/>
      <c r="P751" s="7"/>
    </row>
    <row r="752" spans="1:16" x14ac:dyDescent="0.35">
      <c r="A752" s="7"/>
      <c r="C752" s="31" t="str">
        <f>IF(指数列表!B749="","",指数列表!B749)</f>
        <v/>
      </c>
      <c r="D752" s="36" t="str">
        <f>IF(C752="","",[1]!s_info_name(C752))</f>
        <v/>
      </c>
      <c r="E752" s="25" t="str">
        <f>IF(C752="","",[1]!s_dq_close(C752,$N$1))</f>
        <v/>
      </c>
      <c r="F752" s="28" t="str">
        <f>IF($C752=""," ",[1]!i_pq_pctchange($C752,F$6,$N$1))</f>
        <v xml:space="preserve"> </v>
      </c>
      <c r="G752" s="28" t="str">
        <f>IF($C752=""," ",[1]!i_pq_pctchange($C752,G$6,$N$1))</f>
        <v xml:space="preserve"> </v>
      </c>
      <c r="H752" s="28" t="str">
        <f>IF($C752=""," ",[1]!i_pq_pctchange($C752,H$6,$N$1))</f>
        <v xml:space="preserve"> </v>
      </c>
      <c r="I752" s="28" t="str">
        <f>IF($C752=""," ",[1]!i_pq_pctchange($C752,I$6,$N$1))</f>
        <v xml:space="preserve"> </v>
      </c>
      <c r="J752" s="28" t="str">
        <f>IF($C752=""," ",[1]!i_pq_pctchange($C752,J$6,$N$1))</f>
        <v xml:space="preserve"> </v>
      </c>
      <c r="K752" s="28" t="str">
        <f>IF($C752=""," ",[1]!i_pq_pctchange($C752,K$6,$N$1))</f>
        <v xml:space="preserve"> </v>
      </c>
      <c r="L752" s="28" t="str">
        <f>IF(C752=""," ",[1]!s_wq_pctchange($C752,$N$1))</f>
        <v xml:space="preserve"> </v>
      </c>
      <c r="M752" s="28" t="str">
        <f>IF(C752=""," ",[1]!s_mq_pctchange($C752,$N$1))</f>
        <v xml:space="preserve"> </v>
      </c>
      <c r="N752" s="28" t="str">
        <f>IF(C752=""," ",[1]!s_yq_pctchange($C752,$N$1))</f>
        <v xml:space="preserve"> </v>
      </c>
      <c r="O752" s="11"/>
      <c r="P752" s="7"/>
    </row>
    <row r="753" spans="1:16" x14ac:dyDescent="0.35">
      <c r="A753" s="7"/>
      <c r="C753" s="30" t="str">
        <f>IF(指数列表!B750="","",指数列表!B750)</f>
        <v/>
      </c>
      <c r="D753" s="35" t="str">
        <f>IF(C753="","",[1]!s_info_name(C753))</f>
        <v/>
      </c>
      <c r="E753" s="24" t="str">
        <f>IF(C753="","",[1]!s_dq_close(C753,$N$1))</f>
        <v/>
      </c>
      <c r="F753" s="28" t="str">
        <f>IF($C753=""," ",[1]!i_pq_pctchange($C753,F$6,$N$1))</f>
        <v xml:space="preserve"> </v>
      </c>
      <c r="G753" s="28" t="str">
        <f>IF($C753=""," ",[1]!i_pq_pctchange($C753,G$6,$N$1))</f>
        <v xml:space="preserve"> </v>
      </c>
      <c r="H753" s="28" t="str">
        <f>IF($C753=""," ",[1]!i_pq_pctchange($C753,H$6,$N$1))</f>
        <v xml:space="preserve"> </v>
      </c>
      <c r="I753" s="28" t="str">
        <f>IF($C753=""," ",[1]!i_pq_pctchange($C753,I$6,$N$1))</f>
        <v xml:space="preserve"> </v>
      </c>
      <c r="J753" s="28" t="str">
        <f>IF($C753=""," ",[1]!i_pq_pctchange($C753,J$6,$N$1))</f>
        <v xml:space="preserve"> </v>
      </c>
      <c r="K753" s="28" t="str">
        <f>IF($C753=""," ",[1]!i_pq_pctchange($C753,K$6,$N$1))</f>
        <v xml:space="preserve"> </v>
      </c>
      <c r="L753" s="28" t="str">
        <f>IF(C753=""," ",[1]!s_wq_pctchange($C753,$N$1))</f>
        <v xml:space="preserve"> </v>
      </c>
      <c r="M753" s="28" t="str">
        <f>IF(C753=""," ",[1]!s_mq_pctchange($C753,$N$1))</f>
        <v xml:space="preserve"> </v>
      </c>
      <c r="N753" s="28" t="str">
        <f>IF(C753=""," ",[1]!s_yq_pctchange($C753,$N$1))</f>
        <v xml:space="preserve"> </v>
      </c>
      <c r="O753" s="11"/>
      <c r="P753" s="7"/>
    </row>
    <row r="754" spans="1:16" x14ac:dyDescent="0.35">
      <c r="A754" s="7"/>
      <c r="C754" s="31" t="str">
        <f>IF(指数列表!B751="","",指数列表!B751)</f>
        <v/>
      </c>
      <c r="D754" s="36" t="str">
        <f>IF(C754="","",[1]!s_info_name(C754))</f>
        <v/>
      </c>
      <c r="E754" s="25" t="str">
        <f>IF(C754="","",[1]!s_dq_close(C754,$N$1))</f>
        <v/>
      </c>
      <c r="F754" s="28" t="str">
        <f>IF($C754=""," ",[1]!i_pq_pctchange($C754,F$6,$N$1))</f>
        <v xml:space="preserve"> </v>
      </c>
      <c r="G754" s="28" t="str">
        <f>IF($C754=""," ",[1]!i_pq_pctchange($C754,G$6,$N$1))</f>
        <v xml:space="preserve"> </v>
      </c>
      <c r="H754" s="28" t="str">
        <f>IF($C754=""," ",[1]!i_pq_pctchange($C754,H$6,$N$1))</f>
        <v xml:space="preserve"> </v>
      </c>
      <c r="I754" s="28" t="str">
        <f>IF($C754=""," ",[1]!i_pq_pctchange($C754,I$6,$N$1))</f>
        <v xml:space="preserve"> </v>
      </c>
      <c r="J754" s="28" t="str">
        <f>IF($C754=""," ",[1]!i_pq_pctchange($C754,J$6,$N$1))</f>
        <v xml:space="preserve"> </v>
      </c>
      <c r="K754" s="28" t="str">
        <f>IF($C754=""," ",[1]!i_pq_pctchange($C754,K$6,$N$1))</f>
        <v xml:space="preserve"> </v>
      </c>
      <c r="L754" s="28" t="str">
        <f>IF(C754=""," ",[1]!s_wq_pctchange($C754,$N$1))</f>
        <v xml:space="preserve"> </v>
      </c>
      <c r="M754" s="28" t="str">
        <f>IF(C754=""," ",[1]!s_mq_pctchange($C754,$N$1))</f>
        <v xml:space="preserve"> </v>
      </c>
      <c r="N754" s="28" t="str">
        <f>IF(C754=""," ",[1]!s_yq_pctchange($C754,$N$1))</f>
        <v xml:space="preserve"> </v>
      </c>
      <c r="O754" s="11"/>
      <c r="P754" s="7"/>
    </row>
    <row r="755" spans="1:16" x14ac:dyDescent="0.35">
      <c r="A755" s="7"/>
      <c r="C755" s="30" t="str">
        <f>IF(指数列表!B752="","",指数列表!B752)</f>
        <v/>
      </c>
      <c r="D755" s="35" t="str">
        <f>IF(C755="","",[1]!s_info_name(C755))</f>
        <v/>
      </c>
      <c r="E755" s="24" t="str">
        <f>IF(C755="","",[1]!s_dq_close(C755,$N$1))</f>
        <v/>
      </c>
      <c r="F755" s="28" t="str">
        <f>IF($C755=""," ",[1]!i_pq_pctchange($C755,F$6,$N$1))</f>
        <v xml:space="preserve"> </v>
      </c>
      <c r="G755" s="28" t="str">
        <f>IF($C755=""," ",[1]!i_pq_pctchange($C755,G$6,$N$1))</f>
        <v xml:space="preserve"> </v>
      </c>
      <c r="H755" s="28" t="str">
        <f>IF($C755=""," ",[1]!i_pq_pctchange($C755,H$6,$N$1))</f>
        <v xml:space="preserve"> </v>
      </c>
      <c r="I755" s="28" t="str">
        <f>IF($C755=""," ",[1]!i_pq_pctchange($C755,I$6,$N$1))</f>
        <v xml:space="preserve"> </v>
      </c>
      <c r="J755" s="28" t="str">
        <f>IF($C755=""," ",[1]!i_pq_pctchange($C755,J$6,$N$1))</f>
        <v xml:space="preserve"> </v>
      </c>
      <c r="K755" s="28" t="str">
        <f>IF($C755=""," ",[1]!i_pq_pctchange($C755,K$6,$N$1))</f>
        <v xml:space="preserve"> </v>
      </c>
      <c r="L755" s="28" t="str">
        <f>IF(C755=""," ",[1]!s_wq_pctchange($C755,$N$1))</f>
        <v xml:space="preserve"> </v>
      </c>
      <c r="M755" s="28" t="str">
        <f>IF(C755=""," ",[1]!s_mq_pctchange($C755,$N$1))</f>
        <v xml:space="preserve"> </v>
      </c>
      <c r="N755" s="28" t="str">
        <f>IF(C755=""," ",[1]!s_yq_pctchange($C755,$N$1))</f>
        <v xml:space="preserve"> </v>
      </c>
      <c r="O755" s="11"/>
      <c r="P755" s="7"/>
    </row>
    <row r="756" spans="1:16" x14ac:dyDescent="0.35">
      <c r="A756" s="7"/>
      <c r="C756" s="31" t="str">
        <f>IF(指数列表!B753="","",指数列表!B753)</f>
        <v/>
      </c>
      <c r="D756" s="36" t="str">
        <f>IF(C756="","",[1]!s_info_name(C756))</f>
        <v/>
      </c>
      <c r="E756" s="25" t="str">
        <f>IF(C756="","",[1]!s_dq_close(C756,$N$1))</f>
        <v/>
      </c>
      <c r="F756" s="28" t="str">
        <f>IF($C756=""," ",[1]!i_pq_pctchange($C756,F$6,$N$1))</f>
        <v xml:space="preserve"> </v>
      </c>
      <c r="G756" s="28" t="str">
        <f>IF($C756=""," ",[1]!i_pq_pctchange($C756,G$6,$N$1))</f>
        <v xml:space="preserve"> </v>
      </c>
      <c r="H756" s="28" t="str">
        <f>IF($C756=""," ",[1]!i_pq_pctchange($C756,H$6,$N$1))</f>
        <v xml:space="preserve"> </v>
      </c>
      <c r="I756" s="28" t="str">
        <f>IF($C756=""," ",[1]!i_pq_pctchange($C756,I$6,$N$1))</f>
        <v xml:space="preserve"> </v>
      </c>
      <c r="J756" s="28" t="str">
        <f>IF($C756=""," ",[1]!i_pq_pctchange($C756,J$6,$N$1))</f>
        <v xml:space="preserve"> </v>
      </c>
      <c r="K756" s="28" t="str">
        <f>IF($C756=""," ",[1]!i_pq_pctchange($C756,K$6,$N$1))</f>
        <v xml:space="preserve"> </v>
      </c>
      <c r="L756" s="28" t="str">
        <f>IF(C756=""," ",[1]!s_wq_pctchange($C756,$N$1))</f>
        <v xml:space="preserve"> </v>
      </c>
      <c r="M756" s="28" t="str">
        <f>IF(C756=""," ",[1]!s_mq_pctchange($C756,$N$1))</f>
        <v xml:space="preserve"> </v>
      </c>
      <c r="N756" s="28" t="str">
        <f>IF(C756=""," ",[1]!s_yq_pctchange($C756,$N$1))</f>
        <v xml:space="preserve"> </v>
      </c>
      <c r="O756" s="11"/>
      <c r="P756" s="7"/>
    </row>
    <row r="757" spans="1:16" x14ac:dyDescent="0.35">
      <c r="A757" s="7"/>
      <c r="C757" s="30" t="str">
        <f>IF(指数列表!B754="","",指数列表!B754)</f>
        <v/>
      </c>
      <c r="D757" s="35" t="str">
        <f>IF(C757="","",[1]!s_info_name(C757))</f>
        <v/>
      </c>
      <c r="E757" s="24" t="str">
        <f>IF(C757="","",[1]!s_dq_close(C757,$N$1))</f>
        <v/>
      </c>
      <c r="F757" s="28" t="str">
        <f>IF($C757=""," ",[1]!i_pq_pctchange($C757,F$6,$N$1))</f>
        <v xml:space="preserve"> </v>
      </c>
      <c r="G757" s="28" t="str">
        <f>IF($C757=""," ",[1]!i_pq_pctchange($C757,G$6,$N$1))</f>
        <v xml:space="preserve"> </v>
      </c>
      <c r="H757" s="28" t="str">
        <f>IF($C757=""," ",[1]!i_pq_pctchange($C757,H$6,$N$1))</f>
        <v xml:space="preserve"> </v>
      </c>
      <c r="I757" s="28" t="str">
        <f>IF($C757=""," ",[1]!i_pq_pctchange($C757,I$6,$N$1))</f>
        <v xml:space="preserve"> </v>
      </c>
      <c r="J757" s="28" t="str">
        <f>IF($C757=""," ",[1]!i_pq_pctchange($C757,J$6,$N$1))</f>
        <v xml:space="preserve"> </v>
      </c>
      <c r="K757" s="28" t="str">
        <f>IF($C757=""," ",[1]!i_pq_pctchange($C757,K$6,$N$1))</f>
        <v xml:space="preserve"> </v>
      </c>
      <c r="L757" s="28" t="str">
        <f>IF(C757=""," ",[1]!s_wq_pctchange($C757,$N$1))</f>
        <v xml:space="preserve"> </v>
      </c>
      <c r="M757" s="28" t="str">
        <f>IF(C757=""," ",[1]!s_mq_pctchange($C757,$N$1))</f>
        <v xml:space="preserve"> </v>
      </c>
      <c r="N757" s="28" t="str">
        <f>IF(C757=""," ",[1]!s_yq_pctchange($C757,$N$1))</f>
        <v xml:space="preserve"> </v>
      </c>
      <c r="O757" s="11"/>
      <c r="P757" s="7"/>
    </row>
    <row r="758" spans="1:16" x14ac:dyDescent="0.35">
      <c r="A758" s="7"/>
      <c r="C758" s="31" t="str">
        <f>IF(指数列表!B755="","",指数列表!B755)</f>
        <v/>
      </c>
      <c r="D758" s="36" t="str">
        <f>IF(C758="","",[1]!s_info_name(C758))</f>
        <v/>
      </c>
      <c r="E758" s="25" t="str">
        <f>IF(C758="","",[1]!s_dq_close(C758,$N$1))</f>
        <v/>
      </c>
      <c r="F758" s="28" t="str">
        <f>IF($C758=""," ",[1]!i_pq_pctchange($C758,F$6,$N$1))</f>
        <v xml:space="preserve"> </v>
      </c>
      <c r="G758" s="28" t="str">
        <f>IF($C758=""," ",[1]!i_pq_pctchange($C758,G$6,$N$1))</f>
        <v xml:space="preserve"> </v>
      </c>
      <c r="H758" s="28" t="str">
        <f>IF($C758=""," ",[1]!i_pq_pctchange($C758,H$6,$N$1))</f>
        <v xml:space="preserve"> </v>
      </c>
      <c r="I758" s="28" t="str">
        <f>IF($C758=""," ",[1]!i_pq_pctchange($C758,I$6,$N$1))</f>
        <v xml:space="preserve"> </v>
      </c>
      <c r="J758" s="28" t="str">
        <f>IF($C758=""," ",[1]!i_pq_pctchange($C758,J$6,$N$1))</f>
        <v xml:space="preserve"> </v>
      </c>
      <c r="K758" s="28" t="str">
        <f>IF($C758=""," ",[1]!i_pq_pctchange($C758,K$6,$N$1))</f>
        <v xml:space="preserve"> </v>
      </c>
      <c r="L758" s="28" t="str">
        <f>IF(C758=""," ",[1]!s_wq_pctchange($C758,$N$1))</f>
        <v xml:space="preserve"> </v>
      </c>
      <c r="M758" s="28" t="str">
        <f>IF(C758=""," ",[1]!s_mq_pctchange($C758,$N$1))</f>
        <v xml:space="preserve"> </v>
      </c>
      <c r="N758" s="28" t="str">
        <f>IF(C758=""," ",[1]!s_yq_pctchange($C758,$N$1))</f>
        <v xml:space="preserve"> </v>
      </c>
      <c r="O758" s="11"/>
      <c r="P758" s="7"/>
    </row>
    <row r="759" spans="1:16" x14ac:dyDescent="0.35">
      <c r="A759" s="7"/>
      <c r="C759" s="30" t="str">
        <f>IF(指数列表!B756="","",指数列表!B756)</f>
        <v/>
      </c>
      <c r="D759" s="35" t="str">
        <f>IF(C759="","",[1]!s_info_name(C759))</f>
        <v/>
      </c>
      <c r="E759" s="24" t="str">
        <f>IF(C759="","",[1]!s_dq_close(C759,$N$1))</f>
        <v/>
      </c>
      <c r="F759" s="28" t="str">
        <f>IF($C759=""," ",[1]!i_pq_pctchange($C759,F$6,$N$1))</f>
        <v xml:space="preserve"> </v>
      </c>
      <c r="G759" s="28" t="str">
        <f>IF($C759=""," ",[1]!i_pq_pctchange($C759,G$6,$N$1))</f>
        <v xml:space="preserve"> </v>
      </c>
      <c r="H759" s="28" t="str">
        <f>IF($C759=""," ",[1]!i_pq_pctchange($C759,H$6,$N$1))</f>
        <v xml:space="preserve"> </v>
      </c>
      <c r="I759" s="28" t="str">
        <f>IF($C759=""," ",[1]!i_pq_pctchange($C759,I$6,$N$1))</f>
        <v xml:space="preserve"> </v>
      </c>
      <c r="J759" s="28" t="str">
        <f>IF($C759=""," ",[1]!i_pq_pctchange($C759,J$6,$N$1))</f>
        <v xml:space="preserve"> </v>
      </c>
      <c r="K759" s="28" t="str">
        <f>IF($C759=""," ",[1]!i_pq_pctchange($C759,K$6,$N$1))</f>
        <v xml:space="preserve"> </v>
      </c>
      <c r="L759" s="28" t="str">
        <f>IF(C759=""," ",[1]!s_wq_pctchange($C759,$N$1))</f>
        <v xml:space="preserve"> </v>
      </c>
      <c r="M759" s="28" t="str">
        <f>IF(C759=""," ",[1]!s_mq_pctchange($C759,$N$1))</f>
        <v xml:space="preserve"> </v>
      </c>
      <c r="N759" s="28" t="str">
        <f>IF(C759=""," ",[1]!s_yq_pctchange($C759,$N$1))</f>
        <v xml:space="preserve"> </v>
      </c>
      <c r="O759" s="11"/>
      <c r="P759" s="7"/>
    </row>
    <row r="760" spans="1:16" x14ac:dyDescent="0.35">
      <c r="A760" s="7"/>
      <c r="C760" s="31" t="str">
        <f>IF(指数列表!B757="","",指数列表!B757)</f>
        <v/>
      </c>
      <c r="D760" s="36" t="str">
        <f>IF(C760="","",[1]!s_info_name(C760))</f>
        <v/>
      </c>
      <c r="E760" s="25" t="str">
        <f>IF(C760="","",[1]!s_dq_close(C760,$N$1))</f>
        <v/>
      </c>
      <c r="F760" s="28" t="str">
        <f>IF($C760=""," ",[1]!i_pq_pctchange($C760,F$6,$N$1))</f>
        <v xml:space="preserve"> </v>
      </c>
      <c r="G760" s="28" t="str">
        <f>IF($C760=""," ",[1]!i_pq_pctchange($C760,G$6,$N$1))</f>
        <v xml:space="preserve"> </v>
      </c>
      <c r="H760" s="28" t="str">
        <f>IF($C760=""," ",[1]!i_pq_pctchange($C760,H$6,$N$1))</f>
        <v xml:space="preserve"> </v>
      </c>
      <c r="I760" s="28" t="str">
        <f>IF($C760=""," ",[1]!i_pq_pctchange($C760,I$6,$N$1))</f>
        <v xml:space="preserve"> </v>
      </c>
      <c r="J760" s="28" t="str">
        <f>IF($C760=""," ",[1]!i_pq_pctchange($C760,J$6,$N$1))</f>
        <v xml:space="preserve"> </v>
      </c>
      <c r="K760" s="28" t="str">
        <f>IF($C760=""," ",[1]!i_pq_pctchange($C760,K$6,$N$1))</f>
        <v xml:space="preserve"> </v>
      </c>
      <c r="L760" s="28" t="str">
        <f>IF(C760=""," ",[1]!s_wq_pctchange($C760,$N$1))</f>
        <v xml:space="preserve"> </v>
      </c>
      <c r="M760" s="28" t="str">
        <f>IF(C760=""," ",[1]!s_mq_pctchange($C760,$N$1))</f>
        <v xml:space="preserve"> </v>
      </c>
      <c r="N760" s="28" t="str">
        <f>IF(C760=""," ",[1]!s_yq_pctchange($C760,$N$1))</f>
        <v xml:space="preserve"> </v>
      </c>
      <c r="O760" s="11"/>
      <c r="P760" s="7"/>
    </row>
    <row r="761" spans="1:16" x14ac:dyDescent="0.35">
      <c r="A761" s="7"/>
      <c r="C761" s="30" t="str">
        <f>IF(指数列表!B758="","",指数列表!B758)</f>
        <v/>
      </c>
      <c r="D761" s="35" t="str">
        <f>IF(C761="","",[1]!s_info_name(C761))</f>
        <v/>
      </c>
      <c r="E761" s="24" t="str">
        <f>IF(C761="","",[1]!s_dq_close(C761,$N$1))</f>
        <v/>
      </c>
      <c r="F761" s="28" t="str">
        <f>IF($C761=""," ",[1]!i_pq_pctchange($C761,F$6,$N$1))</f>
        <v xml:space="preserve"> </v>
      </c>
      <c r="G761" s="28" t="str">
        <f>IF($C761=""," ",[1]!i_pq_pctchange($C761,G$6,$N$1))</f>
        <v xml:space="preserve"> </v>
      </c>
      <c r="H761" s="28" t="str">
        <f>IF($C761=""," ",[1]!i_pq_pctchange($C761,H$6,$N$1))</f>
        <v xml:space="preserve"> </v>
      </c>
      <c r="I761" s="28" t="str">
        <f>IF($C761=""," ",[1]!i_pq_pctchange($C761,I$6,$N$1))</f>
        <v xml:space="preserve"> </v>
      </c>
      <c r="J761" s="28" t="str">
        <f>IF($C761=""," ",[1]!i_pq_pctchange($C761,J$6,$N$1))</f>
        <v xml:space="preserve"> </v>
      </c>
      <c r="K761" s="28" t="str">
        <f>IF($C761=""," ",[1]!i_pq_pctchange($C761,K$6,$N$1))</f>
        <v xml:space="preserve"> </v>
      </c>
      <c r="L761" s="28" t="str">
        <f>IF(C761=""," ",[1]!s_wq_pctchange($C761,$N$1))</f>
        <v xml:space="preserve"> </v>
      </c>
      <c r="M761" s="28" t="str">
        <f>IF(C761=""," ",[1]!s_mq_pctchange($C761,$N$1))</f>
        <v xml:space="preserve"> </v>
      </c>
      <c r="N761" s="28" t="str">
        <f>IF(C761=""," ",[1]!s_yq_pctchange($C761,$N$1))</f>
        <v xml:space="preserve"> </v>
      </c>
      <c r="O761" s="11"/>
      <c r="P761" s="7"/>
    </row>
    <row r="762" spans="1:16" x14ac:dyDescent="0.35">
      <c r="A762" s="7"/>
      <c r="C762" s="31" t="str">
        <f>IF(指数列表!B759="","",指数列表!B759)</f>
        <v/>
      </c>
      <c r="D762" s="36" t="str">
        <f>IF(C762="","",[1]!s_info_name(C762))</f>
        <v/>
      </c>
      <c r="E762" s="25" t="str">
        <f>IF(C762="","",[1]!s_dq_close(C762,$N$1))</f>
        <v/>
      </c>
      <c r="F762" s="28" t="str">
        <f>IF($C762=""," ",[1]!i_pq_pctchange($C762,F$6,$N$1))</f>
        <v xml:space="preserve"> </v>
      </c>
      <c r="G762" s="28" t="str">
        <f>IF($C762=""," ",[1]!i_pq_pctchange($C762,G$6,$N$1))</f>
        <v xml:space="preserve"> </v>
      </c>
      <c r="H762" s="28" t="str">
        <f>IF($C762=""," ",[1]!i_pq_pctchange($C762,H$6,$N$1))</f>
        <v xml:space="preserve"> </v>
      </c>
      <c r="I762" s="28" t="str">
        <f>IF($C762=""," ",[1]!i_pq_pctchange($C762,I$6,$N$1))</f>
        <v xml:space="preserve"> </v>
      </c>
      <c r="J762" s="28" t="str">
        <f>IF($C762=""," ",[1]!i_pq_pctchange($C762,J$6,$N$1))</f>
        <v xml:space="preserve"> </v>
      </c>
      <c r="K762" s="28" t="str">
        <f>IF($C762=""," ",[1]!i_pq_pctchange($C762,K$6,$N$1))</f>
        <v xml:space="preserve"> </v>
      </c>
      <c r="L762" s="28" t="str">
        <f>IF(C762=""," ",[1]!s_wq_pctchange($C762,$N$1))</f>
        <v xml:space="preserve"> </v>
      </c>
      <c r="M762" s="28" t="str">
        <f>IF(C762=""," ",[1]!s_mq_pctchange($C762,$N$1))</f>
        <v xml:space="preserve"> </v>
      </c>
      <c r="N762" s="28" t="str">
        <f>IF(C762=""," ",[1]!s_yq_pctchange($C762,$N$1))</f>
        <v xml:space="preserve"> </v>
      </c>
      <c r="O762" s="11"/>
      <c r="P762" s="7"/>
    </row>
    <row r="763" spans="1:16" x14ac:dyDescent="0.35">
      <c r="A763" s="7"/>
      <c r="C763" s="30" t="str">
        <f>IF(指数列表!B760="","",指数列表!B760)</f>
        <v/>
      </c>
      <c r="D763" s="35" t="str">
        <f>IF(C763="","",[1]!s_info_name(C763))</f>
        <v/>
      </c>
      <c r="E763" s="24" t="str">
        <f>IF(C763="","",[1]!s_dq_close(C763,$N$1))</f>
        <v/>
      </c>
      <c r="F763" s="28" t="str">
        <f>IF($C763=""," ",[1]!i_pq_pctchange($C763,F$6,$N$1))</f>
        <v xml:space="preserve"> </v>
      </c>
      <c r="G763" s="28" t="str">
        <f>IF($C763=""," ",[1]!i_pq_pctchange($C763,G$6,$N$1))</f>
        <v xml:space="preserve"> </v>
      </c>
      <c r="H763" s="28" t="str">
        <f>IF($C763=""," ",[1]!i_pq_pctchange($C763,H$6,$N$1))</f>
        <v xml:space="preserve"> </v>
      </c>
      <c r="I763" s="28" t="str">
        <f>IF($C763=""," ",[1]!i_pq_pctchange($C763,I$6,$N$1))</f>
        <v xml:space="preserve"> </v>
      </c>
      <c r="J763" s="28" t="str">
        <f>IF($C763=""," ",[1]!i_pq_pctchange($C763,J$6,$N$1))</f>
        <v xml:space="preserve"> </v>
      </c>
      <c r="K763" s="28" t="str">
        <f>IF($C763=""," ",[1]!i_pq_pctchange($C763,K$6,$N$1))</f>
        <v xml:space="preserve"> </v>
      </c>
      <c r="L763" s="28" t="str">
        <f>IF(C763=""," ",[1]!s_wq_pctchange($C763,$N$1))</f>
        <v xml:space="preserve"> </v>
      </c>
      <c r="M763" s="28" t="str">
        <f>IF(C763=""," ",[1]!s_mq_pctchange($C763,$N$1))</f>
        <v xml:space="preserve"> </v>
      </c>
      <c r="N763" s="28" t="str">
        <f>IF(C763=""," ",[1]!s_yq_pctchange($C763,$N$1))</f>
        <v xml:space="preserve"> </v>
      </c>
      <c r="O763" s="11"/>
      <c r="P763" s="7"/>
    </row>
    <row r="764" spans="1:16" x14ac:dyDescent="0.35">
      <c r="A764" s="7"/>
      <c r="C764" s="31" t="str">
        <f>IF(指数列表!B761="","",指数列表!B761)</f>
        <v/>
      </c>
      <c r="D764" s="36" t="str">
        <f>IF(C764="","",[1]!s_info_name(C764))</f>
        <v/>
      </c>
      <c r="E764" s="25" t="str">
        <f>IF(C764="","",[1]!s_dq_close(C764,$N$1))</f>
        <v/>
      </c>
      <c r="F764" s="28" t="str">
        <f>IF($C764=""," ",[1]!i_pq_pctchange($C764,F$6,$N$1))</f>
        <v xml:space="preserve"> </v>
      </c>
      <c r="G764" s="28" t="str">
        <f>IF($C764=""," ",[1]!i_pq_pctchange($C764,G$6,$N$1))</f>
        <v xml:space="preserve"> </v>
      </c>
      <c r="H764" s="28" t="str">
        <f>IF($C764=""," ",[1]!i_pq_pctchange($C764,H$6,$N$1))</f>
        <v xml:space="preserve"> </v>
      </c>
      <c r="I764" s="28" t="str">
        <f>IF($C764=""," ",[1]!i_pq_pctchange($C764,I$6,$N$1))</f>
        <v xml:space="preserve"> </v>
      </c>
      <c r="J764" s="28" t="str">
        <f>IF($C764=""," ",[1]!i_pq_pctchange($C764,J$6,$N$1))</f>
        <v xml:space="preserve"> </v>
      </c>
      <c r="K764" s="28" t="str">
        <f>IF($C764=""," ",[1]!i_pq_pctchange($C764,K$6,$N$1))</f>
        <v xml:space="preserve"> </v>
      </c>
      <c r="L764" s="28" t="str">
        <f>IF(C764=""," ",[1]!s_wq_pctchange($C764,$N$1))</f>
        <v xml:space="preserve"> </v>
      </c>
      <c r="M764" s="28" t="str">
        <f>IF(C764=""," ",[1]!s_mq_pctchange($C764,$N$1))</f>
        <v xml:space="preserve"> </v>
      </c>
      <c r="N764" s="28" t="str">
        <f>IF(C764=""," ",[1]!s_yq_pctchange($C764,$N$1))</f>
        <v xml:space="preserve"> </v>
      </c>
      <c r="O764" s="11"/>
      <c r="P764" s="7"/>
    </row>
    <row r="765" spans="1:16" x14ac:dyDescent="0.35">
      <c r="A765" s="7"/>
      <c r="C765" s="30" t="str">
        <f>IF(指数列表!B762="","",指数列表!B762)</f>
        <v/>
      </c>
      <c r="D765" s="35" t="str">
        <f>IF(C765="","",[1]!s_info_name(C765))</f>
        <v/>
      </c>
      <c r="E765" s="24" t="str">
        <f>IF(C765="","",[1]!s_dq_close(C765,$N$1))</f>
        <v/>
      </c>
      <c r="F765" s="28" t="str">
        <f>IF($C765=""," ",[1]!i_pq_pctchange($C765,F$6,$N$1))</f>
        <v xml:space="preserve"> </v>
      </c>
      <c r="G765" s="28" t="str">
        <f>IF($C765=""," ",[1]!i_pq_pctchange($C765,G$6,$N$1))</f>
        <v xml:space="preserve"> </v>
      </c>
      <c r="H765" s="28" t="str">
        <f>IF($C765=""," ",[1]!i_pq_pctchange($C765,H$6,$N$1))</f>
        <v xml:space="preserve"> </v>
      </c>
      <c r="I765" s="28" t="str">
        <f>IF($C765=""," ",[1]!i_pq_pctchange($C765,I$6,$N$1))</f>
        <v xml:space="preserve"> </v>
      </c>
      <c r="J765" s="28" t="str">
        <f>IF($C765=""," ",[1]!i_pq_pctchange($C765,J$6,$N$1))</f>
        <v xml:space="preserve"> </v>
      </c>
      <c r="K765" s="28" t="str">
        <f>IF($C765=""," ",[1]!i_pq_pctchange($C765,K$6,$N$1))</f>
        <v xml:space="preserve"> </v>
      </c>
      <c r="L765" s="28" t="str">
        <f>IF(C765=""," ",[1]!s_wq_pctchange($C765,$N$1))</f>
        <v xml:space="preserve"> </v>
      </c>
      <c r="M765" s="28" t="str">
        <f>IF(C765=""," ",[1]!s_mq_pctchange($C765,$N$1))</f>
        <v xml:space="preserve"> </v>
      </c>
      <c r="N765" s="28" t="str">
        <f>IF(C765=""," ",[1]!s_yq_pctchange($C765,$N$1))</f>
        <v xml:space="preserve"> </v>
      </c>
      <c r="O765" s="11"/>
      <c r="P765" s="7"/>
    </row>
    <row r="766" spans="1:16" x14ac:dyDescent="0.35">
      <c r="A766" s="7"/>
      <c r="C766" s="31" t="str">
        <f>IF(指数列表!B763="","",指数列表!B763)</f>
        <v/>
      </c>
      <c r="D766" s="36" t="str">
        <f>IF(C766="","",[1]!s_info_name(C766))</f>
        <v/>
      </c>
      <c r="E766" s="25" t="str">
        <f>IF(C766="","",[1]!s_dq_close(C766,$N$1))</f>
        <v/>
      </c>
      <c r="F766" s="28" t="str">
        <f>IF($C766=""," ",[1]!i_pq_pctchange($C766,F$6,$N$1))</f>
        <v xml:space="preserve"> </v>
      </c>
      <c r="G766" s="28" t="str">
        <f>IF($C766=""," ",[1]!i_pq_pctchange($C766,G$6,$N$1))</f>
        <v xml:space="preserve"> </v>
      </c>
      <c r="H766" s="28" t="str">
        <f>IF($C766=""," ",[1]!i_pq_pctchange($C766,H$6,$N$1))</f>
        <v xml:space="preserve"> </v>
      </c>
      <c r="I766" s="28" t="str">
        <f>IF($C766=""," ",[1]!i_pq_pctchange($C766,I$6,$N$1))</f>
        <v xml:space="preserve"> </v>
      </c>
      <c r="J766" s="28" t="str">
        <f>IF($C766=""," ",[1]!i_pq_pctchange($C766,J$6,$N$1))</f>
        <v xml:space="preserve"> </v>
      </c>
      <c r="K766" s="28" t="str">
        <f>IF($C766=""," ",[1]!i_pq_pctchange($C766,K$6,$N$1))</f>
        <v xml:space="preserve"> </v>
      </c>
      <c r="L766" s="28" t="str">
        <f>IF(C766=""," ",[1]!s_wq_pctchange($C766,$N$1))</f>
        <v xml:space="preserve"> </v>
      </c>
      <c r="M766" s="28" t="str">
        <f>IF(C766=""," ",[1]!s_mq_pctchange($C766,$N$1))</f>
        <v xml:space="preserve"> </v>
      </c>
      <c r="N766" s="28" t="str">
        <f>IF(C766=""," ",[1]!s_yq_pctchange($C766,$N$1))</f>
        <v xml:space="preserve"> </v>
      </c>
      <c r="O766" s="11"/>
      <c r="P766" s="7"/>
    </row>
    <row r="767" spans="1:16" x14ac:dyDescent="0.35">
      <c r="A767" s="7"/>
      <c r="C767" s="30" t="str">
        <f>IF(指数列表!B764="","",指数列表!B764)</f>
        <v/>
      </c>
      <c r="D767" s="35" t="str">
        <f>IF(C767="","",[1]!s_info_name(C767))</f>
        <v/>
      </c>
      <c r="E767" s="24" t="str">
        <f>IF(C767="","",[1]!s_dq_close(C767,$N$1))</f>
        <v/>
      </c>
      <c r="F767" s="28" t="str">
        <f>IF($C767=""," ",[1]!i_pq_pctchange($C767,F$6,$N$1))</f>
        <v xml:space="preserve"> </v>
      </c>
      <c r="G767" s="28" t="str">
        <f>IF($C767=""," ",[1]!i_pq_pctchange($C767,G$6,$N$1))</f>
        <v xml:space="preserve"> </v>
      </c>
      <c r="H767" s="28" t="str">
        <f>IF($C767=""," ",[1]!i_pq_pctchange($C767,H$6,$N$1))</f>
        <v xml:space="preserve"> </v>
      </c>
      <c r="I767" s="28" t="str">
        <f>IF($C767=""," ",[1]!i_pq_pctchange($C767,I$6,$N$1))</f>
        <v xml:space="preserve"> </v>
      </c>
      <c r="J767" s="28" t="str">
        <f>IF($C767=""," ",[1]!i_pq_pctchange($C767,J$6,$N$1))</f>
        <v xml:space="preserve"> </v>
      </c>
      <c r="K767" s="28" t="str">
        <f>IF($C767=""," ",[1]!i_pq_pctchange($C767,K$6,$N$1))</f>
        <v xml:space="preserve"> </v>
      </c>
      <c r="L767" s="28" t="str">
        <f>IF(C767=""," ",[1]!s_wq_pctchange($C767,$N$1))</f>
        <v xml:space="preserve"> </v>
      </c>
      <c r="M767" s="28" t="str">
        <f>IF(C767=""," ",[1]!s_mq_pctchange($C767,$N$1))</f>
        <v xml:space="preserve"> </v>
      </c>
      <c r="N767" s="28" t="str">
        <f>IF(C767=""," ",[1]!s_yq_pctchange($C767,$N$1))</f>
        <v xml:space="preserve"> </v>
      </c>
      <c r="O767" s="11"/>
      <c r="P767" s="7"/>
    </row>
    <row r="768" spans="1:16" x14ac:dyDescent="0.35">
      <c r="A768" s="7"/>
      <c r="C768" s="31" t="str">
        <f>IF(指数列表!B765="","",指数列表!B765)</f>
        <v/>
      </c>
      <c r="D768" s="36" t="str">
        <f>IF(C768="","",[1]!s_info_name(C768))</f>
        <v/>
      </c>
      <c r="E768" s="25" t="str">
        <f>IF(C768="","",[1]!s_dq_close(C768,$N$1))</f>
        <v/>
      </c>
      <c r="F768" s="28" t="str">
        <f>IF($C768=""," ",[1]!i_pq_pctchange($C768,F$6,$N$1))</f>
        <v xml:space="preserve"> </v>
      </c>
      <c r="G768" s="28" t="str">
        <f>IF($C768=""," ",[1]!i_pq_pctchange($C768,G$6,$N$1))</f>
        <v xml:space="preserve"> </v>
      </c>
      <c r="H768" s="28" t="str">
        <f>IF($C768=""," ",[1]!i_pq_pctchange($C768,H$6,$N$1))</f>
        <v xml:space="preserve"> </v>
      </c>
      <c r="I768" s="28" t="str">
        <f>IF($C768=""," ",[1]!i_pq_pctchange($C768,I$6,$N$1))</f>
        <v xml:space="preserve"> </v>
      </c>
      <c r="J768" s="28" t="str">
        <f>IF($C768=""," ",[1]!i_pq_pctchange($C768,J$6,$N$1))</f>
        <v xml:space="preserve"> </v>
      </c>
      <c r="K768" s="28" t="str">
        <f>IF($C768=""," ",[1]!i_pq_pctchange($C768,K$6,$N$1))</f>
        <v xml:space="preserve"> </v>
      </c>
      <c r="L768" s="28" t="str">
        <f>IF(C768=""," ",[1]!s_wq_pctchange($C768,$N$1))</f>
        <v xml:space="preserve"> </v>
      </c>
      <c r="M768" s="28" t="str">
        <f>IF(C768=""," ",[1]!s_mq_pctchange($C768,$N$1))</f>
        <v xml:space="preserve"> </v>
      </c>
      <c r="N768" s="28" t="str">
        <f>IF(C768=""," ",[1]!s_yq_pctchange($C768,$N$1))</f>
        <v xml:space="preserve"> </v>
      </c>
      <c r="O768" s="11"/>
      <c r="P768" s="7"/>
    </row>
    <row r="769" spans="1:16" x14ac:dyDescent="0.35">
      <c r="A769" s="7"/>
      <c r="C769" s="30" t="str">
        <f>IF(指数列表!B766="","",指数列表!B766)</f>
        <v/>
      </c>
      <c r="D769" s="35" t="str">
        <f>IF(C769="","",[1]!s_info_name(C769))</f>
        <v/>
      </c>
      <c r="E769" s="24" t="str">
        <f>IF(C769="","",[1]!s_dq_close(C769,$N$1))</f>
        <v/>
      </c>
      <c r="F769" s="28" t="str">
        <f>IF($C769=""," ",[1]!i_pq_pctchange($C769,F$6,$N$1))</f>
        <v xml:space="preserve"> </v>
      </c>
      <c r="G769" s="28" t="str">
        <f>IF($C769=""," ",[1]!i_pq_pctchange($C769,G$6,$N$1))</f>
        <v xml:space="preserve"> </v>
      </c>
      <c r="H769" s="28" t="str">
        <f>IF($C769=""," ",[1]!i_pq_pctchange($C769,H$6,$N$1))</f>
        <v xml:space="preserve"> </v>
      </c>
      <c r="I769" s="28" t="str">
        <f>IF($C769=""," ",[1]!i_pq_pctchange($C769,I$6,$N$1))</f>
        <v xml:space="preserve"> </v>
      </c>
      <c r="J769" s="28" t="str">
        <f>IF($C769=""," ",[1]!i_pq_pctchange($C769,J$6,$N$1))</f>
        <v xml:space="preserve"> </v>
      </c>
      <c r="K769" s="28" t="str">
        <f>IF($C769=""," ",[1]!i_pq_pctchange($C769,K$6,$N$1))</f>
        <v xml:space="preserve"> </v>
      </c>
      <c r="L769" s="28" t="str">
        <f>IF(C769=""," ",[1]!s_wq_pctchange($C769,$N$1))</f>
        <v xml:space="preserve"> </v>
      </c>
      <c r="M769" s="28" t="str">
        <f>IF(C769=""," ",[1]!s_mq_pctchange($C769,$N$1))</f>
        <v xml:space="preserve"> </v>
      </c>
      <c r="N769" s="28" t="str">
        <f>IF(C769=""," ",[1]!s_yq_pctchange($C769,$N$1))</f>
        <v xml:space="preserve"> </v>
      </c>
      <c r="O769" s="11"/>
      <c r="P769" s="7"/>
    </row>
    <row r="770" spans="1:16" x14ac:dyDescent="0.35">
      <c r="A770" s="7"/>
      <c r="C770" s="31" t="str">
        <f>IF(指数列表!B767="","",指数列表!B767)</f>
        <v/>
      </c>
      <c r="D770" s="36" t="str">
        <f>IF(C770="","",[1]!s_info_name(C770))</f>
        <v/>
      </c>
      <c r="E770" s="25" t="str">
        <f>IF(C770="","",[1]!s_dq_close(C770,$N$1))</f>
        <v/>
      </c>
      <c r="F770" s="28" t="str">
        <f>IF($C770=""," ",[1]!i_pq_pctchange($C770,F$6,$N$1))</f>
        <v xml:space="preserve"> </v>
      </c>
      <c r="G770" s="28" t="str">
        <f>IF($C770=""," ",[1]!i_pq_pctchange($C770,G$6,$N$1))</f>
        <v xml:space="preserve"> </v>
      </c>
      <c r="H770" s="28" t="str">
        <f>IF($C770=""," ",[1]!i_pq_pctchange($C770,H$6,$N$1))</f>
        <v xml:space="preserve"> </v>
      </c>
      <c r="I770" s="28" t="str">
        <f>IF($C770=""," ",[1]!i_pq_pctchange($C770,I$6,$N$1))</f>
        <v xml:space="preserve"> </v>
      </c>
      <c r="J770" s="28" t="str">
        <f>IF($C770=""," ",[1]!i_pq_pctchange($C770,J$6,$N$1))</f>
        <v xml:space="preserve"> </v>
      </c>
      <c r="K770" s="28" t="str">
        <f>IF($C770=""," ",[1]!i_pq_pctchange($C770,K$6,$N$1))</f>
        <v xml:space="preserve"> </v>
      </c>
      <c r="L770" s="28" t="str">
        <f>IF(C770=""," ",[1]!s_wq_pctchange($C770,$N$1))</f>
        <v xml:space="preserve"> </v>
      </c>
      <c r="M770" s="28" t="str">
        <f>IF(C770=""," ",[1]!s_mq_pctchange($C770,$N$1))</f>
        <v xml:space="preserve"> </v>
      </c>
      <c r="N770" s="28" t="str">
        <f>IF(C770=""," ",[1]!s_yq_pctchange($C770,$N$1))</f>
        <v xml:space="preserve"> </v>
      </c>
      <c r="O770" s="11"/>
      <c r="P770" s="7"/>
    </row>
    <row r="771" spans="1:16" x14ac:dyDescent="0.35">
      <c r="A771" s="7"/>
      <c r="C771" s="30" t="str">
        <f>IF(指数列表!B768="","",指数列表!B768)</f>
        <v/>
      </c>
      <c r="D771" s="35" t="str">
        <f>IF(C771="","",[1]!s_info_name(C771))</f>
        <v/>
      </c>
      <c r="E771" s="24" t="str">
        <f>IF(C771="","",[1]!s_dq_close(C771,$N$1))</f>
        <v/>
      </c>
      <c r="F771" s="28" t="str">
        <f>IF($C771=""," ",[1]!i_pq_pctchange($C771,F$6,$N$1))</f>
        <v xml:space="preserve"> </v>
      </c>
      <c r="G771" s="28" t="str">
        <f>IF($C771=""," ",[1]!i_pq_pctchange($C771,G$6,$N$1))</f>
        <v xml:space="preserve"> </v>
      </c>
      <c r="H771" s="28" t="str">
        <f>IF($C771=""," ",[1]!i_pq_pctchange($C771,H$6,$N$1))</f>
        <v xml:space="preserve"> </v>
      </c>
      <c r="I771" s="28" t="str">
        <f>IF($C771=""," ",[1]!i_pq_pctchange($C771,I$6,$N$1))</f>
        <v xml:space="preserve"> </v>
      </c>
      <c r="J771" s="28" t="str">
        <f>IF($C771=""," ",[1]!i_pq_pctchange($C771,J$6,$N$1))</f>
        <v xml:space="preserve"> </v>
      </c>
      <c r="K771" s="28" t="str">
        <f>IF($C771=""," ",[1]!i_pq_pctchange($C771,K$6,$N$1))</f>
        <v xml:space="preserve"> </v>
      </c>
      <c r="L771" s="28" t="str">
        <f>IF(C771=""," ",[1]!s_wq_pctchange($C771,$N$1))</f>
        <v xml:space="preserve"> </v>
      </c>
      <c r="M771" s="28" t="str">
        <f>IF(C771=""," ",[1]!s_mq_pctchange($C771,$N$1))</f>
        <v xml:space="preserve"> </v>
      </c>
      <c r="N771" s="28" t="str">
        <f>IF(C771=""," ",[1]!s_yq_pctchange($C771,$N$1))</f>
        <v xml:space="preserve"> </v>
      </c>
      <c r="O771" s="11"/>
      <c r="P771" s="7"/>
    </row>
    <row r="772" spans="1:16" x14ac:dyDescent="0.35">
      <c r="A772" s="7"/>
      <c r="C772" s="31" t="str">
        <f>IF(指数列表!B769="","",指数列表!B769)</f>
        <v/>
      </c>
      <c r="D772" s="36" t="str">
        <f>IF(C772="","",[1]!s_info_name(C772))</f>
        <v/>
      </c>
      <c r="E772" s="25" t="str">
        <f>IF(C772="","",[1]!s_dq_close(C772,$N$1))</f>
        <v/>
      </c>
      <c r="F772" s="28" t="str">
        <f>IF($C772=""," ",[1]!i_pq_pctchange($C772,F$6,$N$1))</f>
        <v xml:space="preserve"> </v>
      </c>
      <c r="G772" s="28" t="str">
        <f>IF($C772=""," ",[1]!i_pq_pctchange($C772,G$6,$N$1))</f>
        <v xml:space="preserve"> </v>
      </c>
      <c r="H772" s="28" t="str">
        <f>IF($C772=""," ",[1]!i_pq_pctchange($C772,H$6,$N$1))</f>
        <v xml:space="preserve"> </v>
      </c>
      <c r="I772" s="28" t="str">
        <f>IF($C772=""," ",[1]!i_pq_pctchange($C772,I$6,$N$1))</f>
        <v xml:space="preserve"> </v>
      </c>
      <c r="J772" s="28" t="str">
        <f>IF($C772=""," ",[1]!i_pq_pctchange($C772,J$6,$N$1))</f>
        <v xml:space="preserve"> </v>
      </c>
      <c r="K772" s="28" t="str">
        <f>IF($C772=""," ",[1]!i_pq_pctchange($C772,K$6,$N$1))</f>
        <v xml:space="preserve"> </v>
      </c>
      <c r="L772" s="28" t="str">
        <f>IF(C772=""," ",[1]!s_wq_pctchange($C772,$N$1))</f>
        <v xml:space="preserve"> </v>
      </c>
      <c r="M772" s="28" t="str">
        <f>IF(C772=""," ",[1]!s_mq_pctchange($C772,$N$1))</f>
        <v xml:space="preserve"> </v>
      </c>
      <c r="N772" s="28" t="str">
        <f>IF(C772=""," ",[1]!s_yq_pctchange($C772,$N$1))</f>
        <v xml:space="preserve"> </v>
      </c>
      <c r="O772" s="11"/>
      <c r="P772" s="7"/>
    </row>
    <row r="773" spans="1:16" x14ac:dyDescent="0.35">
      <c r="A773" s="7"/>
      <c r="C773" s="30" t="str">
        <f>IF(指数列表!B770="","",指数列表!B770)</f>
        <v/>
      </c>
      <c r="D773" s="35" t="str">
        <f>IF(C773="","",[1]!s_info_name(C773))</f>
        <v/>
      </c>
      <c r="E773" s="24" t="str">
        <f>IF(C773="","",[1]!s_dq_close(C773,$N$1))</f>
        <v/>
      </c>
      <c r="F773" s="28" t="str">
        <f>IF($C773=""," ",[1]!i_pq_pctchange($C773,F$6,$N$1))</f>
        <v xml:space="preserve"> </v>
      </c>
      <c r="G773" s="28" t="str">
        <f>IF($C773=""," ",[1]!i_pq_pctchange($C773,G$6,$N$1))</f>
        <v xml:space="preserve"> </v>
      </c>
      <c r="H773" s="28" t="str">
        <f>IF($C773=""," ",[1]!i_pq_pctchange($C773,H$6,$N$1))</f>
        <v xml:space="preserve"> </v>
      </c>
      <c r="I773" s="28" t="str">
        <f>IF($C773=""," ",[1]!i_pq_pctchange($C773,I$6,$N$1))</f>
        <v xml:space="preserve"> </v>
      </c>
      <c r="J773" s="28" t="str">
        <f>IF($C773=""," ",[1]!i_pq_pctchange($C773,J$6,$N$1))</f>
        <v xml:space="preserve"> </v>
      </c>
      <c r="K773" s="28" t="str">
        <f>IF($C773=""," ",[1]!i_pq_pctchange($C773,K$6,$N$1))</f>
        <v xml:space="preserve"> </v>
      </c>
      <c r="L773" s="28" t="str">
        <f>IF(C773=""," ",[1]!s_wq_pctchange($C773,$N$1))</f>
        <v xml:space="preserve"> </v>
      </c>
      <c r="M773" s="28" t="str">
        <f>IF(C773=""," ",[1]!s_mq_pctchange($C773,$N$1))</f>
        <v xml:space="preserve"> </v>
      </c>
      <c r="N773" s="28" t="str">
        <f>IF(C773=""," ",[1]!s_yq_pctchange($C773,$N$1))</f>
        <v xml:space="preserve"> </v>
      </c>
      <c r="O773" s="11"/>
      <c r="P773" s="7"/>
    </row>
    <row r="774" spans="1:16" x14ac:dyDescent="0.35">
      <c r="A774" s="7"/>
      <c r="C774" s="31" t="str">
        <f>IF(指数列表!B771="","",指数列表!B771)</f>
        <v/>
      </c>
      <c r="D774" s="36" t="str">
        <f>IF(C774="","",[1]!s_info_name(C774))</f>
        <v/>
      </c>
      <c r="E774" s="25" t="str">
        <f>IF(C774="","",[1]!s_dq_close(C774,$N$1))</f>
        <v/>
      </c>
      <c r="F774" s="28" t="str">
        <f>IF($C774=""," ",[1]!i_pq_pctchange($C774,F$6,$N$1))</f>
        <v xml:space="preserve"> </v>
      </c>
      <c r="G774" s="28" t="str">
        <f>IF($C774=""," ",[1]!i_pq_pctchange($C774,G$6,$N$1))</f>
        <v xml:space="preserve"> </v>
      </c>
      <c r="H774" s="28" t="str">
        <f>IF($C774=""," ",[1]!i_pq_pctchange($C774,H$6,$N$1))</f>
        <v xml:space="preserve"> </v>
      </c>
      <c r="I774" s="28" t="str">
        <f>IF($C774=""," ",[1]!i_pq_pctchange($C774,I$6,$N$1))</f>
        <v xml:space="preserve"> </v>
      </c>
      <c r="J774" s="28" t="str">
        <f>IF($C774=""," ",[1]!i_pq_pctchange($C774,J$6,$N$1))</f>
        <v xml:space="preserve"> </v>
      </c>
      <c r="K774" s="28" t="str">
        <f>IF($C774=""," ",[1]!i_pq_pctchange($C774,K$6,$N$1))</f>
        <v xml:space="preserve"> </v>
      </c>
      <c r="L774" s="28" t="str">
        <f>IF(C774=""," ",[1]!s_wq_pctchange($C774,$N$1))</f>
        <v xml:space="preserve"> </v>
      </c>
      <c r="M774" s="28" t="str">
        <f>IF(C774=""," ",[1]!s_mq_pctchange($C774,$N$1))</f>
        <v xml:space="preserve"> </v>
      </c>
      <c r="N774" s="28" t="str">
        <f>IF(C774=""," ",[1]!s_yq_pctchange($C774,$N$1))</f>
        <v xml:space="preserve"> </v>
      </c>
      <c r="O774" s="11"/>
      <c r="P774" s="7"/>
    </row>
    <row r="775" spans="1:16" x14ac:dyDescent="0.35">
      <c r="A775" s="7"/>
      <c r="C775" s="30" t="str">
        <f>IF(指数列表!B772="","",指数列表!B772)</f>
        <v/>
      </c>
      <c r="D775" s="35" t="str">
        <f>IF(C775="","",[1]!s_info_name(C775))</f>
        <v/>
      </c>
      <c r="E775" s="24" t="str">
        <f>IF(C775="","",[1]!s_dq_close(C775,$N$1))</f>
        <v/>
      </c>
      <c r="F775" s="28" t="str">
        <f>IF($C775=""," ",[1]!i_pq_pctchange($C775,F$6,$N$1))</f>
        <v xml:space="preserve"> </v>
      </c>
      <c r="G775" s="28" t="str">
        <f>IF($C775=""," ",[1]!i_pq_pctchange($C775,G$6,$N$1))</f>
        <v xml:space="preserve"> </v>
      </c>
      <c r="H775" s="28" t="str">
        <f>IF($C775=""," ",[1]!i_pq_pctchange($C775,H$6,$N$1))</f>
        <v xml:space="preserve"> </v>
      </c>
      <c r="I775" s="28" t="str">
        <f>IF($C775=""," ",[1]!i_pq_pctchange($C775,I$6,$N$1))</f>
        <v xml:space="preserve"> </v>
      </c>
      <c r="J775" s="28" t="str">
        <f>IF($C775=""," ",[1]!i_pq_pctchange($C775,J$6,$N$1))</f>
        <v xml:space="preserve"> </v>
      </c>
      <c r="K775" s="28" t="str">
        <f>IF($C775=""," ",[1]!i_pq_pctchange($C775,K$6,$N$1))</f>
        <v xml:space="preserve"> </v>
      </c>
      <c r="L775" s="28" t="str">
        <f>IF(C775=""," ",[1]!s_wq_pctchange($C775,$N$1))</f>
        <v xml:space="preserve"> </v>
      </c>
      <c r="M775" s="28" t="str">
        <f>IF(C775=""," ",[1]!s_mq_pctchange($C775,$N$1))</f>
        <v xml:space="preserve"> </v>
      </c>
      <c r="N775" s="28" t="str">
        <f>IF(C775=""," ",[1]!s_yq_pctchange($C775,$N$1))</f>
        <v xml:space="preserve"> </v>
      </c>
      <c r="O775" s="11"/>
      <c r="P775" s="7"/>
    </row>
    <row r="776" spans="1:16" x14ac:dyDescent="0.35">
      <c r="A776" s="7"/>
      <c r="C776" s="31" t="str">
        <f>IF(指数列表!B773="","",指数列表!B773)</f>
        <v/>
      </c>
      <c r="D776" s="36" t="str">
        <f>IF(C776="","",[1]!s_info_name(C776))</f>
        <v/>
      </c>
      <c r="E776" s="25" t="str">
        <f>IF(C776="","",[1]!s_dq_close(C776,$N$1))</f>
        <v/>
      </c>
      <c r="F776" s="28" t="str">
        <f>IF($C776=""," ",[1]!i_pq_pctchange($C776,F$6,$N$1))</f>
        <v xml:space="preserve"> </v>
      </c>
      <c r="G776" s="28" t="str">
        <f>IF($C776=""," ",[1]!i_pq_pctchange($C776,G$6,$N$1))</f>
        <v xml:space="preserve"> </v>
      </c>
      <c r="H776" s="28" t="str">
        <f>IF($C776=""," ",[1]!i_pq_pctchange($C776,H$6,$N$1))</f>
        <v xml:space="preserve"> </v>
      </c>
      <c r="I776" s="28" t="str">
        <f>IF($C776=""," ",[1]!i_pq_pctchange($C776,I$6,$N$1))</f>
        <v xml:space="preserve"> </v>
      </c>
      <c r="J776" s="28" t="str">
        <f>IF($C776=""," ",[1]!i_pq_pctchange($C776,J$6,$N$1))</f>
        <v xml:space="preserve"> </v>
      </c>
      <c r="K776" s="28" t="str">
        <f>IF($C776=""," ",[1]!i_pq_pctchange($C776,K$6,$N$1))</f>
        <v xml:space="preserve"> </v>
      </c>
      <c r="L776" s="28" t="str">
        <f>IF(C776=""," ",[1]!s_wq_pctchange($C776,$N$1))</f>
        <v xml:space="preserve"> </v>
      </c>
      <c r="M776" s="28" t="str">
        <f>IF(C776=""," ",[1]!s_mq_pctchange($C776,$N$1))</f>
        <v xml:space="preserve"> </v>
      </c>
      <c r="N776" s="28" t="str">
        <f>IF(C776=""," ",[1]!s_yq_pctchange($C776,$N$1))</f>
        <v xml:space="preserve"> </v>
      </c>
      <c r="O776" s="11"/>
      <c r="P776" s="7"/>
    </row>
    <row r="777" spans="1:16" x14ac:dyDescent="0.35">
      <c r="A777" s="7"/>
      <c r="C777" s="30" t="str">
        <f>IF(指数列表!B774="","",指数列表!B774)</f>
        <v/>
      </c>
      <c r="D777" s="35" t="str">
        <f>IF(C777="","",[1]!s_info_name(C777))</f>
        <v/>
      </c>
      <c r="E777" s="24" t="str">
        <f>IF(C777="","",[1]!s_dq_close(C777,$N$1))</f>
        <v/>
      </c>
      <c r="F777" s="28" t="str">
        <f>IF($C777=""," ",[1]!i_pq_pctchange($C777,F$6,$N$1))</f>
        <v xml:space="preserve"> </v>
      </c>
      <c r="G777" s="28" t="str">
        <f>IF($C777=""," ",[1]!i_pq_pctchange($C777,G$6,$N$1))</f>
        <v xml:space="preserve"> </v>
      </c>
      <c r="H777" s="28" t="str">
        <f>IF($C777=""," ",[1]!i_pq_pctchange($C777,H$6,$N$1))</f>
        <v xml:space="preserve"> </v>
      </c>
      <c r="I777" s="28" t="str">
        <f>IF($C777=""," ",[1]!i_pq_pctchange($C777,I$6,$N$1))</f>
        <v xml:space="preserve"> </v>
      </c>
      <c r="J777" s="28" t="str">
        <f>IF($C777=""," ",[1]!i_pq_pctchange($C777,J$6,$N$1))</f>
        <v xml:space="preserve"> </v>
      </c>
      <c r="K777" s="28" t="str">
        <f>IF($C777=""," ",[1]!i_pq_pctchange($C777,K$6,$N$1))</f>
        <v xml:space="preserve"> </v>
      </c>
      <c r="L777" s="28" t="str">
        <f>IF(C777=""," ",[1]!s_wq_pctchange($C777,$N$1))</f>
        <v xml:space="preserve"> </v>
      </c>
      <c r="M777" s="28" t="str">
        <f>IF(C777=""," ",[1]!s_mq_pctchange($C777,$N$1))</f>
        <v xml:space="preserve"> </v>
      </c>
      <c r="N777" s="28" t="str">
        <f>IF(C777=""," ",[1]!s_yq_pctchange($C777,$N$1))</f>
        <v xml:space="preserve"> </v>
      </c>
      <c r="O777" s="11"/>
      <c r="P777" s="7"/>
    </row>
    <row r="778" spans="1:16" x14ac:dyDescent="0.35">
      <c r="A778" s="7"/>
      <c r="C778" s="31" t="str">
        <f>IF(指数列表!B775="","",指数列表!B775)</f>
        <v/>
      </c>
      <c r="D778" s="36" t="str">
        <f>IF(C778="","",[1]!s_info_name(C778))</f>
        <v/>
      </c>
      <c r="E778" s="25" t="str">
        <f>IF(C778="","",[1]!s_dq_close(C778,$N$1))</f>
        <v/>
      </c>
      <c r="F778" s="28" t="str">
        <f>IF($C778=""," ",[1]!i_pq_pctchange($C778,F$6,$N$1))</f>
        <v xml:space="preserve"> </v>
      </c>
      <c r="G778" s="28" t="str">
        <f>IF($C778=""," ",[1]!i_pq_pctchange($C778,G$6,$N$1))</f>
        <v xml:space="preserve"> </v>
      </c>
      <c r="H778" s="28" t="str">
        <f>IF($C778=""," ",[1]!i_pq_pctchange($C778,H$6,$N$1))</f>
        <v xml:space="preserve"> </v>
      </c>
      <c r="I778" s="28" t="str">
        <f>IF($C778=""," ",[1]!i_pq_pctchange($C778,I$6,$N$1))</f>
        <v xml:space="preserve"> </v>
      </c>
      <c r="J778" s="28" t="str">
        <f>IF($C778=""," ",[1]!i_pq_pctchange($C778,J$6,$N$1))</f>
        <v xml:space="preserve"> </v>
      </c>
      <c r="K778" s="28" t="str">
        <f>IF($C778=""," ",[1]!i_pq_pctchange($C778,K$6,$N$1))</f>
        <v xml:space="preserve"> </v>
      </c>
      <c r="L778" s="28" t="str">
        <f>IF(C778=""," ",[1]!s_wq_pctchange($C778,$N$1))</f>
        <v xml:space="preserve"> </v>
      </c>
      <c r="M778" s="28" t="str">
        <f>IF(C778=""," ",[1]!s_mq_pctchange($C778,$N$1))</f>
        <v xml:space="preserve"> </v>
      </c>
      <c r="N778" s="28" t="str">
        <f>IF(C778=""," ",[1]!s_yq_pctchange($C778,$N$1))</f>
        <v xml:space="preserve"> </v>
      </c>
      <c r="O778" s="11"/>
      <c r="P778" s="7"/>
    </row>
    <row r="779" spans="1:16" x14ac:dyDescent="0.35">
      <c r="A779" s="7"/>
      <c r="C779" s="30" t="str">
        <f>IF(指数列表!B776="","",指数列表!B776)</f>
        <v/>
      </c>
      <c r="D779" s="35" t="str">
        <f>IF(C779="","",[1]!s_info_name(C779))</f>
        <v/>
      </c>
      <c r="E779" s="24" t="str">
        <f>IF(C779="","",[1]!s_dq_close(C779,$N$1))</f>
        <v/>
      </c>
      <c r="F779" s="28" t="str">
        <f>IF($C779=""," ",[1]!i_pq_pctchange($C779,F$6,$N$1))</f>
        <v xml:space="preserve"> </v>
      </c>
      <c r="G779" s="28" t="str">
        <f>IF($C779=""," ",[1]!i_pq_pctchange($C779,G$6,$N$1))</f>
        <v xml:space="preserve"> </v>
      </c>
      <c r="H779" s="28" t="str">
        <f>IF($C779=""," ",[1]!i_pq_pctchange($C779,H$6,$N$1))</f>
        <v xml:space="preserve"> </v>
      </c>
      <c r="I779" s="28" t="str">
        <f>IF($C779=""," ",[1]!i_pq_pctchange($C779,I$6,$N$1))</f>
        <v xml:space="preserve"> </v>
      </c>
      <c r="J779" s="28" t="str">
        <f>IF($C779=""," ",[1]!i_pq_pctchange($C779,J$6,$N$1))</f>
        <v xml:space="preserve"> </v>
      </c>
      <c r="K779" s="28" t="str">
        <f>IF($C779=""," ",[1]!i_pq_pctchange($C779,K$6,$N$1))</f>
        <v xml:space="preserve"> </v>
      </c>
      <c r="L779" s="28" t="str">
        <f>IF(C779=""," ",[1]!s_wq_pctchange($C779,$N$1))</f>
        <v xml:space="preserve"> </v>
      </c>
      <c r="M779" s="28" t="str">
        <f>IF(C779=""," ",[1]!s_mq_pctchange($C779,$N$1))</f>
        <v xml:space="preserve"> </v>
      </c>
      <c r="N779" s="28" t="str">
        <f>IF(C779=""," ",[1]!s_yq_pctchange($C779,$N$1))</f>
        <v xml:space="preserve"> </v>
      </c>
      <c r="O779" s="11"/>
      <c r="P779" s="7"/>
    </row>
    <row r="780" spans="1:16" x14ac:dyDescent="0.35">
      <c r="A780" s="7"/>
      <c r="C780" s="31" t="str">
        <f>IF(指数列表!B777="","",指数列表!B777)</f>
        <v/>
      </c>
      <c r="D780" s="36" t="str">
        <f>IF(C780="","",[1]!s_info_name(C780))</f>
        <v/>
      </c>
      <c r="E780" s="25" t="str">
        <f>IF(C780="","",[1]!s_dq_close(C780,$N$1))</f>
        <v/>
      </c>
      <c r="F780" s="28" t="str">
        <f>IF($C780=""," ",[1]!i_pq_pctchange($C780,F$6,$N$1))</f>
        <v xml:space="preserve"> </v>
      </c>
      <c r="G780" s="28" t="str">
        <f>IF($C780=""," ",[1]!i_pq_pctchange($C780,G$6,$N$1))</f>
        <v xml:space="preserve"> </v>
      </c>
      <c r="H780" s="28" t="str">
        <f>IF($C780=""," ",[1]!i_pq_pctchange($C780,H$6,$N$1))</f>
        <v xml:space="preserve"> </v>
      </c>
      <c r="I780" s="28" t="str">
        <f>IF($C780=""," ",[1]!i_pq_pctchange($C780,I$6,$N$1))</f>
        <v xml:space="preserve"> </v>
      </c>
      <c r="J780" s="28" t="str">
        <f>IF($C780=""," ",[1]!i_pq_pctchange($C780,J$6,$N$1))</f>
        <v xml:space="preserve"> </v>
      </c>
      <c r="K780" s="28" t="str">
        <f>IF($C780=""," ",[1]!i_pq_pctchange($C780,K$6,$N$1))</f>
        <v xml:space="preserve"> </v>
      </c>
      <c r="L780" s="28" t="str">
        <f>IF(C780=""," ",[1]!s_wq_pctchange($C780,$N$1))</f>
        <v xml:space="preserve"> </v>
      </c>
      <c r="M780" s="28" t="str">
        <f>IF(C780=""," ",[1]!s_mq_pctchange($C780,$N$1))</f>
        <v xml:space="preserve"> </v>
      </c>
      <c r="N780" s="28" t="str">
        <f>IF(C780=""," ",[1]!s_yq_pctchange($C780,$N$1))</f>
        <v xml:space="preserve"> </v>
      </c>
      <c r="O780" s="11"/>
      <c r="P780" s="7"/>
    </row>
    <row r="781" spans="1:16" x14ac:dyDescent="0.35">
      <c r="A781" s="7"/>
      <c r="C781" s="30" t="str">
        <f>IF(指数列表!B778="","",指数列表!B778)</f>
        <v/>
      </c>
      <c r="D781" s="35" t="str">
        <f>IF(C781="","",[1]!s_info_name(C781))</f>
        <v/>
      </c>
      <c r="E781" s="24" t="str">
        <f>IF(C781="","",[1]!s_dq_close(C781,$N$1))</f>
        <v/>
      </c>
      <c r="F781" s="28" t="str">
        <f>IF($C781=""," ",[1]!i_pq_pctchange($C781,F$6,$N$1))</f>
        <v xml:space="preserve"> </v>
      </c>
      <c r="G781" s="28" t="str">
        <f>IF($C781=""," ",[1]!i_pq_pctchange($C781,G$6,$N$1))</f>
        <v xml:space="preserve"> </v>
      </c>
      <c r="H781" s="28" t="str">
        <f>IF($C781=""," ",[1]!i_pq_pctchange($C781,H$6,$N$1))</f>
        <v xml:space="preserve"> </v>
      </c>
      <c r="I781" s="28" t="str">
        <f>IF($C781=""," ",[1]!i_pq_pctchange($C781,I$6,$N$1))</f>
        <v xml:space="preserve"> </v>
      </c>
      <c r="J781" s="28" t="str">
        <f>IF($C781=""," ",[1]!i_pq_pctchange($C781,J$6,$N$1))</f>
        <v xml:space="preserve"> </v>
      </c>
      <c r="K781" s="28" t="str">
        <f>IF($C781=""," ",[1]!i_pq_pctchange($C781,K$6,$N$1))</f>
        <v xml:space="preserve"> </v>
      </c>
      <c r="L781" s="28" t="str">
        <f>IF(C781=""," ",[1]!s_wq_pctchange($C781,$N$1))</f>
        <v xml:space="preserve"> </v>
      </c>
      <c r="M781" s="28" t="str">
        <f>IF(C781=""," ",[1]!s_mq_pctchange($C781,$N$1))</f>
        <v xml:space="preserve"> </v>
      </c>
      <c r="N781" s="28" t="str">
        <f>IF(C781=""," ",[1]!s_yq_pctchange($C781,$N$1))</f>
        <v xml:space="preserve"> </v>
      </c>
      <c r="O781" s="11"/>
      <c r="P781" s="7"/>
    </row>
    <row r="782" spans="1:16" x14ac:dyDescent="0.35">
      <c r="A782" s="7"/>
      <c r="C782" s="31" t="str">
        <f>IF(指数列表!B779="","",指数列表!B779)</f>
        <v/>
      </c>
      <c r="D782" s="36" t="str">
        <f>IF(C782="","",[1]!s_info_name(C782))</f>
        <v/>
      </c>
      <c r="E782" s="25" t="str">
        <f>IF(C782="","",[1]!s_dq_close(C782,$N$1))</f>
        <v/>
      </c>
      <c r="F782" s="28" t="str">
        <f>IF($C782=""," ",[1]!i_pq_pctchange($C782,F$6,$N$1))</f>
        <v xml:space="preserve"> </v>
      </c>
      <c r="G782" s="28" t="str">
        <f>IF($C782=""," ",[1]!i_pq_pctchange($C782,G$6,$N$1))</f>
        <v xml:space="preserve"> </v>
      </c>
      <c r="H782" s="28" t="str">
        <f>IF($C782=""," ",[1]!i_pq_pctchange($C782,H$6,$N$1))</f>
        <v xml:space="preserve"> </v>
      </c>
      <c r="I782" s="28" t="str">
        <f>IF($C782=""," ",[1]!i_pq_pctchange($C782,I$6,$N$1))</f>
        <v xml:space="preserve"> </v>
      </c>
      <c r="J782" s="28" t="str">
        <f>IF($C782=""," ",[1]!i_pq_pctchange($C782,J$6,$N$1))</f>
        <v xml:space="preserve"> </v>
      </c>
      <c r="K782" s="28" t="str">
        <f>IF($C782=""," ",[1]!i_pq_pctchange($C782,K$6,$N$1))</f>
        <v xml:space="preserve"> </v>
      </c>
      <c r="L782" s="28" t="str">
        <f>IF(C782=""," ",[1]!s_wq_pctchange($C782,$N$1))</f>
        <v xml:space="preserve"> </v>
      </c>
      <c r="M782" s="28" t="str">
        <f>IF(C782=""," ",[1]!s_mq_pctchange($C782,$N$1))</f>
        <v xml:space="preserve"> </v>
      </c>
      <c r="N782" s="28" t="str">
        <f>IF(C782=""," ",[1]!s_yq_pctchange($C782,$N$1))</f>
        <v xml:space="preserve"> </v>
      </c>
      <c r="O782" s="11"/>
      <c r="P782" s="7"/>
    </row>
    <row r="783" spans="1:16" x14ac:dyDescent="0.35">
      <c r="A783" s="7"/>
      <c r="C783" s="30" t="str">
        <f>IF(指数列表!B780="","",指数列表!B780)</f>
        <v/>
      </c>
      <c r="D783" s="35" t="str">
        <f>IF(C783="","",[1]!s_info_name(C783))</f>
        <v/>
      </c>
      <c r="E783" s="24" t="str">
        <f>IF(C783="","",[1]!s_dq_close(C783,$N$1))</f>
        <v/>
      </c>
      <c r="F783" s="28" t="str">
        <f>IF($C783=""," ",[1]!i_pq_pctchange($C783,F$6,$N$1))</f>
        <v xml:space="preserve"> </v>
      </c>
      <c r="G783" s="28" t="str">
        <f>IF($C783=""," ",[1]!i_pq_pctchange($C783,G$6,$N$1))</f>
        <v xml:space="preserve"> </v>
      </c>
      <c r="H783" s="28" t="str">
        <f>IF($C783=""," ",[1]!i_pq_pctchange($C783,H$6,$N$1))</f>
        <v xml:space="preserve"> </v>
      </c>
      <c r="I783" s="28" t="str">
        <f>IF($C783=""," ",[1]!i_pq_pctchange($C783,I$6,$N$1))</f>
        <v xml:space="preserve"> </v>
      </c>
      <c r="J783" s="28" t="str">
        <f>IF($C783=""," ",[1]!i_pq_pctchange($C783,J$6,$N$1))</f>
        <v xml:space="preserve"> </v>
      </c>
      <c r="K783" s="28" t="str">
        <f>IF($C783=""," ",[1]!i_pq_pctchange($C783,K$6,$N$1))</f>
        <v xml:space="preserve"> </v>
      </c>
      <c r="L783" s="28" t="str">
        <f>IF(C783=""," ",[1]!s_wq_pctchange($C783,$N$1))</f>
        <v xml:space="preserve"> </v>
      </c>
      <c r="M783" s="28" t="str">
        <f>IF(C783=""," ",[1]!s_mq_pctchange($C783,$N$1))</f>
        <v xml:space="preserve"> </v>
      </c>
      <c r="N783" s="28" t="str">
        <f>IF(C783=""," ",[1]!s_yq_pctchange($C783,$N$1))</f>
        <v xml:space="preserve"> </v>
      </c>
      <c r="O783" s="11"/>
      <c r="P783" s="7"/>
    </row>
    <row r="784" spans="1:16" x14ac:dyDescent="0.35">
      <c r="A784" s="7"/>
      <c r="C784" s="31" t="str">
        <f>IF(指数列表!B781="","",指数列表!B781)</f>
        <v/>
      </c>
      <c r="D784" s="36" t="str">
        <f>IF(C784="","",[1]!s_info_name(C784))</f>
        <v/>
      </c>
      <c r="E784" s="25" t="str">
        <f>IF(C784="","",[1]!s_dq_close(C784,$N$1))</f>
        <v/>
      </c>
      <c r="F784" s="28" t="str">
        <f>IF($C784=""," ",[1]!i_pq_pctchange($C784,F$6,$N$1))</f>
        <v xml:space="preserve"> </v>
      </c>
      <c r="G784" s="28" t="str">
        <f>IF($C784=""," ",[1]!i_pq_pctchange($C784,G$6,$N$1))</f>
        <v xml:space="preserve"> </v>
      </c>
      <c r="H784" s="28" t="str">
        <f>IF($C784=""," ",[1]!i_pq_pctchange($C784,H$6,$N$1))</f>
        <v xml:space="preserve"> </v>
      </c>
      <c r="I784" s="28" t="str">
        <f>IF($C784=""," ",[1]!i_pq_pctchange($C784,I$6,$N$1))</f>
        <v xml:space="preserve"> </v>
      </c>
      <c r="J784" s="28" t="str">
        <f>IF($C784=""," ",[1]!i_pq_pctchange($C784,J$6,$N$1))</f>
        <v xml:space="preserve"> </v>
      </c>
      <c r="K784" s="28" t="str">
        <f>IF($C784=""," ",[1]!i_pq_pctchange($C784,K$6,$N$1))</f>
        <v xml:space="preserve"> </v>
      </c>
      <c r="L784" s="28" t="str">
        <f>IF(C784=""," ",[1]!s_wq_pctchange($C784,$N$1))</f>
        <v xml:space="preserve"> </v>
      </c>
      <c r="M784" s="28" t="str">
        <f>IF(C784=""," ",[1]!s_mq_pctchange($C784,$N$1))</f>
        <v xml:space="preserve"> </v>
      </c>
      <c r="N784" s="28" t="str">
        <f>IF(C784=""," ",[1]!s_yq_pctchange($C784,$N$1))</f>
        <v xml:space="preserve"> </v>
      </c>
      <c r="O784" s="11"/>
      <c r="P784" s="7"/>
    </row>
    <row r="785" spans="1:16" x14ac:dyDescent="0.35">
      <c r="A785" s="7"/>
      <c r="C785" s="30" t="str">
        <f>IF(指数列表!B782="","",指数列表!B782)</f>
        <v/>
      </c>
      <c r="D785" s="35" t="str">
        <f>IF(C785="","",[1]!s_info_name(C785))</f>
        <v/>
      </c>
      <c r="E785" s="24" t="str">
        <f>IF(C785="","",[1]!s_dq_close(C785,$N$1))</f>
        <v/>
      </c>
      <c r="F785" s="28" t="str">
        <f>IF($C785=""," ",[1]!i_pq_pctchange($C785,F$6,$N$1))</f>
        <v xml:space="preserve"> </v>
      </c>
      <c r="G785" s="28" t="str">
        <f>IF($C785=""," ",[1]!i_pq_pctchange($C785,G$6,$N$1))</f>
        <v xml:space="preserve"> </v>
      </c>
      <c r="H785" s="28" t="str">
        <f>IF($C785=""," ",[1]!i_pq_pctchange($C785,H$6,$N$1))</f>
        <v xml:space="preserve"> </v>
      </c>
      <c r="I785" s="28" t="str">
        <f>IF($C785=""," ",[1]!i_pq_pctchange($C785,I$6,$N$1))</f>
        <v xml:space="preserve"> </v>
      </c>
      <c r="J785" s="28" t="str">
        <f>IF($C785=""," ",[1]!i_pq_pctchange($C785,J$6,$N$1))</f>
        <v xml:space="preserve"> </v>
      </c>
      <c r="K785" s="28" t="str">
        <f>IF($C785=""," ",[1]!i_pq_pctchange($C785,K$6,$N$1))</f>
        <v xml:space="preserve"> </v>
      </c>
      <c r="L785" s="28" t="str">
        <f>IF(C785=""," ",[1]!s_wq_pctchange($C785,$N$1))</f>
        <v xml:space="preserve"> </v>
      </c>
      <c r="M785" s="28" t="str">
        <f>IF(C785=""," ",[1]!s_mq_pctchange($C785,$N$1))</f>
        <v xml:space="preserve"> </v>
      </c>
      <c r="N785" s="28" t="str">
        <f>IF(C785=""," ",[1]!s_yq_pctchange($C785,$N$1))</f>
        <v xml:space="preserve"> </v>
      </c>
      <c r="O785" s="11"/>
      <c r="P785" s="7"/>
    </row>
    <row r="786" spans="1:16" x14ac:dyDescent="0.35">
      <c r="A786" s="7"/>
      <c r="C786" s="31" t="str">
        <f>IF(指数列表!B783="","",指数列表!B783)</f>
        <v/>
      </c>
      <c r="D786" s="36" t="str">
        <f>IF(C786="","",[1]!s_info_name(C786))</f>
        <v/>
      </c>
      <c r="E786" s="25" t="str">
        <f>IF(C786="","",[1]!s_dq_close(C786,$N$1))</f>
        <v/>
      </c>
      <c r="F786" s="28" t="str">
        <f>IF($C786=""," ",[1]!i_pq_pctchange($C786,F$6,$N$1))</f>
        <v xml:space="preserve"> </v>
      </c>
      <c r="G786" s="28" t="str">
        <f>IF($C786=""," ",[1]!i_pq_pctchange($C786,G$6,$N$1))</f>
        <v xml:space="preserve"> </v>
      </c>
      <c r="H786" s="28" t="str">
        <f>IF($C786=""," ",[1]!i_pq_pctchange($C786,H$6,$N$1))</f>
        <v xml:space="preserve"> </v>
      </c>
      <c r="I786" s="28" t="str">
        <f>IF($C786=""," ",[1]!i_pq_pctchange($C786,I$6,$N$1))</f>
        <v xml:space="preserve"> </v>
      </c>
      <c r="J786" s="28" t="str">
        <f>IF($C786=""," ",[1]!i_pq_pctchange($C786,J$6,$N$1))</f>
        <v xml:space="preserve"> </v>
      </c>
      <c r="K786" s="28" t="str">
        <f>IF($C786=""," ",[1]!i_pq_pctchange($C786,K$6,$N$1))</f>
        <v xml:space="preserve"> </v>
      </c>
      <c r="L786" s="28" t="str">
        <f>IF(C786=""," ",[1]!s_wq_pctchange($C786,$N$1))</f>
        <v xml:space="preserve"> </v>
      </c>
      <c r="M786" s="28" t="str">
        <f>IF(C786=""," ",[1]!s_mq_pctchange($C786,$N$1))</f>
        <v xml:space="preserve"> </v>
      </c>
      <c r="N786" s="28" t="str">
        <f>IF(C786=""," ",[1]!s_yq_pctchange($C786,$N$1))</f>
        <v xml:space="preserve"> </v>
      </c>
      <c r="O786" s="11"/>
      <c r="P786" s="7"/>
    </row>
    <row r="787" spans="1:16" x14ac:dyDescent="0.35">
      <c r="A787" s="7"/>
      <c r="C787" s="30" t="str">
        <f>IF(指数列表!B784="","",指数列表!B784)</f>
        <v/>
      </c>
      <c r="D787" s="35" t="str">
        <f>IF(C787="","",[1]!s_info_name(C787))</f>
        <v/>
      </c>
      <c r="E787" s="24" t="str">
        <f>IF(C787="","",[1]!s_dq_close(C787,$N$1))</f>
        <v/>
      </c>
      <c r="F787" s="28" t="str">
        <f>IF($C787=""," ",[1]!i_pq_pctchange($C787,F$6,$N$1))</f>
        <v xml:space="preserve"> </v>
      </c>
      <c r="G787" s="28" t="str">
        <f>IF($C787=""," ",[1]!i_pq_pctchange($C787,G$6,$N$1))</f>
        <v xml:space="preserve"> </v>
      </c>
      <c r="H787" s="28" t="str">
        <f>IF($C787=""," ",[1]!i_pq_pctchange($C787,H$6,$N$1))</f>
        <v xml:space="preserve"> </v>
      </c>
      <c r="I787" s="28" t="str">
        <f>IF($C787=""," ",[1]!i_pq_pctchange($C787,I$6,$N$1))</f>
        <v xml:space="preserve"> </v>
      </c>
      <c r="J787" s="28" t="str">
        <f>IF($C787=""," ",[1]!i_pq_pctchange($C787,J$6,$N$1))</f>
        <v xml:space="preserve"> </v>
      </c>
      <c r="K787" s="28" t="str">
        <f>IF($C787=""," ",[1]!i_pq_pctchange($C787,K$6,$N$1))</f>
        <v xml:space="preserve"> </v>
      </c>
      <c r="L787" s="28" t="str">
        <f>IF(C787=""," ",[1]!s_wq_pctchange($C787,$N$1))</f>
        <v xml:space="preserve"> </v>
      </c>
      <c r="M787" s="28" t="str">
        <f>IF(C787=""," ",[1]!s_mq_pctchange($C787,$N$1))</f>
        <v xml:space="preserve"> </v>
      </c>
      <c r="N787" s="28" t="str">
        <f>IF(C787=""," ",[1]!s_yq_pctchange($C787,$N$1))</f>
        <v xml:space="preserve"> </v>
      </c>
      <c r="O787" s="11"/>
      <c r="P787" s="7"/>
    </row>
    <row r="788" spans="1:16" x14ac:dyDescent="0.35">
      <c r="A788" s="7"/>
      <c r="C788" s="31" t="str">
        <f>IF(指数列表!B785="","",指数列表!B785)</f>
        <v/>
      </c>
      <c r="D788" s="36" t="str">
        <f>IF(C788="","",[1]!s_info_name(C788))</f>
        <v/>
      </c>
      <c r="E788" s="25" t="str">
        <f>IF(C788="","",[1]!s_dq_close(C788,$N$1))</f>
        <v/>
      </c>
      <c r="F788" s="28" t="str">
        <f>IF($C788=""," ",[1]!i_pq_pctchange($C788,F$6,$N$1))</f>
        <v xml:space="preserve"> </v>
      </c>
      <c r="G788" s="28" t="str">
        <f>IF($C788=""," ",[1]!i_pq_pctchange($C788,G$6,$N$1))</f>
        <v xml:space="preserve"> </v>
      </c>
      <c r="H788" s="28" t="str">
        <f>IF($C788=""," ",[1]!i_pq_pctchange($C788,H$6,$N$1))</f>
        <v xml:space="preserve"> </v>
      </c>
      <c r="I788" s="28" t="str">
        <f>IF($C788=""," ",[1]!i_pq_pctchange($C788,I$6,$N$1))</f>
        <v xml:space="preserve"> </v>
      </c>
      <c r="J788" s="28" t="str">
        <f>IF($C788=""," ",[1]!i_pq_pctchange($C788,J$6,$N$1))</f>
        <v xml:space="preserve"> </v>
      </c>
      <c r="K788" s="28" t="str">
        <f>IF($C788=""," ",[1]!i_pq_pctchange($C788,K$6,$N$1))</f>
        <v xml:space="preserve"> </v>
      </c>
      <c r="L788" s="28" t="str">
        <f>IF(C788=""," ",[1]!s_wq_pctchange($C788,$N$1))</f>
        <v xml:space="preserve"> </v>
      </c>
      <c r="M788" s="28" t="str">
        <f>IF(C788=""," ",[1]!s_mq_pctchange($C788,$N$1))</f>
        <v xml:space="preserve"> </v>
      </c>
      <c r="N788" s="28" t="str">
        <f>IF(C788=""," ",[1]!s_yq_pctchange($C788,$N$1))</f>
        <v xml:space="preserve"> </v>
      </c>
      <c r="O788" s="11"/>
      <c r="P788" s="7"/>
    </row>
    <row r="789" spans="1:16" x14ac:dyDescent="0.35">
      <c r="A789" s="7"/>
      <c r="C789" s="30" t="str">
        <f>IF(指数列表!B786="","",指数列表!B786)</f>
        <v/>
      </c>
      <c r="D789" s="35" t="str">
        <f>IF(C789="","",[1]!s_info_name(C789))</f>
        <v/>
      </c>
      <c r="E789" s="24" t="str">
        <f>IF(C789="","",[1]!s_dq_close(C789,$N$1))</f>
        <v/>
      </c>
      <c r="F789" s="28" t="str">
        <f>IF($C789=""," ",[1]!i_pq_pctchange($C789,F$6,$N$1))</f>
        <v xml:space="preserve"> </v>
      </c>
      <c r="G789" s="28" t="str">
        <f>IF($C789=""," ",[1]!i_pq_pctchange($C789,G$6,$N$1))</f>
        <v xml:space="preserve"> </v>
      </c>
      <c r="H789" s="28" t="str">
        <f>IF($C789=""," ",[1]!i_pq_pctchange($C789,H$6,$N$1))</f>
        <v xml:space="preserve"> </v>
      </c>
      <c r="I789" s="28" t="str">
        <f>IF($C789=""," ",[1]!i_pq_pctchange($C789,I$6,$N$1))</f>
        <v xml:space="preserve"> </v>
      </c>
      <c r="J789" s="28" t="str">
        <f>IF($C789=""," ",[1]!i_pq_pctchange($C789,J$6,$N$1))</f>
        <v xml:space="preserve"> </v>
      </c>
      <c r="K789" s="28" t="str">
        <f>IF($C789=""," ",[1]!i_pq_pctchange($C789,K$6,$N$1))</f>
        <v xml:space="preserve"> </v>
      </c>
      <c r="L789" s="28" t="str">
        <f>IF(C789=""," ",[1]!s_wq_pctchange($C789,$N$1))</f>
        <v xml:space="preserve"> </v>
      </c>
      <c r="M789" s="28" t="str">
        <f>IF(C789=""," ",[1]!s_mq_pctchange($C789,$N$1))</f>
        <v xml:space="preserve"> </v>
      </c>
      <c r="N789" s="28" t="str">
        <f>IF(C789=""," ",[1]!s_yq_pctchange($C789,$N$1))</f>
        <v xml:space="preserve"> </v>
      </c>
      <c r="O789" s="11"/>
      <c r="P789" s="7"/>
    </row>
    <row r="790" spans="1:16" x14ac:dyDescent="0.35">
      <c r="A790" s="7"/>
      <c r="C790" s="31" t="str">
        <f>IF(指数列表!B787="","",指数列表!B787)</f>
        <v/>
      </c>
      <c r="D790" s="36" t="str">
        <f>IF(C790="","",[1]!s_info_name(C790))</f>
        <v/>
      </c>
      <c r="E790" s="25" t="str">
        <f>IF(C790="","",[1]!s_dq_close(C790,$N$1))</f>
        <v/>
      </c>
      <c r="F790" s="28" t="str">
        <f>IF($C790=""," ",[1]!i_pq_pctchange($C790,F$6,$N$1))</f>
        <v xml:space="preserve"> </v>
      </c>
      <c r="G790" s="28" t="str">
        <f>IF($C790=""," ",[1]!i_pq_pctchange($C790,G$6,$N$1))</f>
        <v xml:space="preserve"> </v>
      </c>
      <c r="H790" s="28" t="str">
        <f>IF($C790=""," ",[1]!i_pq_pctchange($C790,H$6,$N$1))</f>
        <v xml:space="preserve"> </v>
      </c>
      <c r="I790" s="28" t="str">
        <f>IF($C790=""," ",[1]!i_pq_pctchange($C790,I$6,$N$1))</f>
        <v xml:space="preserve"> </v>
      </c>
      <c r="J790" s="28" t="str">
        <f>IF($C790=""," ",[1]!i_pq_pctchange($C790,J$6,$N$1))</f>
        <v xml:space="preserve"> </v>
      </c>
      <c r="K790" s="28" t="str">
        <f>IF($C790=""," ",[1]!i_pq_pctchange($C790,K$6,$N$1))</f>
        <v xml:space="preserve"> </v>
      </c>
      <c r="L790" s="28" t="str">
        <f>IF(C790=""," ",[1]!s_wq_pctchange($C790,$N$1))</f>
        <v xml:space="preserve"> </v>
      </c>
      <c r="M790" s="28" t="str">
        <f>IF(C790=""," ",[1]!s_mq_pctchange($C790,$N$1))</f>
        <v xml:space="preserve"> </v>
      </c>
      <c r="N790" s="28" t="str">
        <f>IF(C790=""," ",[1]!s_yq_pctchange($C790,$N$1))</f>
        <v xml:space="preserve"> </v>
      </c>
      <c r="O790" s="11"/>
      <c r="P790" s="7"/>
    </row>
    <row r="791" spans="1:16" x14ac:dyDescent="0.35">
      <c r="A791" s="7"/>
      <c r="C791" s="30" t="str">
        <f>IF(指数列表!B788="","",指数列表!B788)</f>
        <v/>
      </c>
      <c r="D791" s="35" t="str">
        <f>IF(C791="","",[1]!s_info_name(C791))</f>
        <v/>
      </c>
      <c r="E791" s="24" t="str">
        <f>IF(C791="","",[1]!s_dq_close(C791,$N$1))</f>
        <v/>
      </c>
      <c r="F791" s="28" t="str">
        <f>IF($C791=""," ",[1]!i_pq_pctchange($C791,F$6,$N$1))</f>
        <v xml:space="preserve"> </v>
      </c>
      <c r="G791" s="28" t="str">
        <f>IF($C791=""," ",[1]!i_pq_pctchange($C791,G$6,$N$1))</f>
        <v xml:space="preserve"> </v>
      </c>
      <c r="H791" s="28" t="str">
        <f>IF($C791=""," ",[1]!i_pq_pctchange($C791,H$6,$N$1))</f>
        <v xml:space="preserve"> </v>
      </c>
      <c r="I791" s="28" t="str">
        <f>IF($C791=""," ",[1]!i_pq_pctchange($C791,I$6,$N$1))</f>
        <v xml:space="preserve"> </v>
      </c>
      <c r="J791" s="28" t="str">
        <f>IF($C791=""," ",[1]!i_pq_pctchange($C791,J$6,$N$1))</f>
        <v xml:space="preserve"> </v>
      </c>
      <c r="K791" s="28" t="str">
        <f>IF($C791=""," ",[1]!i_pq_pctchange($C791,K$6,$N$1))</f>
        <v xml:space="preserve"> </v>
      </c>
      <c r="L791" s="28" t="str">
        <f>IF(C791=""," ",[1]!s_wq_pctchange($C791,$N$1))</f>
        <v xml:space="preserve"> </v>
      </c>
      <c r="M791" s="28" t="str">
        <f>IF(C791=""," ",[1]!s_mq_pctchange($C791,$N$1))</f>
        <v xml:space="preserve"> </v>
      </c>
      <c r="N791" s="28" t="str">
        <f>IF(C791=""," ",[1]!s_yq_pctchange($C791,$N$1))</f>
        <v xml:space="preserve"> </v>
      </c>
      <c r="O791" s="11"/>
      <c r="P791" s="7"/>
    </row>
    <row r="792" spans="1:16" x14ac:dyDescent="0.35">
      <c r="A792" s="7"/>
      <c r="C792" s="31" t="str">
        <f>IF(指数列表!B789="","",指数列表!B789)</f>
        <v/>
      </c>
      <c r="D792" s="36" t="str">
        <f>IF(C792="","",[1]!s_info_name(C792))</f>
        <v/>
      </c>
      <c r="E792" s="25" t="str">
        <f>IF(C792="","",[1]!s_dq_close(C792,$N$1))</f>
        <v/>
      </c>
      <c r="F792" s="28" t="str">
        <f>IF($C792=""," ",[1]!i_pq_pctchange($C792,F$6,$N$1))</f>
        <v xml:space="preserve"> </v>
      </c>
      <c r="G792" s="28" t="str">
        <f>IF($C792=""," ",[1]!i_pq_pctchange($C792,G$6,$N$1))</f>
        <v xml:space="preserve"> </v>
      </c>
      <c r="H792" s="28" t="str">
        <f>IF($C792=""," ",[1]!i_pq_pctchange($C792,H$6,$N$1))</f>
        <v xml:space="preserve"> </v>
      </c>
      <c r="I792" s="28" t="str">
        <f>IF($C792=""," ",[1]!i_pq_pctchange($C792,I$6,$N$1))</f>
        <v xml:space="preserve"> </v>
      </c>
      <c r="J792" s="28" t="str">
        <f>IF($C792=""," ",[1]!i_pq_pctchange($C792,J$6,$N$1))</f>
        <v xml:space="preserve"> </v>
      </c>
      <c r="K792" s="28" t="str">
        <f>IF($C792=""," ",[1]!i_pq_pctchange($C792,K$6,$N$1))</f>
        <v xml:space="preserve"> </v>
      </c>
      <c r="L792" s="28" t="str">
        <f>IF(C792=""," ",[1]!s_wq_pctchange($C792,$N$1))</f>
        <v xml:space="preserve"> </v>
      </c>
      <c r="M792" s="28" t="str">
        <f>IF(C792=""," ",[1]!s_mq_pctchange($C792,$N$1))</f>
        <v xml:space="preserve"> </v>
      </c>
      <c r="N792" s="28" t="str">
        <f>IF(C792=""," ",[1]!s_yq_pctchange($C792,$N$1))</f>
        <v xml:space="preserve"> </v>
      </c>
      <c r="O792" s="11"/>
      <c r="P792" s="7"/>
    </row>
    <row r="793" spans="1:16" x14ac:dyDescent="0.35">
      <c r="A793" s="7"/>
      <c r="C793" s="30" t="str">
        <f>IF(指数列表!B790="","",指数列表!B790)</f>
        <v/>
      </c>
      <c r="D793" s="35" t="str">
        <f>IF(C793="","",[1]!s_info_name(C793))</f>
        <v/>
      </c>
      <c r="E793" s="24" t="str">
        <f>IF(C793="","",[1]!s_dq_close(C793,$N$1))</f>
        <v/>
      </c>
      <c r="F793" s="28" t="str">
        <f>IF($C793=""," ",[1]!i_pq_pctchange($C793,F$6,$N$1))</f>
        <v xml:space="preserve"> </v>
      </c>
      <c r="G793" s="28" t="str">
        <f>IF($C793=""," ",[1]!i_pq_pctchange($C793,G$6,$N$1))</f>
        <v xml:space="preserve"> </v>
      </c>
      <c r="H793" s="28" t="str">
        <f>IF($C793=""," ",[1]!i_pq_pctchange($C793,H$6,$N$1))</f>
        <v xml:space="preserve"> </v>
      </c>
      <c r="I793" s="28" t="str">
        <f>IF($C793=""," ",[1]!i_pq_pctchange($C793,I$6,$N$1))</f>
        <v xml:space="preserve"> </v>
      </c>
      <c r="J793" s="28" t="str">
        <f>IF($C793=""," ",[1]!i_pq_pctchange($C793,J$6,$N$1))</f>
        <v xml:space="preserve"> </v>
      </c>
      <c r="K793" s="28" t="str">
        <f>IF($C793=""," ",[1]!i_pq_pctchange($C793,K$6,$N$1))</f>
        <v xml:space="preserve"> </v>
      </c>
      <c r="L793" s="28" t="str">
        <f>IF(C793=""," ",[1]!s_wq_pctchange($C793,$N$1))</f>
        <v xml:space="preserve"> </v>
      </c>
      <c r="M793" s="28" t="str">
        <f>IF(C793=""," ",[1]!s_mq_pctchange($C793,$N$1))</f>
        <v xml:space="preserve"> </v>
      </c>
      <c r="N793" s="28" t="str">
        <f>IF(C793=""," ",[1]!s_yq_pctchange($C793,$N$1))</f>
        <v xml:space="preserve"> </v>
      </c>
      <c r="O793" s="11"/>
      <c r="P793" s="7"/>
    </row>
    <row r="794" spans="1:16" x14ac:dyDescent="0.35">
      <c r="A794" s="7"/>
      <c r="C794" s="31" t="str">
        <f>IF(指数列表!B791="","",指数列表!B791)</f>
        <v/>
      </c>
      <c r="D794" s="36" t="str">
        <f>IF(C794="","",[1]!s_info_name(C794))</f>
        <v/>
      </c>
      <c r="E794" s="25" t="str">
        <f>IF(C794="","",[1]!s_dq_close(C794,$N$1))</f>
        <v/>
      </c>
      <c r="F794" s="28" t="str">
        <f>IF($C794=""," ",[1]!i_pq_pctchange($C794,F$6,$N$1))</f>
        <v xml:space="preserve"> </v>
      </c>
      <c r="G794" s="28" t="str">
        <f>IF($C794=""," ",[1]!i_pq_pctchange($C794,G$6,$N$1))</f>
        <v xml:space="preserve"> </v>
      </c>
      <c r="H794" s="28" t="str">
        <f>IF($C794=""," ",[1]!i_pq_pctchange($C794,H$6,$N$1))</f>
        <v xml:space="preserve"> </v>
      </c>
      <c r="I794" s="28" t="str">
        <f>IF($C794=""," ",[1]!i_pq_pctchange($C794,I$6,$N$1))</f>
        <v xml:space="preserve"> </v>
      </c>
      <c r="J794" s="28" t="str">
        <f>IF($C794=""," ",[1]!i_pq_pctchange($C794,J$6,$N$1))</f>
        <v xml:space="preserve"> </v>
      </c>
      <c r="K794" s="28" t="str">
        <f>IF($C794=""," ",[1]!i_pq_pctchange($C794,K$6,$N$1))</f>
        <v xml:space="preserve"> </v>
      </c>
      <c r="L794" s="28" t="str">
        <f>IF(C794=""," ",[1]!s_wq_pctchange($C794,$N$1))</f>
        <v xml:space="preserve"> </v>
      </c>
      <c r="M794" s="28" t="str">
        <f>IF(C794=""," ",[1]!s_mq_pctchange($C794,$N$1))</f>
        <v xml:space="preserve"> </v>
      </c>
      <c r="N794" s="28" t="str">
        <f>IF(C794=""," ",[1]!s_yq_pctchange($C794,$N$1))</f>
        <v xml:space="preserve"> </v>
      </c>
      <c r="O794" s="11"/>
      <c r="P794" s="7"/>
    </row>
    <row r="795" spans="1:16" x14ac:dyDescent="0.35">
      <c r="A795" s="7"/>
      <c r="C795" s="30" t="str">
        <f>IF(指数列表!B792="","",指数列表!B792)</f>
        <v/>
      </c>
      <c r="D795" s="35" t="str">
        <f>IF(C795="","",[1]!s_info_name(C795))</f>
        <v/>
      </c>
      <c r="E795" s="24" t="str">
        <f>IF(C795="","",[1]!s_dq_close(C795,$N$1))</f>
        <v/>
      </c>
      <c r="F795" s="28" t="str">
        <f>IF($C795=""," ",[1]!i_pq_pctchange($C795,F$6,$N$1))</f>
        <v xml:space="preserve"> </v>
      </c>
      <c r="G795" s="28" t="str">
        <f>IF($C795=""," ",[1]!i_pq_pctchange($C795,G$6,$N$1))</f>
        <v xml:space="preserve"> </v>
      </c>
      <c r="H795" s="28" t="str">
        <f>IF($C795=""," ",[1]!i_pq_pctchange($C795,H$6,$N$1))</f>
        <v xml:space="preserve"> </v>
      </c>
      <c r="I795" s="28" t="str">
        <f>IF($C795=""," ",[1]!i_pq_pctchange($C795,I$6,$N$1))</f>
        <v xml:space="preserve"> </v>
      </c>
      <c r="J795" s="28" t="str">
        <f>IF($C795=""," ",[1]!i_pq_pctchange($C795,J$6,$N$1))</f>
        <v xml:space="preserve"> </v>
      </c>
      <c r="K795" s="28" t="str">
        <f>IF($C795=""," ",[1]!i_pq_pctchange($C795,K$6,$N$1))</f>
        <v xml:space="preserve"> </v>
      </c>
      <c r="L795" s="28" t="str">
        <f>IF(C795=""," ",[1]!s_wq_pctchange($C795,$N$1))</f>
        <v xml:space="preserve"> </v>
      </c>
      <c r="M795" s="28" t="str">
        <f>IF(C795=""," ",[1]!s_mq_pctchange($C795,$N$1))</f>
        <v xml:space="preserve"> </v>
      </c>
      <c r="N795" s="28" t="str">
        <f>IF(C795=""," ",[1]!s_yq_pctchange($C795,$N$1))</f>
        <v xml:space="preserve"> </v>
      </c>
      <c r="O795" s="11"/>
      <c r="P795" s="7"/>
    </row>
    <row r="796" spans="1:16" x14ac:dyDescent="0.35">
      <c r="A796" s="7"/>
      <c r="C796" s="31" t="str">
        <f>IF(指数列表!B793="","",指数列表!B793)</f>
        <v/>
      </c>
      <c r="D796" s="36" t="str">
        <f>IF(C796="","",[1]!s_info_name(C796))</f>
        <v/>
      </c>
      <c r="E796" s="25" t="str">
        <f>IF(C796="","",[1]!s_dq_close(C796,$N$1))</f>
        <v/>
      </c>
      <c r="F796" s="28" t="str">
        <f>IF($C796=""," ",[1]!i_pq_pctchange($C796,F$6,$N$1))</f>
        <v xml:space="preserve"> </v>
      </c>
      <c r="G796" s="28" t="str">
        <f>IF($C796=""," ",[1]!i_pq_pctchange($C796,G$6,$N$1))</f>
        <v xml:space="preserve"> </v>
      </c>
      <c r="H796" s="28" t="str">
        <f>IF($C796=""," ",[1]!i_pq_pctchange($C796,H$6,$N$1))</f>
        <v xml:space="preserve"> </v>
      </c>
      <c r="I796" s="28" t="str">
        <f>IF($C796=""," ",[1]!i_pq_pctchange($C796,I$6,$N$1))</f>
        <v xml:space="preserve"> </v>
      </c>
      <c r="J796" s="28" t="str">
        <f>IF($C796=""," ",[1]!i_pq_pctchange($C796,J$6,$N$1))</f>
        <v xml:space="preserve"> </v>
      </c>
      <c r="K796" s="28" t="str">
        <f>IF($C796=""," ",[1]!i_pq_pctchange($C796,K$6,$N$1))</f>
        <v xml:space="preserve"> </v>
      </c>
      <c r="L796" s="28" t="str">
        <f>IF(C796=""," ",[1]!s_wq_pctchange($C796,$N$1))</f>
        <v xml:space="preserve"> </v>
      </c>
      <c r="M796" s="28" t="str">
        <f>IF(C796=""," ",[1]!s_mq_pctchange($C796,$N$1))</f>
        <v xml:space="preserve"> </v>
      </c>
      <c r="N796" s="28" t="str">
        <f>IF(C796=""," ",[1]!s_yq_pctchange($C796,$N$1))</f>
        <v xml:space="preserve"> </v>
      </c>
      <c r="O796" s="11"/>
      <c r="P796" s="7"/>
    </row>
    <row r="797" spans="1:16" x14ac:dyDescent="0.35">
      <c r="A797" s="7"/>
      <c r="C797" s="30" t="str">
        <f>IF(指数列表!B794="","",指数列表!B794)</f>
        <v/>
      </c>
      <c r="D797" s="35" t="str">
        <f>IF(C797="","",[1]!s_info_name(C797))</f>
        <v/>
      </c>
      <c r="E797" s="24" t="str">
        <f>IF(C797="","",[1]!s_dq_close(C797,$N$1))</f>
        <v/>
      </c>
      <c r="F797" s="28" t="str">
        <f>IF($C797=""," ",[1]!i_pq_pctchange($C797,F$6,$N$1))</f>
        <v xml:space="preserve"> </v>
      </c>
      <c r="G797" s="28" t="str">
        <f>IF($C797=""," ",[1]!i_pq_pctchange($C797,G$6,$N$1))</f>
        <v xml:space="preserve"> </v>
      </c>
      <c r="H797" s="28" t="str">
        <f>IF($C797=""," ",[1]!i_pq_pctchange($C797,H$6,$N$1))</f>
        <v xml:space="preserve"> </v>
      </c>
      <c r="I797" s="28" t="str">
        <f>IF($C797=""," ",[1]!i_pq_pctchange($C797,I$6,$N$1))</f>
        <v xml:space="preserve"> </v>
      </c>
      <c r="J797" s="28" t="str">
        <f>IF($C797=""," ",[1]!i_pq_pctchange($C797,J$6,$N$1))</f>
        <v xml:space="preserve"> </v>
      </c>
      <c r="K797" s="28" t="str">
        <f>IF($C797=""," ",[1]!i_pq_pctchange($C797,K$6,$N$1))</f>
        <v xml:space="preserve"> </v>
      </c>
      <c r="L797" s="28" t="str">
        <f>IF(C797=""," ",[1]!s_wq_pctchange($C797,$N$1))</f>
        <v xml:space="preserve"> </v>
      </c>
      <c r="M797" s="28" t="str">
        <f>IF(C797=""," ",[1]!s_mq_pctchange($C797,$N$1))</f>
        <v xml:space="preserve"> </v>
      </c>
      <c r="N797" s="28" t="str">
        <f>IF(C797=""," ",[1]!s_yq_pctchange($C797,$N$1))</f>
        <v xml:space="preserve"> </v>
      </c>
      <c r="O797" s="11"/>
      <c r="P797" s="7"/>
    </row>
    <row r="798" spans="1:16" x14ac:dyDescent="0.35">
      <c r="A798" s="7"/>
      <c r="C798" s="31" t="str">
        <f>IF(指数列表!B795="","",指数列表!B795)</f>
        <v/>
      </c>
      <c r="D798" s="36" t="str">
        <f>IF(C798="","",[1]!s_info_name(C798))</f>
        <v/>
      </c>
      <c r="E798" s="25" t="str">
        <f>IF(C798="","",[1]!s_dq_close(C798,$N$1))</f>
        <v/>
      </c>
      <c r="F798" s="28" t="str">
        <f>IF($C798=""," ",[1]!i_pq_pctchange($C798,F$6,$N$1))</f>
        <v xml:space="preserve"> </v>
      </c>
      <c r="G798" s="28" t="str">
        <f>IF($C798=""," ",[1]!i_pq_pctchange($C798,G$6,$N$1))</f>
        <v xml:space="preserve"> </v>
      </c>
      <c r="H798" s="28" t="str">
        <f>IF($C798=""," ",[1]!i_pq_pctchange($C798,H$6,$N$1))</f>
        <v xml:space="preserve"> </v>
      </c>
      <c r="I798" s="28" t="str">
        <f>IF($C798=""," ",[1]!i_pq_pctchange($C798,I$6,$N$1))</f>
        <v xml:space="preserve"> </v>
      </c>
      <c r="J798" s="28" t="str">
        <f>IF($C798=""," ",[1]!i_pq_pctchange($C798,J$6,$N$1))</f>
        <v xml:space="preserve"> </v>
      </c>
      <c r="K798" s="28" t="str">
        <f>IF($C798=""," ",[1]!i_pq_pctchange($C798,K$6,$N$1))</f>
        <v xml:space="preserve"> </v>
      </c>
      <c r="L798" s="28" t="str">
        <f>IF(C798=""," ",[1]!s_wq_pctchange($C798,$N$1))</f>
        <v xml:space="preserve"> </v>
      </c>
      <c r="M798" s="28" t="str">
        <f>IF(C798=""," ",[1]!s_mq_pctchange($C798,$N$1))</f>
        <v xml:space="preserve"> </v>
      </c>
      <c r="N798" s="28" t="str">
        <f>IF(C798=""," ",[1]!s_yq_pctchange($C798,$N$1))</f>
        <v xml:space="preserve"> </v>
      </c>
      <c r="O798" s="11"/>
      <c r="P798" s="7"/>
    </row>
    <row r="799" spans="1:16" x14ac:dyDescent="0.35">
      <c r="A799" s="7"/>
      <c r="C799" s="30" t="str">
        <f>IF(指数列表!B796="","",指数列表!B796)</f>
        <v/>
      </c>
      <c r="D799" s="35" t="str">
        <f>IF(C799="","",[1]!s_info_name(C799))</f>
        <v/>
      </c>
      <c r="E799" s="24" t="str">
        <f>IF(C799="","",[1]!s_dq_close(C799,$N$1))</f>
        <v/>
      </c>
      <c r="F799" s="28" t="str">
        <f>IF($C799=""," ",[1]!i_pq_pctchange($C799,F$6,$N$1))</f>
        <v xml:space="preserve"> </v>
      </c>
      <c r="G799" s="28" t="str">
        <f>IF($C799=""," ",[1]!i_pq_pctchange($C799,G$6,$N$1))</f>
        <v xml:space="preserve"> </v>
      </c>
      <c r="H799" s="28" t="str">
        <f>IF($C799=""," ",[1]!i_pq_pctchange($C799,H$6,$N$1))</f>
        <v xml:space="preserve"> </v>
      </c>
      <c r="I799" s="28" t="str">
        <f>IF($C799=""," ",[1]!i_pq_pctchange($C799,I$6,$N$1))</f>
        <v xml:space="preserve"> </v>
      </c>
      <c r="J799" s="28" t="str">
        <f>IF($C799=""," ",[1]!i_pq_pctchange($C799,J$6,$N$1))</f>
        <v xml:space="preserve"> </v>
      </c>
      <c r="K799" s="28" t="str">
        <f>IF($C799=""," ",[1]!i_pq_pctchange($C799,K$6,$N$1))</f>
        <v xml:space="preserve"> </v>
      </c>
      <c r="L799" s="28" t="str">
        <f>IF(C799=""," ",[1]!s_wq_pctchange($C799,$N$1))</f>
        <v xml:space="preserve"> </v>
      </c>
      <c r="M799" s="28" t="str">
        <f>IF(C799=""," ",[1]!s_mq_pctchange($C799,$N$1))</f>
        <v xml:space="preserve"> </v>
      </c>
      <c r="N799" s="28" t="str">
        <f>IF(C799=""," ",[1]!s_yq_pctchange($C799,$N$1))</f>
        <v xml:space="preserve"> </v>
      </c>
      <c r="O799" s="11"/>
      <c r="P799" s="7"/>
    </row>
    <row r="800" spans="1:16" x14ac:dyDescent="0.35">
      <c r="A800" s="7"/>
      <c r="C800" s="31" t="str">
        <f>IF(指数列表!B797="","",指数列表!B797)</f>
        <v/>
      </c>
      <c r="D800" s="36" t="str">
        <f>IF(C800="","",[1]!s_info_name(C800))</f>
        <v/>
      </c>
      <c r="E800" s="25" t="str">
        <f>IF(C800="","",[1]!s_dq_close(C800,$N$1))</f>
        <v/>
      </c>
      <c r="F800" s="28" t="str">
        <f>IF($C800=""," ",[1]!i_pq_pctchange($C800,F$6,$N$1))</f>
        <v xml:space="preserve"> </v>
      </c>
      <c r="G800" s="28" t="str">
        <f>IF($C800=""," ",[1]!i_pq_pctchange($C800,G$6,$N$1))</f>
        <v xml:space="preserve"> </v>
      </c>
      <c r="H800" s="28" t="str">
        <f>IF($C800=""," ",[1]!i_pq_pctchange($C800,H$6,$N$1))</f>
        <v xml:space="preserve"> </v>
      </c>
      <c r="I800" s="28" t="str">
        <f>IF($C800=""," ",[1]!i_pq_pctchange($C800,I$6,$N$1))</f>
        <v xml:space="preserve"> </v>
      </c>
      <c r="J800" s="28" t="str">
        <f>IF($C800=""," ",[1]!i_pq_pctchange($C800,J$6,$N$1))</f>
        <v xml:space="preserve"> </v>
      </c>
      <c r="K800" s="28" t="str">
        <f>IF($C800=""," ",[1]!i_pq_pctchange($C800,K$6,$N$1))</f>
        <v xml:space="preserve"> </v>
      </c>
      <c r="L800" s="28" t="str">
        <f>IF(C800=""," ",[1]!s_wq_pctchange($C800,$N$1))</f>
        <v xml:space="preserve"> </v>
      </c>
      <c r="M800" s="28" t="str">
        <f>IF(C800=""," ",[1]!s_mq_pctchange($C800,$N$1))</f>
        <v xml:space="preserve"> </v>
      </c>
      <c r="N800" s="28" t="str">
        <f>IF(C800=""," ",[1]!s_yq_pctchange($C800,$N$1))</f>
        <v xml:space="preserve"> </v>
      </c>
      <c r="O800" s="11"/>
      <c r="P800" s="7"/>
    </row>
    <row r="801" spans="1:16" x14ac:dyDescent="0.35">
      <c r="A801" s="7"/>
      <c r="C801" s="30" t="str">
        <f>IF(指数列表!B798="","",指数列表!B798)</f>
        <v/>
      </c>
      <c r="D801" s="35" t="str">
        <f>IF(C801="","",[1]!s_info_name(C801))</f>
        <v/>
      </c>
      <c r="E801" s="24" t="str">
        <f>IF(C801="","",[1]!s_dq_close(C801,$N$1))</f>
        <v/>
      </c>
      <c r="F801" s="28" t="str">
        <f>IF($C801=""," ",[1]!i_pq_pctchange($C801,F$6,$N$1))</f>
        <v xml:space="preserve"> </v>
      </c>
      <c r="G801" s="28" t="str">
        <f>IF($C801=""," ",[1]!i_pq_pctchange($C801,G$6,$N$1))</f>
        <v xml:space="preserve"> </v>
      </c>
      <c r="H801" s="28" t="str">
        <f>IF($C801=""," ",[1]!i_pq_pctchange($C801,H$6,$N$1))</f>
        <v xml:space="preserve"> </v>
      </c>
      <c r="I801" s="28" t="str">
        <f>IF($C801=""," ",[1]!i_pq_pctchange($C801,I$6,$N$1))</f>
        <v xml:space="preserve"> </v>
      </c>
      <c r="J801" s="28" t="str">
        <f>IF($C801=""," ",[1]!i_pq_pctchange($C801,J$6,$N$1))</f>
        <v xml:space="preserve"> </v>
      </c>
      <c r="K801" s="28" t="str">
        <f>IF($C801=""," ",[1]!i_pq_pctchange($C801,K$6,$N$1))</f>
        <v xml:space="preserve"> </v>
      </c>
      <c r="L801" s="28" t="str">
        <f>IF(C801=""," ",[1]!s_wq_pctchange($C801,$N$1))</f>
        <v xml:space="preserve"> </v>
      </c>
      <c r="M801" s="28" t="str">
        <f>IF(C801=""," ",[1]!s_mq_pctchange($C801,$N$1))</f>
        <v xml:space="preserve"> </v>
      </c>
      <c r="N801" s="28" t="str">
        <f>IF(C801=""," ",[1]!s_yq_pctchange($C801,$N$1))</f>
        <v xml:space="preserve"> </v>
      </c>
      <c r="O801" s="11"/>
      <c r="P801" s="7"/>
    </row>
    <row r="802" spans="1:16" x14ac:dyDescent="0.35">
      <c r="A802" s="7"/>
      <c r="C802" s="31" t="str">
        <f>IF(指数列表!B799="","",指数列表!B799)</f>
        <v/>
      </c>
      <c r="D802" s="36" t="str">
        <f>IF(C802="","",[1]!s_info_name(C802))</f>
        <v/>
      </c>
      <c r="E802" s="25" t="str">
        <f>IF(C802="","",[1]!s_dq_close(C802,$N$1))</f>
        <v/>
      </c>
      <c r="F802" s="28" t="str">
        <f>IF($C802=""," ",[1]!i_pq_pctchange($C802,F$6,$N$1))</f>
        <v xml:space="preserve"> </v>
      </c>
      <c r="G802" s="28" t="str">
        <f>IF($C802=""," ",[1]!i_pq_pctchange($C802,G$6,$N$1))</f>
        <v xml:space="preserve"> </v>
      </c>
      <c r="H802" s="28" t="str">
        <f>IF($C802=""," ",[1]!i_pq_pctchange($C802,H$6,$N$1))</f>
        <v xml:space="preserve"> </v>
      </c>
      <c r="I802" s="28" t="str">
        <f>IF($C802=""," ",[1]!i_pq_pctchange($C802,I$6,$N$1))</f>
        <v xml:space="preserve"> </v>
      </c>
      <c r="J802" s="28" t="str">
        <f>IF($C802=""," ",[1]!i_pq_pctchange($C802,J$6,$N$1))</f>
        <v xml:space="preserve"> </v>
      </c>
      <c r="K802" s="28" t="str">
        <f>IF($C802=""," ",[1]!i_pq_pctchange($C802,K$6,$N$1))</f>
        <v xml:space="preserve"> </v>
      </c>
      <c r="L802" s="28" t="str">
        <f>IF(C802=""," ",[1]!s_wq_pctchange($C802,$N$1))</f>
        <v xml:space="preserve"> </v>
      </c>
      <c r="M802" s="28" t="str">
        <f>IF(C802=""," ",[1]!s_mq_pctchange($C802,$N$1))</f>
        <v xml:space="preserve"> </v>
      </c>
      <c r="N802" s="28" t="str">
        <f>IF(C802=""," ",[1]!s_yq_pctchange($C802,$N$1))</f>
        <v xml:space="preserve"> </v>
      </c>
      <c r="O802" s="11"/>
      <c r="P802" s="7"/>
    </row>
    <row r="803" spans="1:16" x14ac:dyDescent="0.35">
      <c r="A803" s="7"/>
      <c r="C803" s="30" t="str">
        <f>IF(指数列表!B800="","",指数列表!B800)</f>
        <v/>
      </c>
      <c r="D803" s="35" t="str">
        <f>IF(C803="","",[1]!s_info_name(C803))</f>
        <v/>
      </c>
      <c r="E803" s="24" t="str">
        <f>IF(C803="","",[1]!s_dq_close(C803,$N$1))</f>
        <v/>
      </c>
      <c r="F803" s="28" t="str">
        <f>IF($C803=""," ",[1]!i_pq_pctchange($C803,F$6,$N$1))</f>
        <v xml:space="preserve"> </v>
      </c>
      <c r="G803" s="28" t="str">
        <f>IF($C803=""," ",[1]!i_pq_pctchange($C803,G$6,$N$1))</f>
        <v xml:space="preserve"> </v>
      </c>
      <c r="H803" s="28" t="str">
        <f>IF($C803=""," ",[1]!i_pq_pctchange($C803,H$6,$N$1))</f>
        <v xml:space="preserve"> </v>
      </c>
      <c r="I803" s="28" t="str">
        <f>IF($C803=""," ",[1]!i_pq_pctchange($C803,I$6,$N$1))</f>
        <v xml:space="preserve"> </v>
      </c>
      <c r="J803" s="28" t="str">
        <f>IF($C803=""," ",[1]!i_pq_pctchange($C803,J$6,$N$1))</f>
        <v xml:space="preserve"> </v>
      </c>
      <c r="K803" s="28" t="str">
        <f>IF($C803=""," ",[1]!i_pq_pctchange($C803,K$6,$N$1))</f>
        <v xml:space="preserve"> </v>
      </c>
      <c r="L803" s="28" t="str">
        <f>IF(C803=""," ",[1]!s_wq_pctchange($C803,$N$1))</f>
        <v xml:space="preserve"> </v>
      </c>
      <c r="M803" s="28" t="str">
        <f>IF(C803=""," ",[1]!s_mq_pctchange($C803,$N$1))</f>
        <v xml:space="preserve"> </v>
      </c>
      <c r="N803" s="28" t="str">
        <f>IF(C803=""," ",[1]!s_yq_pctchange($C803,$N$1))</f>
        <v xml:space="preserve"> </v>
      </c>
      <c r="O803" s="11"/>
      <c r="P803" s="7"/>
    </row>
    <row r="804" spans="1:16" x14ac:dyDescent="0.35">
      <c r="A804" s="7"/>
      <c r="C804" s="31" t="str">
        <f>IF(指数列表!B801="","",指数列表!B801)</f>
        <v/>
      </c>
      <c r="D804" s="36" t="str">
        <f>IF(C804="","",[1]!s_info_name(C804))</f>
        <v/>
      </c>
      <c r="E804" s="25" t="str">
        <f>IF(C804="","",[1]!s_dq_close(C804,$N$1))</f>
        <v/>
      </c>
      <c r="F804" s="28" t="str">
        <f>IF($C804=""," ",[1]!i_pq_pctchange($C804,F$6,$N$1))</f>
        <v xml:space="preserve"> </v>
      </c>
      <c r="G804" s="28" t="str">
        <f>IF($C804=""," ",[1]!i_pq_pctchange($C804,G$6,$N$1))</f>
        <v xml:space="preserve"> </v>
      </c>
      <c r="H804" s="28" t="str">
        <f>IF($C804=""," ",[1]!i_pq_pctchange($C804,H$6,$N$1))</f>
        <v xml:space="preserve"> </v>
      </c>
      <c r="I804" s="28" t="str">
        <f>IF($C804=""," ",[1]!i_pq_pctchange($C804,I$6,$N$1))</f>
        <v xml:space="preserve"> </v>
      </c>
      <c r="J804" s="28" t="str">
        <f>IF($C804=""," ",[1]!i_pq_pctchange($C804,J$6,$N$1))</f>
        <v xml:space="preserve"> </v>
      </c>
      <c r="K804" s="28" t="str">
        <f>IF($C804=""," ",[1]!i_pq_pctchange($C804,K$6,$N$1))</f>
        <v xml:space="preserve"> </v>
      </c>
      <c r="L804" s="28" t="str">
        <f>IF(C804=""," ",[1]!s_wq_pctchange($C804,$N$1))</f>
        <v xml:space="preserve"> </v>
      </c>
      <c r="M804" s="28" t="str">
        <f>IF(C804=""," ",[1]!s_mq_pctchange($C804,$N$1))</f>
        <v xml:space="preserve"> </v>
      </c>
      <c r="N804" s="28" t="str">
        <f>IF(C804=""," ",[1]!s_yq_pctchange($C804,$N$1))</f>
        <v xml:space="preserve"> </v>
      </c>
      <c r="O804" s="11"/>
      <c r="P804" s="7"/>
    </row>
    <row r="805" spans="1:16" x14ac:dyDescent="0.35">
      <c r="A805" s="7"/>
      <c r="C805" s="30" t="str">
        <f>IF(指数列表!B802="","",指数列表!B802)</f>
        <v/>
      </c>
      <c r="D805" s="35" t="str">
        <f>IF(C805="","",[1]!s_info_name(C805))</f>
        <v/>
      </c>
      <c r="E805" s="24" t="str">
        <f>IF(C805="","",[1]!s_dq_close(C805,$N$1))</f>
        <v/>
      </c>
      <c r="F805" s="28" t="str">
        <f>IF($C805=""," ",[1]!i_pq_pctchange($C805,F$6,$N$1))</f>
        <v xml:space="preserve"> </v>
      </c>
      <c r="G805" s="28" t="str">
        <f>IF($C805=""," ",[1]!i_pq_pctchange($C805,G$6,$N$1))</f>
        <v xml:space="preserve"> </v>
      </c>
      <c r="H805" s="28" t="str">
        <f>IF($C805=""," ",[1]!i_pq_pctchange($C805,H$6,$N$1))</f>
        <v xml:space="preserve"> </v>
      </c>
      <c r="I805" s="28" t="str">
        <f>IF($C805=""," ",[1]!i_pq_pctchange($C805,I$6,$N$1))</f>
        <v xml:space="preserve"> </v>
      </c>
      <c r="J805" s="28" t="str">
        <f>IF($C805=""," ",[1]!i_pq_pctchange($C805,J$6,$N$1))</f>
        <v xml:space="preserve"> </v>
      </c>
      <c r="K805" s="28" t="str">
        <f>IF($C805=""," ",[1]!i_pq_pctchange($C805,K$6,$N$1))</f>
        <v xml:space="preserve"> </v>
      </c>
      <c r="L805" s="28" t="str">
        <f>IF(C805=""," ",[1]!s_wq_pctchange($C805,$N$1))</f>
        <v xml:space="preserve"> </v>
      </c>
      <c r="M805" s="28" t="str">
        <f>IF(C805=""," ",[1]!s_mq_pctchange($C805,$N$1))</f>
        <v xml:space="preserve"> </v>
      </c>
      <c r="N805" s="28" t="str">
        <f>IF(C805=""," ",[1]!s_yq_pctchange($C805,$N$1))</f>
        <v xml:space="preserve"> </v>
      </c>
      <c r="O805" s="11"/>
      <c r="P805" s="7"/>
    </row>
    <row r="806" spans="1:16" x14ac:dyDescent="0.35">
      <c r="A806" s="7"/>
      <c r="C806" s="31" t="str">
        <f>IF(指数列表!B803="","",指数列表!B803)</f>
        <v/>
      </c>
      <c r="D806" s="36" t="str">
        <f>IF(C806="","",[1]!s_info_name(C806))</f>
        <v/>
      </c>
      <c r="E806" s="25" t="str">
        <f>IF(C806="","",[1]!s_dq_close(C806,$N$1))</f>
        <v/>
      </c>
      <c r="F806" s="28" t="str">
        <f>IF($C806=""," ",[1]!i_pq_pctchange($C806,F$6,$N$1))</f>
        <v xml:space="preserve"> </v>
      </c>
      <c r="G806" s="28" t="str">
        <f>IF($C806=""," ",[1]!i_pq_pctchange($C806,G$6,$N$1))</f>
        <v xml:space="preserve"> </v>
      </c>
      <c r="H806" s="28" t="str">
        <f>IF($C806=""," ",[1]!i_pq_pctchange($C806,H$6,$N$1))</f>
        <v xml:space="preserve"> </v>
      </c>
      <c r="I806" s="28" t="str">
        <f>IF($C806=""," ",[1]!i_pq_pctchange($C806,I$6,$N$1))</f>
        <v xml:space="preserve"> </v>
      </c>
      <c r="J806" s="28" t="str">
        <f>IF($C806=""," ",[1]!i_pq_pctchange($C806,J$6,$N$1))</f>
        <v xml:space="preserve"> </v>
      </c>
      <c r="K806" s="28" t="str">
        <f>IF($C806=""," ",[1]!i_pq_pctchange($C806,K$6,$N$1))</f>
        <v xml:space="preserve"> </v>
      </c>
      <c r="L806" s="28" t="str">
        <f>IF(C806=""," ",[1]!s_wq_pctchange($C806,$N$1))</f>
        <v xml:space="preserve"> </v>
      </c>
      <c r="M806" s="28" t="str">
        <f>IF(C806=""," ",[1]!s_mq_pctchange($C806,$N$1))</f>
        <v xml:space="preserve"> </v>
      </c>
      <c r="N806" s="28" t="str">
        <f>IF(C806=""," ",[1]!s_yq_pctchange($C806,$N$1))</f>
        <v xml:space="preserve"> </v>
      </c>
      <c r="O806" s="11"/>
      <c r="P806" s="7"/>
    </row>
    <row r="807" spans="1:16" x14ac:dyDescent="0.35">
      <c r="A807" s="7"/>
      <c r="C807" s="30" t="str">
        <f>IF(指数列表!B804="","",指数列表!B804)</f>
        <v/>
      </c>
      <c r="D807" s="35" t="str">
        <f>IF(C807="","",[1]!s_info_name(C807))</f>
        <v/>
      </c>
      <c r="E807" s="24" t="str">
        <f>IF(C807="","",[1]!s_dq_close(C807,$N$1))</f>
        <v/>
      </c>
      <c r="F807" s="28" t="str">
        <f>IF($C807=""," ",[1]!i_pq_pctchange($C807,F$6,$N$1))</f>
        <v xml:space="preserve"> </v>
      </c>
      <c r="G807" s="28" t="str">
        <f>IF($C807=""," ",[1]!i_pq_pctchange($C807,G$6,$N$1))</f>
        <v xml:space="preserve"> </v>
      </c>
      <c r="H807" s="28" t="str">
        <f>IF($C807=""," ",[1]!i_pq_pctchange($C807,H$6,$N$1))</f>
        <v xml:space="preserve"> </v>
      </c>
      <c r="I807" s="28" t="str">
        <f>IF($C807=""," ",[1]!i_pq_pctchange($C807,I$6,$N$1))</f>
        <v xml:space="preserve"> </v>
      </c>
      <c r="J807" s="28" t="str">
        <f>IF($C807=""," ",[1]!i_pq_pctchange($C807,J$6,$N$1))</f>
        <v xml:space="preserve"> </v>
      </c>
      <c r="K807" s="28" t="str">
        <f>IF($C807=""," ",[1]!i_pq_pctchange($C807,K$6,$N$1))</f>
        <v xml:space="preserve"> </v>
      </c>
      <c r="L807" s="28" t="str">
        <f>IF(C807=""," ",[1]!s_wq_pctchange($C807,$N$1))</f>
        <v xml:space="preserve"> </v>
      </c>
      <c r="M807" s="28" t="str">
        <f>IF(C807=""," ",[1]!s_mq_pctchange($C807,$N$1))</f>
        <v xml:space="preserve"> </v>
      </c>
      <c r="N807" s="28" t="str">
        <f>IF(C807=""," ",[1]!s_yq_pctchange($C807,$N$1))</f>
        <v xml:space="preserve"> </v>
      </c>
      <c r="O807" s="11"/>
      <c r="P807" s="7"/>
    </row>
    <row r="808" spans="1:16" x14ac:dyDescent="0.35">
      <c r="A808" s="7"/>
      <c r="C808" s="31" t="str">
        <f>IF(指数列表!B805="","",指数列表!B805)</f>
        <v/>
      </c>
      <c r="D808" s="36" t="str">
        <f>IF(C808="","",[1]!s_info_name(C808))</f>
        <v/>
      </c>
      <c r="E808" s="25" t="str">
        <f>IF(C808="","",[1]!s_dq_close(C808,$N$1))</f>
        <v/>
      </c>
      <c r="F808" s="28" t="str">
        <f>IF($C808=""," ",[1]!i_pq_pctchange($C808,F$6,$N$1))</f>
        <v xml:space="preserve"> </v>
      </c>
      <c r="G808" s="28" t="str">
        <f>IF($C808=""," ",[1]!i_pq_pctchange($C808,G$6,$N$1))</f>
        <v xml:space="preserve"> </v>
      </c>
      <c r="H808" s="28" t="str">
        <f>IF($C808=""," ",[1]!i_pq_pctchange($C808,H$6,$N$1))</f>
        <v xml:space="preserve"> </v>
      </c>
      <c r="I808" s="28" t="str">
        <f>IF($C808=""," ",[1]!i_pq_pctchange($C808,I$6,$N$1))</f>
        <v xml:space="preserve"> </v>
      </c>
      <c r="J808" s="28" t="str">
        <f>IF($C808=""," ",[1]!i_pq_pctchange($C808,J$6,$N$1))</f>
        <v xml:space="preserve"> </v>
      </c>
      <c r="K808" s="28" t="str">
        <f>IF($C808=""," ",[1]!i_pq_pctchange($C808,K$6,$N$1))</f>
        <v xml:space="preserve"> </v>
      </c>
      <c r="L808" s="28" t="str">
        <f>IF(C808=""," ",[1]!s_wq_pctchange($C808,$N$1))</f>
        <v xml:space="preserve"> </v>
      </c>
      <c r="M808" s="28" t="str">
        <f>IF(C808=""," ",[1]!s_mq_pctchange($C808,$N$1))</f>
        <v xml:space="preserve"> </v>
      </c>
      <c r="N808" s="28" t="str">
        <f>IF(C808=""," ",[1]!s_yq_pctchange($C808,$N$1))</f>
        <v xml:space="preserve"> </v>
      </c>
      <c r="O808" s="11"/>
      <c r="P808" s="7"/>
    </row>
    <row r="809" spans="1:16" x14ac:dyDescent="0.35">
      <c r="A809" s="7"/>
      <c r="C809" s="30" t="str">
        <f>IF(指数列表!B806="","",指数列表!B806)</f>
        <v/>
      </c>
      <c r="D809" s="35" t="str">
        <f>IF(C809="","",[1]!s_info_name(C809))</f>
        <v/>
      </c>
      <c r="E809" s="24" t="str">
        <f>IF(C809="","",[1]!s_dq_close(C809,$N$1))</f>
        <v/>
      </c>
      <c r="F809" s="28" t="str">
        <f>IF($C809=""," ",[1]!i_pq_pctchange($C809,F$6,$N$1))</f>
        <v xml:space="preserve"> </v>
      </c>
      <c r="G809" s="28" t="str">
        <f>IF($C809=""," ",[1]!i_pq_pctchange($C809,G$6,$N$1))</f>
        <v xml:space="preserve"> </v>
      </c>
      <c r="H809" s="28" t="str">
        <f>IF($C809=""," ",[1]!i_pq_pctchange($C809,H$6,$N$1))</f>
        <v xml:space="preserve"> </v>
      </c>
      <c r="I809" s="28" t="str">
        <f>IF($C809=""," ",[1]!i_pq_pctchange($C809,I$6,$N$1))</f>
        <v xml:space="preserve"> </v>
      </c>
      <c r="J809" s="28" t="str">
        <f>IF($C809=""," ",[1]!i_pq_pctchange($C809,J$6,$N$1))</f>
        <v xml:space="preserve"> </v>
      </c>
      <c r="K809" s="28" t="str">
        <f>IF($C809=""," ",[1]!i_pq_pctchange($C809,K$6,$N$1))</f>
        <v xml:space="preserve"> </v>
      </c>
      <c r="L809" s="28" t="str">
        <f>IF(C809=""," ",[1]!s_wq_pctchange($C809,$N$1))</f>
        <v xml:space="preserve"> </v>
      </c>
      <c r="M809" s="28" t="str">
        <f>IF(C809=""," ",[1]!s_mq_pctchange($C809,$N$1))</f>
        <v xml:space="preserve"> </v>
      </c>
      <c r="N809" s="28" t="str">
        <f>IF(C809=""," ",[1]!s_yq_pctchange($C809,$N$1))</f>
        <v xml:space="preserve"> </v>
      </c>
      <c r="O809" s="11"/>
      <c r="P809" s="7"/>
    </row>
    <row r="810" spans="1:16" x14ac:dyDescent="0.35">
      <c r="A810" s="7"/>
      <c r="C810" s="31" t="str">
        <f>IF(指数列表!B807="","",指数列表!B807)</f>
        <v/>
      </c>
      <c r="D810" s="36" t="str">
        <f>IF(C810="","",[1]!s_info_name(C810))</f>
        <v/>
      </c>
      <c r="E810" s="25" t="str">
        <f>IF(C810="","",[1]!s_dq_close(C810,$N$1))</f>
        <v/>
      </c>
      <c r="F810" s="28" t="str">
        <f>IF($C810=""," ",[1]!i_pq_pctchange($C810,F$6,$N$1))</f>
        <v xml:space="preserve"> </v>
      </c>
      <c r="G810" s="28" t="str">
        <f>IF($C810=""," ",[1]!i_pq_pctchange($C810,G$6,$N$1))</f>
        <v xml:space="preserve"> </v>
      </c>
      <c r="H810" s="28" t="str">
        <f>IF($C810=""," ",[1]!i_pq_pctchange($C810,H$6,$N$1))</f>
        <v xml:space="preserve"> </v>
      </c>
      <c r="I810" s="28" t="str">
        <f>IF($C810=""," ",[1]!i_pq_pctchange($C810,I$6,$N$1))</f>
        <v xml:space="preserve"> </v>
      </c>
      <c r="J810" s="28" t="str">
        <f>IF($C810=""," ",[1]!i_pq_pctchange($C810,J$6,$N$1))</f>
        <v xml:space="preserve"> </v>
      </c>
      <c r="K810" s="28" t="str">
        <f>IF($C810=""," ",[1]!i_pq_pctchange($C810,K$6,$N$1))</f>
        <v xml:space="preserve"> </v>
      </c>
      <c r="L810" s="28" t="str">
        <f>IF(C810=""," ",[1]!s_wq_pctchange($C810,$N$1))</f>
        <v xml:space="preserve"> </v>
      </c>
      <c r="M810" s="28" t="str">
        <f>IF(C810=""," ",[1]!s_mq_pctchange($C810,$N$1))</f>
        <v xml:space="preserve"> </v>
      </c>
      <c r="N810" s="28" t="str">
        <f>IF(C810=""," ",[1]!s_yq_pctchange($C810,$N$1))</f>
        <v xml:space="preserve"> </v>
      </c>
      <c r="O810" s="11"/>
      <c r="P810" s="7"/>
    </row>
    <row r="811" spans="1:16" x14ac:dyDescent="0.35">
      <c r="A811" s="7"/>
      <c r="C811" s="30" t="str">
        <f>IF(指数列表!B808="","",指数列表!B808)</f>
        <v/>
      </c>
      <c r="D811" s="35" t="str">
        <f>IF(C811="","",[1]!s_info_name(C811))</f>
        <v/>
      </c>
      <c r="E811" s="24" t="str">
        <f>IF(C811="","",[1]!s_dq_close(C811,$N$1))</f>
        <v/>
      </c>
      <c r="F811" s="28" t="str">
        <f>IF($C811=""," ",[1]!i_pq_pctchange($C811,F$6,$N$1))</f>
        <v xml:space="preserve"> </v>
      </c>
      <c r="G811" s="28" t="str">
        <f>IF($C811=""," ",[1]!i_pq_pctchange($C811,G$6,$N$1))</f>
        <v xml:space="preserve"> </v>
      </c>
      <c r="H811" s="28" t="str">
        <f>IF($C811=""," ",[1]!i_pq_pctchange($C811,H$6,$N$1))</f>
        <v xml:space="preserve"> </v>
      </c>
      <c r="I811" s="28" t="str">
        <f>IF($C811=""," ",[1]!i_pq_pctchange($C811,I$6,$N$1))</f>
        <v xml:space="preserve"> </v>
      </c>
      <c r="J811" s="28" t="str">
        <f>IF($C811=""," ",[1]!i_pq_pctchange($C811,J$6,$N$1))</f>
        <v xml:space="preserve"> </v>
      </c>
      <c r="K811" s="28" t="str">
        <f>IF($C811=""," ",[1]!i_pq_pctchange($C811,K$6,$N$1))</f>
        <v xml:space="preserve"> </v>
      </c>
      <c r="L811" s="28" t="str">
        <f>IF(C811=""," ",[1]!s_wq_pctchange($C811,$N$1))</f>
        <v xml:space="preserve"> </v>
      </c>
      <c r="M811" s="28" t="str">
        <f>IF(C811=""," ",[1]!s_mq_pctchange($C811,$N$1))</f>
        <v xml:space="preserve"> </v>
      </c>
      <c r="N811" s="28" t="str">
        <f>IF(C811=""," ",[1]!s_yq_pctchange($C811,$N$1))</f>
        <v xml:space="preserve"> </v>
      </c>
      <c r="O811" s="11"/>
      <c r="P811" s="7"/>
    </row>
    <row r="812" spans="1:16" x14ac:dyDescent="0.35">
      <c r="A812" s="7"/>
      <c r="C812" s="31" t="str">
        <f>IF(指数列表!B809="","",指数列表!B809)</f>
        <v/>
      </c>
      <c r="D812" s="36" t="str">
        <f>IF(C812="","",[1]!s_info_name(C812))</f>
        <v/>
      </c>
      <c r="E812" s="25" t="str">
        <f>IF(C812="","",[1]!s_dq_close(C812,$N$1))</f>
        <v/>
      </c>
      <c r="F812" s="28" t="str">
        <f>IF($C812=""," ",[1]!i_pq_pctchange($C812,F$6,$N$1))</f>
        <v xml:space="preserve"> </v>
      </c>
      <c r="G812" s="28" t="str">
        <f>IF($C812=""," ",[1]!i_pq_pctchange($C812,G$6,$N$1))</f>
        <v xml:space="preserve"> </v>
      </c>
      <c r="H812" s="28" t="str">
        <f>IF($C812=""," ",[1]!i_pq_pctchange($C812,H$6,$N$1))</f>
        <v xml:space="preserve"> </v>
      </c>
      <c r="I812" s="28" t="str">
        <f>IF($C812=""," ",[1]!i_pq_pctchange($C812,I$6,$N$1))</f>
        <v xml:space="preserve"> </v>
      </c>
      <c r="J812" s="28" t="str">
        <f>IF($C812=""," ",[1]!i_pq_pctchange($C812,J$6,$N$1))</f>
        <v xml:space="preserve"> </v>
      </c>
      <c r="K812" s="28" t="str">
        <f>IF($C812=""," ",[1]!i_pq_pctchange($C812,K$6,$N$1))</f>
        <v xml:space="preserve"> </v>
      </c>
      <c r="L812" s="28" t="str">
        <f>IF(C812=""," ",[1]!s_wq_pctchange($C812,$N$1))</f>
        <v xml:space="preserve"> </v>
      </c>
      <c r="M812" s="28" t="str">
        <f>IF(C812=""," ",[1]!s_mq_pctchange($C812,$N$1))</f>
        <v xml:space="preserve"> </v>
      </c>
      <c r="N812" s="28" t="str">
        <f>IF(C812=""," ",[1]!s_yq_pctchange($C812,$N$1))</f>
        <v xml:space="preserve"> </v>
      </c>
      <c r="O812" s="11"/>
      <c r="P812" s="7"/>
    </row>
    <row r="813" spans="1:16" x14ac:dyDescent="0.35">
      <c r="A813" s="7"/>
      <c r="C813" s="30" t="str">
        <f>IF(指数列表!B810="","",指数列表!B810)</f>
        <v/>
      </c>
      <c r="D813" s="35" t="str">
        <f>IF(C813="","",[1]!s_info_name(C813))</f>
        <v/>
      </c>
      <c r="E813" s="24" t="str">
        <f>IF(C813="","",[1]!s_dq_close(C813,$N$1))</f>
        <v/>
      </c>
      <c r="F813" s="28" t="str">
        <f>IF($C813=""," ",[1]!i_pq_pctchange($C813,F$6,$N$1))</f>
        <v xml:space="preserve"> </v>
      </c>
      <c r="G813" s="28" t="str">
        <f>IF($C813=""," ",[1]!i_pq_pctchange($C813,G$6,$N$1))</f>
        <v xml:space="preserve"> </v>
      </c>
      <c r="H813" s="28" t="str">
        <f>IF($C813=""," ",[1]!i_pq_pctchange($C813,H$6,$N$1))</f>
        <v xml:space="preserve"> </v>
      </c>
      <c r="I813" s="28" t="str">
        <f>IF($C813=""," ",[1]!i_pq_pctchange($C813,I$6,$N$1))</f>
        <v xml:space="preserve"> </v>
      </c>
      <c r="J813" s="28" t="str">
        <f>IF($C813=""," ",[1]!i_pq_pctchange($C813,J$6,$N$1))</f>
        <v xml:space="preserve"> </v>
      </c>
      <c r="K813" s="28" t="str">
        <f>IF($C813=""," ",[1]!i_pq_pctchange($C813,K$6,$N$1))</f>
        <v xml:space="preserve"> </v>
      </c>
      <c r="L813" s="28" t="str">
        <f>IF(C813=""," ",[1]!s_wq_pctchange($C813,$N$1))</f>
        <v xml:space="preserve"> </v>
      </c>
      <c r="M813" s="28" t="str">
        <f>IF(C813=""," ",[1]!s_mq_pctchange($C813,$N$1))</f>
        <v xml:space="preserve"> </v>
      </c>
      <c r="N813" s="28" t="str">
        <f>IF(C813=""," ",[1]!s_yq_pctchange($C813,$N$1))</f>
        <v xml:space="preserve"> </v>
      </c>
      <c r="O813" s="11"/>
      <c r="P813" s="7"/>
    </row>
    <row r="814" spans="1:16" x14ac:dyDescent="0.35">
      <c r="A814" s="7"/>
      <c r="C814" s="31" t="str">
        <f>IF(指数列表!B811="","",指数列表!B811)</f>
        <v/>
      </c>
      <c r="D814" s="36" t="str">
        <f>IF(C814="","",[1]!s_info_name(C814))</f>
        <v/>
      </c>
      <c r="E814" s="25" t="str">
        <f>IF(C814="","",[1]!s_dq_close(C814,$N$1))</f>
        <v/>
      </c>
      <c r="F814" s="28" t="str">
        <f>IF($C814=""," ",[1]!i_pq_pctchange($C814,F$6,$N$1))</f>
        <v xml:space="preserve"> </v>
      </c>
      <c r="G814" s="28" t="str">
        <f>IF($C814=""," ",[1]!i_pq_pctchange($C814,G$6,$N$1))</f>
        <v xml:space="preserve"> </v>
      </c>
      <c r="H814" s="28" t="str">
        <f>IF($C814=""," ",[1]!i_pq_pctchange($C814,H$6,$N$1))</f>
        <v xml:space="preserve"> </v>
      </c>
      <c r="I814" s="28" t="str">
        <f>IF($C814=""," ",[1]!i_pq_pctchange($C814,I$6,$N$1))</f>
        <v xml:space="preserve"> </v>
      </c>
      <c r="J814" s="28" t="str">
        <f>IF($C814=""," ",[1]!i_pq_pctchange($C814,J$6,$N$1))</f>
        <v xml:space="preserve"> </v>
      </c>
      <c r="K814" s="28" t="str">
        <f>IF($C814=""," ",[1]!i_pq_pctchange($C814,K$6,$N$1))</f>
        <v xml:space="preserve"> </v>
      </c>
      <c r="L814" s="28" t="str">
        <f>IF(C814=""," ",[1]!s_wq_pctchange($C814,$N$1))</f>
        <v xml:space="preserve"> </v>
      </c>
      <c r="M814" s="28" t="str">
        <f>IF(C814=""," ",[1]!s_mq_pctchange($C814,$N$1))</f>
        <v xml:space="preserve"> </v>
      </c>
      <c r="N814" s="28" t="str">
        <f>IF(C814=""," ",[1]!s_yq_pctchange($C814,$N$1))</f>
        <v xml:space="preserve"> </v>
      </c>
      <c r="O814" s="11"/>
      <c r="P814" s="7"/>
    </row>
    <row r="815" spans="1:16" x14ac:dyDescent="0.35">
      <c r="A815" s="7"/>
      <c r="C815" s="30" t="str">
        <f>IF(指数列表!B812="","",指数列表!B812)</f>
        <v/>
      </c>
      <c r="D815" s="35" t="str">
        <f>IF(C815="","",[1]!s_info_name(C815))</f>
        <v/>
      </c>
      <c r="E815" s="24" t="str">
        <f>IF(C815="","",[1]!s_dq_close(C815,$N$1))</f>
        <v/>
      </c>
      <c r="F815" s="28" t="str">
        <f>IF($C815=""," ",[1]!i_pq_pctchange($C815,F$6,$N$1))</f>
        <v xml:space="preserve"> </v>
      </c>
      <c r="G815" s="28" t="str">
        <f>IF($C815=""," ",[1]!i_pq_pctchange($C815,G$6,$N$1))</f>
        <v xml:space="preserve"> </v>
      </c>
      <c r="H815" s="28" t="str">
        <f>IF($C815=""," ",[1]!i_pq_pctchange($C815,H$6,$N$1))</f>
        <v xml:space="preserve"> </v>
      </c>
      <c r="I815" s="28" t="str">
        <f>IF($C815=""," ",[1]!i_pq_pctchange($C815,I$6,$N$1))</f>
        <v xml:space="preserve"> </v>
      </c>
      <c r="J815" s="28" t="str">
        <f>IF($C815=""," ",[1]!i_pq_pctchange($C815,J$6,$N$1))</f>
        <v xml:space="preserve"> </v>
      </c>
      <c r="K815" s="28" t="str">
        <f>IF($C815=""," ",[1]!i_pq_pctchange($C815,K$6,$N$1))</f>
        <v xml:space="preserve"> </v>
      </c>
      <c r="L815" s="28" t="str">
        <f>IF(C815=""," ",[1]!s_wq_pctchange($C815,$N$1))</f>
        <v xml:space="preserve"> </v>
      </c>
      <c r="M815" s="28" t="str">
        <f>IF(C815=""," ",[1]!s_mq_pctchange($C815,$N$1))</f>
        <v xml:space="preserve"> </v>
      </c>
      <c r="N815" s="28" t="str">
        <f>IF(C815=""," ",[1]!s_yq_pctchange($C815,$N$1))</f>
        <v xml:space="preserve"> </v>
      </c>
      <c r="O815" s="11"/>
      <c r="P815" s="7"/>
    </row>
    <row r="816" spans="1:16" x14ac:dyDescent="0.35">
      <c r="A816" s="7"/>
      <c r="C816" s="31" t="str">
        <f>IF(指数列表!B813="","",指数列表!B813)</f>
        <v/>
      </c>
      <c r="D816" s="36" t="str">
        <f>IF(C816="","",[1]!s_info_name(C816))</f>
        <v/>
      </c>
      <c r="E816" s="25" t="str">
        <f>IF(C816="","",[1]!s_dq_close(C816,$N$1))</f>
        <v/>
      </c>
      <c r="F816" s="28" t="str">
        <f>IF($C816=""," ",[1]!i_pq_pctchange($C816,F$6,$N$1))</f>
        <v xml:space="preserve"> </v>
      </c>
      <c r="G816" s="28" t="str">
        <f>IF($C816=""," ",[1]!i_pq_pctchange($C816,G$6,$N$1))</f>
        <v xml:space="preserve"> </v>
      </c>
      <c r="H816" s="28" t="str">
        <f>IF($C816=""," ",[1]!i_pq_pctchange($C816,H$6,$N$1))</f>
        <v xml:space="preserve"> </v>
      </c>
      <c r="I816" s="28" t="str">
        <f>IF($C816=""," ",[1]!i_pq_pctchange($C816,I$6,$N$1))</f>
        <v xml:space="preserve"> </v>
      </c>
      <c r="J816" s="28" t="str">
        <f>IF($C816=""," ",[1]!i_pq_pctchange($C816,J$6,$N$1))</f>
        <v xml:space="preserve"> </v>
      </c>
      <c r="K816" s="28" t="str">
        <f>IF($C816=""," ",[1]!i_pq_pctchange($C816,K$6,$N$1))</f>
        <v xml:space="preserve"> </v>
      </c>
      <c r="L816" s="28" t="str">
        <f>IF(C816=""," ",[1]!s_wq_pctchange($C816,$N$1))</f>
        <v xml:space="preserve"> </v>
      </c>
      <c r="M816" s="28" t="str">
        <f>IF(C816=""," ",[1]!s_mq_pctchange($C816,$N$1))</f>
        <v xml:space="preserve"> </v>
      </c>
      <c r="N816" s="28" t="str">
        <f>IF(C816=""," ",[1]!s_yq_pctchange($C816,$N$1))</f>
        <v xml:space="preserve"> </v>
      </c>
      <c r="O816" s="11"/>
      <c r="P816" s="7"/>
    </row>
    <row r="817" spans="1:16" x14ac:dyDescent="0.35">
      <c r="A817" s="7"/>
      <c r="C817" s="30" t="str">
        <f>IF(指数列表!B814="","",指数列表!B814)</f>
        <v/>
      </c>
      <c r="D817" s="35" t="str">
        <f>IF(C817="","",[1]!s_info_name(C817))</f>
        <v/>
      </c>
      <c r="E817" s="24" t="str">
        <f>IF(C817="","",[1]!s_dq_close(C817,$N$1))</f>
        <v/>
      </c>
      <c r="F817" s="28" t="str">
        <f>IF($C817=""," ",[1]!i_pq_pctchange($C817,F$6,$N$1))</f>
        <v xml:space="preserve"> </v>
      </c>
      <c r="G817" s="28" t="str">
        <f>IF($C817=""," ",[1]!i_pq_pctchange($C817,G$6,$N$1))</f>
        <v xml:space="preserve"> </v>
      </c>
      <c r="H817" s="28" t="str">
        <f>IF($C817=""," ",[1]!i_pq_pctchange($C817,H$6,$N$1))</f>
        <v xml:space="preserve"> </v>
      </c>
      <c r="I817" s="28" t="str">
        <f>IF($C817=""," ",[1]!i_pq_pctchange($C817,I$6,$N$1))</f>
        <v xml:space="preserve"> </v>
      </c>
      <c r="J817" s="28" t="str">
        <f>IF($C817=""," ",[1]!i_pq_pctchange($C817,J$6,$N$1))</f>
        <v xml:space="preserve"> </v>
      </c>
      <c r="K817" s="28" t="str">
        <f>IF($C817=""," ",[1]!i_pq_pctchange($C817,K$6,$N$1))</f>
        <v xml:space="preserve"> </v>
      </c>
      <c r="L817" s="28" t="str">
        <f>IF(C817=""," ",[1]!s_wq_pctchange($C817,$N$1))</f>
        <v xml:space="preserve"> </v>
      </c>
      <c r="M817" s="28" t="str">
        <f>IF(C817=""," ",[1]!s_mq_pctchange($C817,$N$1))</f>
        <v xml:space="preserve"> </v>
      </c>
      <c r="N817" s="28" t="str">
        <f>IF(C817=""," ",[1]!s_yq_pctchange($C817,$N$1))</f>
        <v xml:space="preserve"> </v>
      </c>
      <c r="O817" s="11"/>
      <c r="P817" s="7"/>
    </row>
    <row r="818" spans="1:16" x14ac:dyDescent="0.35">
      <c r="A818" s="7"/>
      <c r="C818" s="31" t="str">
        <f>IF(指数列表!B815="","",指数列表!B815)</f>
        <v/>
      </c>
      <c r="D818" s="36" t="str">
        <f>IF(C818="","",[1]!s_info_name(C818))</f>
        <v/>
      </c>
      <c r="E818" s="25" t="str">
        <f>IF(C818="","",[1]!s_dq_close(C818,$N$1))</f>
        <v/>
      </c>
      <c r="F818" s="28" t="str">
        <f>IF($C818=""," ",[1]!i_pq_pctchange($C818,F$6,$N$1))</f>
        <v xml:space="preserve"> </v>
      </c>
      <c r="G818" s="28" t="str">
        <f>IF($C818=""," ",[1]!i_pq_pctchange($C818,G$6,$N$1))</f>
        <v xml:space="preserve"> </v>
      </c>
      <c r="H818" s="28" t="str">
        <f>IF($C818=""," ",[1]!i_pq_pctchange($C818,H$6,$N$1))</f>
        <v xml:space="preserve"> </v>
      </c>
      <c r="I818" s="28" t="str">
        <f>IF($C818=""," ",[1]!i_pq_pctchange($C818,I$6,$N$1))</f>
        <v xml:space="preserve"> </v>
      </c>
      <c r="J818" s="28" t="str">
        <f>IF($C818=""," ",[1]!i_pq_pctchange($C818,J$6,$N$1))</f>
        <v xml:space="preserve"> </v>
      </c>
      <c r="K818" s="28" t="str">
        <f>IF($C818=""," ",[1]!i_pq_pctchange($C818,K$6,$N$1))</f>
        <v xml:space="preserve"> </v>
      </c>
      <c r="L818" s="28" t="str">
        <f>IF(C818=""," ",[1]!s_wq_pctchange($C818,$N$1))</f>
        <v xml:space="preserve"> </v>
      </c>
      <c r="M818" s="28" t="str">
        <f>IF(C818=""," ",[1]!s_mq_pctchange($C818,$N$1))</f>
        <v xml:space="preserve"> </v>
      </c>
      <c r="N818" s="28" t="str">
        <f>IF(C818=""," ",[1]!s_yq_pctchange($C818,$N$1))</f>
        <v xml:space="preserve"> </v>
      </c>
      <c r="O818" s="11"/>
      <c r="P818" s="7"/>
    </row>
    <row r="819" spans="1:16" x14ac:dyDescent="0.35">
      <c r="A819" s="7"/>
      <c r="C819" s="30" t="str">
        <f>IF(指数列表!B816="","",指数列表!B816)</f>
        <v/>
      </c>
      <c r="D819" s="35" t="str">
        <f>IF(C819="","",[1]!s_info_name(C819))</f>
        <v/>
      </c>
      <c r="E819" s="24" t="str">
        <f>IF(C819="","",[1]!s_dq_close(C819,$N$1))</f>
        <v/>
      </c>
      <c r="F819" s="28" t="str">
        <f>IF($C819=""," ",[1]!i_pq_pctchange($C819,F$6,$N$1))</f>
        <v xml:space="preserve"> </v>
      </c>
      <c r="G819" s="28" t="str">
        <f>IF($C819=""," ",[1]!i_pq_pctchange($C819,G$6,$N$1))</f>
        <v xml:space="preserve"> </v>
      </c>
      <c r="H819" s="28" t="str">
        <f>IF($C819=""," ",[1]!i_pq_pctchange($C819,H$6,$N$1))</f>
        <v xml:space="preserve"> </v>
      </c>
      <c r="I819" s="28" t="str">
        <f>IF($C819=""," ",[1]!i_pq_pctchange($C819,I$6,$N$1))</f>
        <v xml:space="preserve"> </v>
      </c>
      <c r="J819" s="28" t="str">
        <f>IF($C819=""," ",[1]!i_pq_pctchange($C819,J$6,$N$1))</f>
        <v xml:space="preserve"> </v>
      </c>
      <c r="K819" s="28" t="str">
        <f>IF($C819=""," ",[1]!i_pq_pctchange($C819,K$6,$N$1))</f>
        <v xml:space="preserve"> </v>
      </c>
      <c r="L819" s="28" t="str">
        <f>IF(C819=""," ",[1]!s_wq_pctchange($C819,$N$1))</f>
        <v xml:space="preserve"> </v>
      </c>
      <c r="M819" s="28" t="str">
        <f>IF(C819=""," ",[1]!s_mq_pctchange($C819,$N$1))</f>
        <v xml:space="preserve"> </v>
      </c>
      <c r="N819" s="28" t="str">
        <f>IF(C819=""," ",[1]!s_yq_pctchange($C819,$N$1))</f>
        <v xml:space="preserve"> </v>
      </c>
      <c r="O819" s="11"/>
      <c r="P819" s="7"/>
    </row>
    <row r="820" spans="1:16" x14ac:dyDescent="0.35">
      <c r="A820" s="7"/>
      <c r="C820" s="31" t="str">
        <f>IF(指数列表!B817="","",指数列表!B817)</f>
        <v/>
      </c>
      <c r="D820" s="36" t="str">
        <f>IF(C820="","",[1]!s_info_name(C820))</f>
        <v/>
      </c>
      <c r="E820" s="25" t="str">
        <f>IF(C820="","",[1]!s_dq_close(C820,$N$1))</f>
        <v/>
      </c>
      <c r="F820" s="28" t="str">
        <f>IF($C820=""," ",[1]!i_pq_pctchange($C820,F$6,$N$1))</f>
        <v xml:space="preserve"> </v>
      </c>
      <c r="G820" s="28" t="str">
        <f>IF($C820=""," ",[1]!i_pq_pctchange($C820,G$6,$N$1))</f>
        <v xml:space="preserve"> </v>
      </c>
      <c r="H820" s="28" t="str">
        <f>IF($C820=""," ",[1]!i_pq_pctchange($C820,H$6,$N$1))</f>
        <v xml:space="preserve"> </v>
      </c>
      <c r="I820" s="28" t="str">
        <f>IF($C820=""," ",[1]!i_pq_pctchange($C820,I$6,$N$1))</f>
        <v xml:space="preserve"> </v>
      </c>
      <c r="J820" s="28" t="str">
        <f>IF($C820=""," ",[1]!i_pq_pctchange($C820,J$6,$N$1))</f>
        <v xml:space="preserve"> </v>
      </c>
      <c r="K820" s="28" t="str">
        <f>IF($C820=""," ",[1]!i_pq_pctchange($C820,K$6,$N$1))</f>
        <v xml:space="preserve"> </v>
      </c>
      <c r="L820" s="28" t="str">
        <f>IF(C820=""," ",[1]!s_wq_pctchange($C820,$N$1))</f>
        <v xml:space="preserve"> </v>
      </c>
      <c r="M820" s="28" t="str">
        <f>IF(C820=""," ",[1]!s_mq_pctchange($C820,$N$1))</f>
        <v xml:space="preserve"> </v>
      </c>
      <c r="N820" s="28" t="str">
        <f>IF(C820=""," ",[1]!s_yq_pctchange($C820,$N$1))</f>
        <v xml:space="preserve"> </v>
      </c>
      <c r="O820" s="11"/>
      <c r="P820" s="7"/>
    </row>
    <row r="821" spans="1:16" x14ac:dyDescent="0.35">
      <c r="A821" s="7"/>
      <c r="C821" s="30" t="str">
        <f>IF(指数列表!B818="","",指数列表!B818)</f>
        <v/>
      </c>
      <c r="D821" s="35" t="str">
        <f>IF(C821="","",[1]!s_info_name(C821))</f>
        <v/>
      </c>
      <c r="E821" s="24" t="str">
        <f>IF(C821="","",[1]!s_dq_close(C821,$N$1))</f>
        <v/>
      </c>
      <c r="F821" s="28" t="str">
        <f>IF($C821=""," ",[1]!i_pq_pctchange($C821,F$6,$N$1))</f>
        <v xml:space="preserve"> </v>
      </c>
      <c r="G821" s="28" t="str">
        <f>IF($C821=""," ",[1]!i_pq_pctchange($C821,G$6,$N$1))</f>
        <v xml:space="preserve"> </v>
      </c>
      <c r="H821" s="28" t="str">
        <f>IF($C821=""," ",[1]!i_pq_pctchange($C821,H$6,$N$1))</f>
        <v xml:space="preserve"> </v>
      </c>
      <c r="I821" s="28" t="str">
        <f>IF($C821=""," ",[1]!i_pq_pctchange($C821,I$6,$N$1))</f>
        <v xml:space="preserve"> </v>
      </c>
      <c r="J821" s="28" t="str">
        <f>IF($C821=""," ",[1]!i_pq_pctchange($C821,J$6,$N$1))</f>
        <v xml:space="preserve"> </v>
      </c>
      <c r="K821" s="28" t="str">
        <f>IF($C821=""," ",[1]!i_pq_pctchange($C821,K$6,$N$1))</f>
        <v xml:space="preserve"> </v>
      </c>
      <c r="L821" s="28" t="str">
        <f>IF(C821=""," ",[1]!s_wq_pctchange($C821,$N$1))</f>
        <v xml:space="preserve"> </v>
      </c>
      <c r="M821" s="28" t="str">
        <f>IF(C821=""," ",[1]!s_mq_pctchange($C821,$N$1))</f>
        <v xml:space="preserve"> </v>
      </c>
      <c r="N821" s="28" t="str">
        <f>IF(C821=""," ",[1]!s_yq_pctchange($C821,$N$1))</f>
        <v xml:space="preserve"> </v>
      </c>
      <c r="O821" s="11"/>
      <c r="P821" s="7"/>
    </row>
    <row r="822" spans="1:16" x14ac:dyDescent="0.35">
      <c r="A822" s="7"/>
      <c r="C822" s="31" t="str">
        <f>IF(指数列表!B819="","",指数列表!B819)</f>
        <v/>
      </c>
      <c r="D822" s="36" t="str">
        <f>IF(C822="","",[1]!s_info_name(C822))</f>
        <v/>
      </c>
      <c r="E822" s="25" t="str">
        <f>IF(C822="","",[1]!s_dq_close(C822,$N$1))</f>
        <v/>
      </c>
      <c r="F822" s="28" t="str">
        <f>IF($C822=""," ",[1]!i_pq_pctchange($C822,F$6,$N$1))</f>
        <v xml:space="preserve"> </v>
      </c>
      <c r="G822" s="28" t="str">
        <f>IF($C822=""," ",[1]!i_pq_pctchange($C822,G$6,$N$1))</f>
        <v xml:space="preserve"> </v>
      </c>
      <c r="H822" s="28" t="str">
        <f>IF($C822=""," ",[1]!i_pq_pctchange($C822,H$6,$N$1))</f>
        <v xml:space="preserve"> </v>
      </c>
      <c r="I822" s="28" t="str">
        <f>IF($C822=""," ",[1]!i_pq_pctchange($C822,I$6,$N$1))</f>
        <v xml:space="preserve"> </v>
      </c>
      <c r="J822" s="28" t="str">
        <f>IF($C822=""," ",[1]!i_pq_pctchange($C822,J$6,$N$1))</f>
        <v xml:space="preserve"> </v>
      </c>
      <c r="K822" s="28" t="str">
        <f>IF($C822=""," ",[1]!i_pq_pctchange($C822,K$6,$N$1))</f>
        <v xml:space="preserve"> </v>
      </c>
      <c r="L822" s="28" t="str">
        <f>IF(C822=""," ",[1]!s_wq_pctchange($C822,$N$1))</f>
        <v xml:space="preserve"> </v>
      </c>
      <c r="M822" s="28" t="str">
        <f>IF(C822=""," ",[1]!s_mq_pctchange($C822,$N$1))</f>
        <v xml:space="preserve"> </v>
      </c>
      <c r="N822" s="28" t="str">
        <f>IF(C822=""," ",[1]!s_yq_pctchange($C822,$N$1))</f>
        <v xml:space="preserve"> </v>
      </c>
      <c r="O822" s="11"/>
      <c r="P822" s="7"/>
    </row>
    <row r="823" spans="1:16" x14ac:dyDescent="0.35">
      <c r="A823" s="7"/>
      <c r="C823" s="30" t="str">
        <f>IF(指数列表!B820="","",指数列表!B820)</f>
        <v/>
      </c>
      <c r="D823" s="35" t="str">
        <f>IF(C823="","",[1]!s_info_name(C823))</f>
        <v/>
      </c>
      <c r="E823" s="24" t="str">
        <f>IF(C823="","",[1]!s_dq_close(C823,$N$1))</f>
        <v/>
      </c>
      <c r="F823" s="28" t="str">
        <f>IF($C823=""," ",[1]!i_pq_pctchange($C823,F$6,$N$1))</f>
        <v xml:space="preserve"> </v>
      </c>
      <c r="G823" s="28" t="str">
        <f>IF($C823=""," ",[1]!i_pq_pctchange($C823,G$6,$N$1))</f>
        <v xml:space="preserve"> </v>
      </c>
      <c r="H823" s="28" t="str">
        <f>IF($C823=""," ",[1]!i_pq_pctchange($C823,H$6,$N$1))</f>
        <v xml:space="preserve"> </v>
      </c>
      <c r="I823" s="28" t="str">
        <f>IF($C823=""," ",[1]!i_pq_pctchange($C823,I$6,$N$1))</f>
        <v xml:space="preserve"> </v>
      </c>
      <c r="J823" s="28" t="str">
        <f>IF($C823=""," ",[1]!i_pq_pctchange($C823,J$6,$N$1))</f>
        <v xml:space="preserve"> </v>
      </c>
      <c r="K823" s="28" t="str">
        <f>IF($C823=""," ",[1]!i_pq_pctchange($C823,K$6,$N$1))</f>
        <v xml:space="preserve"> </v>
      </c>
      <c r="L823" s="28" t="str">
        <f>IF(C823=""," ",[1]!s_wq_pctchange($C823,$N$1))</f>
        <v xml:space="preserve"> </v>
      </c>
      <c r="M823" s="28" t="str">
        <f>IF(C823=""," ",[1]!s_mq_pctchange($C823,$N$1))</f>
        <v xml:space="preserve"> </v>
      </c>
      <c r="N823" s="28" t="str">
        <f>IF(C823=""," ",[1]!s_yq_pctchange($C823,$N$1))</f>
        <v xml:space="preserve"> </v>
      </c>
      <c r="O823" s="11"/>
      <c r="P823" s="7"/>
    </row>
    <row r="824" spans="1:16" x14ac:dyDescent="0.35">
      <c r="A824" s="7"/>
      <c r="C824" s="31" t="str">
        <f>IF(指数列表!B821="","",指数列表!B821)</f>
        <v/>
      </c>
      <c r="D824" s="36" t="str">
        <f>IF(C824="","",[1]!s_info_name(C824))</f>
        <v/>
      </c>
      <c r="E824" s="25" t="str">
        <f>IF(C824="","",[1]!s_dq_close(C824,$N$1))</f>
        <v/>
      </c>
      <c r="F824" s="28" t="str">
        <f>IF($C824=""," ",[1]!i_pq_pctchange($C824,F$6,$N$1))</f>
        <v xml:space="preserve"> </v>
      </c>
      <c r="G824" s="28" t="str">
        <f>IF($C824=""," ",[1]!i_pq_pctchange($C824,G$6,$N$1))</f>
        <v xml:space="preserve"> </v>
      </c>
      <c r="H824" s="28" t="str">
        <f>IF($C824=""," ",[1]!i_pq_pctchange($C824,H$6,$N$1))</f>
        <v xml:space="preserve"> </v>
      </c>
      <c r="I824" s="28" t="str">
        <f>IF($C824=""," ",[1]!i_pq_pctchange($C824,I$6,$N$1))</f>
        <v xml:space="preserve"> </v>
      </c>
      <c r="J824" s="28" t="str">
        <f>IF($C824=""," ",[1]!i_pq_pctchange($C824,J$6,$N$1))</f>
        <v xml:space="preserve"> </v>
      </c>
      <c r="K824" s="28" t="str">
        <f>IF($C824=""," ",[1]!i_pq_pctchange($C824,K$6,$N$1))</f>
        <v xml:space="preserve"> </v>
      </c>
      <c r="L824" s="28" t="str">
        <f>IF(C824=""," ",[1]!s_wq_pctchange($C824,$N$1))</f>
        <v xml:space="preserve"> </v>
      </c>
      <c r="M824" s="28" t="str">
        <f>IF(C824=""," ",[1]!s_mq_pctchange($C824,$N$1))</f>
        <v xml:space="preserve"> </v>
      </c>
      <c r="N824" s="28" t="str">
        <f>IF(C824=""," ",[1]!s_yq_pctchange($C824,$N$1))</f>
        <v xml:space="preserve"> </v>
      </c>
      <c r="O824" s="11"/>
      <c r="P824" s="7"/>
    </row>
    <row r="825" spans="1:16" x14ac:dyDescent="0.35">
      <c r="A825" s="7"/>
      <c r="C825" s="30" t="str">
        <f>IF(指数列表!B822="","",指数列表!B822)</f>
        <v/>
      </c>
      <c r="D825" s="35" t="str">
        <f>IF(C825="","",[1]!s_info_name(C825))</f>
        <v/>
      </c>
      <c r="E825" s="24" t="str">
        <f>IF(C825="","",[1]!s_dq_close(C825,$N$1))</f>
        <v/>
      </c>
      <c r="F825" s="28" t="str">
        <f>IF($C825=""," ",[1]!i_pq_pctchange($C825,F$6,$N$1))</f>
        <v xml:space="preserve"> </v>
      </c>
      <c r="G825" s="28" t="str">
        <f>IF($C825=""," ",[1]!i_pq_pctchange($C825,G$6,$N$1))</f>
        <v xml:space="preserve"> </v>
      </c>
      <c r="H825" s="28" t="str">
        <f>IF($C825=""," ",[1]!i_pq_pctchange($C825,H$6,$N$1))</f>
        <v xml:space="preserve"> </v>
      </c>
      <c r="I825" s="28" t="str">
        <f>IF($C825=""," ",[1]!i_pq_pctchange($C825,I$6,$N$1))</f>
        <v xml:space="preserve"> </v>
      </c>
      <c r="J825" s="28" t="str">
        <f>IF($C825=""," ",[1]!i_pq_pctchange($C825,J$6,$N$1))</f>
        <v xml:space="preserve"> </v>
      </c>
      <c r="K825" s="28" t="str">
        <f>IF($C825=""," ",[1]!i_pq_pctchange($C825,K$6,$N$1))</f>
        <v xml:space="preserve"> </v>
      </c>
      <c r="L825" s="28" t="str">
        <f>IF(C825=""," ",[1]!s_wq_pctchange($C825,$N$1))</f>
        <v xml:space="preserve"> </v>
      </c>
      <c r="M825" s="28" t="str">
        <f>IF(C825=""," ",[1]!s_mq_pctchange($C825,$N$1))</f>
        <v xml:space="preserve"> </v>
      </c>
      <c r="N825" s="28" t="str">
        <f>IF(C825=""," ",[1]!s_yq_pctchange($C825,$N$1))</f>
        <v xml:space="preserve"> </v>
      </c>
      <c r="O825" s="11"/>
      <c r="P825" s="7"/>
    </row>
    <row r="826" spans="1:16" x14ac:dyDescent="0.35">
      <c r="A826" s="7"/>
      <c r="C826" s="31" t="str">
        <f>IF(指数列表!B823="","",指数列表!B823)</f>
        <v/>
      </c>
      <c r="D826" s="36" t="str">
        <f>IF(C826="","",[1]!s_info_name(C826))</f>
        <v/>
      </c>
      <c r="E826" s="25" t="str">
        <f>IF(C826="","",[1]!s_dq_close(C826,$N$1))</f>
        <v/>
      </c>
      <c r="F826" s="28" t="str">
        <f>IF($C826=""," ",[1]!i_pq_pctchange($C826,F$6,$N$1))</f>
        <v xml:space="preserve"> </v>
      </c>
      <c r="G826" s="28" t="str">
        <f>IF($C826=""," ",[1]!i_pq_pctchange($C826,G$6,$N$1))</f>
        <v xml:space="preserve"> </v>
      </c>
      <c r="H826" s="28" t="str">
        <f>IF($C826=""," ",[1]!i_pq_pctchange($C826,H$6,$N$1))</f>
        <v xml:space="preserve"> </v>
      </c>
      <c r="I826" s="28" t="str">
        <f>IF($C826=""," ",[1]!i_pq_pctchange($C826,I$6,$N$1))</f>
        <v xml:space="preserve"> </v>
      </c>
      <c r="J826" s="28" t="str">
        <f>IF($C826=""," ",[1]!i_pq_pctchange($C826,J$6,$N$1))</f>
        <v xml:space="preserve"> </v>
      </c>
      <c r="K826" s="28" t="str">
        <f>IF($C826=""," ",[1]!i_pq_pctchange($C826,K$6,$N$1))</f>
        <v xml:space="preserve"> </v>
      </c>
      <c r="L826" s="28" t="str">
        <f>IF(C826=""," ",[1]!s_wq_pctchange($C826,$N$1))</f>
        <v xml:space="preserve"> </v>
      </c>
      <c r="M826" s="28" t="str">
        <f>IF(C826=""," ",[1]!s_mq_pctchange($C826,$N$1))</f>
        <v xml:space="preserve"> </v>
      </c>
      <c r="N826" s="28" t="str">
        <f>IF(C826=""," ",[1]!s_yq_pctchange($C826,$N$1))</f>
        <v xml:space="preserve"> </v>
      </c>
      <c r="O826" s="11"/>
      <c r="P826" s="7"/>
    </row>
    <row r="827" spans="1:16" x14ac:dyDescent="0.35">
      <c r="A827" s="7"/>
      <c r="C827" s="30" t="str">
        <f>IF(指数列表!B824="","",指数列表!B824)</f>
        <v/>
      </c>
      <c r="D827" s="35" t="str">
        <f>IF(C827="","",[1]!s_info_name(C827))</f>
        <v/>
      </c>
      <c r="E827" s="24" t="str">
        <f>IF(C827="","",[1]!s_dq_close(C827,$N$1))</f>
        <v/>
      </c>
      <c r="F827" s="28" t="str">
        <f>IF($C827=""," ",[1]!i_pq_pctchange($C827,F$6,$N$1))</f>
        <v xml:space="preserve"> </v>
      </c>
      <c r="G827" s="28" t="str">
        <f>IF($C827=""," ",[1]!i_pq_pctchange($C827,G$6,$N$1))</f>
        <v xml:space="preserve"> </v>
      </c>
      <c r="H827" s="28" t="str">
        <f>IF($C827=""," ",[1]!i_pq_pctchange($C827,H$6,$N$1))</f>
        <v xml:space="preserve"> </v>
      </c>
      <c r="I827" s="28" t="str">
        <f>IF($C827=""," ",[1]!i_pq_pctchange($C827,I$6,$N$1))</f>
        <v xml:space="preserve"> </v>
      </c>
      <c r="J827" s="28" t="str">
        <f>IF($C827=""," ",[1]!i_pq_pctchange($C827,J$6,$N$1))</f>
        <v xml:space="preserve"> </v>
      </c>
      <c r="K827" s="28" t="str">
        <f>IF($C827=""," ",[1]!i_pq_pctchange($C827,K$6,$N$1))</f>
        <v xml:space="preserve"> </v>
      </c>
      <c r="L827" s="28" t="str">
        <f>IF(C827=""," ",[1]!s_wq_pctchange($C827,$N$1))</f>
        <v xml:space="preserve"> </v>
      </c>
      <c r="M827" s="28" t="str">
        <f>IF(C827=""," ",[1]!s_mq_pctchange($C827,$N$1))</f>
        <v xml:space="preserve"> </v>
      </c>
      <c r="N827" s="28" t="str">
        <f>IF(C827=""," ",[1]!s_yq_pctchange($C827,$N$1))</f>
        <v xml:space="preserve"> </v>
      </c>
      <c r="O827" s="11"/>
      <c r="P827" s="7"/>
    </row>
    <row r="828" spans="1:16" x14ac:dyDescent="0.35">
      <c r="A828" s="7"/>
      <c r="C828" s="31" t="str">
        <f>IF(指数列表!B825="","",指数列表!B825)</f>
        <v/>
      </c>
      <c r="D828" s="36" t="str">
        <f>IF(C828="","",[1]!s_info_name(C828))</f>
        <v/>
      </c>
      <c r="E828" s="25" t="str">
        <f>IF(C828="","",[1]!s_dq_close(C828,$N$1))</f>
        <v/>
      </c>
      <c r="F828" s="28" t="str">
        <f>IF($C828=""," ",[1]!i_pq_pctchange($C828,F$6,$N$1))</f>
        <v xml:space="preserve"> </v>
      </c>
      <c r="G828" s="28" t="str">
        <f>IF($C828=""," ",[1]!i_pq_pctchange($C828,G$6,$N$1))</f>
        <v xml:space="preserve"> </v>
      </c>
      <c r="H828" s="28" t="str">
        <f>IF($C828=""," ",[1]!i_pq_pctchange($C828,H$6,$N$1))</f>
        <v xml:space="preserve"> </v>
      </c>
      <c r="I828" s="28" t="str">
        <f>IF($C828=""," ",[1]!i_pq_pctchange($C828,I$6,$N$1))</f>
        <v xml:space="preserve"> </v>
      </c>
      <c r="J828" s="28" t="str">
        <f>IF($C828=""," ",[1]!i_pq_pctchange($C828,J$6,$N$1))</f>
        <v xml:space="preserve"> </v>
      </c>
      <c r="K828" s="28" t="str">
        <f>IF($C828=""," ",[1]!i_pq_pctchange($C828,K$6,$N$1))</f>
        <v xml:space="preserve"> </v>
      </c>
      <c r="L828" s="28" t="str">
        <f>IF(C828=""," ",[1]!s_wq_pctchange($C828,$N$1))</f>
        <v xml:space="preserve"> </v>
      </c>
      <c r="M828" s="28" t="str">
        <f>IF(C828=""," ",[1]!s_mq_pctchange($C828,$N$1))</f>
        <v xml:space="preserve"> </v>
      </c>
      <c r="N828" s="28" t="str">
        <f>IF(C828=""," ",[1]!s_yq_pctchange($C828,$N$1))</f>
        <v xml:space="preserve"> </v>
      </c>
      <c r="O828" s="11"/>
      <c r="P828" s="7"/>
    </row>
    <row r="829" spans="1:16" x14ac:dyDescent="0.35">
      <c r="A829" s="7"/>
      <c r="C829" s="30" t="str">
        <f>IF(指数列表!B826="","",指数列表!B826)</f>
        <v/>
      </c>
      <c r="D829" s="35" t="str">
        <f>IF(C829="","",[1]!s_info_name(C829))</f>
        <v/>
      </c>
      <c r="E829" s="24" t="str">
        <f>IF(C829="","",[1]!s_dq_close(C829,$N$1))</f>
        <v/>
      </c>
      <c r="F829" s="28" t="str">
        <f>IF($C829=""," ",[1]!i_pq_pctchange($C829,F$6,$N$1))</f>
        <v xml:space="preserve"> </v>
      </c>
      <c r="G829" s="28" t="str">
        <f>IF($C829=""," ",[1]!i_pq_pctchange($C829,G$6,$N$1))</f>
        <v xml:space="preserve"> </v>
      </c>
      <c r="H829" s="28" t="str">
        <f>IF($C829=""," ",[1]!i_pq_pctchange($C829,H$6,$N$1))</f>
        <v xml:space="preserve"> </v>
      </c>
      <c r="I829" s="28" t="str">
        <f>IF($C829=""," ",[1]!i_pq_pctchange($C829,I$6,$N$1))</f>
        <v xml:space="preserve"> </v>
      </c>
      <c r="J829" s="28" t="str">
        <f>IF($C829=""," ",[1]!i_pq_pctchange($C829,J$6,$N$1))</f>
        <v xml:space="preserve"> </v>
      </c>
      <c r="K829" s="28" t="str">
        <f>IF($C829=""," ",[1]!i_pq_pctchange($C829,K$6,$N$1))</f>
        <v xml:space="preserve"> </v>
      </c>
      <c r="L829" s="28" t="str">
        <f>IF(C829=""," ",[1]!s_wq_pctchange($C829,$N$1))</f>
        <v xml:space="preserve"> </v>
      </c>
      <c r="M829" s="28" t="str">
        <f>IF(C829=""," ",[1]!s_mq_pctchange($C829,$N$1))</f>
        <v xml:space="preserve"> </v>
      </c>
      <c r="N829" s="28" t="str">
        <f>IF(C829=""," ",[1]!s_yq_pctchange($C829,$N$1))</f>
        <v xml:space="preserve"> </v>
      </c>
      <c r="O829" s="11"/>
      <c r="P829" s="7"/>
    </row>
    <row r="830" spans="1:16" x14ac:dyDescent="0.35">
      <c r="A830" s="7"/>
      <c r="C830" s="31" t="str">
        <f>IF(指数列表!B827="","",指数列表!B827)</f>
        <v/>
      </c>
      <c r="D830" s="36" t="str">
        <f>IF(C830="","",[1]!s_info_name(C830))</f>
        <v/>
      </c>
      <c r="E830" s="25" t="str">
        <f>IF(C830="","",[1]!s_dq_close(C830,$N$1))</f>
        <v/>
      </c>
      <c r="F830" s="28" t="str">
        <f>IF($C830=""," ",[1]!i_pq_pctchange($C830,F$6,$N$1))</f>
        <v xml:space="preserve"> </v>
      </c>
      <c r="G830" s="28" t="str">
        <f>IF($C830=""," ",[1]!i_pq_pctchange($C830,G$6,$N$1))</f>
        <v xml:space="preserve"> </v>
      </c>
      <c r="H830" s="28" t="str">
        <f>IF($C830=""," ",[1]!i_pq_pctchange($C830,H$6,$N$1))</f>
        <v xml:space="preserve"> </v>
      </c>
      <c r="I830" s="28" t="str">
        <f>IF($C830=""," ",[1]!i_pq_pctchange($C830,I$6,$N$1))</f>
        <v xml:space="preserve"> </v>
      </c>
      <c r="J830" s="28" t="str">
        <f>IF($C830=""," ",[1]!i_pq_pctchange($C830,J$6,$N$1))</f>
        <v xml:space="preserve"> </v>
      </c>
      <c r="K830" s="28" t="str">
        <f>IF($C830=""," ",[1]!i_pq_pctchange($C830,K$6,$N$1))</f>
        <v xml:space="preserve"> </v>
      </c>
      <c r="L830" s="28" t="str">
        <f>IF(C830=""," ",[1]!s_wq_pctchange($C830,$N$1))</f>
        <v xml:space="preserve"> </v>
      </c>
      <c r="M830" s="28" t="str">
        <f>IF(C830=""," ",[1]!s_mq_pctchange($C830,$N$1))</f>
        <v xml:space="preserve"> </v>
      </c>
      <c r="N830" s="28" t="str">
        <f>IF(C830=""," ",[1]!s_yq_pctchange($C830,$N$1))</f>
        <v xml:space="preserve"> </v>
      </c>
      <c r="O830" s="11"/>
      <c r="P830" s="7"/>
    </row>
    <row r="831" spans="1:16" x14ac:dyDescent="0.35">
      <c r="A831" s="7"/>
      <c r="C831" s="30" t="str">
        <f>IF(指数列表!B828="","",指数列表!B828)</f>
        <v/>
      </c>
      <c r="D831" s="35" t="str">
        <f>IF(C831="","",[1]!s_info_name(C831))</f>
        <v/>
      </c>
      <c r="E831" s="24" t="str">
        <f>IF(C831="","",[1]!s_dq_close(C831,$N$1))</f>
        <v/>
      </c>
      <c r="F831" s="28" t="str">
        <f>IF($C831=""," ",[1]!i_pq_pctchange($C831,F$6,$N$1))</f>
        <v xml:space="preserve"> </v>
      </c>
      <c r="G831" s="28" t="str">
        <f>IF($C831=""," ",[1]!i_pq_pctchange($C831,G$6,$N$1))</f>
        <v xml:space="preserve"> </v>
      </c>
      <c r="H831" s="28" t="str">
        <f>IF($C831=""," ",[1]!i_pq_pctchange($C831,H$6,$N$1))</f>
        <v xml:space="preserve"> </v>
      </c>
      <c r="I831" s="28" t="str">
        <f>IF($C831=""," ",[1]!i_pq_pctchange($C831,I$6,$N$1))</f>
        <v xml:space="preserve"> </v>
      </c>
      <c r="J831" s="28" t="str">
        <f>IF($C831=""," ",[1]!i_pq_pctchange($C831,J$6,$N$1))</f>
        <v xml:space="preserve"> </v>
      </c>
      <c r="K831" s="28" t="str">
        <f>IF($C831=""," ",[1]!i_pq_pctchange($C831,K$6,$N$1))</f>
        <v xml:space="preserve"> </v>
      </c>
      <c r="L831" s="28" t="str">
        <f>IF(C831=""," ",[1]!s_wq_pctchange($C831,$N$1))</f>
        <v xml:space="preserve"> </v>
      </c>
      <c r="M831" s="28" t="str">
        <f>IF(C831=""," ",[1]!s_mq_pctchange($C831,$N$1))</f>
        <v xml:space="preserve"> </v>
      </c>
      <c r="N831" s="28" t="str">
        <f>IF(C831=""," ",[1]!s_yq_pctchange($C831,$N$1))</f>
        <v xml:space="preserve"> </v>
      </c>
      <c r="O831" s="11"/>
      <c r="P831" s="7"/>
    </row>
    <row r="832" spans="1:16" x14ac:dyDescent="0.35">
      <c r="A832" s="7"/>
      <c r="C832" s="31" t="str">
        <f>IF(指数列表!B829="","",指数列表!B829)</f>
        <v/>
      </c>
      <c r="D832" s="36" t="str">
        <f>IF(C832="","",[1]!s_info_name(C832))</f>
        <v/>
      </c>
      <c r="E832" s="25" t="str">
        <f>IF(C832="","",[1]!s_dq_close(C832,$N$1))</f>
        <v/>
      </c>
      <c r="F832" s="28" t="str">
        <f>IF($C832=""," ",[1]!i_pq_pctchange($C832,F$6,$N$1))</f>
        <v xml:space="preserve"> </v>
      </c>
      <c r="G832" s="28" t="str">
        <f>IF($C832=""," ",[1]!i_pq_pctchange($C832,G$6,$N$1))</f>
        <v xml:space="preserve"> </v>
      </c>
      <c r="H832" s="28" t="str">
        <f>IF($C832=""," ",[1]!i_pq_pctchange($C832,H$6,$N$1))</f>
        <v xml:space="preserve"> </v>
      </c>
      <c r="I832" s="28" t="str">
        <f>IF($C832=""," ",[1]!i_pq_pctchange($C832,I$6,$N$1))</f>
        <v xml:space="preserve"> </v>
      </c>
      <c r="J832" s="28" t="str">
        <f>IF($C832=""," ",[1]!i_pq_pctchange($C832,J$6,$N$1))</f>
        <v xml:space="preserve"> </v>
      </c>
      <c r="K832" s="28" t="str">
        <f>IF($C832=""," ",[1]!i_pq_pctchange($C832,K$6,$N$1))</f>
        <v xml:space="preserve"> </v>
      </c>
      <c r="L832" s="28" t="str">
        <f>IF(C832=""," ",[1]!s_wq_pctchange($C832,$N$1))</f>
        <v xml:space="preserve"> </v>
      </c>
      <c r="M832" s="28" t="str">
        <f>IF(C832=""," ",[1]!s_mq_pctchange($C832,$N$1))</f>
        <v xml:space="preserve"> </v>
      </c>
      <c r="N832" s="28" t="str">
        <f>IF(C832=""," ",[1]!s_yq_pctchange($C832,$N$1))</f>
        <v xml:space="preserve"> </v>
      </c>
      <c r="O832" s="11"/>
      <c r="P832" s="7"/>
    </row>
    <row r="833" spans="1:16" x14ac:dyDescent="0.35">
      <c r="A833" s="7"/>
      <c r="C833" s="30" t="str">
        <f>IF(指数列表!B830="","",指数列表!B830)</f>
        <v/>
      </c>
      <c r="D833" s="35" t="str">
        <f>IF(C833="","",[1]!s_info_name(C833))</f>
        <v/>
      </c>
      <c r="E833" s="24" t="str">
        <f>IF(C833="","",[1]!s_dq_close(C833,$N$1))</f>
        <v/>
      </c>
      <c r="F833" s="28" t="str">
        <f>IF($C833=""," ",[1]!i_pq_pctchange($C833,F$6,$N$1))</f>
        <v xml:space="preserve"> </v>
      </c>
      <c r="G833" s="28" t="str">
        <f>IF($C833=""," ",[1]!i_pq_pctchange($C833,G$6,$N$1))</f>
        <v xml:space="preserve"> </v>
      </c>
      <c r="H833" s="28" t="str">
        <f>IF($C833=""," ",[1]!i_pq_pctchange($C833,H$6,$N$1))</f>
        <v xml:space="preserve"> </v>
      </c>
      <c r="I833" s="28" t="str">
        <f>IF($C833=""," ",[1]!i_pq_pctchange($C833,I$6,$N$1))</f>
        <v xml:space="preserve"> </v>
      </c>
      <c r="J833" s="28" t="str">
        <f>IF($C833=""," ",[1]!i_pq_pctchange($C833,J$6,$N$1))</f>
        <v xml:space="preserve"> </v>
      </c>
      <c r="K833" s="28" t="str">
        <f>IF($C833=""," ",[1]!i_pq_pctchange($C833,K$6,$N$1))</f>
        <v xml:space="preserve"> </v>
      </c>
      <c r="L833" s="28" t="str">
        <f>IF(C833=""," ",[1]!s_wq_pctchange($C833,$N$1))</f>
        <v xml:space="preserve"> </v>
      </c>
      <c r="M833" s="28" t="str">
        <f>IF(C833=""," ",[1]!s_mq_pctchange($C833,$N$1))</f>
        <v xml:space="preserve"> </v>
      </c>
      <c r="N833" s="28" t="str">
        <f>IF(C833=""," ",[1]!s_yq_pctchange($C833,$N$1))</f>
        <v xml:space="preserve"> </v>
      </c>
      <c r="O833" s="11"/>
      <c r="P833" s="7"/>
    </row>
    <row r="834" spans="1:16" x14ac:dyDescent="0.35">
      <c r="A834" s="7"/>
      <c r="C834" s="31" t="str">
        <f>IF(指数列表!B831="","",指数列表!B831)</f>
        <v/>
      </c>
      <c r="D834" s="36" t="str">
        <f>IF(C834="","",[1]!s_info_name(C834))</f>
        <v/>
      </c>
      <c r="E834" s="25" t="str">
        <f>IF(C834="","",[1]!s_dq_close(C834,$N$1))</f>
        <v/>
      </c>
      <c r="F834" s="28" t="str">
        <f>IF($C834=""," ",[1]!i_pq_pctchange($C834,F$6,$N$1))</f>
        <v xml:space="preserve"> </v>
      </c>
      <c r="G834" s="28" t="str">
        <f>IF($C834=""," ",[1]!i_pq_pctchange($C834,G$6,$N$1))</f>
        <v xml:space="preserve"> </v>
      </c>
      <c r="H834" s="28" t="str">
        <f>IF($C834=""," ",[1]!i_pq_pctchange($C834,H$6,$N$1))</f>
        <v xml:space="preserve"> </v>
      </c>
      <c r="I834" s="28" t="str">
        <f>IF($C834=""," ",[1]!i_pq_pctchange($C834,I$6,$N$1))</f>
        <v xml:space="preserve"> </v>
      </c>
      <c r="J834" s="28" t="str">
        <f>IF($C834=""," ",[1]!i_pq_pctchange($C834,J$6,$N$1))</f>
        <v xml:space="preserve"> </v>
      </c>
      <c r="K834" s="28" t="str">
        <f>IF($C834=""," ",[1]!i_pq_pctchange($C834,K$6,$N$1))</f>
        <v xml:space="preserve"> </v>
      </c>
      <c r="L834" s="28" t="str">
        <f>IF(C834=""," ",[1]!s_wq_pctchange($C834,$N$1))</f>
        <v xml:space="preserve"> </v>
      </c>
      <c r="M834" s="28" t="str">
        <f>IF(C834=""," ",[1]!s_mq_pctchange($C834,$N$1))</f>
        <v xml:space="preserve"> </v>
      </c>
      <c r="N834" s="28" t="str">
        <f>IF(C834=""," ",[1]!s_yq_pctchange($C834,$N$1))</f>
        <v xml:space="preserve"> </v>
      </c>
      <c r="O834" s="11"/>
      <c r="P834" s="7"/>
    </row>
    <row r="835" spans="1:16" x14ac:dyDescent="0.35">
      <c r="A835" s="7"/>
      <c r="C835" s="30" t="str">
        <f>IF(指数列表!B832="","",指数列表!B832)</f>
        <v/>
      </c>
      <c r="D835" s="35" t="str">
        <f>IF(C835="","",[1]!s_info_name(C835))</f>
        <v/>
      </c>
      <c r="E835" s="24" t="str">
        <f>IF(C835="","",[1]!s_dq_close(C835,$N$1))</f>
        <v/>
      </c>
      <c r="F835" s="28" t="str">
        <f>IF($C835=""," ",[1]!i_pq_pctchange($C835,F$6,$N$1))</f>
        <v xml:space="preserve"> </v>
      </c>
      <c r="G835" s="28" t="str">
        <f>IF($C835=""," ",[1]!i_pq_pctchange($C835,G$6,$N$1))</f>
        <v xml:space="preserve"> </v>
      </c>
      <c r="H835" s="28" t="str">
        <f>IF($C835=""," ",[1]!i_pq_pctchange($C835,H$6,$N$1))</f>
        <v xml:space="preserve"> </v>
      </c>
      <c r="I835" s="28" t="str">
        <f>IF($C835=""," ",[1]!i_pq_pctchange($C835,I$6,$N$1))</f>
        <v xml:space="preserve"> </v>
      </c>
      <c r="J835" s="28" t="str">
        <f>IF($C835=""," ",[1]!i_pq_pctchange($C835,J$6,$N$1))</f>
        <v xml:space="preserve"> </v>
      </c>
      <c r="K835" s="28" t="str">
        <f>IF($C835=""," ",[1]!i_pq_pctchange($C835,K$6,$N$1))</f>
        <v xml:space="preserve"> </v>
      </c>
      <c r="L835" s="28" t="str">
        <f>IF(C835=""," ",[1]!s_wq_pctchange($C835,$N$1))</f>
        <v xml:space="preserve"> </v>
      </c>
      <c r="M835" s="28" t="str">
        <f>IF(C835=""," ",[1]!s_mq_pctchange($C835,$N$1))</f>
        <v xml:space="preserve"> </v>
      </c>
      <c r="N835" s="28" t="str">
        <f>IF(C835=""," ",[1]!s_yq_pctchange($C835,$N$1))</f>
        <v xml:space="preserve"> </v>
      </c>
      <c r="O835" s="11"/>
      <c r="P835" s="7"/>
    </row>
    <row r="836" spans="1:16" x14ac:dyDescent="0.35">
      <c r="A836" s="7"/>
      <c r="C836" s="31" t="str">
        <f>IF(指数列表!B833="","",指数列表!B833)</f>
        <v/>
      </c>
      <c r="D836" s="36" t="str">
        <f>IF(C836="","",[1]!s_info_name(C836))</f>
        <v/>
      </c>
      <c r="E836" s="25" t="str">
        <f>IF(C836="","",[1]!s_dq_close(C836,$N$1))</f>
        <v/>
      </c>
      <c r="F836" s="28" t="str">
        <f>IF($C836=""," ",[1]!i_pq_pctchange($C836,F$6,$N$1))</f>
        <v xml:space="preserve"> </v>
      </c>
      <c r="G836" s="28" t="str">
        <f>IF($C836=""," ",[1]!i_pq_pctchange($C836,G$6,$N$1))</f>
        <v xml:space="preserve"> </v>
      </c>
      <c r="H836" s="28" t="str">
        <f>IF($C836=""," ",[1]!i_pq_pctchange($C836,H$6,$N$1))</f>
        <v xml:space="preserve"> </v>
      </c>
      <c r="I836" s="28" t="str">
        <f>IF($C836=""," ",[1]!i_pq_pctchange($C836,I$6,$N$1))</f>
        <v xml:space="preserve"> </v>
      </c>
      <c r="J836" s="28" t="str">
        <f>IF($C836=""," ",[1]!i_pq_pctchange($C836,J$6,$N$1))</f>
        <v xml:space="preserve"> </v>
      </c>
      <c r="K836" s="28" t="str">
        <f>IF($C836=""," ",[1]!i_pq_pctchange($C836,K$6,$N$1))</f>
        <v xml:space="preserve"> </v>
      </c>
      <c r="L836" s="28" t="str">
        <f>IF(C836=""," ",[1]!s_wq_pctchange($C836,$N$1))</f>
        <v xml:space="preserve"> </v>
      </c>
      <c r="M836" s="28" t="str">
        <f>IF(C836=""," ",[1]!s_mq_pctchange($C836,$N$1))</f>
        <v xml:space="preserve"> </v>
      </c>
      <c r="N836" s="28" t="str">
        <f>IF(C836=""," ",[1]!s_yq_pctchange($C836,$N$1))</f>
        <v xml:space="preserve"> </v>
      </c>
      <c r="O836" s="11"/>
      <c r="P836" s="7"/>
    </row>
    <row r="837" spans="1:16" x14ac:dyDescent="0.35">
      <c r="A837" s="7"/>
      <c r="C837" s="30" t="str">
        <f>IF(指数列表!B834="","",指数列表!B834)</f>
        <v/>
      </c>
      <c r="D837" s="35" t="str">
        <f>IF(C837="","",[1]!s_info_name(C837))</f>
        <v/>
      </c>
      <c r="E837" s="24" t="str">
        <f>IF(C837="","",[1]!s_dq_close(C837,$N$1))</f>
        <v/>
      </c>
      <c r="F837" s="28" t="str">
        <f>IF($C837=""," ",[1]!i_pq_pctchange($C837,F$6,$N$1))</f>
        <v xml:space="preserve"> </v>
      </c>
      <c r="G837" s="28" t="str">
        <f>IF($C837=""," ",[1]!i_pq_pctchange($C837,G$6,$N$1))</f>
        <v xml:space="preserve"> </v>
      </c>
      <c r="H837" s="28" t="str">
        <f>IF($C837=""," ",[1]!i_pq_pctchange($C837,H$6,$N$1))</f>
        <v xml:space="preserve"> </v>
      </c>
      <c r="I837" s="28" t="str">
        <f>IF($C837=""," ",[1]!i_pq_pctchange($C837,I$6,$N$1))</f>
        <v xml:space="preserve"> </v>
      </c>
      <c r="J837" s="28" t="str">
        <f>IF($C837=""," ",[1]!i_pq_pctchange($C837,J$6,$N$1))</f>
        <v xml:space="preserve"> </v>
      </c>
      <c r="K837" s="28" t="str">
        <f>IF($C837=""," ",[1]!i_pq_pctchange($C837,K$6,$N$1))</f>
        <v xml:space="preserve"> </v>
      </c>
      <c r="L837" s="28" t="str">
        <f>IF(C837=""," ",[1]!s_wq_pctchange($C837,$N$1))</f>
        <v xml:space="preserve"> </v>
      </c>
      <c r="M837" s="28" t="str">
        <f>IF(C837=""," ",[1]!s_mq_pctchange($C837,$N$1))</f>
        <v xml:space="preserve"> </v>
      </c>
      <c r="N837" s="28" t="str">
        <f>IF(C837=""," ",[1]!s_yq_pctchange($C837,$N$1))</f>
        <v xml:space="preserve"> </v>
      </c>
      <c r="O837" s="11"/>
      <c r="P837" s="7"/>
    </row>
    <row r="838" spans="1:16" x14ac:dyDescent="0.35">
      <c r="A838" s="7"/>
      <c r="C838" s="31" t="str">
        <f>IF(指数列表!B835="","",指数列表!B835)</f>
        <v/>
      </c>
      <c r="D838" s="36" t="str">
        <f>IF(C838="","",[1]!s_info_name(C838))</f>
        <v/>
      </c>
      <c r="E838" s="25" t="str">
        <f>IF(C838="","",[1]!s_dq_close(C838,$N$1))</f>
        <v/>
      </c>
      <c r="F838" s="28" t="str">
        <f>IF($C838=""," ",[1]!i_pq_pctchange($C838,F$6,$N$1))</f>
        <v xml:space="preserve"> </v>
      </c>
      <c r="G838" s="28" t="str">
        <f>IF($C838=""," ",[1]!i_pq_pctchange($C838,G$6,$N$1))</f>
        <v xml:space="preserve"> </v>
      </c>
      <c r="H838" s="28" t="str">
        <f>IF($C838=""," ",[1]!i_pq_pctchange($C838,H$6,$N$1))</f>
        <v xml:space="preserve"> </v>
      </c>
      <c r="I838" s="28" t="str">
        <f>IF($C838=""," ",[1]!i_pq_pctchange($C838,I$6,$N$1))</f>
        <v xml:space="preserve"> </v>
      </c>
      <c r="J838" s="28" t="str">
        <f>IF($C838=""," ",[1]!i_pq_pctchange($C838,J$6,$N$1))</f>
        <v xml:space="preserve"> </v>
      </c>
      <c r="K838" s="28" t="str">
        <f>IF($C838=""," ",[1]!i_pq_pctchange($C838,K$6,$N$1))</f>
        <v xml:space="preserve"> </v>
      </c>
      <c r="L838" s="28" t="str">
        <f>IF(C838=""," ",[1]!s_wq_pctchange($C838,$N$1))</f>
        <v xml:space="preserve"> </v>
      </c>
      <c r="M838" s="28" t="str">
        <f>IF(C838=""," ",[1]!s_mq_pctchange($C838,$N$1))</f>
        <v xml:space="preserve"> </v>
      </c>
      <c r="N838" s="28" t="str">
        <f>IF(C838=""," ",[1]!s_yq_pctchange($C838,$N$1))</f>
        <v xml:space="preserve"> </v>
      </c>
      <c r="O838" s="11"/>
      <c r="P838" s="7"/>
    </row>
    <row r="839" spans="1:16" x14ac:dyDescent="0.35">
      <c r="A839" s="7"/>
      <c r="C839" s="30" t="str">
        <f>IF(指数列表!B836="","",指数列表!B836)</f>
        <v/>
      </c>
      <c r="D839" s="35" t="str">
        <f>IF(C839="","",[1]!s_info_name(C839))</f>
        <v/>
      </c>
      <c r="E839" s="24" t="str">
        <f>IF(C839="","",[1]!s_dq_close(C839,$N$1))</f>
        <v/>
      </c>
      <c r="F839" s="28" t="str">
        <f>IF($C839=""," ",[1]!i_pq_pctchange($C839,F$6,$N$1))</f>
        <v xml:space="preserve"> </v>
      </c>
      <c r="G839" s="28" t="str">
        <f>IF($C839=""," ",[1]!i_pq_pctchange($C839,G$6,$N$1))</f>
        <v xml:space="preserve"> </v>
      </c>
      <c r="H839" s="28" t="str">
        <f>IF($C839=""," ",[1]!i_pq_pctchange($C839,H$6,$N$1))</f>
        <v xml:space="preserve"> </v>
      </c>
      <c r="I839" s="28" t="str">
        <f>IF($C839=""," ",[1]!i_pq_pctchange($C839,I$6,$N$1))</f>
        <v xml:space="preserve"> </v>
      </c>
      <c r="J839" s="28" t="str">
        <f>IF($C839=""," ",[1]!i_pq_pctchange($C839,J$6,$N$1))</f>
        <v xml:space="preserve"> </v>
      </c>
      <c r="K839" s="28" t="str">
        <f>IF($C839=""," ",[1]!i_pq_pctchange($C839,K$6,$N$1))</f>
        <v xml:space="preserve"> </v>
      </c>
      <c r="L839" s="28" t="str">
        <f>IF(C839=""," ",[1]!s_wq_pctchange($C839,$N$1))</f>
        <v xml:space="preserve"> </v>
      </c>
      <c r="M839" s="28" t="str">
        <f>IF(C839=""," ",[1]!s_mq_pctchange($C839,$N$1))</f>
        <v xml:space="preserve"> </v>
      </c>
      <c r="N839" s="28" t="str">
        <f>IF(C839=""," ",[1]!s_yq_pctchange($C839,$N$1))</f>
        <v xml:space="preserve"> </v>
      </c>
      <c r="O839" s="11"/>
      <c r="P839" s="7"/>
    </row>
    <row r="840" spans="1:16" x14ac:dyDescent="0.35">
      <c r="A840" s="7"/>
      <c r="C840" s="31" t="str">
        <f>IF(指数列表!B837="","",指数列表!B837)</f>
        <v/>
      </c>
      <c r="D840" s="36" t="str">
        <f>IF(C840="","",[1]!s_info_name(C840))</f>
        <v/>
      </c>
      <c r="E840" s="25" t="str">
        <f>IF(C840="","",[1]!s_dq_close(C840,$N$1))</f>
        <v/>
      </c>
      <c r="F840" s="28" t="str">
        <f>IF($C840=""," ",[1]!i_pq_pctchange($C840,F$6,$N$1))</f>
        <v xml:space="preserve"> </v>
      </c>
      <c r="G840" s="28" t="str">
        <f>IF($C840=""," ",[1]!i_pq_pctchange($C840,G$6,$N$1))</f>
        <v xml:space="preserve"> </v>
      </c>
      <c r="H840" s="28" t="str">
        <f>IF($C840=""," ",[1]!i_pq_pctchange($C840,H$6,$N$1))</f>
        <v xml:space="preserve"> </v>
      </c>
      <c r="I840" s="28" t="str">
        <f>IF($C840=""," ",[1]!i_pq_pctchange($C840,I$6,$N$1))</f>
        <v xml:space="preserve"> </v>
      </c>
      <c r="J840" s="28" t="str">
        <f>IF($C840=""," ",[1]!i_pq_pctchange($C840,J$6,$N$1))</f>
        <v xml:space="preserve"> </v>
      </c>
      <c r="K840" s="28" t="str">
        <f>IF($C840=""," ",[1]!i_pq_pctchange($C840,K$6,$N$1))</f>
        <v xml:space="preserve"> </v>
      </c>
      <c r="L840" s="28" t="str">
        <f>IF(C840=""," ",[1]!s_wq_pctchange($C840,$N$1))</f>
        <v xml:space="preserve"> </v>
      </c>
      <c r="M840" s="28" t="str">
        <f>IF(C840=""," ",[1]!s_mq_pctchange($C840,$N$1))</f>
        <v xml:space="preserve"> </v>
      </c>
      <c r="N840" s="28" t="str">
        <f>IF(C840=""," ",[1]!s_yq_pctchange($C840,$N$1))</f>
        <v xml:space="preserve"> </v>
      </c>
      <c r="O840" s="11"/>
      <c r="P840" s="7"/>
    </row>
    <row r="841" spans="1:16" x14ac:dyDescent="0.35">
      <c r="A841" s="7"/>
      <c r="C841" s="30" t="str">
        <f>IF(指数列表!B838="","",指数列表!B838)</f>
        <v/>
      </c>
      <c r="D841" s="35" t="str">
        <f>IF(C841="","",[1]!s_info_name(C841))</f>
        <v/>
      </c>
      <c r="E841" s="24" t="str">
        <f>IF(C841="","",[1]!s_dq_close(C841,$N$1))</f>
        <v/>
      </c>
      <c r="F841" s="28" t="str">
        <f>IF($C841=""," ",[1]!i_pq_pctchange($C841,F$6,$N$1))</f>
        <v xml:space="preserve"> </v>
      </c>
      <c r="G841" s="28" t="str">
        <f>IF($C841=""," ",[1]!i_pq_pctchange($C841,G$6,$N$1))</f>
        <v xml:space="preserve"> </v>
      </c>
      <c r="H841" s="28" t="str">
        <f>IF($C841=""," ",[1]!i_pq_pctchange($C841,H$6,$N$1))</f>
        <v xml:space="preserve"> </v>
      </c>
      <c r="I841" s="28" t="str">
        <f>IF($C841=""," ",[1]!i_pq_pctchange($C841,I$6,$N$1))</f>
        <v xml:space="preserve"> </v>
      </c>
      <c r="J841" s="28" t="str">
        <f>IF($C841=""," ",[1]!i_pq_pctchange($C841,J$6,$N$1))</f>
        <v xml:space="preserve"> </v>
      </c>
      <c r="K841" s="28" t="str">
        <f>IF($C841=""," ",[1]!i_pq_pctchange($C841,K$6,$N$1))</f>
        <v xml:space="preserve"> </v>
      </c>
      <c r="L841" s="28" t="str">
        <f>IF(C841=""," ",[1]!s_wq_pctchange($C841,$N$1))</f>
        <v xml:space="preserve"> </v>
      </c>
      <c r="M841" s="28" t="str">
        <f>IF(C841=""," ",[1]!s_mq_pctchange($C841,$N$1))</f>
        <v xml:space="preserve"> </v>
      </c>
      <c r="N841" s="28" t="str">
        <f>IF(C841=""," ",[1]!s_yq_pctchange($C841,$N$1))</f>
        <v xml:space="preserve"> </v>
      </c>
      <c r="O841" s="11"/>
      <c r="P841" s="7"/>
    </row>
    <row r="842" spans="1:16" x14ac:dyDescent="0.35">
      <c r="A842" s="7"/>
      <c r="C842" s="31" t="str">
        <f>IF(指数列表!B839="","",指数列表!B839)</f>
        <v/>
      </c>
      <c r="D842" s="36" t="str">
        <f>IF(C842="","",[1]!s_info_name(C842))</f>
        <v/>
      </c>
      <c r="E842" s="25" t="str">
        <f>IF(C842="","",[1]!s_dq_close(C842,$N$1))</f>
        <v/>
      </c>
      <c r="F842" s="28" t="str">
        <f>IF($C842=""," ",[1]!i_pq_pctchange($C842,F$6,$N$1))</f>
        <v xml:space="preserve"> </v>
      </c>
      <c r="G842" s="28" t="str">
        <f>IF($C842=""," ",[1]!i_pq_pctchange($C842,G$6,$N$1))</f>
        <v xml:space="preserve"> </v>
      </c>
      <c r="H842" s="28" t="str">
        <f>IF($C842=""," ",[1]!i_pq_pctchange($C842,H$6,$N$1))</f>
        <v xml:space="preserve"> </v>
      </c>
      <c r="I842" s="28" t="str">
        <f>IF($C842=""," ",[1]!i_pq_pctchange($C842,I$6,$N$1))</f>
        <v xml:space="preserve"> </v>
      </c>
      <c r="J842" s="28" t="str">
        <f>IF($C842=""," ",[1]!i_pq_pctchange($C842,J$6,$N$1))</f>
        <v xml:space="preserve"> </v>
      </c>
      <c r="K842" s="28" t="str">
        <f>IF($C842=""," ",[1]!i_pq_pctchange($C842,K$6,$N$1))</f>
        <v xml:space="preserve"> </v>
      </c>
      <c r="L842" s="28" t="str">
        <f>IF(C842=""," ",[1]!s_wq_pctchange($C842,$N$1))</f>
        <v xml:space="preserve"> </v>
      </c>
      <c r="M842" s="28" t="str">
        <f>IF(C842=""," ",[1]!s_mq_pctchange($C842,$N$1))</f>
        <v xml:space="preserve"> </v>
      </c>
      <c r="N842" s="28" t="str">
        <f>IF(C842=""," ",[1]!s_yq_pctchange($C842,$N$1))</f>
        <v xml:space="preserve"> </v>
      </c>
      <c r="O842" s="11"/>
      <c r="P842" s="7"/>
    </row>
    <row r="843" spans="1:16" x14ac:dyDescent="0.35">
      <c r="A843" s="7"/>
      <c r="C843" s="30" t="str">
        <f>IF(指数列表!B840="","",指数列表!B840)</f>
        <v/>
      </c>
      <c r="D843" s="35" t="str">
        <f>IF(C843="","",[1]!s_info_name(C843))</f>
        <v/>
      </c>
      <c r="E843" s="24" t="str">
        <f>IF(C843="","",[1]!s_dq_close(C843,$N$1))</f>
        <v/>
      </c>
      <c r="F843" s="28" t="str">
        <f>IF($C843=""," ",[1]!i_pq_pctchange($C843,F$6,$N$1))</f>
        <v xml:space="preserve"> </v>
      </c>
      <c r="G843" s="28" t="str">
        <f>IF($C843=""," ",[1]!i_pq_pctchange($C843,G$6,$N$1))</f>
        <v xml:space="preserve"> </v>
      </c>
      <c r="H843" s="28" t="str">
        <f>IF($C843=""," ",[1]!i_pq_pctchange($C843,H$6,$N$1))</f>
        <v xml:space="preserve"> </v>
      </c>
      <c r="I843" s="28" t="str">
        <f>IF($C843=""," ",[1]!i_pq_pctchange($C843,I$6,$N$1))</f>
        <v xml:space="preserve"> </v>
      </c>
      <c r="J843" s="28" t="str">
        <f>IF($C843=""," ",[1]!i_pq_pctchange($C843,J$6,$N$1))</f>
        <v xml:space="preserve"> </v>
      </c>
      <c r="K843" s="28" t="str">
        <f>IF($C843=""," ",[1]!i_pq_pctchange($C843,K$6,$N$1))</f>
        <v xml:space="preserve"> </v>
      </c>
      <c r="L843" s="28" t="str">
        <f>IF(C843=""," ",[1]!s_wq_pctchange($C843,$N$1))</f>
        <v xml:space="preserve"> </v>
      </c>
      <c r="M843" s="28" t="str">
        <f>IF(C843=""," ",[1]!s_mq_pctchange($C843,$N$1))</f>
        <v xml:space="preserve"> </v>
      </c>
      <c r="N843" s="28" t="str">
        <f>IF(C843=""," ",[1]!s_yq_pctchange($C843,$N$1))</f>
        <v xml:space="preserve"> </v>
      </c>
      <c r="O843" s="11"/>
      <c r="P843" s="7"/>
    </row>
    <row r="844" spans="1:16" x14ac:dyDescent="0.35">
      <c r="A844" s="7"/>
      <c r="C844" s="31" t="str">
        <f>IF(指数列表!B841="","",指数列表!B841)</f>
        <v/>
      </c>
      <c r="D844" s="36" t="str">
        <f>IF(C844="","",[1]!s_info_name(C844))</f>
        <v/>
      </c>
      <c r="E844" s="25" t="str">
        <f>IF(C844="","",[1]!s_dq_close(C844,$N$1))</f>
        <v/>
      </c>
      <c r="F844" s="28" t="str">
        <f>IF($C844=""," ",[1]!i_pq_pctchange($C844,F$6,$N$1))</f>
        <v xml:space="preserve"> </v>
      </c>
      <c r="G844" s="28" t="str">
        <f>IF($C844=""," ",[1]!i_pq_pctchange($C844,G$6,$N$1))</f>
        <v xml:space="preserve"> </v>
      </c>
      <c r="H844" s="28" t="str">
        <f>IF($C844=""," ",[1]!i_pq_pctchange($C844,H$6,$N$1))</f>
        <v xml:space="preserve"> </v>
      </c>
      <c r="I844" s="28" t="str">
        <f>IF($C844=""," ",[1]!i_pq_pctchange($C844,I$6,$N$1))</f>
        <v xml:space="preserve"> </v>
      </c>
      <c r="J844" s="28" t="str">
        <f>IF($C844=""," ",[1]!i_pq_pctchange($C844,J$6,$N$1))</f>
        <v xml:space="preserve"> </v>
      </c>
      <c r="K844" s="28" t="str">
        <f>IF($C844=""," ",[1]!i_pq_pctchange($C844,K$6,$N$1))</f>
        <v xml:space="preserve"> </v>
      </c>
      <c r="L844" s="28" t="str">
        <f>IF(C844=""," ",[1]!s_wq_pctchange($C844,$N$1))</f>
        <v xml:space="preserve"> </v>
      </c>
      <c r="M844" s="28" t="str">
        <f>IF(C844=""," ",[1]!s_mq_pctchange($C844,$N$1))</f>
        <v xml:space="preserve"> </v>
      </c>
      <c r="N844" s="28" t="str">
        <f>IF(C844=""," ",[1]!s_yq_pctchange($C844,$N$1))</f>
        <v xml:space="preserve"> </v>
      </c>
      <c r="O844" s="11"/>
      <c r="P844" s="7"/>
    </row>
    <row r="845" spans="1:16" x14ac:dyDescent="0.35">
      <c r="A845" s="7"/>
      <c r="C845" s="30" t="str">
        <f>IF(指数列表!B842="","",指数列表!B842)</f>
        <v/>
      </c>
      <c r="D845" s="35" t="str">
        <f>IF(C845="","",[1]!s_info_name(C845))</f>
        <v/>
      </c>
      <c r="E845" s="24" t="str">
        <f>IF(C845="","",[1]!s_dq_close(C845,$N$1))</f>
        <v/>
      </c>
      <c r="F845" s="28" t="str">
        <f>IF($C845=""," ",[1]!i_pq_pctchange($C845,F$6,$N$1))</f>
        <v xml:space="preserve"> </v>
      </c>
      <c r="G845" s="28" t="str">
        <f>IF($C845=""," ",[1]!i_pq_pctchange($C845,G$6,$N$1))</f>
        <v xml:space="preserve"> </v>
      </c>
      <c r="H845" s="28" t="str">
        <f>IF($C845=""," ",[1]!i_pq_pctchange($C845,H$6,$N$1))</f>
        <v xml:space="preserve"> </v>
      </c>
      <c r="I845" s="28" t="str">
        <f>IF($C845=""," ",[1]!i_pq_pctchange($C845,I$6,$N$1))</f>
        <v xml:space="preserve"> </v>
      </c>
      <c r="J845" s="28" t="str">
        <f>IF($C845=""," ",[1]!i_pq_pctchange($C845,J$6,$N$1))</f>
        <v xml:space="preserve"> </v>
      </c>
      <c r="K845" s="28" t="str">
        <f>IF($C845=""," ",[1]!i_pq_pctchange($C845,K$6,$N$1))</f>
        <v xml:space="preserve"> </v>
      </c>
      <c r="L845" s="28" t="str">
        <f>IF(C845=""," ",[1]!s_wq_pctchange($C845,$N$1))</f>
        <v xml:space="preserve"> </v>
      </c>
      <c r="M845" s="28" t="str">
        <f>IF(C845=""," ",[1]!s_mq_pctchange($C845,$N$1))</f>
        <v xml:space="preserve"> </v>
      </c>
      <c r="N845" s="28" t="str">
        <f>IF(C845=""," ",[1]!s_yq_pctchange($C845,$N$1))</f>
        <v xml:space="preserve"> </v>
      </c>
      <c r="O845" s="11"/>
      <c r="P845" s="7"/>
    </row>
    <row r="846" spans="1:16" x14ac:dyDescent="0.35">
      <c r="A846" s="7"/>
      <c r="C846" s="31" t="str">
        <f>IF(指数列表!B843="","",指数列表!B843)</f>
        <v/>
      </c>
      <c r="D846" s="36" t="str">
        <f>IF(C846="","",[1]!s_info_name(C846))</f>
        <v/>
      </c>
      <c r="E846" s="25" t="str">
        <f>IF(C846="","",[1]!s_dq_close(C846,$N$1))</f>
        <v/>
      </c>
      <c r="F846" s="28" t="str">
        <f>IF($C846=""," ",[1]!i_pq_pctchange($C846,F$6,$N$1))</f>
        <v xml:space="preserve"> </v>
      </c>
      <c r="G846" s="28" t="str">
        <f>IF($C846=""," ",[1]!i_pq_pctchange($C846,G$6,$N$1))</f>
        <v xml:space="preserve"> </v>
      </c>
      <c r="H846" s="28" t="str">
        <f>IF($C846=""," ",[1]!i_pq_pctchange($C846,H$6,$N$1))</f>
        <v xml:space="preserve"> </v>
      </c>
      <c r="I846" s="28" t="str">
        <f>IF($C846=""," ",[1]!i_pq_pctchange($C846,I$6,$N$1))</f>
        <v xml:space="preserve"> </v>
      </c>
      <c r="J846" s="28" t="str">
        <f>IF($C846=""," ",[1]!i_pq_pctchange($C846,J$6,$N$1))</f>
        <v xml:space="preserve"> </v>
      </c>
      <c r="K846" s="28" t="str">
        <f>IF($C846=""," ",[1]!i_pq_pctchange($C846,K$6,$N$1))</f>
        <v xml:space="preserve"> </v>
      </c>
      <c r="L846" s="28" t="str">
        <f>IF(C846=""," ",[1]!s_wq_pctchange($C846,$N$1))</f>
        <v xml:space="preserve"> </v>
      </c>
      <c r="M846" s="28" t="str">
        <f>IF(C846=""," ",[1]!s_mq_pctchange($C846,$N$1))</f>
        <v xml:space="preserve"> </v>
      </c>
      <c r="N846" s="28" t="str">
        <f>IF(C846=""," ",[1]!s_yq_pctchange($C846,$N$1))</f>
        <v xml:space="preserve"> </v>
      </c>
      <c r="O846" s="11"/>
      <c r="P846" s="7"/>
    </row>
    <row r="847" spans="1:16" x14ac:dyDescent="0.35">
      <c r="A847" s="7"/>
      <c r="C847" s="30" t="str">
        <f>IF(指数列表!B844="","",指数列表!B844)</f>
        <v/>
      </c>
      <c r="D847" s="35" t="str">
        <f>IF(C847="","",[1]!s_info_name(C847))</f>
        <v/>
      </c>
      <c r="E847" s="24" t="str">
        <f>IF(C847="","",[1]!s_dq_close(C847,$N$1))</f>
        <v/>
      </c>
      <c r="F847" s="28" t="str">
        <f>IF($C847=""," ",[1]!i_pq_pctchange($C847,F$6,$N$1))</f>
        <v xml:space="preserve"> </v>
      </c>
      <c r="G847" s="28" t="str">
        <f>IF($C847=""," ",[1]!i_pq_pctchange($C847,G$6,$N$1))</f>
        <v xml:space="preserve"> </v>
      </c>
      <c r="H847" s="28" t="str">
        <f>IF($C847=""," ",[1]!i_pq_pctchange($C847,H$6,$N$1))</f>
        <v xml:space="preserve"> </v>
      </c>
      <c r="I847" s="28" t="str">
        <f>IF($C847=""," ",[1]!i_pq_pctchange($C847,I$6,$N$1))</f>
        <v xml:space="preserve"> </v>
      </c>
      <c r="J847" s="28" t="str">
        <f>IF($C847=""," ",[1]!i_pq_pctchange($C847,J$6,$N$1))</f>
        <v xml:space="preserve"> </v>
      </c>
      <c r="K847" s="28" t="str">
        <f>IF($C847=""," ",[1]!i_pq_pctchange($C847,K$6,$N$1))</f>
        <v xml:space="preserve"> </v>
      </c>
      <c r="L847" s="28" t="str">
        <f>IF(C847=""," ",[1]!s_wq_pctchange($C847,$N$1))</f>
        <v xml:space="preserve"> </v>
      </c>
      <c r="M847" s="28" t="str">
        <f>IF(C847=""," ",[1]!s_mq_pctchange($C847,$N$1))</f>
        <v xml:space="preserve"> </v>
      </c>
      <c r="N847" s="28" t="str">
        <f>IF(C847=""," ",[1]!s_yq_pctchange($C847,$N$1))</f>
        <v xml:space="preserve"> </v>
      </c>
      <c r="O847" s="11"/>
      <c r="P847" s="7"/>
    </row>
    <row r="848" spans="1:16" x14ac:dyDescent="0.35">
      <c r="A848" s="7"/>
      <c r="C848" s="31" t="str">
        <f>IF(指数列表!B845="","",指数列表!B845)</f>
        <v/>
      </c>
      <c r="D848" s="36" t="str">
        <f>IF(C848="","",[1]!s_info_name(C848))</f>
        <v/>
      </c>
      <c r="E848" s="25" t="str">
        <f>IF(C848="","",[1]!s_dq_close(C848,$N$1))</f>
        <v/>
      </c>
      <c r="F848" s="28" t="str">
        <f>IF($C848=""," ",[1]!i_pq_pctchange($C848,F$6,$N$1))</f>
        <v xml:space="preserve"> </v>
      </c>
      <c r="G848" s="28" t="str">
        <f>IF($C848=""," ",[1]!i_pq_pctchange($C848,G$6,$N$1))</f>
        <v xml:space="preserve"> </v>
      </c>
      <c r="H848" s="28" t="str">
        <f>IF($C848=""," ",[1]!i_pq_pctchange($C848,H$6,$N$1))</f>
        <v xml:space="preserve"> </v>
      </c>
      <c r="I848" s="28" t="str">
        <f>IF($C848=""," ",[1]!i_pq_pctchange($C848,I$6,$N$1))</f>
        <v xml:space="preserve"> </v>
      </c>
      <c r="J848" s="28" t="str">
        <f>IF($C848=""," ",[1]!i_pq_pctchange($C848,J$6,$N$1))</f>
        <v xml:space="preserve"> </v>
      </c>
      <c r="K848" s="28" t="str">
        <f>IF($C848=""," ",[1]!i_pq_pctchange($C848,K$6,$N$1))</f>
        <v xml:space="preserve"> </v>
      </c>
      <c r="L848" s="28" t="str">
        <f>IF(C848=""," ",[1]!s_wq_pctchange($C848,$N$1))</f>
        <v xml:space="preserve"> </v>
      </c>
      <c r="M848" s="28" t="str">
        <f>IF(C848=""," ",[1]!s_mq_pctchange($C848,$N$1))</f>
        <v xml:space="preserve"> </v>
      </c>
      <c r="N848" s="28" t="str">
        <f>IF(C848=""," ",[1]!s_yq_pctchange($C848,$N$1))</f>
        <v xml:space="preserve"> </v>
      </c>
      <c r="O848" s="11"/>
      <c r="P848" s="7"/>
    </row>
    <row r="849" spans="1:16" x14ac:dyDescent="0.35">
      <c r="A849" s="7"/>
      <c r="C849" s="30" t="str">
        <f>IF(指数列表!B846="","",指数列表!B846)</f>
        <v/>
      </c>
      <c r="D849" s="35" t="str">
        <f>IF(C849="","",[1]!s_info_name(C849))</f>
        <v/>
      </c>
      <c r="E849" s="24" t="str">
        <f>IF(C849="","",[1]!s_dq_close(C849,$N$1))</f>
        <v/>
      </c>
      <c r="F849" s="28" t="str">
        <f>IF($C849=""," ",[1]!i_pq_pctchange($C849,F$6,$N$1))</f>
        <v xml:space="preserve"> </v>
      </c>
      <c r="G849" s="28" t="str">
        <f>IF($C849=""," ",[1]!i_pq_pctchange($C849,G$6,$N$1))</f>
        <v xml:space="preserve"> </v>
      </c>
      <c r="H849" s="28" t="str">
        <f>IF($C849=""," ",[1]!i_pq_pctchange($C849,H$6,$N$1))</f>
        <v xml:space="preserve"> </v>
      </c>
      <c r="I849" s="28" t="str">
        <f>IF($C849=""," ",[1]!i_pq_pctchange($C849,I$6,$N$1))</f>
        <v xml:space="preserve"> </v>
      </c>
      <c r="J849" s="28" t="str">
        <f>IF($C849=""," ",[1]!i_pq_pctchange($C849,J$6,$N$1))</f>
        <v xml:space="preserve"> </v>
      </c>
      <c r="K849" s="28" t="str">
        <f>IF($C849=""," ",[1]!i_pq_pctchange($C849,K$6,$N$1))</f>
        <v xml:space="preserve"> </v>
      </c>
      <c r="L849" s="28" t="str">
        <f>IF(C849=""," ",[1]!s_wq_pctchange($C849,$N$1))</f>
        <v xml:space="preserve"> </v>
      </c>
      <c r="M849" s="28" t="str">
        <f>IF(C849=""," ",[1]!s_mq_pctchange($C849,$N$1))</f>
        <v xml:space="preserve"> </v>
      </c>
      <c r="N849" s="28" t="str">
        <f>IF(C849=""," ",[1]!s_yq_pctchange($C849,$N$1))</f>
        <v xml:space="preserve"> </v>
      </c>
      <c r="O849" s="11"/>
      <c r="P849" s="7"/>
    </row>
    <row r="850" spans="1:16" x14ac:dyDescent="0.35">
      <c r="A850" s="7"/>
      <c r="C850" s="31" t="str">
        <f>IF(指数列表!B847="","",指数列表!B847)</f>
        <v/>
      </c>
      <c r="D850" s="36" t="str">
        <f>IF(C850="","",[1]!s_info_name(C850))</f>
        <v/>
      </c>
      <c r="E850" s="25" t="str">
        <f>IF(C850="","",[1]!s_dq_close(C850,$N$1))</f>
        <v/>
      </c>
      <c r="F850" s="28" t="str">
        <f>IF($C850=""," ",[1]!i_pq_pctchange($C850,F$6,$N$1))</f>
        <v xml:space="preserve"> </v>
      </c>
      <c r="G850" s="28" t="str">
        <f>IF($C850=""," ",[1]!i_pq_pctchange($C850,G$6,$N$1))</f>
        <v xml:space="preserve"> </v>
      </c>
      <c r="H850" s="28" t="str">
        <f>IF($C850=""," ",[1]!i_pq_pctchange($C850,H$6,$N$1))</f>
        <v xml:space="preserve"> </v>
      </c>
      <c r="I850" s="28" t="str">
        <f>IF($C850=""," ",[1]!i_pq_pctchange($C850,I$6,$N$1))</f>
        <v xml:space="preserve"> </v>
      </c>
      <c r="J850" s="28" t="str">
        <f>IF($C850=""," ",[1]!i_pq_pctchange($C850,J$6,$N$1))</f>
        <v xml:space="preserve"> </v>
      </c>
      <c r="K850" s="28" t="str">
        <f>IF($C850=""," ",[1]!i_pq_pctchange($C850,K$6,$N$1))</f>
        <v xml:space="preserve"> </v>
      </c>
      <c r="L850" s="28" t="str">
        <f>IF(C850=""," ",[1]!s_wq_pctchange($C850,$N$1))</f>
        <v xml:space="preserve"> </v>
      </c>
      <c r="M850" s="28" t="str">
        <f>IF(C850=""," ",[1]!s_mq_pctchange($C850,$N$1))</f>
        <v xml:space="preserve"> </v>
      </c>
      <c r="N850" s="28" t="str">
        <f>IF(C850=""," ",[1]!s_yq_pctchange($C850,$N$1))</f>
        <v xml:space="preserve"> </v>
      </c>
      <c r="O850" s="11"/>
      <c r="P850" s="7"/>
    </row>
    <row r="851" spans="1:16" x14ac:dyDescent="0.35">
      <c r="A851" s="7"/>
      <c r="C851" s="30" t="str">
        <f>IF(指数列表!B848="","",指数列表!B848)</f>
        <v/>
      </c>
      <c r="D851" s="35" t="str">
        <f>IF(C851="","",[1]!s_info_name(C851))</f>
        <v/>
      </c>
      <c r="E851" s="24" t="str">
        <f>IF(C851="","",[1]!s_dq_close(C851,$N$1))</f>
        <v/>
      </c>
      <c r="F851" s="28" t="str">
        <f>IF($C851=""," ",[1]!i_pq_pctchange($C851,F$6,$N$1))</f>
        <v xml:space="preserve"> </v>
      </c>
      <c r="G851" s="28" t="str">
        <f>IF($C851=""," ",[1]!i_pq_pctchange($C851,G$6,$N$1))</f>
        <v xml:space="preserve"> </v>
      </c>
      <c r="H851" s="28" t="str">
        <f>IF($C851=""," ",[1]!i_pq_pctchange($C851,H$6,$N$1))</f>
        <v xml:space="preserve"> </v>
      </c>
      <c r="I851" s="28" t="str">
        <f>IF($C851=""," ",[1]!i_pq_pctchange($C851,I$6,$N$1))</f>
        <v xml:space="preserve"> </v>
      </c>
      <c r="J851" s="28" t="str">
        <f>IF($C851=""," ",[1]!i_pq_pctchange($C851,J$6,$N$1))</f>
        <v xml:space="preserve"> </v>
      </c>
      <c r="K851" s="28" t="str">
        <f>IF($C851=""," ",[1]!i_pq_pctchange($C851,K$6,$N$1))</f>
        <v xml:space="preserve"> </v>
      </c>
      <c r="L851" s="28" t="str">
        <f>IF(C851=""," ",[1]!s_wq_pctchange($C851,$N$1))</f>
        <v xml:space="preserve"> </v>
      </c>
      <c r="M851" s="28" t="str">
        <f>IF(C851=""," ",[1]!s_mq_pctchange($C851,$N$1))</f>
        <v xml:space="preserve"> </v>
      </c>
      <c r="N851" s="28" t="str">
        <f>IF(C851=""," ",[1]!s_yq_pctchange($C851,$N$1))</f>
        <v xml:space="preserve"> </v>
      </c>
      <c r="O851" s="11"/>
      <c r="P851" s="7"/>
    </row>
    <row r="852" spans="1:16" x14ac:dyDescent="0.35">
      <c r="A852" s="7"/>
      <c r="C852" s="31" t="str">
        <f>IF(指数列表!B849="","",指数列表!B849)</f>
        <v/>
      </c>
      <c r="D852" s="36" t="str">
        <f>IF(C852="","",[1]!s_info_name(C852))</f>
        <v/>
      </c>
      <c r="E852" s="25" t="str">
        <f>IF(C852="","",[1]!s_dq_close(C852,$N$1))</f>
        <v/>
      </c>
      <c r="F852" s="28" t="str">
        <f>IF($C852=""," ",[1]!i_pq_pctchange($C852,F$6,$N$1))</f>
        <v xml:space="preserve"> </v>
      </c>
      <c r="G852" s="28" t="str">
        <f>IF($C852=""," ",[1]!i_pq_pctchange($C852,G$6,$N$1))</f>
        <v xml:space="preserve"> </v>
      </c>
      <c r="H852" s="28" t="str">
        <f>IF($C852=""," ",[1]!i_pq_pctchange($C852,H$6,$N$1))</f>
        <v xml:space="preserve"> </v>
      </c>
      <c r="I852" s="28" t="str">
        <f>IF($C852=""," ",[1]!i_pq_pctchange($C852,I$6,$N$1))</f>
        <v xml:space="preserve"> </v>
      </c>
      <c r="J852" s="28" t="str">
        <f>IF($C852=""," ",[1]!i_pq_pctchange($C852,J$6,$N$1))</f>
        <v xml:space="preserve"> </v>
      </c>
      <c r="K852" s="28" t="str">
        <f>IF($C852=""," ",[1]!i_pq_pctchange($C852,K$6,$N$1))</f>
        <v xml:space="preserve"> </v>
      </c>
      <c r="L852" s="28" t="str">
        <f>IF(C852=""," ",[1]!s_wq_pctchange($C852,$N$1))</f>
        <v xml:space="preserve"> </v>
      </c>
      <c r="M852" s="28" t="str">
        <f>IF(C852=""," ",[1]!s_mq_pctchange($C852,$N$1))</f>
        <v xml:space="preserve"> </v>
      </c>
      <c r="N852" s="28" t="str">
        <f>IF(C852=""," ",[1]!s_yq_pctchange($C852,$N$1))</f>
        <v xml:space="preserve"> </v>
      </c>
      <c r="O852" s="11"/>
      <c r="P852" s="7"/>
    </row>
    <row r="853" spans="1:16" x14ac:dyDescent="0.35">
      <c r="A853" s="7"/>
      <c r="C853" s="30" t="str">
        <f>IF(指数列表!B850="","",指数列表!B850)</f>
        <v/>
      </c>
      <c r="D853" s="35" t="str">
        <f>IF(C853="","",[1]!s_info_name(C853))</f>
        <v/>
      </c>
      <c r="E853" s="24" t="str">
        <f>IF(C853="","",[1]!s_dq_close(C853,$N$1))</f>
        <v/>
      </c>
      <c r="F853" s="28" t="str">
        <f>IF($C853=""," ",[1]!i_pq_pctchange($C853,F$6,$N$1))</f>
        <v xml:space="preserve"> </v>
      </c>
      <c r="G853" s="28" t="str">
        <f>IF($C853=""," ",[1]!i_pq_pctchange($C853,G$6,$N$1))</f>
        <v xml:space="preserve"> </v>
      </c>
      <c r="H853" s="28" t="str">
        <f>IF($C853=""," ",[1]!i_pq_pctchange($C853,H$6,$N$1))</f>
        <v xml:space="preserve"> </v>
      </c>
      <c r="I853" s="28" t="str">
        <f>IF($C853=""," ",[1]!i_pq_pctchange($C853,I$6,$N$1))</f>
        <v xml:space="preserve"> </v>
      </c>
      <c r="J853" s="28" t="str">
        <f>IF($C853=""," ",[1]!i_pq_pctchange($C853,J$6,$N$1))</f>
        <v xml:space="preserve"> </v>
      </c>
      <c r="K853" s="28" t="str">
        <f>IF($C853=""," ",[1]!i_pq_pctchange($C853,K$6,$N$1))</f>
        <v xml:space="preserve"> </v>
      </c>
      <c r="L853" s="28" t="str">
        <f>IF(C853=""," ",[1]!s_wq_pctchange($C853,$N$1))</f>
        <v xml:space="preserve"> </v>
      </c>
      <c r="M853" s="28" t="str">
        <f>IF(C853=""," ",[1]!s_mq_pctchange($C853,$N$1))</f>
        <v xml:space="preserve"> </v>
      </c>
      <c r="N853" s="28" t="str">
        <f>IF(C853=""," ",[1]!s_yq_pctchange($C853,$N$1))</f>
        <v xml:space="preserve"> </v>
      </c>
      <c r="O853" s="11"/>
      <c r="P853" s="7"/>
    </row>
    <row r="854" spans="1:16" x14ac:dyDescent="0.35">
      <c r="A854" s="7"/>
      <c r="C854" s="31" t="str">
        <f>IF(指数列表!B851="","",指数列表!B851)</f>
        <v/>
      </c>
      <c r="D854" s="36" t="str">
        <f>IF(C854="","",[1]!s_info_name(C854))</f>
        <v/>
      </c>
      <c r="E854" s="25" t="str">
        <f>IF(C854="","",[1]!s_dq_close(C854,$N$1))</f>
        <v/>
      </c>
      <c r="F854" s="28" t="str">
        <f>IF($C854=""," ",[1]!i_pq_pctchange($C854,F$6,$N$1))</f>
        <v xml:space="preserve"> </v>
      </c>
      <c r="G854" s="28" t="str">
        <f>IF($C854=""," ",[1]!i_pq_pctchange($C854,G$6,$N$1))</f>
        <v xml:space="preserve"> </v>
      </c>
      <c r="H854" s="28" t="str">
        <f>IF($C854=""," ",[1]!i_pq_pctchange($C854,H$6,$N$1))</f>
        <v xml:space="preserve"> </v>
      </c>
      <c r="I854" s="28" t="str">
        <f>IF($C854=""," ",[1]!i_pq_pctchange($C854,I$6,$N$1))</f>
        <v xml:space="preserve"> </v>
      </c>
      <c r="J854" s="28" t="str">
        <f>IF($C854=""," ",[1]!i_pq_pctchange($C854,J$6,$N$1))</f>
        <v xml:space="preserve"> </v>
      </c>
      <c r="K854" s="28" t="str">
        <f>IF($C854=""," ",[1]!i_pq_pctchange($C854,K$6,$N$1))</f>
        <v xml:space="preserve"> </v>
      </c>
      <c r="L854" s="28" t="str">
        <f>IF(C854=""," ",[1]!s_wq_pctchange($C854,$N$1))</f>
        <v xml:space="preserve"> </v>
      </c>
      <c r="M854" s="28" t="str">
        <f>IF(C854=""," ",[1]!s_mq_pctchange($C854,$N$1))</f>
        <v xml:space="preserve"> </v>
      </c>
      <c r="N854" s="28" t="str">
        <f>IF(C854=""," ",[1]!s_yq_pctchange($C854,$N$1))</f>
        <v xml:space="preserve"> </v>
      </c>
      <c r="O854" s="11"/>
      <c r="P854" s="7"/>
    </row>
    <row r="855" spans="1:16" x14ac:dyDescent="0.35">
      <c r="A855" s="7"/>
      <c r="C855" s="30" t="str">
        <f>IF(指数列表!B852="","",指数列表!B852)</f>
        <v/>
      </c>
      <c r="D855" s="35" t="str">
        <f>IF(C855="","",[1]!s_info_name(C855))</f>
        <v/>
      </c>
      <c r="E855" s="24" t="str">
        <f>IF(C855="","",[1]!s_dq_close(C855,$N$1))</f>
        <v/>
      </c>
      <c r="F855" s="28" t="str">
        <f>IF($C855=""," ",[1]!i_pq_pctchange($C855,F$6,$N$1))</f>
        <v xml:space="preserve"> </v>
      </c>
      <c r="G855" s="28" t="str">
        <f>IF($C855=""," ",[1]!i_pq_pctchange($C855,G$6,$N$1))</f>
        <v xml:space="preserve"> </v>
      </c>
      <c r="H855" s="28" t="str">
        <f>IF($C855=""," ",[1]!i_pq_pctchange($C855,H$6,$N$1))</f>
        <v xml:space="preserve"> </v>
      </c>
      <c r="I855" s="28" t="str">
        <f>IF($C855=""," ",[1]!i_pq_pctchange($C855,I$6,$N$1))</f>
        <v xml:space="preserve"> </v>
      </c>
      <c r="J855" s="28" t="str">
        <f>IF($C855=""," ",[1]!i_pq_pctchange($C855,J$6,$N$1))</f>
        <v xml:space="preserve"> </v>
      </c>
      <c r="K855" s="28" t="str">
        <f>IF($C855=""," ",[1]!i_pq_pctchange($C855,K$6,$N$1))</f>
        <v xml:space="preserve"> </v>
      </c>
      <c r="L855" s="28" t="str">
        <f>IF(C855=""," ",[1]!s_wq_pctchange($C855,$N$1))</f>
        <v xml:space="preserve"> </v>
      </c>
      <c r="M855" s="28" t="str">
        <f>IF(C855=""," ",[1]!s_mq_pctchange($C855,$N$1))</f>
        <v xml:space="preserve"> </v>
      </c>
      <c r="N855" s="28" t="str">
        <f>IF(C855=""," ",[1]!s_yq_pctchange($C855,$N$1))</f>
        <v xml:space="preserve"> </v>
      </c>
      <c r="O855" s="11"/>
      <c r="P855" s="7"/>
    </row>
    <row r="856" spans="1:16" x14ac:dyDescent="0.35">
      <c r="A856" s="7"/>
      <c r="C856" s="31" t="str">
        <f>IF(指数列表!B853="","",指数列表!B853)</f>
        <v/>
      </c>
      <c r="D856" s="36" t="str">
        <f>IF(C856="","",[1]!s_info_name(C856))</f>
        <v/>
      </c>
      <c r="E856" s="25" t="str">
        <f>IF(C856="","",[1]!s_dq_close(C856,$N$1))</f>
        <v/>
      </c>
      <c r="F856" s="28" t="str">
        <f>IF($C856=""," ",[1]!i_pq_pctchange($C856,F$6,$N$1))</f>
        <v xml:space="preserve"> </v>
      </c>
      <c r="G856" s="28" t="str">
        <f>IF($C856=""," ",[1]!i_pq_pctchange($C856,G$6,$N$1))</f>
        <v xml:space="preserve"> </v>
      </c>
      <c r="H856" s="28" t="str">
        <f>IF($C856=""," ",[1]!i_pq_pctchange($C856,H$6,$N$1))</f>
        <v xml:space="preserve"> </v>
      </c>
      <c r="I856" s="28" t="str">
        <f>IF($C856=""," ",[1]!i_pq_pctchange($C856,I$6,$N$1))</f>
        <v xml:space="preserve"> </v>
      </c>
      <c r="J856" s="28" t="str">
        <f>IF($C856=""," ",[1]!i_pq_pctchange($C856,J$6,$N$1))</f>
        <v xml:space="preserve"> </v>
      </c>
      <c r="K856" s="28" t="str">
        <f>IF($C856=""," ",[1]!i_pq_pctchange($C856,K$6,$N$1))</f>
        <v xml:space="preserve"> </v>
      </c>
      <c r="L856" s="28" t="str">
        <f>IF(C856=""," ",[1]!s_wq_pctchange($C856,$N$1))</f>
        <v xml:space="preserve"> </v>
      </c>
      <c r="M856" s="28" t="str">
        <f>IF(C856=""," ",[1]!s_mq_pctchange($C856,$N$1))</f>
        <v xml:space="preserve"> </v>
      </c>
      <c r="N856" s="28" t="str">
        <f>IF(C856=""," ",[1]!s_yq_pctchange($C856,$N$1))</f>
        <v xml:space="preserve"> </v>
      </c>
      <c r="O856" s="11"/>
      <c r="P856" s="7"/>
    </row>
    <row r="857" spans="1:16" x14ac:dyDescent="0.35">
      <c r="A857" s="7"/>
      <c r="C857" s="30" t="str">
        <f>IF(指数列表!B854="","",指数列表!B854)</f>
        <v/>
      </c>
      <c r="D857" s="35" t="str">
        <f>IF(C857="","",[1]!s_info_name(C857))</f>
        <v/>
      </c>
      <c r="E857" s="24" t="str">
        <f>IF(C857="","",[1]!s_dq_close(C857,$N$1))</f>
        <v/>
      </c>
      <c r="F857" s="28" t="str">
        <f>IF($C857=""," ",[1]!i_pq_pctchange($C857,F$6,$N$1))</f>
        <v xml:space="preserve"> </v>
      </c>
      <c r="G857" s="28" t="str">
        <f>IF($C857=""," ",[1]!i_pq_pctchange($C857,G$6,$N$1))</f>
        <v xml:space="preserve"> </v>
      </c>
      <c r="H857" s="28" t="str">
        <f>IF($C857=""," ",[1]!i_pq_pctchange($C857,H$6,$N$1))</f>
        <v xml:space="preserve"> </v>
      </c>
      <c r="I857" s="28" t="str">
        <f>IF($C857=""," ",[1]!i_pq_pctchange($C857,I$6,$N$1))</f>
        <v xml:space="preserve"> </v>
      </c>
      <c r="J857" s="28" t="str">
        <f>IF($C857=""," ",[1]!i_pq_pctchange($C857,J$6,$N$1))</f>
        <v xml:space="preserve"> </v>
      </c>
      <c r="K857" s="28" t="str">
        <f>IF($C857=""," ",[1]!i_pq_pctchange($C857,K$6,$N$1))</f>
        <v xml:space="preserve"> </v>
      </c>
      <c r="L857" s="28" t="str">
        <f>IF(C857=""," ",[1]!s_wq_pctchange($C857,$N$1))</f>
        <v xml:space="preserve"> </v>
      </c>
      <c r="M857" s="28" t="str">
        <f>IF(C857=""," ",[1]!s_mq_pctchange($C857,$N$1))</f>
        <v xml:space="preserve"> </v>
      </c>
      <c r="N857" s="28" t="str">
        <f>IF(C857=""," ",[1]!s_yq_pctchange($C857,$N$1))</f>
        <v xml:space="preserve"> </v>
      </c>
      <c r="O857" s="11"/>
      <c r="P857" s="7"/>
    </row>
    <row r="858" spans="1:16" x14ac:dyDescent="0.35">
      <c r="A858" s="7"/>
      <c r="C858" s="31" t="str">
        <f>IF(指数列表!B855="","",指数列表!B855)</f>
        <v/>
      </c>
      <c r="D858" s="36" t="str">
        <f>IF(C858="","",[1]!s_info_name(C858))</f>
        <v/>
      </c>
      <c r="E858" s="25" t="str">
        <f>IF(C858="","",[1]!s_dq_close(C858,$N$1))</f>
        <v/>
      </c>
      <c r="F858" s="28" t="str">
        <f>IF($C858=""," ",[1]!i_pq_pctchange($C858,F$6,$N$1))</f>
        <v xml:space="preserve"> </v>
      </c>
      <c r="G858" s="28" t="str">
        <f>IF($C858=""," ",[1]!i_pq_pctchange($C858,G$6,$N$1))</f>
        <v xml:space="preserve"> </v>
      </c>
      <c r="H858" s="28" t="str">
        <f>IF($C858=""," ",[1]!i_pq_pctchange($C858,H$6,$N$1))</f>
        <v xml:space="preserve"> </v>
      </c>
      <c r="I858" s="28" t="str">
        <f>IF($C858=""," ",[1]!i_pq_pctchange($C858,I$6,$N$1))</f>
        <v xml:space="preserve"> </v>
      </c>
      <c r="J858" s="28" t="str">
        <f>IF($C858=""," ",[1]!i_pq_pctchange($C858,J$6,$N$1))</f>
        <v xml:space="preserve"> </v>
      </c>
      <c r="K858" s="28" t="str">
        <f>IF($C858=""," ",[1]!i_pq_pctchange($C858,K$6,$N$1))</f>
        <v xml:space="preserve"> </v>
      </c>
      <c r="L858" s="28" t="str">
        <f>IF(C858=""," ",[1]!s_wq_pctchange($C858,$N$1))</f>
        <v xml:space="preserve"> </v>
      </c>
      <c r="M858" s="28" t="str">
        <f>IF(C858=""," ",[1]!s_mq_pctchange($C858,$N$1))</f>
        <v xml:space="preserve"> </v>
      </c>
      <c r="N858" s="28" t="str">
        <f>IF(C858=""," ",[1]!s_yq_pctchange($C858,$N$1))</f>
        <v xml:space="preserve"> </v>
      </c>
      <c r="O858" s="11"/>
      <c r="P858" s="7"/>
    </row>
    <row r="859" spans="1:16" x14ac:dyDescent="0.35">
      <c r="A859" s="7"/>
      <c r="C859" s="30" t="str">
        <f>IF(指数列表!B856="","",指数列表!B856)</f>
        <v/>
      </c>
      <c r="D859" s="35" t="str">
        <f>IF(C859="","",[1]!s_info_name(C859))</f>
        <v/>
      </c>
      <c r="E859" s="24" t="str">
        <f>IF(C859="","",[1]!s_dq_close(C859,$N$1))</f>
        <v/>
      </c>
      <c r="F859" s="28" t="str">
        <f>IF($C859=""," ",[1]!i_pq_pctchange($C859,F$6,$N$1))</f>
        <v xml:space="preserve"> </v>
      </c>
      <c r="G859" s="28" t="str">
        <f>IF($C859=""," ",[1]!i_pq_pctchange($C859,G$6,$N$1))</f>
        <v xml:space="preserve"> </v>
      </c>
      <c r="H859" s="28" t="str">
        <f>IF($C859=""," ",[1]!i_pq_pctchange($C859,H$6,$N$1))</f>
        <v xml:space="preserve"> </v>
      </c>
      <c r="I859" s="28" t="str">
        <f>IF($C859=""," ",[1]!i_pq_pctchange($C859,I$6,$N$1))</f>
        <v xml:space="preserve"> </v>
      </c>
      <c r="J859" s="28" t="str">
        <f>IF($C859=""," ",[1]!i_pq_pctchange($C859,J$6,$N$1))</f>
        <v xml:space="preserve"> </v>
      </c>
      <c r="K859" s="28" t="str">
        <f>IF($C859=""," ",[1]!i_pq_pctchange($C859,K$6,$N$1))</f>
        <v xml:space="preserve"> </v>
      </c>
      <c r="L859" s="28" t="str">
        <f>IF(C859=""," ",[1]!s_wq_pctchange($C859,$N$1))</f>
        <v xml:space="preserve"> </v>
      </c>
      <c r="M859" s="28" t="str">
        <f>IF(C859=""," ",[1]!s_mq_pctchange($C859,$N$1))</f>
        <v xml:space="preserve"> </v>
      </c>
      <c r="N859" s="28" t="str">
        <f>IF(C859=""," ",[1]!s_yq_pctchange($C859,$N$1))</f>
        <v xml:space="preserve"> </v>
      </c>
      <c r="O859" s="11"/>
      <c r="P859" s="7"/>
    </row>
    <row r="860" spans="1:16" x14ac:dyDescent="0.35">
      <c r="A860" s="7"/>
      <c r="C860" s="31" t="str">
        <f>IF(指数列表!B857="","",指数列表!B857)</f>
        <v/>
      </c>
      <c r="D860" s="36" t="str">
        <f>IF(C860="","",[1]!s_info_name(C860))</f>
        <v/>
      </c>
      <c r="E860" s="25" t="str">
        <f>IF(C860="","",[1]!s_dq_close(C860,$N$1))</f>
        <v/>
      </c>
      <c r="F860" s="28" t="str">
        <f>IF($C860=""," ",[1]!i_pq_pctchange($C860,F$6,$N$1))</f>
        <v xml:space="preserve"> </v>
      </c>
      <c r="G860" s="28" t="str">
        <f>IF($C860=""," ",[1]!i_pq_pctchange($C860,G$6,$N$1))</f>
        <v xml:space="preserve"> </v>
      </c>
      <c r="H860" s="28" t="str">
        <f>IF($C860=""," ",[1]!i_pq_pctchange($C860,H$6,$N$1))</f>
        <v xml:space="preserve"> </v>
      </c>
      <c r="I860" s="28" t="str">
        <f>IF($C860=""," ",[1]!i_pq_pctchange($C860,I$6,$N$1))</f>
        <v xml:space="preserve"> </v>
      </c>
      <c r="J860" s="28" t="str">
        <f>IF($C860=""," ",[1]!i_pq_pctchange($C860,J$6,$N$1))</f>
        <v xml:space="preserve"> </v>
      </c>
      <c r="K860" s="28" t="str">
        <f>IF($C860=""," ",[1]!i_pq_pctchange($C860,K$6,$N$1))</f>
        <v xml:space="preserve"> </v>
      </c>
      <c r="L860" s="28" t="str">
        <f>IF(C860=""," ",[1]!s_wq_pctchange($C860,$N$1))</f>
        <v xml:space="preserve"> </v>
      </c>
      <c r="M860" s="28" t="str">
        <f>IF(C860=""," ",[1]!s_mq_pctchange($C860,$N$1))</f>
        <v xml:space="preserve"> </v>
      </c>
      <c r="N860" s="28" t="str">
        <f>IF(C860=""," ",[1]!s_yq_pctchange($C860,$N$1))</f>
        <v xml:space="preserve"> </v>
      </c>
      <c r="O860" s="11"/>
      <c r="P860" s="7"/>
    </row>
    <row r="861" spans="1:16" x14ac:dyDescent="0.35">
      <c r="A861" s="7"/>
      <c r="C861" s="30" t="str">
        <f>IF(指数列表!B858="","",指数列表!B858)</f>
        <v/>
      </c>
      <c r="D861" s="35" t="str">
        <f>IF(C861="","",[1]!s_info_name(C861))</f>
        <v/>
      </c>
      <c r="E861" s="24" t="str">
        <f>IF(C861="","",[1]!s_dq_close(C861,$N$1))</f>
        <v/>
      </c>
      <c r="F861" s="28" t="str">
        <f>IF($C861=""," ",[1]!i_pq_pctchange($C861,F$6,$N$1))</f>
        <v xml:space="preserve"> </v>
      </c>
      <c r="G861" s="28" t="str">
        <f>IF($C861=""," ",[1]!i_pq_pctchange($C861,G$6,$N$1))</f>
        <v xml:space="preserve"> </v>
      </c>
      <c r="H861" s="28" t="str">
        <f>IF($C861=""," ",[1]!i_pq_pctchange($C861,H$6,$N$1))</f>
        <v xml:space="preserve"> </v>
      </c>
      <c r="I861" s="28" t="str">
        <f>IF($C861=""," ",[1]!i_pq_pctchange($C861,I$6,$N$1))</f>
        <v xml:space="preserve"> </v>
      </c>
      <c r="J861" s="28" t="str">
        <f>IF($C861=""," ",[1]!i_pq_pctchange($C861,J$6,$N$1))</f>
        <v xml:space="preserve"> </v>
      </c>
      <c r="K861" s="28" t="str">
        <f>IF($C861=""," ",[1]!i_pq_pctchange($C861,K$6,$N$1))</f>
        <v xml:space="preserve"> </v>
      </c>
      <c r="L861" s="28" t="str">
        <f>IF(C861=""," ",[1]!s_wq_pctchange($C861,$N$1))</f>
        <v xml:space="preserve"> </v>
      </c>
      <c r="M861" s="28" t="str">
        <f>IF(C861=""," ",[1]!s_mq_pctchange($C861,$N$1))</f>
        <v xml:space="preserve"> </v>
      </c>
      <c r="N861" s="28" t="str">
        <f>IF(C861=""," ",[1]!s_yq_pctchange($C861,$N$1))</f>
        <v xml:space="preserve"> </v>
      </c>
      <c r="O861" s="11"/>
      <c r="P861" s="7"/>
    </row>
    <row r="862" spans="1:16" x14ac:dyDescent="0.35">
      <c r="A862" s="7"/>
      <c r="C862" s="31" t="str">
        <f>IF(指数列表!B859="","",指数列表!B859)</f>
        <v/>
      </c>
      <c r="D862" s="36" t="str">
        <f>IF(C862="","",[1]!s_info_name(C862))</f>
        <v/>
      </c>
      <c r="E862" s="25" t="str">
        <f>IF(C862="","",[1]!s_dq_close(C862,$N$1))</f>
        <v/>
      </c>
      <c r="F862" s="28" t="str">
        <f>IF($C862=""," ",[1]!i_pq_pctchange($C862,F$6,$N$1))</f>
        <v xml:space="preserve"> </v>
      </c>
      <c r="G862" s="28" t="str">
        <f>IF($C862=""," ",[1]!i_pq_pctchange($C862,G$6,$N$1))</f>
        <v xml:space="preserve"> </v>
      </c>
      <c r="H862" s="28" t="str">
        <f>IF($C862=""," ",[1]!i_pq_pctchange($C862,H$6,$N$1))</f>
        <v xml:space="preserve"> </v>
      </c>
      <c r="I862" s="28" t="str">
        <f>IF($C862=""," ",[1]!i_pq_pctchange($C862,I$6,$N$1))</f>
        <v xml:space="preserve"> </v>
      </c>
      <c r="J862" s="28" t="str">
        <f>IF($C862=""," ",[1]!i_pq_pctchange($C862,J$6,$N$1))</f>
        <v xml:space="preserve"> </v>
      </c>
      <c r="K862" s="28" t="str">
        <f>IF($C862=""," ",[1]!i_pq_pctchange($C862,K$6,$N$1))</f>
        <v xml:space="preserve"> </v>
      </c>
      <c r="L862" s="28" t="str">
        <f>IF(C862=""," ",[1]!s_wq_pctchange($C862,$N$1))</f>
        <v xml:space="preserve"> </v>
      </c>
      <c r="M862" s="28" t="str">
        <f>IF(C862=""," ",[1]!s_mq_pctchange($C862,$N$1))</f>
        <v xml:space="preserve"> </v>
      </c>
      <c r="N862" s="28" t="str">
        <f>IF(C862=""," ",[1]!s_yq_pctchange($C862,$N$1))</f>
        <v xml:space="preserve"> </v>
      </c>
      <c r="O862" s="11"/>
      <c r="P862" s="7"/>
    </row>
    <row r="863" spans="1:16" x14ac:dyDescent="0.35">
      <c r="A863" s="7"/>
      <c r="C863" s="30" t="str">
        <f>IF(指数列表!B860="","",指数列表!B860)</f>
        <v/>
      </c>
      <c r="D863" s="35" t="str">
        <f>IF(C863="","",[1]!s_info_name(C863))</f>
        <v/>
      </c>
      <c r="E863" s="24" t="str">
        <f>IF(C863="","",[1]!s_dq_close(C863,$N$1))</f>
        <v/>
      </c>
      <c r="F863" s="28" t="str">
        <f>IF($C863=""," ",[1]!i_pq_pctchange($C863,F$6,$N$1))</f>
        <v xml:space="preserve"> </v>
      </c>
      <c r="G863" s="28" t="str">
        <f>IF($C863=""," ",[1]!i_pq_pctchange($C863,G$6,$N$1))</f>
        <v xml:space="preserve"> </v>
      </c>
      <c r="H863" s="28" t="str">
        <f>IF($C863=""," ",[1]!i_pq_pctchange($C863,H$6,$N$1))</f>
        <v xml:space="preserve"> </v>
      </c>
      <c r="I863" s="28" t="str">
        <f>IF($C863=""," ",[1]!i_pq_pctchange($C863,I$6,$N$1))</f>
        <v xml:space="preserve"> </v>
      </c>
      <c r="J863" s="28" t="str">
        <f>IF($C863=""," ",[1]!i_pq_pctchange($C863,J$6,$N$1))</f>
        <v xml:space="preserve"> </v>
      </c>
      <c r="K863" s="28" t="str">
        <f>IF($C863=""," ",[1]!i_pq_pctchange($C863,K$6,$N$1))</f>
        <v xml:space="preserve"> </v>
      </c>
      <c r="L863" s="28" t="str">
        <f>IF(C863=""," ",[1]!s_wq_pctchange($C863,$N$1))</f>
        <v xml:space="preserve"> </v>
      </c>
      <c r="M863" s="28" t="str">
        <f>IF(C863=""," ",[1]!s_mq_pctchange($C863,$N$1))</f>
        <v xml:space="preserve"> </v>
      </c>
      <c r="N863" s="28" t="str">
        <f>IF(C863=""," ",[1]!s_yq_pctchange($C863,$N$1))</f>
        <v xml:space="preserve"> </v>
      </c>
      <c r="O863" s="11"/>
      <c r="P863" s="7"/>
    </row>
    <row r="864" spans="1:16" x14ac:dyDescent="0.35">
      <c r="A864" s="7"/>
      <c r="C864" s="31" t="str">
        <f>IF(指数列表!B861="","",指数列表!B861)</f>
        <v/>
      </c>
      <c r="D864" s="36" t="str">
        <f>IF(C864="","",[1]!s_info_name(C864))</f>
        <v/>
      </c>
      <c r="E864" s="25" t="str">
        <f>IF(C864="","",[1]!s_dq_close(C864,$N$1))</f>
        <v/>
      </c>
      <c r="F864" s="28" t="str">
        <f>IF($C864=""," ",[1]!i_pq_pctchange($C864,F$6,$N$1))</f>
        <v xml:space="preserve"> </v>
      </c>
      <c r="G864" s="28" t="str">
        <f>IF($C864=""," ",[1]!i_pq_pctchange($C864,G$6,$N$1))</f>
        <v xml:space="preserve"> </v>
      </c>
      <c r="H864" s="28" t="str">
        <f>IF($C864=""," ",[1]!i_pq_pctchange($C864,H$6,$N$1))</f>
        <v xml:space="preserve"> </v>
      </c>
      <c r="I864" s="28" t="str">
        <f>IF($C864=""," ",[1]!i_pq_pctchange($C864,I$6,$N$1))</f>
        <v xml:space="preserve"> </v>
      </c>
      <c r="J864" s="28" t="str">
        <f>IF($C864=""," ",[1]!i_pq_pctchange($C864,J$6,$N$1))</f>
        <v xml:space="preserve"> </v>
      </c>
      <c r="K864" s="28" t="str">
        <f>IF($C864=""," ",[1]!i_pq_pctchange($C864,K$6,$N$1))</f>
        <v xml:space="preserve"> </v>
      </c>
      <c r="L864" s="28" t="str">
        <f>IF(C864=""," ",[1]!s_wq_pctchange($C864,$N$1))</f>
        <v xml:space="preserve"> </v>
      </c>
      <c r="M864" s="28" t="str">
        <f>IF(C864=""," ",[1]!s_mq_pctchange($C864,$N$1))</f>
        <v xml:space="preserve"> </v>
      </c>
      <c r="N864" s="28" t="str">
        <f>IF(C864=""," ",[1]!s_yq_pctchange($C864,$N$1))</f>
        <v xml:space="preserve"> </v>
      </c>
      <c r="O864" s="11"/>
      <c r="P864" s="7"/>
    </row>
    <row r="865" spans="1:16" x14ac:dyDescent="0.35">
      <c r="A865" s="7"/>
      <c r="C865" s="30" t="str">
        <f>IF(指数列表!B862="","",指数列表!B862)</f>
        <v/>
      </c>
      <c r="D865" s="35" t="str">
        <f>IF(C865="","",[1]!s_info_name(C865))</f>
        <v/>
      </c>
      <c r="E865" s="24" t="str">
        <f>IF(C865="","",[1]!s_dq_close(C865,$N$1))</f>
        <v/>
      </c>
      <c r="F865" s="28" t="str">
        <f>IF($C865=""," ",[1]!i_pq_pctchange($C865,F$6,$N$1))</f>
        <v xml:space="preserve"> </v>
      </c>
      <c r="G865" s="28" t="str">
        <f>IF($C865=""," ",[1]!i_pq_pctchange($C865,G$6,$N$1))</f>
        <v xml:space="preserve"> </v>
      </c>
      <c r="H865" s="28" t="str">
        <f>IF($C865=""," ",[1]!i_pq_pctchange($C865,H$6,$N$1))</f>
        <v xml:space="preserve"> </v>
      </c>
      <c r="I865" s="28" t="str">
        <f>IF($C865=""," ",[1]!i_pq_pctchange($C865,I$6,$N$1))</f>
        <v xml:space="preserve"> </v>
      </c>
      <c r="J865" s="28" t="str">
        <f>IF($C865=""," ",[1]!i_pq_pctchange($C865,J$6,$N$1))</f>
        <v xml:space="preserve"> </v>
      </c>
      <c r="K865" s="28" t="str">
        <f>IF($C865=""," ",[1]!i_pq_pctchange($C865,K$6,$N$1))</f>
        <v xml:space="preserve"> </v>
      </c>
      <c r="L865" s="28" t="str">
        <f>IF(C865=""," ",[1]!s_wq_pctchange($C865,$N$1))</f>
        <v xml:space="preserve"> </v>
      </c>
      <c r="M865" s="28" t="str">
        <f>IF(C865=""," ",[1]!s_mq_pctchange($C865,$N$1))</f>
        <v xml:space="preserve"> </v>
      </c>
      <c r="N865" s="28" t="str">
        <f>IF(C865=""," ",[1]!s_yq_pctchange($C865,$N$1))</f>
        <v xml:space="preserve"> </v>
      </c>
      <c r="O865" s="11"/>
      <c r="P865" s="7"/>
    </row>
    <row r="866" spans="1:16" x14ac:dyDescent="0.35">
      <c r="A866" s="7"/>
      <c r="C866" s="31" t="str">
        <f>IF(指数列表!B863="","",指数列表!B863)</f>
        <v/>
      </c>
      <c r="D866" s="36" t="str">
        <f>IF(C866="","",[1]!s_info_name(C866))</f>
        <v/>
      </c>
      <c r="E866" s="25" t="str">
        <f>IF(C866="","",[1]!s_dq_close(C866,$N$1))</f>
        <v/>
      </c>
      <c r="F866" s="28" t="str">
        <f>IF($C866=""," ",[1]!i_pq_pctchange($C866,F$6,$N$1))</f>
        <v xml:space="preserve"> </v>
      </c>
      <c r="G866" s="28" t="str">
        <f>IF($C866=""," ",[1]!i_pq_pctchange($C866,G$6,$N$1))</f>
        <v xml:space="preserve"> </v>
      </c>
      <c r="H866" s="28" t="str">
        <f>IF($C866=""," ",[1]!i_pq_pctchange($C866,H$6,$N$1))</f>
        <v xml:space="preserve"> </v>
      </c>
      <c r="I866" s="28" t="str">
        <f>IF($C866=""," ",[1]!i_pq_pctchange($C866,I$6,$N$1))</f>
        <v xml:space="preserve"> </v>
      </c>
      <c r="J866" s="28" t="str">
        <f>IF($C866=""," ",[1]!i_pq_pctchange($C866,J$6,$N$1))</f>
        <v xml:space="preserve"> </v>
      </c>
      <c r="K866" s="28" t="str">
        <f>IF($C866=""," ",[1]!i_pq_pctchange($C866,K$6,$N$1))</f>
        <v xml:space="preserve"> </v>
      </c>
      <c r="L866" s="28" t="str">
        <f>IF(C866=""," ",[1]!s_wq_pctchange($C866,$N$1))</f>
        <v xml:space="preserve"> </v>
      </c>
      <c r="M866" s="28" t="str">
        <f>IF(C866=""," ",[1]!s_mq_pctchange($C866,$N$1))</f>
        <v xml:space="preserve"> </v>
      </c>
      <c r="N866" s="28" t="str">
        <f>IF(C866=""," ",[1]!s_yq_pctchange($C866,$N$1))</f>
        <v xml:space="preserve"> </v>
      </c>
      <c r="O866" s="11"/>
      <c r="P866" s="7"/>
    </row>
    <row r="867" spans="1:16" x14ac:dyDescent="0.35">
      <c r="A867" s="7"/>
      <c r="C867" s="30" t="str">
        <f>IF(指数列表!B864="","",指数列表!B864)</f>
        <v/>
      </c>
      <c r="D867" s="35" t="str">
        <f>IF(C867="","",[1]!s_info_name(C867))</f>
        <v/>
      </c>
      <c r="E867" s="24" t="str">
        <f>IF(C867="","",[1]!s_dq_close(C867,$N$1))</f>
        <v/>
      </c>
      <c r="F867" s="28" t="str">
        <f>IF($C867=""," ",[1]!i_pq_pctchange($C867,F$6,$N$1))</f>
        <v xml:space="preserve"> </v>
      </c>
      <c r="G867" s="28" t="str">
        <f>IF($C867=""," ",[1]!i_pq_pctchange($C867,G$6,$N$1))</f>
        <v xml:space="preserve"> </v>
      </c>
      <c r="H867" s="28" t="str">
        <f>IF($C867=""," ",[1]!i_pq_pctchange($C867,H$6,$N$1))</f>
        <v xml:space="preserve"> </v>
      </c>
      <c r="I867" s="28" t="str">
        <f>IF($C867=""," ",[1]!i_pq_pctchange($C867,I$6,$N$1))</f>
        <v xml:space="preserve"> </v>
      </c>
      <c r="J867" s="28" t="str">
        <f>IF($C867=""," ",[1]!i_pq_pctchange($C867,J$6,$N$1))</f>
        <v xml:space="preserve"> </v>
      </c>
      <c r="K867" s="28" t="str">
        <f>IF($C867=""," ",[1]!i_pq_pctchange($C867,K$6,$N$1))</f>
        <v xml:space="preserve"> </v>
      </c>
      <c r="L867" s="28" t="str">
        <f>IF(C867=""," ",[1]!s_wq_pctchange($C867,$N$1))</f>
        <v xml:space="preserve"> </v>
      </c>
      <c r="M867" s="28" t="str">
        <f>IF(C867=""," ",[1]!s_mq_pctchange($C867,$N$1))</f>
        <v xml:space="preserve"> </v>
      </c>
      <c r="N867" s="28" t="str">
        <f>IF(C867=""," ",[1]!s_yq_pctchange($C867,$N$1))</f>
        <v xml:space="preserve"> </v>
      </c>
      <c r="O867" s="11"/>
      <c r="P867" s="7"/>
    </row>
    <row r="868" spans="1:16" x14ac:dyDescent="0.35">
      <c r="A868" s="7"/>
      <c r="C868" s="31" t="str">
        <f>IF(指数列表!B865="","",指数列表!B865)</f>
        <v/>
      </c>
      <c r="D868" s="36" t="str">
        <f>IF(C868="","",[1]!s_info_name(C868))</f>
        <v/>
      </c>
      <c r="E868" s="25" t="str">
        <f>IF(C868="","",[1]!s_dq_close(C868,$N$1))</f>
        <v/>
      </c>
      <c r="F868" s="28" t="str">
        <f>IF($C868=""," ",[1]!i_pq_pctchange($C868,F$6,$N$1))</f>
        <v xml:space="preserve"> </v>
      </c>
      <c r="G868" s="28" t="str">
        <f>IF($C868=""," ",[1]!i_pq_pctchange($C868,G$6,$N$1))</f>
        <v xml:space="preserve"> </v>
      </c>
      <c r="H868" s="28" t="str">
        <f>IF($C868=""," ",[1]!i_pq_pctchange($C868,H$6,$N$1))</f>
        <v xml:space="preserve"> </v>
      </c>
      <c r="I868" s="28" t="str">
        <f>IF($C868=""," ",[1]!i_pq_pctchange($C868,I$6,$N$1))</f>
        <v xml:space="preserve"> </v>
      </c>
      <c r="J868" s="28" t="str">
        <f>IF($C868=""," ",[1]!i_pq_pctchange($C868,J$6,$N$1))</f>
        <v xml:space="preserve"> </v>
      </c>
      <c r="K868" s="28" t="str">
        <f>IF($C868=""," ",[1]!i_pq_pctchange($C868,K$6,$N$1))</f>
        <v xml:space="preserve"> </v>
      </c>
      <c r="L868" s="28" t="str">
        <f>IF(C868=""," ",[1]!s_wq_pctchange($C868,$N$1))</f>
        <v xml:space="preserve"> </v>
      </c>
      <c r="M868" s="28" t="str">
        <f>IF(C868=""," ",[1]!s_mq_pctchange($C868,$N$1))</f>
        <v xml:space="preserve"> </v>
      </c>
      <c r="N868" s="28" t="str">
        <f>IF(C868=""," ",[1]!s_yq_pctchange($C868,$N$1))</f>
        <v xml:space="preserve"> </v>
      </c>
      <c r="O868" s="11"/>
      <c r="P868" s="7"/>
    </row>
    <row r="869" spans="1:16" x14ac:dyDescent="0.35">
      <c r="A869" s="7"/>
      <c r="C869" s="30" t="str">
        <f>IF(指数列表!B866="","",指数列表!B866)</f>
        <v/>
      </c>
      <c r="D869" s="35" t="str">
        <f>IF(C869="","",[1]!s_info_name(C869))</f>
        <v/>
      </c>
      <c r="E869" s="24" t="str">
        <f>IF(C869="","",[1]!s_dq_close(C869,$N$1))</f>
        <v/>
      </c>
      <c r="F869" s="28" t="str">
        <f>IF($C869=""," ",[1]!i_pq_pctchange($C869,F$6,$N$1))</f>
        <v xml:space="preserve"> </v>
      </c>
      <c r="G869" s="28" t="str">
        <f>IF($C869=""," ",[1]!i_pq_pctchange($C869,G$6,$N$1))</f>
        <v xml:space="preserve"> </v>
      </c>
      <c r="H869" s="28" t="str">
        <f>IF($C869=""," ",[1]!i_pq_pctchange($C869,H$6,$N$1))</f>
        <v xml:space="preserve"> </v>
      </c>
      <c r="I869" s="28" t="str">
        <f>IF($C869=""," ",[1]!i_pq_pctchange($C869,I$6,$N$1))</f>
        <v xml:space="preserve"> </v>
      </c>
      <c r="J869" s="28" t="str">
        <f>IF($C869=""," ",[1]!i_pq_pctchange($C869,J$6,$N$1))</f>
        <v xml:space="preserve"> </v>
      </c>
      <c r="K869" s="28" t="str">
        <f>IF($C869=""," ",[1]!i_pq_pctchange($C869,K$6,$N$1))</f>
        <v xml:space="preserve"> </v>
      </c>
      <c r="L869" s="28" t="str">
        <f>IF(C869=""," ",[1]!s_wq_pctchange($C869,$N$1))</f>
        <v xml:space="preserve"> </v>
      </c>
      <c r="M869" s="28" t="str">
        <f>IF(C869=""," ",[1]!s_mq_pctchange($C869,$N$1))</f>
        <v xml:space="preserve"> </v>
      </c>
      <c r="N869" s="28" t="str">
        <f>IF(C869=""," ",[1]!s_yq_pctchange($C869,$N$1))</f>
        <v xml:space="preserve"> </v>
      </c>
      <c r="O869" s="11"/>
      <c r="P869" s="7"/>
    </row>
    <row r="870" spans="1:16" x14ac:dyDescent="0.35">
      <c r="A870" s="7"/>
      <c r="C870" s="31" t="str">
        <f>IF(指数列表!B867="","",指数列表!B867)</f>
        <v/>
      </c>
      <c r="D870" s="36" t="str">
        <f>IF(C870="","",[1]!s_info_name(C870))</f>
        <v/>
      </c>
      <c r="E870" s="25" t="str">
        <f>IF(C870="","",[1]!s_dq_close(C870,$N$1))</f>
        <v/>
      </c>
      <c r="F870" s="28" t="str">
        <f>IF($C870=""," ",[1]!i_pq_pctchange($C870,F$6,$N$1))</f>
        <v xml:space="preserve"> </v>
      </c>
      <c r="G870" s="28" t="str">
        <f>IF($C870=""," ",[1]!i_pq_pctchange($C870,G$6,$N$1))</f>
        <v xml:space="preserve"> </v>
      </c>
      <c r="H870" s="28" t="str">
        <f>IF($C870=""," ",[1]!i_pq_pctchange($C870,H$6,$N$1))</f>
        <v xml:space="preserve"> </v>
      </c>
      <c r="I870" s="28" t="str">
        <f>IF($C870=""," ",[1]!i_pq_pctchange($C870,I$6,$N$1))</f>
        <v xml:space="preserve"> </v>
      </c>
      <c r="J870" s="28" t="str">
        <f>IF($C870=""," ",[1]!i_pq_pctchange($C870,J$6,$N$1))</f>
        <v xml:space="preserve"> </v>
      </c>
      <c r="K870" s="28" t="str">
        <f>IF($C870=""," ",[1]!i_pq_pctchange($C870,K$6,$N$1))</f>
        <v xml:space="preserve"> </v>
      </c>
      <c r="L870" s="28" t="str">
        <f>IF(C870=""," ",[1]!s_wq_pctchange($C870,$N$1))</f>
        <v xml:space="preserve"> </v>
      </c>
      <c r="M870" s="28" t="str">
        <f>IF(C870=""," ",[1]!s_mq_pctchange($C870,$N$1))</f>
        <v xml:space="preserve"> </v>
      </c>
      <c r="N870" s="28" t="str">
        <f>IF(C870=""," ",[1]!s_yq_pctchange($C870,$N$1))</f>
        <v xml:space="preserve"> </v>
      </c>
      <c r="O870" s="11"/>
      <c r="P870" s="7"/>
    </row>
    <row r="871" spans="1:16" x14ac:dyDescent="0.35">
      <c r="A871" s="7"/>
      <c r="C871" s="30" t="str">
        <f>IF(指数列表!B868="","",指数列表!B868)</f>
        <v/>
      </c>
      <c r="D871" s="35" t="str">
        <f>IF(C871="","",[1]!s_info_name(C871))</f>
        <v/>
      </c>
      <c r="E871" s="24" t="str">
        <f>IF(C871="","",[1]!s_dq_close(C871,$N$1))</f>
        <v/>
      </c>
      <c r="F871" s="28" t="str">
        <f>IF($C871=""," ",[1]!i_pq_pctchange($C871,F$6,$N$1))</f>
        <v xml:space="preserve"> </v>
      </c>
      <c r="G871" s="28" t="str">
        <f>IF($C871=""," ",[1]!i_pq_pctchange($C871,G$6,$N$1))</f>
        <v xml:space="preserve"> </v>
      </c>
      <c r="H871" s="28" t="str">
        <f>IF($C871=""," ",[1]!i_pq_pctchange($C871,H$6,$N$1))</f>
        <v xml:space="preserve"> </v>
      </c>
      <c r="I871" s="28" t="str">
        <f>IF($C871=""," ",[1]!i_pq_pctchange($C871,I$6,$N$1))</f>
        <v xml:space="preserve"> </v>
      </c>
      <c r="J871" s="28" t="str">
        <f>IF($C871=""," ",[1]!i_pq_pctchange($C871,J$6,$N$1))</f>
        <v xml:space="preserve"> </v>
      </c>
      <c r="K871" s="28" t="str">
        <f>IF($C871=""," ",[1]!i_pq_pctchange($C871,K$6,$N$1))</f>
        <v xml:space="preserve"> </v>
      </c>
      <c r="L871" s="28" t="str">
        <f>IF(C871=""," ",[1]!s_wq_pctchange($C871,$N$1))</f>
        <v xml:space="preserve"> </v>
      </c>
      <c r="M871" s="28" t="str">
        <f>IF(C871=""," ",[1]!s_mq_pctchange($C871,$N$1))</f>
        <v xml:space="preserve"> </v>
      </c>
      <c r="N871" s="28" t="str">
        <f>IF(C871=""," ",[1]!s_yq_pctchange($C871,$N$1))</f>
        <v xml:space="preserve"> </v>
      </c>
      <c r="O871" s="11"/>
      <c r="P871" s="7"/>
    </row>
    <row r="872" spans="1:16" x14ac:dyDescent="0.35">
      <c r="A872" s="7"/>
      <c r="C872" s="31" t="str">
        <f>IF(指数列表!B869="","",指数列表!B869)</f>
        <v/>
      </c>
      <c r="D872" s="36" t="str">
        <f>IF(C872="","",[1]!s_info_name(C872))</f>
        <v/>
      </c>
      <c r="E872" s="25" t="str">
        <f>IF(C872="","",[1]!s_dq_close(C872,$N$1))</f>
        <v/>
      </c>
      <c r="F872" s="28" t="str">
        <f>IF($C872=""," ",[1]!i_pq_pctchange($C872,F$6,$N$1))</f>
        <v xml:space="preserve"> </v>
      </c>
      <c r="G872" s="28" t="str">
        <f>IF($C872=""," ",[1]!i_pq_pctchange($C872,G$6,$N$1))</f>
        <v xml:space="preserve"> </v>
      </c>
      <c r="H872" s="28" t="str">
        <f>IF($C872=""," ",[1]!i_pq_pctchange($C872,H$6,$N$1))</f>
        <v xml:space="preserve"> </v>
      </c>
      <c r="I872" s="28" t="str">
        <f>IF($C872=""," ",[1]!i_pq_pctchange($C872,I$6,$N$1))</f>
        <v xml:space="preserve"> </v>
      </c>
      <c r="J872" s="28" t="str">
        <f>IF($C872=""," ",[1]!i_pq_pctchange($C872,J$6,$N$1))</f>
        <v xml:space="preserve"> </v>
      </c>
      <c r="K872" s="28" t="str">
        <f>IF($C872=""," ",[1]!i_pq_pctchange($C872,K$6,$N$1))</f>
        <v xml:space="preserve"> </v>
      </c>
      <c r="L872" s="28" t="str">
        <f>IF(C872=""," ",[1]!s_wq_pctchange($C872,$N$1))</f>
        <v xml:space="preserve"> </v>
      </c>
      <c r="M872" s="28" t="str">
        <f>IF(C872=""," ",[1]!s_mq_pctchange($C872,$N$1))</f>
        <v xml:space="preserve"> </v>
      </c>
      <c r="N872" s="28" t="str">
        <f>IF(C872=""," ",[1]!s_yq_pctchange($C872,$N$1))</f>
        <v xml:space="preserve"> </v>
      </c>
      <c r="O872" s="11"/>
      <c r="P872" s="7"/>
    </row>
    <row r="873" spans="1:16" x14ac:dyDescent="0.35">
      <c r="A873" s="7"/>
      <c r="C873" s="30" t="str">
        <f>IF(指数列表!B870="","",指数列表!B870)</f>
        <v/>
      </c>
      <c r="D873" s="35" t="str">
        <f>IF(C873="","",[1]!s_info_name(C873))</f>
        <v/>
      </c>
      <c r="E873" s="24" t="str">
        <f>IF(C873="","",[1]!s_dq_close(C873,$N$1))</f>
        <v/>
      </c>
      <c r="F873" s="28" t="str">
        <f>IF($C873=""," ",[1]!i_pq_pctchange($C873,F$6,$N$1))</f>
        <v xml:space="preserve"> </v>
      </c>
      <c r="G873" s="28" t="str">
        <f>IF($C873=""," ",[1]!i_pq_pctchange($C873,G$6,$N$1))</f>
        <v xml:space="preserve"> </v>
      </c>
      <c r="H873" s="28" t="str">
        <f>IF($C873=""," ",[1]!i_pq_pctchange($C873,H$6,$N$1))</f>
        <v xml:space="preserve"> </v>
      </c>
      <c r="I873" s="28" t="str">
        <f>IF($C873=""," ",[1]!i_pq_pctchange($C873,I$6,$N$1))</f>
        <v xml:space="preserve"> </v>
      </c>
      <c r="J873" s="28" t="str">
        <f>IF($C873=""," ",[1]!i_pq_pctchange($C873,J$6,$N$1))</f>
        <v xml:space="preserve"> </v>
      </c>
      <c r="K873" s="28" t="str">
        <f>IF($C873=""," ",[1]!i_pq_pctchange($C873,K$6,$N$1))</f>
        <v xml:space="preserve"> </v>
      </c>
      <c r="L873" s="28" t="str">
        <f>IF(C873=""," ",[1]!s_wq_pctchange($C873,$N$1))</f>
        <v xml:space="preserve"> </v>
      </c>
      <c r="M873" s="28" t="str">
        <f>IF(C873=""," ",[1]!s_mq_pctchange($C873,$N$1))</f>
        <v xml:space="preserve"> </v>
      </c>
      <c r="N873" s="28" t="str">
        <f>IF(C873=""," ",[1]!s_yq_pctchange($C873,$N$1))</f>
        <v xml:space="preserve"> </v>
      </c>
      <c r="O873" s="11"/>
      <c r="P873" s="7"/>
    </row>
    <row r="874" spans="1:16" x14ac:dyDescent="0.35">
      <c r="A874" s="7"/>
      <c r="C874" s="31" t="str">
        <f>IF(指数列表!B871="","",指数列表!B871)</f>
        <v/>
      </c>
      <c r="D874" s="36" t="str">
        <f>IF(C874="","",[1]!s_info_name(C874))</f>
        <v/>
      </c>
      <c r="E874" s="25" t="str">
        <f>IF(C874="","",[1]!s_dq_close(C874,$N$1))</f>
        <v/>
      </c>
      <c r="F874" s="28" t="str">
        <f>IF($C874=""," ",[1]!i_pq_pctchange($C874,F$6,$N$1))</f>
        <v xml:space="preserve"> </v>
      </c>
      <c r="G874" s="28" t="str">
        <f>IF($C874=""," ",[1]!i_pq_pctchange($C874,G$6,$N$1))</f>
        <v xml:space="preserve"> </v>
      </c>
      <c r="H874" s="28" t="str">
        <f>IF($C874=""," ",[1]!i_pq_pctchange($C874,H$6,$N$1))</f>
        <v xml:space="preserve"> </v>
      </c>
      <c r="I874" s="28" t="str">
        <f>IF($C874=""," ",[1]!i_pq_pctchange($C874,I$6,$N$1))</f>
        <v xml:space="preserve"> </v>
      </c>
      <c r="J874" s="28" t="str">
        <f>IF($C874=""," ",[1]!i_pq_pctchange($C874,J$6,$N$1))</f>
        <v xml:space="preserve"> </v>
      </c>
      <c r="K874" s="28" t="str">
        <f>IF($C874=""," ",[1]!i_pq_pctchange($C874,K$6,$N$1))</f>
        <v xml:space="preserve"> </v>
      </c>
      <c r="L874" s="28" t="str">
        <f>IF(C874=""," ",[1]!s_wq_pctchange($C874,$N$1))</f>
        <v xml:space="preserve"> </v>
      </c>
      <c r="M874" s="28" t="str">
        <f>IF(C874=""," ",[1]!s_mq_pctchange($C874,$N$1))</f>
        <v xml:space="preserve"> </v>
      </c>
      <c r="N874" s="28" t="str">
        <f>IF(C874=""," ",[1]!s_yq_pctchange($C874,$N$1))</f>
        <v xml:space="preserve"> </v>
      </c>
      <c r="O874" s="11"/>
      <c r="P874" s="7"/>
    </row>
    <row r="875" spans="1:16" x14ac:dyDescent="0.35">
      <c r="A875" s="7"/>
      <c r="C875" s="30" t="str">
        <f>IF(指数列表!B872="","",指数列表!B872)</f>
        <v/>
      </c>
      <c r="D875" s="35" t="str">
        <f>IF(C875="","",[1]!s_info_name(C875))</f>
        <v/>
      </c>
      <c r="E875" s="24" t="str">
        <f>IF(C875="","",[1]!s_dq_close(C875,$N$1))</f>
        <v/>
      </c>
      <c r="F875" s="28" t="str">
        <f>IF($C875=""," ",[1]!i_pq_pctchange($C875,F$6,$N$1))</f>
        <v xml:space="preserve"> </v>
      </c>
      <c r="G875" s="28" t="str">
        <f>IF($C875=""," ",[1]!i_pq_pctchange($C875,G$6,$N$1))</f>
        <v xml:space="preserve"> </v>
      </c>
      <c r="H875" s="28" t="str">
        <f>IF($C875=""," ",[1]!i_pq_pctchange($C875,H$6,$N$1))</f>
        <v xml:space="preserve"> </v>
      </c>
      <c r="I875" s="28" t="str">
        <f>IF($C875=""," ",[1]!i_pq_pctchange($C875,I$6,$N$1))</f>
        <v xml:space="preserve"> </v>
      </c>
      <c r="J875" s="28" t="str">
        <f>IF($C875=""," ",[1]!i_pq_pctchange($C875,J$6,$N$1))</f>
        <v xml:space="preserve"> </v>
      </c>
      <c r="K875" s="28" t="str">
        <f>IF($C875=""," ",[1]!i_pq_pctchange($C875,K$6,$N$1))</f>
        <v xml:space="preserve"> </v>
      </c>
      <c r="L875" s="28" t="str">
        <f>IF(C875=""," ",[1]!s_wq_pctchange($C875,$N$1))</f>
        <v xml:space="preserve"> </v>
      </c>
      <c r="M875" s="28" t="str">
        <f>IF(C875=""," ",[1]!s_mq_pctchange($C875,$N$1))</f>
        <v xml:space="preserve"> </v>
      </c>
      <c r="N875" s="28" t="str">
        <f>IF(C875=""," ",[1]!s_yq_pctchange($C875,$N$1))</f>
        <v xml:space="preserve"> </v>
      </c>
      <c r="O875" s="11"/>
      <c r="P875" s="7"/>
    </row>
    <row r="876" spans="1:16" x14ac:dyDescent="0.35">
      <c r="A876" s="7"/>
      <c r="C876" s="31" t="str">
        <f>IF(指数列表!B873="","",指数列表!B873)</f>
        <v/>
      </c>
      <c r="D876" s="36" t="str">
        <f>IF(C876="","",[1]!s_info_name(C876))</f>
        <v/>
      </c>
      <c r="E876" s="25" t="str">
        <f>IF(C876="","",[1]!s_dq_close(C876,$N$1))</f>
        <v/>
      </c>
      <c r="F876" s="28" t="str">
        <f>IF($C876=""," ",[1]!i_pq_pctchange($C876,F$6,$N$1))</f>
        <v xml:space="preserve"> </v>
      </c>
      <c r="G876" s="28" t="str">
        <f>IF($C876=""," ",[1]!i_pq_pctchange($C876,G$6,$N$1))</f>
        <v xml:space="preserve"> </v>
      </c>
      <c r="H876" s="28" t="str">
        <f>IF($C876=""," ",[1]!i_pq_pctchange($C876,H$6,$N$1))</f>
        <v xml:space="preserve"> </v>
      </c>
      <c r="I876" s="28" t="str">
        <f>IF($C876=""," ",[1]!i_pq_pctchange($C876,I$6,$N$1))</f>
        <v xml:space="preserve"> </v>
      </c>
      <c r="J876" s="28" t="str">
        <f>IF($C876=""," ",[1]!i_pq_pctchange($C876,J$6,$N$1))</f>
        <v xml:space="preserve"> </v>
      </c>
      <c r="K876" s="28" t="str">
        <f>IF($C876=""," ",[1]!i_pq_pctchange($C876,K$6,$N$1))</f>
        <v xml:space="preserve"> </v>
      </c>
      <c r="L876" s="28" t="str">
        <f>IF(C876=""," ",[1]!s_wq_pctchange($C876,$N$1))</f>
        <v xml:space="preserve"> </v>
      </c>
      <c r="M876" s="28" t="str">
        <f>IF(C876=""," ",[1]!s_mq_pctchange($C876,$N$1))</f>
        <v xml:space="preserve"> </v>
      </c>
      <c r="N876" s="28" t="str">
        <f>IF(C876=""," ",[1]!s_yq_pctchange($C876,$N$1))</f>
        <v xml:space="preserve"> </v>
      </c>
      <c r="O876" s="11"/>
      <c r="P876" s="7"/>
    </row>
    <row r="877" spans="1:16" x14ac:dyDescent="0.35">
      <c r="A877" s="7"/>
      <c r="C877" s="30" t="str">
        <f>IF(指数列表!B874="","",指数列表!B874)</f>
        <v/>
      </c>
      <c r="D877" s="35" t="str">
        <f>IF(C877="","",[1]!s_info_name(C877))</f>
        <v/>
      </c>
      <c r="E877" s="24" t="str">
        <f>IF(C877="","",[1]!s_dq_close(C877,$N$1))</f>
        <v/>
      </c>
      <c r="F877" s="28" t="str">
        <f>IF($C877=""," ",[1]!i_pq_pctchange($C877,F$6,$N$1))</f>
        <v xml:space="preserve"> </v>
      </c>
      <c r="G877" s="28" t="str">
        <f>IF($C877=""," ",[1]!i_pq_pctchange($C877,G$6,$N$1))</f>
        <v xml:space="preserve"> </v>
      </c>
      <c r="H877" s="28" t="str">
        <f>IF($C877=""," ",[1]!i_pq_pctchange($C877,H$6,$N$1))</f>
        <v xml:space="preserve"> </v>
      </c>
      <c r="I877" s="28" t="str">
        <f>IF($C877=""," ",[1]!i_pq_pctchange($C877,I$6,$N$1))</f>
        <v xml:space="preserve"> </v>
      </c>
      <c r="J877" s="28" t="str">
        <f>IF($C877=""," ",[1]!i_pq_pctchange($C877,J$6,$N$1))</f>
        <v xml:space="preserve"> </v>
      </c>
      <c r="K877" s="28" t="str">
        <f>IF($C877=""," ",[1]!i_pq_pctchange($C877,K$6,$N$1))</f>
        <v xml:space="preserve"> </v>
      </c>
      <c r="L877" s="28" t="str">
        <f>IF(C877=""," ",[1]!s_wq_pctchange($C877,$N$1))</f>
        <v xml:space="preserve"> </v>
      </c>
      <c r="M877" s="28" t="str">
        <f>IF(C877=""," ",[1]!s_mq_pctchange($C877,$N$1))</f>
        <v xml:space="preserve"> </v>
      </c>
      <c r="N877" s="28" t="str">
        <f>IF(C877=""," ",[1]!s_yq_pctchange($C877,$N$1))</f>
        <v xml:space="preserve"> </v>
      </c>
      <c r="O877" s="11"/>
      <c r="P877" s="7"/>
    </row>
    <row r="878" spans="1:16" x14ac:dyDescent="0.35">
      <c r="A878" s="7"/>
      <c r="C878" s="31" t="str">
        <f>IF(指数列表!B875="","",指数列表!B875)</f>
        <v/>
      </c>
      <c r="D878" s="36" t="str">
        <f>IF(C878="","",[1]!s_info_name(C878))</f>
        <v/>
      </c>
      <c r="E878" s="25" t="str">
        <f>IF(C878="","",[1]!s_dq_close(C878,$N$1))</f>
        <v/>
      </c>
      <c r="F878" s="28" t="str">
        <f>IF($C878=""," ",[1]!i_pq_pctchange($C878,F$6,$N$1))</f>
        <v xml:space="preserve"> </v>
      </c>
      <c r="G878" s="28" t="str">
        <f>IF($C878=""," ",[1]!i_pq_pctchange($C878,G$6,$N$1))</f>
        <v xml:space="preserve"> </v>
      </c>
      <c r="H878" s="28" t="str">
        <f>IF($C878=""," ",[1]!i_pq_pctchange($C878,H$6,$N$1))</f>
        <v xml:space="preserve"> </v>
      </c>
      <c r="I878" s="28" t="str">
        <f>IF($C878=""," ",[1]!i_pq_pctchange($C878,I$6,$N$1))</f>
        <v xml:space="preserve"> </v>
      </c>
      <c r="J878" s="28" t="str">
        <f>IF($C878=""," ",[1]!i_pq_pctchange($C878,J$6,$N$1))</f>
        <v xml:space="preserve"> </v>
      </c>
      <c r="K878" s="28" t="str">
        <f>IF($C878=""," ",[1]!i_pq_pctchange($C878,K$6,$N$1))</f>
        <v xml:space="preserve"> </v>
      </c>
      <c r="L878" s="28" t="str">
        <f>IF(C878=""," ",[1]!s_wq_pctchange($C878,$N$1))</f>
        <v xml:space="preserve"> </v>
      </c>
      <c r="M878" s="28" t="str">
        <f>IF(C878=""," ",[1]!s_mq_pctchange($C878,$N$1))</f>
        <v xml:space="preserve"> </v>
      </c>
      <c r="N878" s="28" t="str">
        <f>IF(C878=""," ",[1]!s_yq_pctchange($C878,$N$1))</f>
        <v xml:space="preserve"> </v>
      </c>
      <c r="O878" s="11"/>
      <c r="P878" s="7"/>
    </row>
    <row r="879" spans="1:16" x14ac:dyDescent="0.35">
      <c r="A879" s="7"/>
      <c r="C879" s="30" t="str">
        <f>IF(指数列表!B876="","",指数列表!B876)</f>
        <v/>
      </c>
      <c r="D879" s="35" t="str">
        <f>IF(C879="","",[1]!s_info_name(C879))</f>
        <v/>
      </c>
      <c r="E879" s="24" t="str">
        <f>IF(C879="","",[1]!s_dq_close(C879,$N$1))</f>
        <v/>
      </c>
      <c r="F879" s="28" t="str">
        <f>IF($C879=""," ",[1]!i_pq_pctchange($C879,F$6,$N$1))</f>
        <v xml:space="preserve"> </v>
      </c>
      <c r="G879" s="28" t="str">
        <f>IF($C879=""," ",[1]!i_pq_pctchange($C879,G$6,$N$1))</f>
        <v xml:space="preserve"> </v>
      </c>
      <c r="H879" s="28" t="str">
        <f>IF($C879=""," ",[1]!i_pq_pctchange($C879,H$6,$N$1))</f>
        <v xml:space="preserve"> </v>
      </c>
      <c r="I879" s="28" t="str">
        <f>IF($C879=""," ",[1]!i_pq_pctchange($C879,I$6,$N$1))</f>
        <v xml:space="preserve"> </v>
      </c>
      <c r="J879" s="28" t="str">
        <f>IF($C879=""," ",[1]!i_pq_pctchange($C879,J$6,$N$1))</f>
        <v xml:space="preserve"> </v>
      </c>
      <c r="K879" s="28" t="str">
        <f>IF($C879=""," ",[1]!i_pq_pctchange($C879,K$6,$N$1))</f>
        <v xml:space="preserve"> </v>
      </c>
      <c r="L879" s="28" t="str">
        <f>IF(C879=""," ",[1]!s_wq_pctchange($C879,$N$1))</f>
        <v xml:space="preserve"> </v>
      </c>
      <c r="M879" s="28" t="str">
        <f>IF(C879=""," ",[1]!s_mq_pctchange($C879,$N$1))</f>
        <v xml:space="preserve"> </v>
      </c>
      <c r="N879" s="28" t="str">
        <f>IF(C879=""," ",[1]!s_yq_pctchange($C879,$N$1))</f>
        <v xml:space="preserve"> </v>
      </c>
      <c r="O879" s="11"/>
      <c r="P879" s="7"/>
    </row>
    <row r="880" spans="1:16" x14ac:dyDescent="0.35">
      <c r="A880" s="7"/>
      <c r="C880" s="31" t="str">
        <f>IF(指数列表!B877="","",指数列表!B877)</f>
        <v/>
      </c>
      <c r="D880" s="36" t="str">
        <f>IF(C880="","",[1]!s_info_name(C880))</f>
        <v/>
      </c>
      <c r="E880" s="25" t="str">
        <f>IF(C880="","",[1]!s_dq_close(C880,$N$1))</f>
        <v/>
      </c>
      <c r="F880" s="28" t="str">
        <f>IF($C880=""," ",[1]!i_pq_pctchange($C880,F$6,$N$1))</f>
        <v xml:space="preserve"> </v>
      </c>
      <c r="G880" s="28" t="str">
        <f>IF($C880=""," ",[1]!i_pq_pctchange($C880,G$6,$N$1))</f>
        <v xml:space="preserve"> </v>
      </c>
      <c r="H880" s="28" t="str">
        <f>IF($C880=""," ",[1]!i_pq_pctchange($C880,H$6,$N$1))</f>
        <v xml:space="preserve"> </v>
      </c>
      <c r="I880" s="28" t="str">
        <f>IF($C880=""," ",[1]!i_pq_pctchange($C880,I$6,$N$1))</f>
        <v xml:space="preserve"> </v>
      </c>
      <c r="J880" s="28" t="str">
        <f>IF($C880=""," ",[1]!i_pq_pctchange($C880,J$6,$N$1))</f>
        <v xml:space="preserve"> </v>
      </c>
      <c r="K880" s="28" t="str">
        <f>IF($C880=""," ",[1]!i_pq_pctchange($C880,K$6,$N$1))</f>
        <v xml:space="preserve"> </v>
      </c>
      <c r="L880" s="28" t="str">
        <f>IF(C880=""," ",[1]!s_wq_pctchange($C880,$N$1))</f>
        <v xml:space="preserve"> </v>
      </c>
      <c r="M880" s="28" t="str">
        <f>IF(C880=""," ",[1]!s_mq_pctchange($C880,$N$1))</f>
        <v xml:space="preserve"> </v>
      </c>
      <c r="N880" s="28" t="str">
        <f>IF(C880=""," ",[1]!s_yq_pctchange($C880,$N$1))</f>
        <v xml:space="preserve"> </v>
      </c>
      <c r="O880" s="11"/>
      <c r="P880" s="7"/>
    </row>
    <row r="881" spans="1:16" x14ac:dyDescent="0.35">
      <c r="A881" s="7"/>
      <c r="C881" s="30" t="str">
        <f>IF(指数列表!B878="","",指数列表!B878)</f>
        <v/>
      </c>
      <c r="D881" s="35" t="str">
        <f>IF(C881="","",[1]!s_info_name(C881))</f>
        <v/>
      </c>
      <c r="E881" s="24" t="str">
        <f>IF(C881="","",[1]!s_dq_close(C881,$N$1))</f>
        <v/>
      </c>
      <c r="F881" s="28" t="str">
        <f>IF($C881=""," ",[1]!i_pq_pctchange($C881,F$6,$N$1))</f>
        <v xml:space="preserve"> </v>
      </c>
      <c r="G881" s="28" t="str">
        <f>IF($C881=""," ",[1]!i_pq_pctchange($C881,G$6,$N$1))</f>
        <v xml:space="preserve"> </v>
      </c>
      <c r="H881" s="28" t="str">
        <f>IF($C881=""," ",[1]!i_pq_pctchange($C881,H$6,$N$1))</f>
        <v xml:space="preserve"> </v>
      </c>
      <c r="I881" s="28" t="str">
        <f>IF($C881=""," ",[1]!i_pq_pctchange($C881,I$6,$N$1))</f>
        <v xml:space="preserve"> </v>
      </c>
      <c r="J881" s="28" t="str">
        <f>IF($C881=""," ",[1]!i_pq_pctchange($C881,J$6,$N$1))</f>
        <v xml:space="preserve"> </v>
      </c>
      <c r="K881" s="28" t="str">
        <f>IF($C881=""," ",[1]!i_pq_pctchange($C881,K$6,$N$1))</f>
        <v xml:space="preserve"> </v>
      </c>
      <c r="L881" s="28" t="str">
        <f>IF(C881=""," ",[1]!s_wq_pctchange($C881,$N$1))</f>
        <v xml:space="preserve"> </v>
      </c>
      <c r="M881" s="28" t="str">
        <f>IF(C881=""," ",[1]!s_mq_pctchange($C881,$N$1))</f>
        <v xml:space="preserve"> </v>
      </c>
      <c r="N881" s="28" t="str">
        <f>IF(C881=""," ",[1]!s_yq_pctchange($C881,$N$1))</f>
        <v xml:space="preserve"> </v>
      </c>
      <c r="O881" s="11"/>
      <c r="P881" s="7"/>
    </row>
    <row r="882" spans="1:16" x14ac:dyDescent="0.35">
      <c r="A882" s="7"/>
      <c r="C882" s="31" t="str">
        <f>IF(指数列表!B879="","",指数列表!B879)</f>
        <v/>
      </c>
      <c r="D882" s="36" t="str">
        <f>IF(C882="","",[1]!s_info_name(C882))</f>
        <v/>
      </c>
      <c r="E882" s="25" t="str">
        <f>IF(C882="","",[1]!s_dq_close(C882,$N$1))</f>
        <v/>
      </c>
      <c r="F882" s="28" t="str">
        <f>IF($C882=""," ",[1]!i_pq_pctchange($C882,F$6,$N$1))</f>
        <v xml:space="preserve"> </v>
      </c>
      <c r="G882" s="28" t="str">
        <f>IF($C882=""," ",[1]!i_pq_pctchange($C882,G$6,$N$1))</f>
        <v xml:space="preserve"> </v>
      </c>
      <c r="H882" s="28" t="str">
        <f>IF($C882=""," ",[1]!i_pq_pctchange($C882,H$6,$N$1))</f>
        <v xml:space="preserve"> </v>
      </c>
      <c r="I882" s="28" t="str">
        <f>IF($C882=""," ",[1]!i_pq_pctchange($C882,I$6,$N$1))</f>
        <v xml:space="preserve"> </v>
      </c>
      <c r="J882" s="28" t="str">
        <f>IF($C882=""," ",[1]!i_pq_pctchange($C882,J$6,$N$1))</f>
        <v xml:space="preserve"> </v>
      </c>
      <c r="K882" s="28" t="str">
        <f>IF($C882=""," ",[1]!i_pq_pctchange($C882,K$6,$N$1))</f>
        <v xml:space="preserve"> </v>
      </c>
      <c r="L882" s="28" t="str">
        <f>IF(C882=""," ",[1]!s_wq_pctchange($C882,$N$1))</f>
        <v xml:space="preserve"> </v>
      </c>
      <c r="M882" s="28" t="str">
        <f>IF(C882=""," ",[1]!s_mq_pctchange($C882,$N$1))</f>
        <v xml:space="preserve"> </v>
      </c>
      <c r="N882" s="28" t="str">
        <f>IF(C882=""," ",[1]!s_yq_pctchange($C882,$N$1))</f>
        <v xml:space="preserve"> </v>
      </c>
      <c r="O882" s="11"/>
      <c r="P882" s="7"/>
    </row>
    <row r="883" spans="1:16" x14ac:dyDescent="0.35">
      <c r="A883" s="7"/>
      <c r="C883" s="30" t="str">
        <f>IF(指数列表!B880="","",指数列表!B880)</f>
        <v/>
      </c>
      <c r="D883" s="35" t="str">
        <f>IF(C883="","",[1]!s_info_name(C883))</f>
        <v/>
      </c>
      <c r="E883" s="24" t="str">
        <f>IF(C883="","",[1]!s_dq_close(C883,$N$1))</f>
        <v/>
      </c>
      <c r="F883" s="28" t="str">
        <f>IF($C883=""," ",[1]!i_pq_pctchange($C883,F$6,$N$1))</f>
        <v xml:space="preserve"> </v>
      </c>
      <c r="G883" s="28" t="str">
        <f>IF($C883=""," ",[1]!i_pq_pctchange($C883,G$6,$N$1))</f>
        <v xml:space="preserve"> </v>
      </c>
      <c r="H883" s="28" t="str">
        <f>IF($C883=""," ",[1]!i_pq_pctchange($C883,H$6,$N$1))</f>
        <v xml:space="preserve"> </v>
      </c>
      <c r="I883" s="28" t="str">
        <f>IF($C883=""," ",[1]!i_pq_pctchange($C883,I$6,$N$1))</f>
        <v xml:space="preserve"> </v>
      </c>
      <c r="J883" s="28" t="str">
        <f>IF($C883=""," ",[1]!i_pq_pctchange($C883,J$6,$N$1))</f>
        <v xml:space="preserve"> </v>
      </c>
      <c r="K883" s="28" t="str">
        <f>IF($C883=""," ",[1]!i_pq_pctchange($C883,K$6,$N$1))</f>
        <v xml:space="preserve"> </v>
      </c>
      <c r="L883" s="28" t="str">
        <f>IF(C883=""," ",[1]!s_wq_pctchange($C883,$N$1))</f>
        <v xml:space="preserve"> </v>
      </c>
      <c r="M883" s="28" t="str">
        <f>IF(C883=""," ",[1]!s_mq_pctchange($C883,$N$1))</f>
        <v xml:space="preserve"> </v>
      </c>
      <c r="N883" s="28" t="str">
        <f>IF(C883=""," ",[1]!s_yq_pctchange($C883,$N$1))</f>
        <v xml:space="preserve"> </v>
      </c>
      <c r="O883" s="11"/>
      <c r="P883" s="7"/>
    </row>
    <row r="884" spans="1:16" x14ac:dyDescent="0.35">
      <c r="A884" s="7"/>
      <c r="C884" s="31" t="str">
        <f>IF(指数列表!B881="","",指数列表!B881)</f>
        <v/>
      </c>
      <c r="D884" s="36" t="str">
        <f>IF(C884="","",[1]!s_info_name(C884))</f>
        <v/>
      </c>
      <c r="E884" s="25" t="str">
        <f>IF(C884="","",[1]!s_dq_close(C884,$N$1))</f>
        <v/>
      </c>
      <c r="F884" s="28" t="str">
        <f>IF($C884=""," ",[1]!i_pq_pctchange($C884,F$6,$N$1))</f>
        <v xml:space="preserve"> </v>
      </c>
      <c r="G884" s="28" t="str">
        <f>IF($C884=""," ",[1]!i_pq_pctchange($C884,G$6,$N$1))</f>
        <v xml:space="preserve"> </v>
      </c>
      <c r="H884" s="28" t="str">
        <f>IF($C884=""," ",[1]!i_pq_pctchange($C884,H$6,$N$1))</f>
        <v xml:space="preserve"> </v>
      </c>
      <c r="I884" s="28" t="str">
        <f>IF($C884=""," ",[1]!i_pq_pctchange($C884,I$6,$N$1))</f>
        <v xml:space="preserve"> </v>
      </c>
      <c r="J884" s="28" t="str">
        <f>IF($C884=""," ",[1]!i_pq_pctchange($C884,J$6,$N$1))</f>
        <v xml:space="preserve"> </v>
      </c>
      <c r="K884" s="28" t="str">
        <f>IF($C884=""," ",[1]!i_pq_pctchange($C884,K$6,$N$1))</f>
        <v xml:space="preserve"> </v>
      </c>
      <c r="L884" s="28" t="str">
        <f>IF(C884=""," ",[1]!s_wq_pctchange($C884,$N$1))</f>
        <v xml:space="preserve"> </v>
      </c>
      <c r="M884" s="28" t="str">
        <f>IF(C884=""," ",[1]!s_mq_pctchange($C884,$N$1))</f>
        <v xml:space="preserve"> </v>
      </c>
      <c r="N884" s="28" t="str">
        <f>IF(C884=""," ",[1]!s_yq_pctchange($C884,$N$1))</f>
        <v xml:space="preserve"> </v>
      </c>
      <c r="O884" s="11"/>
      <c r="P884" s="7"/>
    </row>
    <row r="885" spans="1:16" x14ac:dyDescent="0.35">
      <c r="A885" s="7"/>
      <c r="C885" s="30" t="str">
        <f>IF(指数列表!B882="","",指数列表!B882)</f>
        <v/>
      </c>
      <c r="D885" s="35" t="str">
        <f>IF(C885="","",[1]!s_info_name(C885))</f>
        <v/>
      </c>
      <c r="E885" s="24" t="str">
        <f>IF(C885="","",[1]!s_dq_close(C885,$N$1))</f>
        <v/>
      </c>
      <c r="F885" s="28" t="str">
        <f>IF($C885=""," ",[1]!i_pq_pctchange($C885,F$6,$N$1))</f>
        <v xml:space="preserve"> </v>
      </c>
      <c r="G885" s="28" t="str">
        <f>IF($C885=""," ",[1]!i_pq_pctchange($C885,G$6,$N$1))</f>
        <v xml:space="preserve"> </v>
      </c>
      <c r="H885" s="28" t="str">
        <f>IF($C885=""," ",[1]!i_pq_pctchange($C885,H$6,$N$1))</f>
        <v xml:space="preserve"> </v>
      </c>
      <c r="I885" s="28" t="str">
        <f>IF($C885=""," ",[1]!i_pq_pctchange($C885,I$6,$N$1))</f>
        <v xml:space="preserve"> </v>
      </c>
      <c r="J885" s="28" t="str">
        <f>IF($C885=""," ",[1]!i_pq_pctchange($C885,J$6,$N$1))</f>
        <v xml:space="preserve"> </v>
      </c>
      <c r="K885" s="28" t="str">
        <f>IF($C885=""," ",[1]!i_pq_pctchange($C885,K$6,$N$1))</f>
        <v xml:space="preserve"> </v>
      </c>
      <c r="L885" s="28" t="str">
        <f>IF(C885=""," ",[1]!s_wq_pctchange($C885,$N$1))</f>
        <v xml:space="preserve"> </v>
      </c>
      <c r="M885" s="28" t="str">
        <f>IF(C885=""," ",[1]!s_mq_pctchange($C885,$N$1))</f>
        <v xml:space="preserve"> </v>
      </c>
      <c r="N885" s="28" t="str">
        <f>IF(C885=""," ",[1]!s_yq_pctchange($C885,$N$1))</f>
        <v xml:space="preserve"> </v>
      </c>
      <c r="O885" s="11"/>
      <c r="P885" s="7"/>
    </row>
    <row r="886" spans="1:16" x14ac:dyDescent="0.35">
      <c r="A886" s="7"/>
      <c r="C886" s="31" t="str">
        <f>IF(指数列表!B883="","",指数列表!B883)</f>
        <v/>
      </c>
      <c r="D886" s="36" t="str">
        <f>IF(C886="","",[1]!s_info_name(C886))</f>
        <v/>
      </c>
      <c r="E886" s="25" t="str">
        <f>IF(C886="","",[1]!s_dq_close(C886,$N$1))</f>
        <v/>
      </c>
      <c r="F886" s="28" t="str">
        <f>IF($C886=""," ",[1]!i_pq_pctchange($C886,F$6,$N$1))</f>
        <v xml:space="preserve"> </v>
      </c>
      <c r="G886" s="28" t="str">
        <f>IF($C886=""," ",[1]!i_pq_pctchange($C886,G$6,$N$1))</f>
        <v xml:space="preserve"> </v>
      </c>
      <c r="H886" s="28" t="str">
        <f>IF($C886=""," ",[1]!i_pq_pctchange($C886,H$6,$N$1))</f>
        <v xml:space="preserve"> </v>
      </c>
      <c r="I886" s="28" t="str">
        <f>IF($C886=""," ",[1]!i_pq_pctchange($C886,I$6,$N$1))</f>
        <v xml:space="preserve"> </v>
      </c>
      <c r="J886" s="28" t="str">
        <f>IF($C886=""," ",[1]!i_pq_pctchange($C886,J$6,$N$1))</f>
        <v xml:space="preserve"> </v>
      </c>
      <c r="K886" s="28" t="str">
        <f>IF($C886=""," ",[1]!i_pq_pctchange($C886,K$6,$N$1))</f>
        <v xml:space="preserve"> </v>
      </c>
      <c r="L886" s="28" t="str">
        <f>IF(C886=""," ",[1]!s_wq_pctchange($C886,$N$1))</f>
        <v xml:space="preserve"> </v>
      </c>
      <c r="M886" s="28" t="str">
        <f>IF(C886=""," ",[1]!s_mq_pctchange($C886,$N$1))</f>
        <v xml:space="preserve"> </v>
      </c>
      <c r="N886" s="28" t="str">
        <f>IF(C886=""," ",[1]!s_yq_pctchange($C886,$N$1))</f>
        <v xml:space="preserve"> </v>
      </c>
      <c r="O886" s="11"/>
      <c r="P886" s="7"/>
    </row>
    <row r="887" spans="1:16" x14ac:dyDescent="0.35">
      <c r="A887" s="7"/>
      <c r="C887" s="30" t="str">
        <f>IF(指数列表!B884="","",指数列表!B884)</f>
        <v/>
      </c>
      <c r="D887" s="35" t="str">
        <f>IF(C887="","",[1]!s_info_name(C887))</f>
        <v/>
      </c>
      <c r="E887" s="24" t="str">
        <f>IF(C887="","",[1]!s_dq_close(C887,$N$1))</f>
        <v/>
      </c>
      <c r="F887" s="28" t="str">
        <f>IF($C887=""," ",[1]!i_pq_pctchange($C887,F$6,$N$1))</f>
        <v xml:space="preserve"> </v>
      </c>
      <c r="G887" s="28" t="str">
        <f>IF($C887=""," ",[1]!i_pq_pctchange($C887,G$6,$N$1))</f>
        <v xml:space="preserve"> </v>
      </c>
      <c r="H887" s="28" t="str">
        <f>IF($C887=""," ",[1]!i_pq_pctchange($C887,H$6,$N$1))</f>
        <v xml:space="preserve"> </v>
      </c>
      <c r="I887" s="28" t="str">
        <f>IF($C887=""," ",[1]!i_pq_pctchange($C887,I$6,$N$1))</f>
        <v xml:space="preserve"> </v>
      </c>
      <c r="J887" s="28" t="str">
        <f>IF($C887=""," ",[1]!i_pq_pctchange($C887,J$6,$N$1))</f>
        <v xml:space="preserve"> </v>
      </c>
      <c r="K887" s="28" t="str">
        <f>IF($C887=""," ",[1]!i_pq_pctchange($C887,K$6,$N$1))</f>
        <v xml:space="preserve"> </v>
      </c>
      <c r="L887" s="28" t="str">
        <f>IF(C887=""," ",[1]!s_wq_pctchange($C887,$N$1))</f>
        <v xml:space="preserve"> </v>
      </c>
      <c r="M887" s="28" t="str">
        <f>IF(C887=""," ",[1]!s_mq_pctchange($C887,$N$1))</f>
        <v xml:space="preserve"> </v>
      </c>
      <c r="N887" s="28" t="str">
        <f>IF(C887=""," ",[1]!s_yq_pctchange($C887,$N$1))</f>
        <v xml:space="preserve"> </v>
      </c>
      <c r="O887" s="11"/>
      <c r="P887" s="7"/>
    </row>
    <row r="888" spans="1:16" x14ac:dyDescent="0.35">
      <c r="A888" s="7"/>
      <c r="C888" s="31" t="str">
        <f>IF(指数列表!B885="","",指数列表!B885)</f>
        <v/>
      </c>
      <c r="D888" s="36" t="str">
        <f>IF(C888="","",[1]!s_info_name(C888))</f>
        <v/>
      </c>
      <c r="E888" s="25" t="str">
        <f>IF(C888="","",[1]!s_dq_close(C888,$N$1))</f>
        <v/>
      </c>
      <c r="F888" s="28" t="str">
        <f>IF($C888=""," ",[1]!i_pq_pctchange($C888,F$6,$N$1))</f>
        <v xml:space="preserve"> </v>
      </c>
      <c r="G888" s="28" t="str">
        <f>IF($C888=""," ",[1]!i_pq_pctchange($C888,G$6,$N$1))</f>
        <v xml:space="preserve"> </v>
      </c>
      <c r="H888" s="28" t="str">
        <f>IF($C888=""," ",[1]!i_pq_pctchange($C888,H$6,$N$1))</f>
        <v xml:space="preserve"> </v>
      </c>
      <c r="I888" s="28" t="str">
        <f>IF($C888=""," ",[1]!i_pq_pctchange($C888,I$6,$N$1))</f>
        <v xml:space="preserve"> </v>
      </c>
      <c r="J888" s="28" t="str">
        <f>IF($C888=""," ",[1]!i_pq_pctchange($C888,J$6,$N$1))</f>
        <v xml:space="preserve"> </v>
      </c>
      <c r="K888" s="28" t="str">
        <f>IF($C888=""," ",[1]!i_pq_pctchange($C888,K$6,$N$1))</f>
        <v xml:space="preserve"> </v>
      </c>
      <c r="L888" s="28" t="str">
        <f>IF(C888=""," ",[1]!s_wq_pctchange($C888,$N$1))</f>
        <v xml:space="preserve"> </v>
      </c>
      <c r="M888" s="28" t="str">
        <f>IF(C888=""," ",[1]!s_mq_pctchange($C888,$N$1))</f>
        <v xml:space="preserve"> </v>
      </c>
      <c r="N888" s="28" t="str">
        <f>IF(C888=""," ",[1]!s_yq_pctchange($C888,$N$1))</f>
        <v xml:space="preserve"> </v>
      </c>
      <c r="O888" s="11"/>
      <c r="P888" s="7"/>
    </row>
    <row r="889" spans="1:16" x14ac:dyDescent="0.35">
      <c r="A889" s="7"/>
      <c r="C889" s="30" t="str">
        <f>IF(指数列表!B886="","",指数列表!B886)</f>
        <v/>
      </c>
      <c r="D889" s="35" t="str">
        <f>IF(C889="","",[1]!s_info_name(C889))</f>
        <v/>
      </c>
      <c r="E889" s="24" t="str">
        <f>IF(C889="","",[1]!s_dq_close(C889,$N$1))</f>
        <v/>
      </c>
      <c r="F889" s="28" t="str">
        <f>IF($C889=""," ",[1]!i_pq_pctchange($C889,F$6,$N$1))</f>
        <v xml:space="preserve"> </v>
      </c>
      <c r="G889" s="28" t="str">
        <f>IF($C889=""," ",[1]!i_pq_pctchange($C889,G$6,$N$1))</f>
        <v xml:space="preserve"> </v>
      </c>
      <c r="H889" s="28" t="str">
        <f>IF($C889=""," ",[1]!i_pq_pctchange($C889,H$6,$N$1))</f>
        <v xml:space="preserve"> </v>
      </c>
      <c r="I889" s="28" t="str">
        <f>IF($C889=""," ",[1]!i_pq_pctchange($C889,I$6,$N$1))</f>
        <v xml:space="preserve"> </v>
      </c>
      <c r="J889" s="28" t="str">
        <f>IF($C889=""," ",[1]!i_pq_pctchange($C889,J$6,$N$1))</f>
        <v xml:space="preserve"> </v>
      </c>
      <c r="K889" s="28" t="str">
        <f>IF($C889=""," ",[1]!i_pq_pctchange($C889,K$6,$N$1))</f>
        <v xml:space="preserve"> </v>
      </c>
      <c r="L889" s="28" t="str">
        <f>IF(C889=""," ",[1]!s_wq_pctchange($C889,$N$1))</f>
        <v xml:space="preserve"> </v>
      </c>
      <c r="M889" s="28" t="str">
        <f>IF(C889=""," ",[1]!s_mq_pctchange($C889,$N$1))</f>
        <v xml:space="preserve"> </v>
      </c>
      <c r="N889" s="28" t="str">
        <f>IF(C889=""," ",[1]!s_yq_pctchange($C889,$N$1))</f>
        <v xml:space="preserve"> </v>
      </c>
      <c r="O889" s="11"/>
      <c r="P889" s="7"/>
    </row>
    <row r="890" spans="1:16" x14ac:dyDescent="0.35">
      <c r="A890" s="7"/>
      <c r="C890" s="31" t="str">
        <f>IF(指数列表!B887="","",指数列表!B887)</f>
        <v/>
      </c>
      <c r="D890" s="36" t="str">
        <f>IF(C890="","",[1]!s_info_name(C890))</f>
        <v/>
      </c>
      <c r="E890" s="25" t="str">
        <f>IF(C890="","",[1]!s_dq_close(C890,$N$1))</f>
        <v/>
      </c>
      <c r="F890" s="28" t="str">
        <f>IF($C890=""," ",[1]!i_pq_pctchange($C890,F$6,$N$1))</f>
        <v xml:space="preserve"> </v>
      </c>
      <c r="G890" s="28" t="str">
        <f>IF($C890=""," ",[1]!i_pq_pctchange($C890,G$6,$N$1))</f>
        <v xml:space="preserve"> </v>
      </c>
      <c r="H890" s="28" t="str">
        <f>IF($C890=""," ",[1]!i_pq_pctchange($C890,H$6,$N$1))</f>
        <v xml:space="preserve"> </v>
      </c>
      <c r="I890" s="28" t="str">
        <f>IF($C890=""," ",[1]!i_pq_pctchange($C890,I$6,$N$1))</f>
        <v xml:space="preserve"> </v>
      </c>
      <c r="J890" s="28" t="str">
        <f>IF($C890=""," ",[1]!i_pq_pctchange($C890,J$6,$N$1))</f>
        <v xml:space="preserve"> </v>
      </c>
      <c r="K890" s="28" t="str">
        <f>IF($C890=""," ",[1]!i_pq_pctchange($C890,K$6,$N$1))</f>
        <v xml:space="preserve"> </v>
      </c>
      <c r="L890" s="28" t="str">
        <f>IF(C890=""," ",[1]!s_wq_pctchange($C890,$N$1))</f>
        <v xml:space="preserve"> </v>
      </c>
      <c r="M890" s="28" t="str">
        <f>IF(C890=""," ",[1]!s_mq_pctchange($C890,$N$1))</f>
        <v xml:space="preserve"> </v>
      </c>
      <c r="N890" s="28" t="str">
        <f>IF(C890=""," ",[1]!s_yq_pctchange($C890,$N$1))</f>
        <v xml:space="preserve"> </v>
      </c>
      <c r="O890" s="11"/>
      <c r="P890" s="7"/>
    </row>
    <row r="891" spans="1:16" x14ac:dyDescent="0.35">
      <c r="A891" s="7"/>
      <c r="C891" s="30" t="str">
        <f>IF(指数列表!B888="","",指数列表!B888)</f>
        <v/>
      </c>
      <c r="D891" s="35" t="str">
        <f>IF(C891="","",[1]!s_info_name(C891))</f>
        <v/>
      </c>
      <c r="E891" s="24" t="str">
        <f>IF(C891="","",[1]!s_dq_close(C891,$N$1))</f>
        <v/>
      </c>
      <c r="F891" s="28" t="str">
        <f>IF($C891=""," ",[1]!i_pq_pctchange($C891,F$6,$N$1))</f>
        <v xml:space="preserve"> </v>
      </c>
      <c r="G891" s="28" t="str">
        <f>IF($C891=""," ",[1]!i_pq_pctchange($C891,G$6,$N$1))</f>
        <v xml:space="preserve"> </v>
      </c>
      <c r="H891" s="28" t="str">
        <f>IF($C891=""," ",[1]!i_pq_pctchange($C891,H$6,$N$1))</f>
        <v xml:space="preserve"> </v>
      </c>
      <c r="I891" s="28" t="str">
        <f>IF($C891=""," ",[1]!i_pq_pctchange($C891,I$6,$N$1))</f>
        <v xml:space="preserve"> </v>
      </c>
      <c r="J891" s="28" t="str">
        <f>IF($C891=""," ",[1]!i_pq_pctchange($C891,J$6,$N$1))</f>
        <v xml:space="preserve"> </v>
      </c>
      <c r="K891" s="28" t="str">
        <f>IF($C891=""," ",[1]!i_pq_pctchange($C891,K$6,$N$1))</f>
        <v xml:space="preserve"> </v>
      </c>
      <c r="L891" s="28" t="str">
        <f>IF(C891=""," ",[1]!s_wq_pctchange($C891,$N$1))</f>
        <v xml:space="preserve"> </v>
      </c>
      <c r="M891" s="28" t="str">
        <f>IF(C891=""," ",[1]!s_mq_pctchange($C891,$N$1))</f>
        <v xml:space="preserve"> </v>
      </c>
      <c r="N891" s="28" t="str">
        <f>IF(C891=""," ",[1]!s_yq_pctchange($C891,$N$1))</f>
        <v xml:space="preserve"> </v>
      </c>
      <c r="O891" s="11"/>
      <c r="P891" s="7"/>
    </row>
    <row r="892" spans="1:16" x14ac:dyDescent="0.35">
      <c r="A892" s="7"/>
      <c r="C892" s="31" t="str">
        <f>IF(指数列表!B889="","",指数列表!B889)</f>
        <v/>
      </c>
      <c r="D892" s="36" t="str">
        <f>IF(C892="","",[1]!s_info_name(C892))</f>
        <v/>
      </c>
      <c r="E892" s="25" t="str">
        <f>IF(C892="","",[1]!s_dq_close(C892,$N$1))</f>
        <v/>
      </c>
      <c r="F892" s="28" t="str">
        <f>IF($C892=""," ",[1]!i_pq_pctchange($C892,F$6,$N$1))</f>
        <v xml:space="preserve"> </v>
      </c>
      <c r="G892" s="28" t="str">
        <f>IF($C892=""," ",[1]!i_pq_pctchange($C892,G$6,$N$1))</f>
        <v xml:space="preserve"> </v>
      </c>
      <c r="H892" s="28" t="str">
        <f>IF($C892=""," ",[1]!i_pq_pctchange($C892,H$6,$N$1))</f>
        <v xml:space="preserve"> </v>
      </c>
      <c r="I892" s="28" t="str">
        <f>IF($C892=""," ",[1]!i_pq_pctchange($C892,I$6,$N$1))</f>
        <v xml:space="preserve"> </v>
      </c>
      <c r="J892" s="28" t="str">
        <f>IF($C892=""," ",[1]!i_pq_pctchange($C892,J$6,$N$1))</f>
        <v xml:space="preserve"> </v>
      </c>
      <c r="K892" s="28" t="str">
        <f>IF($C892=""," ",[1]!i_pq_pctchange($C892,K$6,$N$1))</f>
        <v xml:space="preserve"> </v>
      </c>
      <c r="L892" s="28" t="str">
        <f>IF(C892=""," ",[1]!s_wq_pctchange($C892,$N$1))</f>
        <v xml:space="preserve"> </v>
      </c>
      <c r="M892" s="28" t="str">
        <f>IF(C892=""," ",[1]!s_mq_pctchange($C892,$N$1))</f>
        <v xml:space="preserve"> </v>
      </c>
      <c r="N892" s="28" t="str">
        <f>IF(C892=""," ",[1]!s_yq_pctchange($C892,$N$1))</f>
        <v xml:space="preserve"> </v>
      </c>
      <c r="O892" s="11"/>
      <c r="P892" s="7"/>
    </row>
    <row r="893" spans="1:16" x14ac:dyDescent="0.35">
      <c r="A893" s="7"/>
      <c r="C893" s="30" t="str">
        <f>IF(指数列表!B890="","",指数列表!B890)</f>
        <v/>
      </c>
      <c r="D893" s="35" t="str">
        <f>IF(C893="","",[1]!s_info_name(C893))</f>
        <v/>
      </c>
      <c r="E893" s="24" t="str">
        <f>IF(C893="","",[1]!s_dq_close(C893,$N$1))</f>
        <v/>
      </c>
      <c r="F893" s="28" t="str">
        <f>IF($C893=""," ",[1]!i_pq_pctchange($C893,F$6,$N$1))</f>
        <v xml:space="preserve"> </v>
      </c>
      <c r="G893" s="28" t="str">
        <f>IF($C893=""," ",[1]!i_pq_pctchange($C893,G$6,$N$1))</f>
        <v xml:space="preserve"> </v>
      </c>
      <c r="H893" s="28" t="str">
        <f>IF($C893=""," ",[1]!i_pq_pctchange($C893,H$6,$N$1))</f>
        <v xml:space="preserve"> </v>
      </c>
      <c r="I893" s="28" t="str">
        <f>IF($C893=""," ",[1]!i_pq_pctchange($C893,I$6,$N$1))</f>
        <v xml:space="preserve"> </v>
      </c>
      <c r="J893" s="28" t="str">
        <f>IF($C893=""," ",[1]!i_pq_pctchange($C893,J$6,$N$1))</f>
        <v xml:space="preserve"> </v>
      </c>
      <c r="K893" s="28" t="str">
        <f>IF($C893=""," ",[1]!i_pq_pctchange($C893,K$6,$N$1))</f>
        <v xml:space="preserve"> </v>
      </c>
      <c r="L893" s="28" t="str">
        <f>IF(C893=""," ",[1]!s_wq_pctchange($C893,$N$1))</f>
        <v xml:space="preserve"> </v>
      </c>
      <c r="M893" s="28" t="str">
        <f>IF(C893=""," ",[1]!s_mq_pctchange($C893,$N$1))</f>
        <v xml:space="preserve"> </v>
      </c>
      <c r="N893" s="28" t="str">
        <f>IF(C893=""," ",[1]!s_yq_pctchange($C893,$N$1))</f>
        <v xml:space="preserve"> </v>
      </c>
      <c r="O893" s="11"/>
      <c r="P893" s="7"/>
    </row>
    <row r="894" spans="1:16" x14ac:dyDescent="0.35">
      <c r="A894" s="7"/>
      <c r="C894" s="31" t="str">
        <f>IF(指数列表!B891="","",指数列表!B891)</f>
        <v/>
      </c>
      <c r="D894" s="36" t="str">
        <f>IF(C894="","",[1]!s_info_name(C894))</f>
        <v/>
      </c>
      <c r="E894" s="25" t="str">
        <f>IF(C894="","",[1]!s_dq_close(C894,$N$1))</f>
        <v/>
      </c>
      <c r="F894" s="28" t="str">
        <f>IF($C894=""," ",[1]!i_pq_pctchange($C894,F$6,$N$1))</f>
        <v xml:space="preserve"> </v>
      </c>
      <c r="G894" s="28" t="str">
        <f>IF($C894=""," ",[1]!i_pq_pctchange($C894,G$6,$N$1))</f>
        <v xml:space="preserve"> </v>
      </c>
      <c r="H894" s="28" t="str">
        <f>IF($C894=""," ",[1]!i_pq_pctchange($C894,H$6,$N$1))</f>
        <v xml:space="preserve"> </v>
      </c>
      <c r="I894" s="28" t="str">
        <f>IF($C894=""," ",[1]!i_pq_pctchange($C894,I$6,$N$1))</f>
        <v xml:space="preserve"> </v>
      </c>
      <c r="J894" s="28" t="str">
        <f>IF($C894=""," ",[1]!i_pq_pctchange($C894,J$6,$N$1))</f>
        <v xml:space="preserve"> </v>
      </c>
      <c r="K894" s="28" t="str">
        <f>IF($C894=""," ",[1]!i_pq_pctchange($C894,K$6,$N$1))</f>
        <v xml:space="preserve"> </v>
      </c>
      <c r="L894" s="28" t="str">
        <f>IF(C894=""," ",[1]!s_wq_pctchange($C894,$N$1))</f>
        <v xml:space="preserve"> </v>
      </c>
      <c r="M894" s="28" t="str">
        <f>IF(C894=""," ",[1]!s_mq_pctchange($C894,$N$1))</f>
        <v xml:space="preserve"> </v>
      </c>
      <c r="N894" s="28" t="str">
        <f>IF(C894=""," ",[1]!s_yq_pctchange($C894,$N$1))</f>
        <v xml:space="preserve"> </v>
      </c>
      <c r="O894" s="11"/>
      <c r="P894" s="7"/>
    </row>
    <row r="895" spans="1:16" x14ac:dyDescent="0.35">
      <c r="A895" s="7"/>
      <c r="C895" s="30" t="str">
        <f>IF(指数列表!B892="","",指数列表!B892)</f>
        <v/>
      </c>
      <c r="D895" s="35" t="str">
        <f>IF(C895="","",[1]!s_info_name(C895))</f>
        <v/>
      </c>
      <c r="E895" s="24" t="str">
        <f>IF(C895="","",[1]!s_dq_close(C895,$N$1))</f>
        <v/>
      </c>
      <c r="F895" s="28" t="str">
        <f>IF($C895=""," ",[1]!i_pq_pctchange($C895,F$6,$N$1))</f>
        <v xml:space="preserve"> </v>
      </c>
      <c r="G895" s="28" t="str">
        <f>IF($C895=""," ",[1]!i_pq_pctchange($C895,G$6,$N$1))</f>
        <v xml:space="preserve"> </v>
      </c>
      <c r="H895" s="28" t="str">
        <f>IF($C895=""," ",[1]!i_pq_pctchange($C895,H$6,$N$1))</f>
        <v xml:space="preserve"> </v>
      </c>
      <c r="I895" s="28" t="str">
        <f>IF($C895=""," ",[1]!i_pq_pctchange($C895,I$6,$N$1))</f>
        <v xml:space="preserve"> </v>
      </c>
      <c r="J895" s="28" t="str">
        <f>IF($C895=""," ",[1]!i_pq_pctchange($C895,J$6,$N$1))</f>
        <v xml:space="preserve"> </v>
      </c>
      <c r="K895" s="28" t="str">
        <f>IF($C895=""," ",[1]!i_pq_pctchange($C895,K$6,$N$1))</f>
        <v xml:space="preserve"> </v>
      </c>
      <c r="L895" s="28" t="str">
        <f>IF(C895=""," ",[1]!s_wq_pctchange($C895,$N$1))</f>
        <v xml:space="preserve"> </v>
      </c>
      <c r="M895" s="28" t="str">
        <f>IF(C895=""," ",[1]!s_mq_pctchange($C895,$N$1))</f>
        <v xml:space="preserve"> </v>
      </c>
      <c r="N895" s="28" t="str">
        <f>IF(C895=""," ",[1]!s_yq_pctchange($C895,$N$1))</f>
        <v xml:space="preserve"> </v>
      </c>
      <c r="O895" s="11"/>
      <c r="P895" s="7"/>
    </row>
    <row r="896" spans="1:16" x14ac:dyDescent="0.35">
      <c r="A896" s="7"/>
      <c r="C896" s="31" t="str">
        <f>IF(指数列表!B893="","",指数列表!B893)</f>
        <v/>
      </c>
      <c r="D896" s="36" t="str">
        <f>IF(C896="","",[1]!s_info_name(C896))</f>
        <v/>
      </c>
      <c r="E896" s="25" t="str">
        <f>IF(C896="","",[1]!s_dq_close(C896,$N$1))</f>
        <v/>
      </c>
      <c r="F896" s="28" t="str">
        <f>IF($C896=""," ",[1]!i_pq_pctchange($C896,F$6,$N$1))</f>
        <v xml:space="preserve"> </v>
      </c>
      <c r="G896" s="28" t="str">
        <f>IF($C896=""," ",[1]!i_pq_pctchange($C896,G$6,$N$1))</f>
        <v xml:space="preserve"> </v>
      </c>
      <c r="H896" s="28" t="str">
        <f>IF($C896=""," ",[1]!i_pq_pctchange($C896,H$6,$N$1))</f>
        <v xml:space="preserve"> </v>
      </c>
      <c r="I896" s="28" t="str">
        <f>IF($C896=""," ",[1]!i_pq_pctchange($C896,I$6,$N$1))</f>
        <v xml:space="preserve"> </v>
      </c>
      <c r="J896" s="28" t="str">
        <f>IF($C896=""," ",[1]!i_pq_pctchange($C896,J$6,$N$1))</f>
        <v xml:space="preserve"> </v>
      </c>
      <c r="K896" s="28" t="str">
        <f>IF($C896=""," ",[1]!i_pq_pctchange($C896,K$6,$N$1))</f>
        <v xml:space="preserve"> </v>
      </c>
      <c r="L896" s="28" t="str">
        <f>IF(C896=""," ",[1]!s_wq_pctchange($C896,$N$1))</f>
        <v xml:space="preserve"> </v>
      </c>
      <c r="M896" s="28" t="str">
        <f>IF(C896=""," ",[1]!s_mq_pctchange($C896,$N$1))</f>
        <v xml:space="preserve"> </v>
      </c>
      <c r="N896" s="28" t="str">
        <f>IF(C896=""," ",[1]!s_yq_pctchange($C896,$N$1))</f>
        <v xml:space="preserve"> </v>
      </c>
      <c r="O896" s="11"/>
      <c r="P896" s="7"/>
    </row>
    <row r="897" spans="1:16" x14ac:dyDescent="0.35">
      <c r="A897" s="7"/>
      <c r="C897" s="30" t="str">
        <f>IF(指数列表!B894="","",指数列表!B894)</f>
        <v/>
      </c>
      <c r="D897" s="35" t="str">
        <f>IF(C897="","",[1]!s_info_name(C897))</f>
        <v/>
      </c>
      <c r="E897" s="24" t="str">
        <f>IF(C897="","",[1]!s_dq_close(C897,$N$1))</f>
        <v/>
      </c>
      <c r="F897" s="28" t="str">
        <f>IF($C897=""," ",[1]!i_pq_pctchange($C897,F$6,$N$1))</f>
        <v xml:space="preserve"> </v>
      </c>
      <c r="G897" s="28" t="str">
        <f>IF($C897=""," ",[1]!i_pq_pctchange($C897,G$6,$N$1))</f>
        <v xml:space="preserve"> </v>
      </c>
      <c r="H897" s="28" t="str">
        <f>IF($C897=""," ",[1]!i_pq_pctchange($C897,H$6,$N$1))</f>
        <v xml:space="preserve"> </v>
      </c>
      <c r="I897" s="28" t="str">
        <f>IF($C897=""," ",[1]!i_pq_pctchange($C897,I$6,$N$1))</f>
        <v xml:space="preserve"> </v>
      </c>
      <c r="J897" s="28" t="str">
        <f>IF($C897=""," ",[1]!i_pq_pctchange($C897,J$6,$N$1))</f>
        <v xml:space="preserve"> </v>
      </c>
      <c r="K897" s="28" t="str">
        <f>IF($C897=""," ",[1]!i_pq_pctchange($C897,K$6,$N$1))</f>
        <v xml:space="preserve"> </v>
      </c>
      <c r="L897" s="28" t="str">
        <f>IF(C897=""," ",[1]!s_wq_pctchange($C897,$N$1))</f>
        <v xml:space="preserve"> </v>
      </c>
      <c r="M897" s="28" t="str">
        <f>IF(C897=""," ",[1]!s_mq_pctchange($C897,$N$1))</f>
        <v xml:space="preserve"> </v>
      </c>
      <c r="N897" s="28" t="str">
        <f>IF(C897=""," ",[1]!s_yq_pctchange($C897,$N$1))</f>
        <v xml:space="preserve"> </v>
      </c>
      <c r="O897" s="11"/>
      <c r="P897" s="7"/>
    </row>
    <row r="898" spans="1:16" x14ac:dyDescent="0.35">
      <c r="A898" s="7"/>
      <c r="C898" s="31" t="str">
        <f>IF(指数列表!B895="","",指数列表!B895)</f>
        <v/>
      </c>
      <c r="D898" s="36" t="str">
        <f>IF(C898="","",[1]!s_info_name(C898))</f>
        <v/>
      </c>
      <c r="E898" s="25" t="str">
        <f>IF(C898="","",[1]!s_dq_close(C898,$N$1))</f>
        <v/>
      </c>
      <c r="F898" s="28" t="str">
        <f>IF($C898=""," ",[1]!i_pq_pctchange($C898,F$6,$N$1))</f>
        <v xml:space="preserve"> </v>
      </c>
      <c r="G898" s="28" t="str">
        <f>IF($C898=""," ",[1]!i_pq_pctchange($C898,G$6,$N$1))</f>
        <v xml:space="preserve"> </v>
      </c>
      <c r="H898" s="28" t="str">
        <f>IF($C898=""," ",[1]!i_pq_pctchange($C898,H$6,$N$1))</f>
        <v xml:space="preserve"> </v>
      </c>
      <c r="I898" s="28" t="str">
        <f>IF($C898=""," ",[1]!i_pq_pctchange($C898,I$6,$N$1))</f>
        <v xml:space="preserve"> </v>
      </c>
      <c r="J898" s="28" t="str">
        <f>IF($C898=""," ",[1]!i_pq_pctchange($C898,J$6,$N$1))</f>
        <v xml:space="preserve"> </v>
      </c>
      <c r="K898" s="28" t="str">
        <f>IF($C898=""," ",[1]!i_pq_pctchange($C898,K$6,$N$1))</f>
        <v xml:space="preserve"> </v>
      </c>
      <c r="L898" s="28" t="str">
        <f>IF(C898=""," ",[1]!s_wq_pctchange($C898,$N$1))</f>
        <v xml:space="preserve"> </v>
      </c>
      <c r="M898" s="28" t="str">
        <f>IF(C898=""," ",[1]!s_mq_pctchange($C898,$N$1))</f>
        <v xml:space="preserve"> </v>
      </c>
      <c r="N898" s="28" t="str">
        <f>IF(C898=""," ",[1]!s_yq_pctchange($C898,$N$1))</f>
        <v xml:space="preserve"> </v>
      </c>
      <c r="O898" s="11"/>
      <c r="P898" s="7"/>
    </row>
    <row r="899" spans="1:16" x14ac:dyDescent="0.35">
      <c r="A899" s="7"/>
      <c r="C899" s="30" t="str">
        <f>IF(指数列表!B896="","",指数列表!B896)</f>
        <v/>
      </c>
      <c r="D899" s="35" t="str">
        <f>IF(C899="","",[1]!s_info_name(C899))</f>
        <v/>
      </c>
      <c r="E899" s="24" t="str">
        <f>IF(C899="","",[1]!s_dq_close(C899,$N$1))</f>
        <v/>
      </c>
      <c r="F899" s="28" t="str">
        <f>IF($C899=""," ",[1]!i_pq_pctchange($C899,F$6,$N$1))</f>
        <v xml:space="preserve"> </v>
      </c>
      <c r="G899" s="28" t="str">
        <f>IF($C899=""," ",[1]!i_pq_pctchange($C899,G$6,$N$1))</f>
        <v xml:space="preserve"> </v>
      </c>
      <c r="H899" s="28" t="str">
        <f>IF($C899=""," ",[1]!i_pq_pctchange($C899,H$6,$N$1))</f>
        <v xml:space="preserve"> </v>
      </c>
      <c r="I899" s="28" t="str">
        <f>IF($C899=""," ",[1]!i_pq_pctchange($C899,I$6,$N$1))</f>
        <v xml:space="preserve"> </v>
      </c>
      <c r="J899" s="28" t="str">
        <f>IF($C899=""," ",[1]!i_pq_pctchange($C899,J$6,$N$1))</f>
        <v xml:space="preserve"> </v>
      </c>
      <c r="K899" s="28" t="str">
        <f>IF($C899=""," ",[1]!i_pq_pctchange($C899,K$6,$N$1))</f>
        <v xml:space="preserve"> </v>
      </c>
      <c r="L899" s="28" t="str">
        <f>IF(C899=""," ",[1]!s_wq_pctchange($C899,$N$1))</f>
        <v xml:space="preserve"> </v>
      </c>
      <c r="M899" s="28" t="str">
        <f>IF(C899=""," ",[1]!s_mq_pctchange($C899,$N$1))</f>
        <v xml:space="preserve"> </v>
      </c>
      <c r="N899" s="28" t="str">
        <f>IF(C899=""," ",[1]!s_yq_pctchange($C899,$N$1))</f>
        <v xml:space="preserve"> </v>
      </c>
      <c r="O899" s="11"/>
      <c r="P899" s="7"/>
    </row>
    <row r="900" spans="1:16" x14ac:dyDescent="0.35">
      <c r="A900" s="7"/>
      <c r="C900" s="31" t="str">
        <f>IF(指数列表!B897="","",指数列表!B897)</f>
        <v/>
      </c>
      <c r="D900" s="36" t="str">
        <f>IF(C900="","",[1]!s_info_name(C900))</f>
        <v/>
      </c>
      <c r="E900" s="25" t="str">
        <f>IF(C900="","",[1]!s_dq_close(C900,$N$1))</f>
        <v/>
      </c>
      <c r="F900" s="28" t="str">
        <f>IF($C900=""," ",[1]!i_pq_pctchange($C900,F$6,$N$1))</f>
        <v xml:space="preserve"> </v>
      </c>
      <c r="G900" s="28" t="str">
        <f>IF($C900=""," ",[1]!i_pq_pctchange($C900,G$6,$N$1))</f>
        <v xml:space="preserve"> </v>
      </c>
      <c r="H900" s="28" t="str">
        <f>IF($C900=""," ",[1]!i_pq_pctchange($C900,H$6,$N$1))</f>
        <v xml:space="preserve"> </v>
      </c>
      <c r="I900" s="28" t="str">
        <f>IF($C900=""," ",[1]!i_pq_pctchange($C900,I$6,$N$1))</f>
        <v xml:space="preserve"> </v>
      </c>
      <c r="J900" s="28" t="str">
        <f>IF($C900=""," ",[1]!i_pq_pctchange($C900,J$6,$N$1))</f>
        <v xml:space="preserve"> </v>
      </c>
      <c r="K900" s="28" t="str">
        <f>IF($C900=""," ",[1]!i_pq_pctchange($C900,K$6,$N$1))</f>
        <v xml:space="preserve"> </v>
      </c>
      <c r="L900" s="28" t="str">
        <f>IF(C900=""," ",[1]!s_wq_pctchange($C900,$N$1))</f>
        <v xml:space="preserve"> </v>
      </c>
      <c r="M900" s="28" t="str">
        <f>IF(C900=""," ",[1]!s_mq_pctchange($C900,$N$1))</f>
        <v xml:space="preserve"> </v>
      </c>
      <c r="N900" s="28" t="str">
        <f>IF(C900=""," ",[1]!s_yq_pctchange($C900,$N$1))</f>
        <v xml:space="preserve"> </v>
      </c>
      <c r="O900" s="11"/>
      <c r="P900" s="7"/>
    </row>
    <row r="901" spans="1:16" x14ac:dyDescent="0.35">
      <c r="A901" s="7"/>
      <c r="C901" s="30" t="str">
        <f>IF(指数列表!B898="","",指数列表!B898)</f>
        <v/>
      </c>
      <c r="D901" s="35" t="str">
        <f>IF(C901="","",[1]!s_info_name(C901))</f>
        <v/>
      </c>
      <c r="E901" s="24" t="str">
        <f>IF(C901="","",[1]!s_dq_close(C901,$N$1))</f>
        <v/>
      </c>
      <c r="F901" s="28" t="str">
        <f>IF($C901=""," ",[1]!i_pq_pctchange($C901,F$6,$N$1))</f>
        <v xml:space="preserve"> </v>
      </c>
      <c r="G901" s="28" t="str">
        <f>IF($C901=""," ",[1]!i_pq_pctchange($C901,G$6,$N$1))</f>
        <v xml:space="preserve"> </v>
      </c>
      <c r="H901" s="28" t="str">
        <f>IF($C901=""," ",[1]!i_pq_pctchange($C901,H$6,$N$1))</f>
        <v xml:space="preserve"> </v>
      </c>
      <c r="I901" s="28" t="str">
        <f>IF($C901=""," ",[1]!i_pq_pctchange($C901,I$6,$N$1))</f>
        <v xml:space="preserve"> </v>
      </c>
      <c r="J901" s="28" t="str">
        <f>IF($C901=""," ",[1]!i_pq_pctchange($C901,J$6,$N$1))</f>
        <v xml:space="preserve"> </v>
      </c>
      <c r="K901" s="28" t="str">
        <f>IF($C901=""," ",[1]!i_pq_pctchange($C901,K$6,$N$1))</f>
        <v xml:space="preserve"> </v>
      </c>
      <c r="L901" s="28" t="str">
        <f>IF(C901=""," ",[1]!s_wq_pctchange($C901,$N$1))</f>
        <v xml:space="preserve"> </v>
      </c>
      <c r="M901" s="28" t="str">
        <f>IF(C901=""," ",[1]!s_mq_pctchange($C901,$N$1))</f>
        <v xml:space="preserve"> </v>
      </c>
      <c r="N901" s="28" t="str">
        <f>IF(C901=""," ",[1]!s_yq_pctchange($C901,$N$1))</f>
        <v xml:space="preserve"> </v>
      </c>
      <c r="O901" s="11"/>
      <c r="P901" s="7"/>
    </row>
    <row r="902" spans="1:16" x14ac:dyDescent="0.35">
      <c r="A902" s="7"/>
      <c r="C902" s="31" t="str">
        <f>IF(指数列表!B899="","",指数列表!B899)</f>
        <v/>
      </c>
      <c r="D902" s="36" t="str">
        <f>IF(C902="","",[1]!s_info_name(C902))</f>
        <v/>
      </c>
      <c r="E902" s="25" t="str">
        <f>IF(C902="","",[1]!s_dq_close(C902,$N$1))</f>
        <v/>
      </c>
      <c r="F902" s="28" t="str">
        <f>IF($C902=""," ",[1]!i_pq_pctchange($C902,F$6,$N$1))</f>
        <v xml:space="preserve"> </v>
      </c>
      <c r="G902" s="28" t="str">
        <f>IF($C902=""," ",[1]!i_pq_pctchange($C902,G$6,$N$1))</f>
        <v xml:space="preserve"> </v>
      </c>
      <c r="H902" s="28" t="str">
        <f>IF($C902=""," ",[1]!i_pq_pctchange($C902,H$6,$N$1))</f>
        <v xml:space="preserve"> </v>
      </c>
      <c r="I902" s="28" t="str">
        <f>IF($C902=""," ",[1]!i_pq_pctchange($C902,I$6,$N$1))</f>
        <v xml:space="preserve"> </v>
      </c>
      <c r="J902" s="28" t="str">
        <f>IF($C902=""," ",[1]!i_pq_pctchange($C902,J$6,$N$1))</f>
        <v xml:space="preserve"> </v>
      </c>
      <c r="K902" s="28" t="str">
        <f>IF($C902=""," ",[1]!i_pq_pctchange($C902,K$6,$N$1))</f>
        <v xml:space="preserve"> </v>
      </c>
      <c r="L902" s="28" t="str">
        <f>IF(C902=""," ",[1]!s_wq_pctchange($C902,$N$1))</f>
        <v xml:space="preserve"> </v>
      </c>
      <c r="M902" s="28" t="str">
        <f>IF(C902=""," ",[1]!s_mq_pctchange($C902,$N$1))</f>
        <v xml:space="preserve"> </v>
      </c>
      <c r="N902" s="28" t="str">
        <f>IF(C902=""," ",[1]!s_yq_pctchange($C902,$N$1))</f>
        <v xml:space="preserve"> </v>
      </c>
      <c r="O902" s="11"/>
      <c r="P902" s="7"/>
    </row>
    <row r="903" spans="1:16" x14ac:dyDescent="0.35">
      <c r="A903" s="7"/>
      <c r="C903" s="30" t="str">
        <f>IF(指数列表!B900="","",指数列表!B900)</f>
        <v/>
      </c>
      <c r="D903" s="35" t="str">
        <f>IF(C903="","",[1]!s_info_name(C903))</f>
        <v/>
      </c>
      <c r="E903" s="24" t="str">
        <f>IF(C903="","",[1]!s_dq_close(C903,$N$1))</f>
        <v/>
      </c>
      <c r="F903" s="28" t="str">
        <f>IF($C903=""," ",[1]!i_pq_pctchange($C903,F$6,$N$1))</f>
        <v xml:space="preserve"> </v>
      </c>
      <c r="G903" s="28" t="str">
        <f>IF($C903=""," ",[1]!i_pq_pctchange($C903,G$6,$N$1))</f>
        <v xml:space="preserve"> </v>
      </c>
      <c r="H903" s="28" t="str">
        <f>IF($C903=""," ",[1]!i_pq_pctchange($C903,H$6,$N$1))</f>
        <v xml:space="preserve"> </v>
      </c>
      <c r="I903" s="28" t="str">
        <f>IF($C903=""," ",[1]!i_pq_pctchange($C903,I$6,$N$1))</f>
        <v xml:space="preserve"> </v>
      </c>
      <c r="J903" s="28" t="str">
        <f>IF($C903=""," ",[1]!i_pq_pctchange($C903,J$6,$N$1))</f>
        <v xml:space="preserve"> </v>
      </c>
      <c r="K903" s="28" t="str">
        <f>IF($C903=""," ",[1]!i_pq_pctchange($C903,K$6,$N$1))</f>
        <v xml:space="preserve"> </v>
      </c>
      <c r="L903" s="28" t="str">
        <f>IF(C903=""," ",[1]!s_wq_pctchange($C903,$N$1))</f>
        <v xml:space="preserve"> </v>
      </c>
      <c r="M903" s="28" t="str">
        <f>IF(C903=""," ",[1]!s_mq_pctchange($C903,$N$1))</f>
        <v xml:space="preserve"> </v>
      </c>
      <c r="N903" s="28" t="str">
        <f>IF(C903=""," ",[1]!s_yq_pctchange($C903,$N$1))</f>
        <v xml:space="preserve"> </v>
      </c>
      <c r="O903" s="11"/>
      <c r="P903" s="7"/>
    </row>
    <row r="904" spans="1:16" x14ac:dyDescent="0.35">
      <c r="A904" s="7"/>
      <c r="C904" s="31" t="str">
        <f>IF(指数列表!B901="","",指数列表!B901)</f>
        <v/>
      </c>
      <c r="D904" s="36" t="str">
        <f>IF(C904="","",[1]!s_info_name(C904))</f>
        <v/>
      </c>
      <c r="E904" s="25" t="str">
        <f>IF(C904="","",[1]!s_dq_close(C904,$N$1))</f>
        <v/>
      </c>
      <c r="F904" s="28" t="str">
        <f>IF($C904=""," ",[1]!i_pq_pctchange($C904,F$6,$N$1))</f>
        <v xml:space="preserve"> </v>
      </c>
      <c r="G904" s="28" t="str">
        <f>IF($C904=""," ",[1]!i_pq_pctchange($C904,G$6,$N$1))</f>
        <v xml:space="preserve"> </v>
      </c>
      <c r="H904" s="28" t="str">
        <f>IF($C904=""," ",[1]!i_pq_pctchange($C904,H$6,$N$1))</f>
        <v xml:space="preserve"> </v>
      </c>
      <c r="I904" s="28" t="str">
        <f>IF($C904=""," ",[1]!i_pq_pctchange($C904,I$6,$N$1))</f>
        <v xml:space="preserve"> </v>
      </c>
      <c r="J904" s="28" t="str">
        <f>IF($C904=""," ",[1]!i_pq_pctchange($C904,J$6,$N$1))</f>
        <v xml:space="preserve"> </v>
      </c>
      <c r="K904" s="28" t="str">
        <f>IF($C904=""," ",[1]!i_pq_pctchange($C904,K$6,$N$1))</f>
        <v xml:space="preserve"> </v>
      </c>
      <c r="L904" s="28" t="str">
        <f>IF(C904=""," ",[1]!s_wq_pctchange($C904,$N$1))</f>
        <v xml:space="preserve"> </v>
      </c>
      <c r="M904" s="28" t="str">
        <f>IF(C904=""," ",[1]!s_mq_pctchange($C904,$N$1))</f>
        <v xml:space="preserve"> </v>
      </c>
      <c r="N904" s="28" t="str">
        <f>IF(C904=""," ",[1]!s_yq_pctchange($C904,$N$1))</f>
        <v xml:space="preserve"> </v>
      </c>
      <c r="O904" s="11"/>
      <c r="P904" s="7"/>
    </row>
    <row r="905" spans="1:16" x14ac:dyDescent="0.35">
      <c r="A905" s="7"/>
      <c r="C905" s="30" t="str">
        <f>IF(指数列表!B902="","",指数列表!B902)</f>
        <v/>
      </c>
      <c r="D905" s="35" t="str">
        <f>IF(C905="","",[1]!s_info_name(C905))</f>
        <v/>
      </c>
      <c r="E905" s="24" t="str">
        <f>IF(C905="","",[1]!s_dq_close(C905,$N$1))</f>
        <v/>
      </c>
      <c r="F905" s="28" t="str">
        <f>IF($C905=""," ",[1]!i_pq_pctchange($C905,F$6,$N$1))</f>
        <v xml:space="preserve"> </v>
      </c>
      <c r="G905" s="28" t="str">
        <f>IF($C905=""," ",[1]!i_pq_pctchange($C905,G$6,$N$1))</f>
        <v xml:space="preserve"> </v>
      </c>
      <c r="H905" s="28" t="str">
        <f>IF($C905=""," ",[1]!i_pq_pctchange($C905,H$6,$N$1))</f>
        <v xml:space="preserve"> </v>
      </c>
      <c r="I905" s="28" t="str">
        <f>IF($C905=""," ",[1]!i_pq_pctchange($C905,I$6,$N$1))</f>
        <v xml:space="preserve"> </v>
      </c>
      <c r="J905" s="28" t="str">
        <f>IF($C905=""," ",[1]!i_pq_pctchange($C905,J$6,$N$1))</f>
        <v xml:space="preserve"> </v>
      </c>
      <c r="K905" s="28" t="str">
        <f>IF($C905=""," ",[1]!i_pq_pctchange($C905,K$6,$N$1))</f>
        <v xml:space="preserve"> </v>
      </c>
      <c r="L905" s="28" t="str">
        <f>IF(C905=""," ",[1]!s_wq_pctchange($C905,$N$1))</f>
        <v xml:space="preserve"> </v>
      </c>
      <c r="M905" s="28" t="str">
        <f>IF(C905=""," ",[1]!s_mq_pctchange($C905,$N$1))</f>
        <v xml:space="preserve"> </v>
      </c>
      <c r="N905" s="28" t="str">
        <f>IF(C905=""," ",[1]!s_yq_pctchange($C905,$N$1))</f>
        <v xml:space="preserve"> </v>
      </c>
      <c r="O905" s="11"/>
      <c r="P905" s="7"/>
    </row>
    <row r="906" spans="1:16" x14ac:dyDescent="0.35">
      <c r="A906" s="7"/>
      <c r="C906" s="31" t="str">
        <f>IF(指数列表!B903="","",指数列表!B903)</f>
        <v/>
      </c>
      <c r="D906" s="36" t="str">
        <f>IF(C906="","",[1]!s_info_name(C906))</f>
        <v/>
      </c>
      <c r="E906" s="25" t="str">
        <f>IF(C906="","",[1]!s_dq_close(C906,$N$1))</f>
        <v/>
      </c>
      <c r="F906" s="28" t="str">
        <f>IF($C906=""," ",[1]!i_pq_pctchange($C906,F$6,$N$1))</f>
        <v xml:space="preserve"> </v>
      </c>
      <c r="G906" s="28" t="str">
        <f>IF($C906=""," ",[1]!i_pq_pctchange($C906,G$6,$N$1))</f>
        <v xml:space="preserve"> </v>
      </c>
      <c r="H906" s="28" t="str">
        <f>IF($C906=""," ",[1]!i_pq_pctchange($C906,H$6,$N$1))</f>
        <v xml:space="preserve"> </v>
      </c>
      <c r="I906" s="28" t="str">
        <f>IF($C906=""," ",[1]!i_pq_pctchange($C906,I$6,$N$1))</f>
        <v xml:space="preserve"> </v>
      </c>
      <c r="J906" s="28" t="str">
        <f>IF($C906=""," ",[1]!i_pq_pctchange($C906,J$6,$N$1))</f>
        <v xml:space="preserve"> </v>
      </c>
      <c r="K906" s="28" t="str">
        <f>IF($C906=""," ",[1]!i_pq_pctchange($C906,K$6,$N$1))</f>
        <v xml:space="preserve"> </v>
      </c>
      <c r="L906" s="28" t="str">
        <f>IF(C906=""," ",[1]!s_wq_pctchange($C906,$N$1))</f>
        <v xml:space="preserve"> </v>
      </c>
      <c r="M906" s="28" t="str">
        <f>IF(C906=""," ",[1]!s_mq_pctchange($C906,$N$1))</f>
        <v xml:space="preserve"> </v>
      </c>
      <c r="N906" s="28" t="str">
        <f>IF(C906=""," ",[1]!s_yq_pctchange($C906,$N$1))</f>
        <v xml:space="preserve"> </v>
      </c>
      <c r="O906" s="11"/>
      <c r="P906" s="7"/>
    </row>
    <row r="907" spans="1:16" x14ac:dyDescent="0.35">
      <c r="A907" s="7"/>
      <c r="C907" s="30" t="str">
        <f>IF(指数列表!B904="","",指数列表!B904)</f>
        <v/>
      </c>
      <c r="D907" s="35" t="str">
        <f>IF(C907="","",[1]!s_info_name(C907))</f>
        <v/>
      </c>
      <c r="E907" s="24" t="str">
        <f>IF(C907="","",[1]!s_dq_close(C907,$N$1))</f>
        <v/>
      </c>
      <c r="F907" s="28" t="str">
        <f>IF($C907=""," ",[1]!i_pq_pctchange($C907,F$6,$N$1))</f>
        <v xml:space="preserve"> </v>
      </c>
      <c r="G907" s="28" t="str">
        <f>IF($C907=""," ",[1]!i_pq_pctchange($C907,G$6,$N$1))</f>
        <v xml:space="preserve"> </v>
      </c>
      <c r="H907" s="28" t="str">
        <f>IF($C907=""," ",[1]!i_pq_pctchange($C907,H$6,$N$1))</f>
        <v xml:space="preserve"> </v>
      </c>
      <c r="I907" s="28" t="str">
        <f>IF($C907=""," ",[1]!i_pq_pctchange($C907,I$6,$N$1))</f>
        <v xml:space="preserve"> </v>
      </c>
      <c r="J907" s="28" t="str">
        <f>IF($C907=""," ",[1]!i_pq_pctchange($C907,J$6,$N$1))</f>
        <v xml:space="preserve"> </v>
      </c>
      <c r="K907" s="28" t="str">
        <f>IF($C907=""," ",[1]!i_pq_pctchange($C907,K$6,$N$1))</f>
        <v xml:space="preserve"> </v>
      </c>
      <c r="L907" s="28" t="str">
        <f>IF(C907=""," ",[1]!s_wq_pctchange($C907,$N$1))</f>
        <v xml:space="preserve"> </v>
      </c>
      <c r="M907" s="28" t="str">
        <f>IF(C907=""," ",[1]!s_mq_pctchange($C907,$N$1))</f>
        <v xml:space="preserve"> </v>
      </c>
      <c r="N907" s="28" t="str">
        <f>IF(C907=""," ",[1]!s_yq_pctchange($C907,$N$1))</f>
        <v xml:space="preserve"> </v>
      </c>
      <c r="O907" s="11"/>
      <c r="P907" s="7"/>
    </row>
    <row r="908" spans="1:16" x14ac:dyDescent="0.35">
      <c r="A908" s="7"/>
      <c r="C908" s="31" t="str">
        <f>IF(指数列表!B905="","",指数列表!B905)</f>
        <v/>
      </c>
      <c r="D908" s="36" t="str">
        <f>IF(C908="","",[1]!s_info_name(C908))</f>
        <v/>
      </c>
      <c r="E908" s="25" t="str">
        <f>IF(C908="","",[1]!s_dq_close(C908,$N$1))</f>
        <v/>
      </c>
      <c r="F908" s="28" t="str">
        <f>IF($C908=""," ",[1]!i_pq_pctchange($C908,F$6,$N$1))</f>
        <v xml:space="preserve"> </v>
      </c>
      <c r="G908" s="28" t="str">
        <f>IF($C908=""," ",[1]!i_pq_pctchange($C908,G$6,$N$1))</f>
        <v xml:space="preserve"> </v>
      </c>
      <c r="H908" s="28" t="str">
        <f>IF($C908=""," ",[1]!i_pq_pctchange($C908,H$6,$N$1))</f>
        <v xml:space="preserve"> </v>
      </c>
      <c r="I908" s="28" t="str">
        <f>IF($C908=""," ",[1]!i_pq_pctchange($C908,I$6,$N$1))</f>
        <v xml:space="preserve"> </v>
      </c>
      <c r="J908" s="28" t="str">
        <f>IF($C908=""," ",[1]!i_pq_pctchange($C908,J$6,$N$1))</f>
        <v xml:space="preserve"> </v>
      </c>
      <c r="K908" s="28" t="str">
        <f>IF($C908=""," ",[1]!i_pq_pctchange($C908,K$6,$N$1))</f>
        <v xml:space="preserve"> </v>
      </c>
      <c r="L908" s="28" t="str">
        <f>IF(C908=""," ",[1]!s_wq_pctchange($C908,$N$1))</f>
        <v xml:space="preserve"> </v>
      </c>
      <c r="M908" s="28" t="str">
        <f>IF(C908=""," ",[1]!s_mq_pctchange($C908,$N$1))</f>
        <v xml:space="preserve"> </v>
      </c>
      <c r="N908" s="28" t="str">
        <f>IF(C908=""," ",[1]!s_yq_pctchange($C908,$N$1))</f>
        <v xml:space="preserve"> </v>
      </c>
      <c r="O908" s="11"/>
      <c r="P908" s="7"/>
    </row>
    <row r="909" spans="1:16" x14ac:dyDescent="0.35">
      <c r="A909" s="7"/>
      <c r="C909" s="30" t="str">
        <f>IF(指数列表!B906="","",指数列表!B906)</f>
        <v/>
      </c>
      <c r="D909" s="35" t="str">
        <f>IF(C909="","",[1]!s_info_name(C909))</f>
        <v/>
      </c>
      <c r="E909" s="24" t="str">
        <f>IF(C909="","",[1]!s_dq_close(C909,$N$1))</f>
        <v/>
      </c>
      <c r="F909" s="28" t="str">
        <f>IF($C909=""," ",[1]!i_pq_pctchange($C909,F$6,$N$1))</f>
        <v xml:space="preserve"> </v>
      </c>
      <c r="G909" s="28" t="str">
        <f>IF($C909=""," ",[1]!i_pq_pctchange($C909,G$6,$N$1))</f>
        <v xml:space="preserve"> </v>
      </c>
      <c r="H909" s="28" t="str">
        <f>IF($C909=""," ",[1]!i_pq_pctchange($C909,H$6,$N$1))</f>
        <v xml:space="preserve"> </v>
      </c>
      <c r="I909" s="28" t="str">
        <f>IF($C909=""," ",[1]!i_pq_pctchange($C909,I$6,$N$1))</f>
        <v xml:space="preserve"> </v>
      </c>
      <c r="J909" s="28" t="str">
        <f>IF($C909=""," ",[1]!i_pq_pctchange($C909,J$6,$N$1))</f>
        <v xml:space="preserve"> </v>
      </c>
      <c r="K909" s="28" t="str">
        <f>IF($C909=""," ",[1]!i_pq_pctchange($C909,K$6,$N$1))</f>
        <v xml:space="preserve"> </v>
      </c>
      <c r="L909" s="28" t="str">
        <f>IF(C909=""," ",[1]!s_wq_pctchange($C909,$N$1))</f>
        <v xml:space="preserve"> </v>
      </c>
      <c r="M909" s="28" t="str">
        <f>IF(C909=""," ",[1]!s_mq_pctchange($C909,$N$1))</f>
        <v xml:space="preserve"> </v>
      </c>
      <c r="N909" s="28" t="str">
        <f>IF(C909=""," ",[1]!s_yq_pctchange($C909,$N$1))</f>
        <v xml:space="preserve"> </v>
      </c>
      <c r="O909" s="11"/>
      <c r="P909" s="7"/>
    </row>
    <row r="910" spans="1:16" x14ac:dyDescent="0.35">
      <c r="A910" s="7"/>
      <c r="C910" s="31" t="str">
        <f>IF(指数列表!B907="","",指数列表!B907)</f>
        <v/>
      </c>
      <c r="D910" s="36" t="str">
        <f>IF(C910="","",[1]!s_info_name(C910))</f>
        <v/>
      </c>
      <c r="E910" s="25" t="str">
        <f>IF(C910="","",[1]!s_dq_close(C910,$N$1))</f>
        <v/>
      </c>
      <c r="F910" s="28" t="str">
        <f>IF($C910=""," ",[1]!i_pq_pctchange($C910,F$6,$N$1))</f>
        <v xml:space="preserve"> </v>
      </c>
      <c r="G910" s="28" t="str">
        <f>IF($C910=""," ",[1]!i_pq_pctchange($C910,G$6,$N$1))</f>
        <v xml:space="preserve"> </v>
      </c>
      <c r="H910" s="28" t="str">
        <f>IF($C910=""," ",[1]!i_pq_pctchange($C910,H$6,$N$1))</f>
        <v xml:space="preserve"> </v>
      </c>
      <c r="I910" s="28" t="str">
        <f>IF($C910=""," ",[1]!i_pq_pctchange($C910,I$6,$N$1))</f>
        <v xml:space="preserve"> </v>
      </c>
      <c r="J910" s="28" t="str">
        <f>IF($C910=""," ",[1]!i_pq_pctchange($C910,J$6,$N$1))</f>
        <v xml:space="preserve"> </v>
      </c>
      <c r="K910" s="28" t="str">
        <f>IF($C910=""," ",[1]!i_pq_pctchange($C910,K$6,$N$1))</f>
        <v xml:space="preserve"> </v>
      </c>
      <c r="L910" s="28" t="str">
        <f>IF(C910=""," ",[1]!s_wq_pctchange($C910,$N$1))</f>
        <v xml:space="preserve"> </v>
      </c>
      <c r="M910" s="28" t="str">
        <f>IF(C910=""," ",[1]!s_mq_pctchange($C910,$N$1))</f>
        <v xml:space="preserve"> </v>
      </c>
      <c r="N910" s="28" t="str">
        <f>IF(C910=""," ",[1]!s_yq_pctchange($C910,$N$1))</f>
        <v xml:space="preserve"> </v>
      </c>
      <c r="O910" s="11"/>
      <c r="P910" s="7"/>
    </row>
    <row r="911" spans="1:16" x14ac:dyDescent="0.35">
      <c r="A911" s="7"/>
      <c r="C911" s="30" t="str">
        <f>IF(指数列表!B908="","",指数列表!B908)</f>
        <v/>
      </c>
      <c r="D911" s="35" t="str">
        <f>IF(C911="","",[1]!s_info_name(C911))</f>
        <v/>
      </c>
      <c r="E911" s="24" t="str">
        <f>IF(C911="","",[1]!s_dq_close(C911,$N$1))</f>
        <v/>
      </c>
      <c r="F911" s="28" t="str">
        <f>IF($C911=""," ",[1]!i_pq_pctchange($C911,F$6,$N$1))</f>
        <v xml:space="preserve"> </v>
      </c>
      <c r="G911" s="28" t="str">
        <f>IF($C911=""," ",[1]!i_pq_pctchange($C911,G$6,$N$1))</f>
        <v xml:space="preserve"> </v>
      </c>
      <c r="H911" s="28" t="str">
        <f>IF($C911=""," ",[1]!i_pq_pctchange($C911,H$6,$N$1))</f>
        <v xml:space="preserve"> </v>
      </c>
      <c r="I911" s="28" t="str">
        <f>IF($C911=""," ",[1]!i_pq_pctchange($C911,I$6,$N$1))</f>
        <v xml:space="preserve"> </v>
      </c>
      <c r="J911" s="28" t="str">
        <f>IF($C911=""," ",[1]!i_pq_pctchange($C911,J$6,$N$1))</f>
        <v xml:space="preserve"> </v>
      </c>
      <c r="K911" s="28" t="str">
        <f>IF($C911=""," ",[1]!i_pq_pctchange($C911,K$6,$N$1))</f>
        <v xml:space="preserve"> </v>
      </c>
      <c r="L911" s="28" t="str">
        <f>IF(C911=""," ",[1]!s_wq_pctchange($C911,$N$1))</f>
        <v xml:space="preserve"> </v>
      </c>
      <c r="M911" s="28" t="str">
        <f>IF(C911=""," ",[1]!s_mq_pctchange($C911,$N$1))</f>
        <v xml:space="preserve"> </v>
      </c>
      <c r="N911" s="28" t="str">
        <f>IF(C911=""," ",[1]!s_yq_pctchange($C911,$N$1))</f>
        <v xml:space="preserve"> </v>
      </c>
      <c r="O911" s="11"/>
      <c r="P911" s="7"/>
    </row>
    <row r="912" spans="1:16" x14ac:dyDescent="0.35">
      <c r="A912" s="7"/>
      <c r="C912" s="31" t="str">
        <f>IF(指数列表!B909="","",指数列表!B909)</f>
        <v/>
      </c>
      <c r="D912" s="36" t="str">
        <f>IF(C912="","",[1]!s_info_name(C912))</f>
        <v/>
      </c>
      <c r="E912" s="25" t="str">
        <f>IF(C912="","",[1]!s_dq_close(C912,$N$1))</f>
        <v/>
      </c>
      <c r="F912" s="28" t="str">
        <f>IF($C912=""," ",[1]!i_pq_pctchange($C912,F$6,$N$1))</f>
        <v xml:space="preserve"> </v>
      </c>
      <c r="G912" s="28" t="str">
        <f>IF($C912=""," ",[1]!i_pq_pctchange($C912,G$6,$N$1))</f>
        <v xml:space="preserve"> </v>
      </c>
      <c r="H912" s="28" t="str">
        <f>IF($C912=""," ",[1]!i_pq_pctchange($C912,H$6,$N$1))</f>
        <v xml:space="preserve"> </v>
      </c>
      <c r="I912" s="28" t="str">
        <f>IF($C912=""," ",[1]!i_pq_pctchange($C912,I$6,$N$1))</f>
        <v xml:space="preserve"> </v>
      </c>
      <c r="J912" s="28" t="str">
        <f>IF($C912=""," ",[1]!i_pq_pctchange($C912,J$6,$N$1))</f>
        <v xml:space="preserve"> </v>
      </c>
      <c r="K912" s="28" t="str">
        <f>IF($C912=""," ",[1]!i_pq_pctchange($C912,K$6,$N$1))</f>
        <v xml:space="preserve"> </v>
      </c>
      <c r="L912" s="28" t="str">
        <f>IF(C912=""," ",[1]!s_wq_pctchange($C912,$N$1))</f>
        <v xml:space="preserve"> </v>
      </c>
      <c r="M912" s="28" t="str">
        <f>IF(C912=""," ",[1]!s_mq_pctchange($C912,$N$1))</f>
        <v xml:space="preserve"> </v>
      </c>
      <c r="N912" s="28" t="str">
        <f>IF(C912=""," ",[1]!s_yq_pctchange($C912,$N$1))</f>
        <v xml:space="preserve"> </v>
      </c>
      <c r="O912" s="11"/>
      <c r="P912" s="7"/>
    </row>
    <row r="913" spans="1:16" x14ac:dyDescent="0.35">
      <c r="A913" s="7"/>
      <c r="C913" s="30" t="str">
        <f>IF(指数列表!B910="","",指数列表!B910)</f>
        <v/>
      </c>
      <c r="D913" s="35" t="str">
        <f>IF(C913="","",[1]!s_info_name(C913))</f>
        <v/>
      </c>
      <c r="E913" s="24" t="str">
        <f>IF(C913="","",[1]!s_dq_close(C913,$N$1))</f>
        <v/>
      </c>
      <c r="F913" s="28" t="str">
        <f>IF($C913=""," ",[1]!i_pq_pctchange($C913,F$6,$N$1))</f>
        <v xml:space="preserve"> </v>
      </c>
      <c r="G913" s="28" t="str">
        <f>IF($C913=""," ",[1]!i_pq_pctchange($C913,G$6,$N$1))</f>
        <v xml:space="preserve"> </v>
      </c>
      <c r="H913" s="28" t="str">
        <f>IF($C913=""," ",[1]!i_pq_pctchange($C913,H$6,$N$1))</f>
        <v xml:space="preserve"> </v>
      </c>
      <c r="I913" s="28" t="str">
        <f>IF($C913=""," ",[1]!i_pq_pctchange($C913,I$6,$N$1))</f>
        <v xml:space="preserve"> </v>
      </c>
      <c r="J913" s="28" t="str">
        <f>IF($C913=""," ",[1]!i_pq_pctchange($C913,J$6,$N$1))</f>
        <v xml:space="preserve"> </v>
      </c>
      <c r="K913" s="28" t="str">
        <f>IF($C913=""," ",[1]!i_pq_pctchange($C913,K$6,$N$1))</f>
        <v xml:space="preserve"> </v>
      </c>
      <c r="L913" s="28" t="str">
        <f>IF(C913=""," ",[1]!s_wq_pctchange($C913,$N$1))</f>
        <v xml:space="preserve"> </v>
      </c>
      <c r="M913" s="28" t="str">
        <f>IF(C913=""," ",[1]!s_mq_pctchange($C913,$N$1))</f>
        <v xml:space="preserve"> </v>
      </c>
      <c r="N913" s="28" t="str">
        <f>IF(C913=""," ",[1]!s_yq_pctchange($C913,$N$1))</f>
        <v xml:space="preserve"> </v>
      </c>
      <c r="O913" s="11"/>
      <c r="P913" s="7"/>
    </row>
    <row r="914" spans="1:16" x14ac:dyDescent="0.35">
      <c r="A914" s="7"/>
      <c r="C914" s="31" t="str">
        <f>IF(指数列表!B911="","",指数列表!B911)</f>
        <v/>
      </c>
      <c r="D914" s="36" t="str">
        <f>IF(C914="","",[1]!s_info_name(C914))</f>
        <v/>
      </c>
      <c r="E914" s="25" t="str">
        <f>IF(C914="","",[1]!s_dq_close(C914,$N$1))</f>
        <v/>
      </c>
      <c r="F914" s="28" t="str">
        <f>IF($C914=""," ",[1]!i_pq_pctchange($C914,F$6,$N$1))</f>
        <v xml:space="preserve"> </v>
      </c>
      <c r="G914" s="28" t="str">
        <f>IF($C914=""," ",[1]!i_pq_pctchange($C914,G$6,$N$1))</f>
        <v xml:space="preserve"> </v>
      </c>
      <c r="H914" s="28" t="str">
        <f>IF($C914=""," ",[1]!i_pq_pctchange($C914,H$6,$N$1))</f>
        <v xml:space="preserve"> </v>
      </c>
      <c r="I914" s="28" t="str">
        <f>IF($C914=""," ",[1]!i_pq_pctchange($C914,I$6,$N$1))</f>
        <v xml:space="preserve"> </v>
      </c>
      <c r="J914" s="28" t="str">
        <f>IF($C914=""," ",[1]!i_pq_pctchange($C914,J$6,$N$1))</f>
        <v xml:space="preserve"> </v>
      </c>
      <c r="K914" s="28" t="str">
        <f>IF($C914=""," ",[1]!i_pq_pctchange($C914,K$6,$N$1))</f>
        <v xml:space="preserve"> </v>
      </c>
      <c r="L914" s="28" t="str">
        <f>IF(C914=""," ",[1]!s_wq_pctchange($C914,$N$1))</f>
        <v xml:space="preserve"> </v>
      </c>
      <c r="M914" s="28" t="str">
        <f>IF(C914=""," ",[1]!s_mq_pctchange($C914,$N$1))</f>
        <v xml:space="preserve"> </v>
      </c>
      <c r="N914" s="28" t="str">
        <f>IF(C914=""," ",[1]!s_yq_pctchange($C914,$N$1))</f>
        <v xml:space="preserve"> </v>
      </c>
      <c r="O914" s="11"/>
      <c r="P914" s="7"/>
    </row>
    <row r="915" spans="1:16" x14ac:dyDescent="0.35">
      <c r="A915" s="7"/>
      <c r="C915" s="30" t="str">
        <f>IF(指数列表!B912="","",指数列表!B912)</f>
        <v/>
      </c>
      <c r="D915" s="35" t="str">
        <f>IF(C915="","",[1]!s_info_name(C915))</f>
        <v/>
      </c>
      <c r="E915" s="24" t="str">
        <f>IF(C915="","",[1]!s_dq_close(C915,$N$1))</f>
        <v/>
      </c>
      <c r="F915" s="28" t="str">
        <f>IF($C915=""," ",[1]!i_pq_pctchange($C915,F$6,$N$1))</f>
        <v xml:space="preserve"> </v>
      </c>
      <c r="G915" s="28" t="str">
        <f>IF($C915=""," ",[1]!i_pq_pctchange($C915,G$6,$N$1))</f>
        <v xml:space="preserve"> </v>
      </c>
      <c r="H915" s="28" t="str">
        <f>IF($C915=""," ",[1]!i_pq_pctchange($C915,H$6,$N$1))</f>
        <v xml:space="preserve"> </v>
      </c>
      <c r="I915" s="28" t="str">
        <f>IF($C915=""," ",[1]!i_pq_pctchange($C915,I$6,$N$1))</f>
        <v xml:space="preserve"> </v>
      </c>
      <c r="J915" s="28" t="str">
        <f>IF($C915=""," ",[1]!i_pq_pctchange($C915,J$6,$N$1))</f>
        <v xml:space="preserve"> </v>
      </c>
      <c r="K915" s="28" t="str">
        <f>IF($C915=""," ",[1]!i_pq_pctchange($C915,K$6,$N$1))</f>
        <v xml:space="preserve"> </v>
      </c>
      <c r="L915" s="28" t="str">
        <f>IF(C915=""," ",[1]!s_wq_pctchange($C915,$N$1))</f>
        <v xml:space="preserve"> </v>
      </c>
      <c r="M915" s="28" t="str">
        <f>IF(C915=""," ",[1]!s_mq_pctchange($C915,$N$1))</f>
        <v xml:space="preserve"> </v>
      </c>
      <c r="N915" s="28" t="str">
        <f>IF(C915=""," ",[1]!s_yq_pctchange($C915,$N$1))</f>
        <v xml:space="preserve"> </v>
      </c>
      <c r="O915" s="11"/>
      <c r="P915" s="7"/>
    </row>
    <row r="916" spans="1:16" x14ac:dyDescent="0.35">
      <c r="A916" s="7"/>
      <c r="C916" s="31" t="str">
        <f>IF(指数列表!B913="","",指数列表!B913)</f>
        <v/>
      </c>
      <c r="D916" s="36" t="str">
        <f>IF(C916="","",[1]!s_info_name(C916))</f>
        <v/>
      </c>
      <c r="E916" s="25" t="str">
        <f>IF(C916="","",[1]!s_dq_close(C916,$N$1))</f>
        <v/>
      </c>
      <c r="F916" s="28" t="str">
        <f>IF($C916=""," ",[1]!i_pq_pctchange($C916,F$6,$N$1))</f>
        <v xml:space="preserve"> </v>
      </c>
      <c r="G916" s="28" t="str">
        <f>IF($C916=""," ",[1]!i_pq_pctchange($C916,G$6,$N$1))</f>
        <v xml:space="preserve"> </v>
      </c>
      <c r="H916" s="28" t="str">
        <f>IF($C916=""," ",[1]!i_pq_pctchange($C916,H$6,$N$1))</f>
        <v xml:space="preserve"> </v>
      </c>
      <c r="I916" s="28" t="str">
        <f>IF($C916=""," ",[1]!i_pq_pctchange($C916,I$6,$N$1))</f>
        <v xml:space="preserve"> </v>
      </c>
      <c r="J916" s="28" t="str">
        <f>IF($C916=""," ",[1]!i_pq_pctchange($C916,J$6,$N$1))</f>
        <v xml:space="preserve"> </v>
      </c>
      <c r="K916" s="28" t="str">
        <f>IF($C916=""," ",[1]!i_pq_pctchange($C916,K$6,$N$1))</f>
        <v xml:space="preserve"> </v>
      </c>
      <c r="L916" s="28" t="str">
        <f>IF(C916=""," ",[1]!s_wq_pctchange($C916,$N$1))</f>
        <v xml:space="preserve"> </v>
      </c>
      <c r="M916" s="28" t="str">
        <f>IF(C916=""," ",[1]!s_mq_pctchange($C916,$N$1))</f>
        <v xml:space="preserve"> </v>
      </c>
      <c r="N916" s="28" t="str">
        <f>IF(C916=""," ",[1]!s_yq_pctchange($C916,$N$1))</f>
        <v xml:space="preserve"> </v>
      </c>
      <c r="O916" s="11"/>
      <c r="P916" s="7"/>
    </row>
    <row r="917" spans="1:16" x14ac:dyDescent="0.35">
      <c r="A917" s="7"/>
      <c r="C917" s="30" t="str">
        <f>IF(指数列表!B914="","",指数列表!B914)</f>
        <v/>
      </c>
      <c r="D917" s="35" t="str">
        <f>IF(C917="","",[1]!s_info_name(C917))</f>
        <v/>
      </c>
      <c r="E917" s="24" t="str">
        <f>IF(C917="","",[1]!s_dq_close(C917,$N$1))</f>
        <v/>
      </c>
      <c r="F917" s="28" t="str">
        <f>IF($C917=""," ",[1]!i_pq_pctchange($C917,F$6,$N$1))</f>
        <v xml:space="preserve"> </v>
      </c>
      <c r="G917" s="28" t="str">
        <f>IF($C917=""," ",[1]!i_pq_pctchange($C917,G$6,$N$1))</f>
        <v xml:space="preserve"> </v>
      </c>
      <c r="H917" s="28" t="str">
        <f>IF($C917=""," ",[1]!i_pq_pctchange($C917,H$6,$N$1))</f>
        <v xml:space="preserve"> </v>
      </c>
      <c r="I917" s="28" t="str">
        <f>IF($C917=""," ",[1]!i_pq_pctchange($C917,I$6,$N$1))</f>
        <v xml:space="preserve"> </v>
      </c>
      <c r="J917" s="28" t="str">
        <f>IF($C917=""," ",[1]!i_pq_pctchange($C917,J$6,$N$1))</f>
        <v xml:space="preserve"> </v>
      </c>
      <c r="K917" s="28" t="str">
        <f>IF($C917=""," ",[1]!i_pq_pctchange($C917,K$6,$N$1))</f>
        <v xml:space="preserve"> </v>
      </c>
      <c r="L917" s="28" t="str">
        <f>IF(C917=""," ",[1]!s_wq_pctchange($C917,$N$1))</f>
        <v xml:space="preserve"> </v>
      </c>
      <c r="M917" s="28" t="str">
        <f>IF(C917=""," ",[1]!s_mq_pctchange($C917,$N$1))</f>
        <v xml:space="preserve"> </v>
      </c>
      <c r="N917" s="28" t="str">
        <f>IF(C917=""," ",[1]!s_yq_pctchange($C917,$N$1))</f>
        <v xml:space="preserve"> </v>
      </c>
      <c r="O917" s="11"/>
      <c r="P917" s="7"/>
    </row>
    <row r="918" spans="1:16" x14ac:dyDescent="0.35">
      <c r="A918" s="7"/>
      <c r="C918" s="31" t="str">
        <f>IF(指数列表!B915="","",指数列表!B915)</f>
        <v/>
      </c>
      <c r="D918" s="36" t="str">
        <f>IF(C918="","",[1]!s_info_name(C918))</f>
        <v/>
      </c>
      <c r="E918" s="25" t="str">
        <f>IF(C918="","",[1]!s_dq_close(C918,$N$1))</f>
        <v/>
      </c>
      <c r="F918" s="28" t="str">
        <f>IF($C918=""," ",[1]!i_pq_pctchange($C918,F$6,$N$1))</f>
        <v xml:space="preserve"> </v>
      </c>
      <c r="G918" s="28" t="str">
        <f>IF($C918=""," ",[1]!i_pq_pctchange($C918,G$6,$N$1))</f>
        <v xml:space="preserve"> </v>
      </c>
      <c r="H918" s="28" t="str">
        <f>IF($C918=""," ",[1]!i_pq_pctchange($C918,H$6,$N$1))</f>
        <v xml:space="preserve"> </v>
      </c>
      <c r="I918" s="28" t="str">
        <f>IF($C918=""," ",[1]!i_pq_pctchange($C918,I$6,$N$1))</f>
        <v xml:space="preserve"> </v>
      </c>
      <c r="J918" s="28" t="str">
        <f>IF($C918=""," ",[1]!i_pq_pctchange($C918,J$6,$N$1))</f>
        <v xml:space="preserve"> </v>
      </c>
      <c r="K918" s="28" t="str">
        <f>IF($C918=""," ",[1]!i_pq_pctchange($C918,K$6,$N$1))</f>
        <v xml:space="preserve"> </v>
      </c>
      <c r="L918" s="28" t="str">
        <f>IF(C918=""," ",[1]!s_wq_pctchange($C918,$N$1))</f>
        <v xml:space="preserve"> </v>
      </c>
      <c r="M918" s="28" t="str">
        <f>IF(C918=""," ",[1]!s_mq_pctchange($C918,$N$1))</f>
        <v xml:space="preserve"> </v>
      </c>
      <c r="N918" s="28" t="str">
        <f>IF(C918=""," ",[1]!s_yq_pctchange($C918,$N$1))</f>
        <v xml:space="preserve"> </v>
      </c>
      <c r="O918" s="11"/>
      <c r="P918" s="7"/>
    </row>
    <row r="919" spans="1:16" x14ac:dyDescent="0.35">
      <c r="A919" s="7"/>
      <c r="C919" s="30" t="str">
        <f>IF(指数列表!B916="","",指数列表!B916)</f>
        <v/>
      </c>
      <c r="D919" s="35" t="str">
        <f>IF(C919="","",[1]!s_info_name(C919))</f>
        <v/>
      </c>
      <c r="E919" s="24" t="str">
        <f>IF(C919="","",[1]!s_dq_close(C919,$N$1))</f>
        <v/>
      </c>
      <c r="F919" s="28" t="str">
        <f>IF($C919=""," ",[1]!i_pq_pctchange($C919,F$6,$N$1))</f>
        <v xml:space="preserve"> </v>
      </c>
      <c r="G919" s="28" t="str">
        <f>IF($C919=""," ",[1]!i_pq_pctchange($C919,G$6,$N$1))</f>
        <v xml:space="preserve"> </v>
      </c>
      <c r="H919" s="28" t="str">
        <f>IF($C919=""," ",[1]!i_pq_pctchange($C919,H$6,$N$1))</f>
        <v xml:space="preserve"> </v>
      </c>
      <c r="I919" s="28" t="str">
        <f>IF($C919=""," ",[1]!i_pq_pctchange($C919,I$6,$N$1))</f>
        <v xml:space="preserve"> </v>
      </c>
      <c r="J919" s="28" t="str">
        <f>IF($C919=""," ",[1]!i_pq_pctchange($C919,J$6,$N$1))</f>
        <v xml:space="preserve"> </v>
      </c>
      <c r="K919" s="28" t="str">
        <f>IF($C919=""," ",[1]!i_pq_pctchange($C919,K$6,$N$1))</f>
        <v xml:space="preserve"> </v>
      </c>
      <c r="L919" s="28" t="str">
        <f>IF(C919=""," ",[1]!s_wq_pctchange($C919,$N$1))</f>
        <v xml:space="preserve"> </v>
      </c>
      <c r="M919" s="28" t="str">
        <f>IF(C919=""," ",[1]!s_mq_pctchange($C919,$N$1))</f>
        <v xml:space="preserve"> </v>
      </c>
      <c r="N919" s="28" t="str">
        <f>IF(C919=""," ",[1]!s_yq_pctchange($C919,$N$1))</f>
        <v xml:space="preserve"> </v>
      </c>
      <c r="O919" s="11"/>
      <c r="P919" s="7"/>
    </row>
    <row r="920" spans="1:16" x14ac:dyDescent="0.35">
      <c r="A920" s="7"/>
      <c r="C920" s="31" t="str">
        <f>IF(指数列表!B917="","",指数列表!B917)</f>
        <v/>
      </c>
      <c r="D920" s="36" t="str">
        <f>IF(C920="","",[1]!s_info_name(C920))</f>
        <v/>
      </c>
      <c r="E920" s="25" t="str">
        <f>IF(C920="","",[1]!s_dq_close(C920,$N$1))</f>
        <v/>
      </c>
      <c r="F920" s="28" t="str">
        <f>IF($C920=""," ",[1]!i_pq_pctchange($C920,F$6,$N$1))</f>
        <v xml:space="preserve"> </v>
      </c>
      <c r="G920" s="28" t="str">
        <f>IF($C920=""," ",[1]!i_pq_pctchange($C920,G$6,$N$1))</f>
        <v xml:space="preserve"> </v>
      </c>
      <c r="H920" s="28" t="str">
        <f>IF($C920=""," ",[1]!i_pq_pctchange($C920,H$6,$N$1))</f>
        <v xml:space="preserve"> </v>
      </c>
      <c r="I920" s="28" t="str">
        <f>IF($C920=""," ",[1]!i_pq_pctchange($C920,I$6,$N$1))</f>
        <v xml:space="preserve"> </v>
      </c>
      <c r="J920" s="28" t="str">
        <f>IF($C920=""," ",[1]!i_pq_pctchange($C920,J$6,$N$1))</f>
        <v xml:space="preserve"> </v>
      </c>
      <c r="K920" s="28" t="str">
        <f>IF($C920=""," ",[1]!i_pq_pctchange($C920,K$6,$N$1))</f>
        <v xml:space="preserve"> </v>
      </c>
      <c r="L920" s="28" t="str">
        <f>IF(C920=""," ",[1]!s_wq_pctchange($C920,$N$1))</f>
        <v xml:space="preserve"> </v>
      </c>
      <c r="M920" s="28" t="str">
        <f>IF(C920=""," ",[1]!s_mq_pctchange($C920,$N$1))</f>
        <v xml:space="preserve"> </v>
      </c>
      <c r="N920" s="28" t="str">
        <f>IF(C920=""," ",[1]!s_yq_pctchange($C920,$N$1))</f>
        <v xml:space="preserve"> </v>
      </c>
      <c r="O920" s="11"/>
      <c r="P920" s="7"/>
    </row>
    <row r="921" spans="1:16" x14ac:dyDescent="0.35">
      <c r="A921" s="7"/>
      <c r="C921" s="30" t="str">
        <f>IF(指数列表!B918="","",指数列表!B918)</f>
        <v/>
      </c>
      <c r="D921" s="35" t="str">
        <f>IF(C921="","",[1]!s_info_name(C921))</f>
        <v/>
      </c>
      <c r="E921" s="24" t="str">
        <f>IF(C921="","",[1]!s_dq_close(C921,$N$1))</f>
        <v/>
      </c>
      <c r="F921" s="28" t="str">
        <f>IF($C921=""," ",[1]!i_pq_pctchange($C921,F$6,$N$1))</f>
        <v xml:space="preserve"> </v>
      </c>
      <c r="G921" s="28" t="str">
        <f>IF($C921=""," ",[1]!i_pq_pctchange($C921,G$6,$N$1))</f>
        <v xml:space="preserve"> </v>
      </c>
      <c r="H921" s="28" t="str">
        <f>IF($C921=""," ",[1]!i_pq_pctchange($C921,H$6,$N$1))</f>
        <v xml:space="preserve"> </v>
      </c>
      <c r="I921" s="28" t="str">
        <f>IF($C921=""," ",[1]!i_pq_pctchange($C921,I$6,$N$1))</f>
        <v xml:space="preserve"> </v>
      </c>
      <c r="J921" s="28" t="str">
        <f>IF($C921=""," ",[1]!i_pq_pctchange($C921,J$6,$N$1))</f>
        <v xml:space="preserve"> </v>
      </c>
      <c r="K921" s="28" t="str">
        <f>IF($C921=""," ",[1]!i_pq_pctchange($C921,K$6,$N$1))</f>
        <v xml:space="preserve"> </v>
      </c>
      <c r="L921" s="28" t="str">
        <f>IF(C921=""," ",[1]!s_wq_pctchange($C921,$N$1))</f>
        <v xml:space="preserve"> </v>
      </c>
      <c r="M921" s="28" t="str">
        <f>IF(C921=""," ",[1]!s_mq_pctchange($C921,$N$1))</f>
        <v xml:space="preserve"> </v>
      </c>
      <c r="N921" s="28" t="str">
        <f>IF(C921=""," ",[1]!s_yq_pctchange($C921,$N$1))</f>
        <v xml:space="preserve"> </v>
      </c>
      <c r="O921" s="11"/>
      <c r="P921" s="7"/>
    </row>
    <row r="922" spans="1:16" x14ac:dyDescent="0.35">
      <c r="A922" s="7"/>
      <c r="C922" s="31" t="str">
        <f>IF(指数列表!B919="","",指数列表!B919)</f>
        <v/>
      </c>
      <c r="D922" s="36" t="str">
        <f>IF(C922="","",[1]!s_info_name(C922))</f>
        <v/>
      </c>
      <c r="E922" s="25" t="str">
        <f>IF(C922="","",[1]!s_dq_close(C922,$N$1))</f>
        <v/>
      </c>
      <c r="F922" s="28" t="str">
        <f>IF($C922=""," ",[1]!i_pq_pctchange($C922,F$6,$N$1))</f>
        <v xml:space="preserve"> </v>
      </c>
      <c r="G922" s="28" t="str">
        <f>IF($C922=""," ",[1]!i_pq_pctchange($C922,G$6,$N$1))</f>
        <v xml:space="preserve"> </v>
      </c>
      <c r="H922" s="28" t="str">
        <f>IF($C922=""," ",[1]!i_pq_pctchange($C922,H$6,$N$1))</f>
        <v xml:space="preserve"> </v>
      </c>
      <c r="I922" s="28" t="str">
        <f>IF($C922=""," ",[1]!i_pq_pctchange($C922,I$6,$N$1))</f>
        <v xml:space="preserve"> </v>
      </c>
      <c r="J922" s="28" t="str">
        <f>IF($C922=""," ",[1]!i_pq_pctchange($C922,J$6,$N$1))</f>
        <v xml:space="preserve"> </v>
      </c>
      <c r="K922" s="28" t="str">
        <f>IF($C922=""," ",[1]!i_pq_pctchange($C922,K$6,$N$1))</f>
        <v xml:space="preserve"> </v>
      </c>
      <c r="L922" s="28" t="str">
        <f>IF(C922=""," ",[1]!s_wq_pctchange($C922,$N$1))</f>
        <v xml:space="preserve"> </v>
      </c>
      <c r="M922" s="28" t="str">
        <f>IF(C922=""," ",[1]!s_mq_pctchange($C922,$N$1))</f>
        <v xml:space="preserve"> </v>
      </c>
      <c r="N922" s="28" t="str">
        <f>IF(C922=""," ",[1]!s_yq_pctchange($C922,$N$1))</f>
        <v xml:space="preserve"> </v>
      </c>
      <c r="O922" s="11"/>
      <c r="P922" s="7"/>
    </row>
    <row r="923" spans="1:16" x14ac:dyDescent="0.35">
      <c r="A923" s="7"/>
      <c r="C923" s="30" t="str">
        <f>IF(指数列表!B920="","",指数列表!B920)</f>
        <v/>
      </c>
      <c r="D923" s="35" t="str">
        <f>IF(C923="","",[1]!s_info_name(C923))</f>
        <v/>
      </c>
      <c r="E923" s="24" t="str">
        <f>IF(C923="","",[1]!s_dq_close(C923,$N$1))</f>
        <v/>
      </c>
      <c r="F923" s="28" t="str">
        <f>IF($C923=""," ",[1]!i_pq_pctchange($C923,F$6,$N$1))</f>
        <v xml:space="preserve"> </v>
      </c>
      <c r="G923" s="28" t="str">
        <f>IF($C923=""," ",[1]!i_pq_pctchange($C923,G$6,$N$1))</f>
        <v xml:space="preserve"> </v>
      </c>
      <c r="H923" s="28" t="str">
        <f>IF($C923=""," ",[1]!i_pq_pctchange($C923,H$6,$N$1))</f>
        <v xml:space="preserve"> </v>
      </c>
      <c r="I923" s="28" t="str">
        <f>IF($C923=""," ",[1]!i_pq_pctchange($C923,I$6,$N$1))</f>
        <v xml:space="preserve"> </v>
      </c>
      <c r="J923" s="28" t="str">
        <f>IF($C923=""," ",[1]!i_pq_pctchange($C923,J$6,$N$1))</f>
        <v xml:space="preserve"> </v>
      </c>
      <c r="K923" s="28" t="str">
        <f>IF($C923=""," ",[1]!i_pq_pctchange($C923,K$6,$N$1))</f>
        <v xml:space="preserve"> </v>
      </c>
      <c r="L923" s="28" t="str">
        <f>IF(C923=""," ",[1]!s_wq_pctchange($C923,$N$1))</f>
        <v xml:space="preserve"> </v>
      </c>
      <c r="M923" s="28" t="str">
        <f>IF(C923=""," ",[1]!s_mq_pctchange($C923,$N$1))</f>
        <v xml:space="preserve"> </v>
      </c>
      <c r="N923" s="28" t="str">
        <f>IF(C923=""," ",[1]!s_yq_pctchange($C923,$N$1))</f>
        <v xml:space="preserve"> </v>
      </c>
      <c r="O923" s="11"/>
      <c r="P923" s="7"/>
    </row>
    <row r="924" spans="1:16" x14ac:dyDescent="0.35">
      <c r="A924" s="7"/>
      <c r="C924" s="31" t="str">
        <f>IF(指数列表!B921="","",指数列表!B921)</f>
        <v/>
      </c>
      <c r="D924" s="36" t="str">
        <f>IF(C924="","",[1]!s_info_name(C924))</f>
        <v/>
      </c>
      <c r="E924" s="25" t="str">
        <f>IF(C924="","",[1]!s_dq_close(C924,$N$1))</f>
        <v/>
      </c>
      <c r="F924" s="28" t="str">
        <f>IF($C924=""," ",[1]!i_pq_pctchange($C924,F$6,$N$1))</f>
        <v xml:space="preserve"> </v>
      </c>
      <c r="G924" s="28" t="str">
        <f>IF($C924=""," ",[1]!i_pq_pctchange($C924,G$6,$N$1))</f>
        <v xml:space="preserve"> </v>
      </c>
      <c r="H924" s="28" t="str">
        <f>IF($C924=""," ",[1]!i_pq_pctchange($C924,H$6,$N$1))</f>
        <v xml:space="preserve"> </v>
      </c>
      <c r="I924" s="28" t="str">
        <f>IF($C924=""," ",[1]!i_pq_pctchange($C924,I$6,$N$1))</f>
        <v xml:space="preserve"> </v>
      </c>
      <c r="J924" s="28" t="str">
        <f>IF($C924=""," ",[1]!i_pq_pctchange($C924,J$6,$N$1))</f>
        <v xml:space="preserve"> </v>
      </c>
      <c r="K924" s="28" t="str">
        <f>IF($C924=""," ",[1]!i_pq_pctchange($C924,K$6,$N$1))</f>
        <v xml:space="preserve"> </v>
      </c>
      <c r="L924" s="28" t="str">
        <f>IF(C924=""," ",[1]!s_wq_pctchange($C924,$N$1))</f>
        <v xml:space="preserve"> </v>
      </c>
      <c r="M924" s="28" t="str">
        <f>IF(C924=""," ",[1]!s_mq_pctchange($C924,$N$1))</f>
        <v xml:space="preserve"> </v>
      </c>
      <c r="N924" s="28" t="str">
        <f>IF(C924=""," ",[1]!s_yq_pctchange($C924,$N$1))</f>
        <v xml:space="preserve"> </v>
      </c>
      <c r="O924" s="11"/>
      <c r="P924" s="7"/>
    </row>
    <row r="925" spans="1:16" x14ac:dyDescent="0.35">
      <c r="A925" s="7"/>
      <c r="C925" s="30" t="str">
        <f>IF(指数列表!B922="","",指数列表!B922)</f>
        <v/>
      </c>
      <c r="D925" s="35" t="str">
        <f>IF(C925="","",[1]!s_info_name(C925))</f>
        <v/>
      </c>
      <c r="E925" s="24" t="str">
        <f>IF(C925="","",[1]!s_dq_close(C925,$N$1))</f>
        <v/>
      </c>
      <c r="F925" s="28" t="str">
        <f>IF($C925=""," ",[1]!i_pq_pctchange($C925,F$6,$N$1))</f>
        <v xml:space="preserve"> </v>
      </c>
      <c r="G925" s="28" t="str">
        <f>IF($C925=""," ",[1]!i_pq_pctchange($C925,G$6,$N$1))</f>
        <v xml:space="preserve"> </v>
      </c>
      <c r="H925" s="28" t="str">
        <f>IF($C925=""," ",[1]!i_pq_pctchange($C925,H$6,$N$1))</f>
        <v xml:space="preserve"> </v>
      </c>
      <c r="I925" s="28" t="str">
        <f>IF($C925=""," ",[1]!i_pq_pctchange($C925,I$6,$N$1))</f>
        <v xml:space="preserve"> </v>
      </c>
      <c r="J925" s="28" t="str">
        <f>IF($C925=""," ",[1]!i_pq_pctchange($C925,J$6,$N$1))</f>
        <v xml:space="preserve"> </v>
      </c>
      <c r="K925" s="28" t="str">
        <f>IF($C925=""," ",[1]!i_pq_pctchange($C925,K$6,$N$1))</f>
        <v xml:space="preserve"> </v>
      </c>
      <c r="L925" s="28" t="str">
        <f>IF(C925=""," ",[1]!s_wq_pctchange($C925,$N$1))</f>
        <v xml:space="preserve"> </v>
      </c>
      <c r="M925" s="28" t="str">
        <f>IF(C925=""," ",[1]!s_mq_pctchange($C925,$N$1))</f>
        <v xml:space="preserve"> </v>
      </c>
      <c r="N925" s="28" t="str">
        <f>IF(C925=""," ",[1]!s_yq_pctchange($C925,$N$1))</f>
        <v xml:space="preserve"> </v>
      </c>
      <c r="O925" s="11"/>
      <c r="P925" s="7"/>
    </row>
    <row r="926" spans="1:16" x14ac:dyDescent="0.35">
      <c r="A926" s="7"/>
      <c r="C926" s="31" t="str">
        <f>IF(指数列表!B923="","",指数列表!B923)</f>
        <v/>
      </c>
      <c r="D926" s="36" t="str">
        <f>IF(C926="","",[1]!s_info_name(C926))</f>
        <v/>
      </c>
      <c r="E926" s="25" t="str">
        <f>IF(C926="","",[1]!s_dq_close(C926,$N$1))</f>
        <v/>
      </c>
      <c r="F926" s="28" t="str">
        <f>IF($C926=""," ",[1]!i_pq_pctchange($C926,F$6,$N$1))</f>
        <v xml:space="preserve"> </v>
      </c>
      <c r="G926" s="28" t="str">
        <f>IF($C926=""," ",[1]!i_pq_pctchange($C926,G$6,$N$1))</f>
        <v xml:space="preserve"> </v>
      </c>
      <c r="H926" s="28" t="str">
        <f>IF($C926=""," ",[1]!i_pq_pctchange($C926,H$6,$N$1))</f>
        <v xml:space="preserve"> </v>
      </c>
      <c r="I926" s="28" t="str">
        <f>IF($C926=""," ",[1]!i_pq_pctchange($C926,I$6,$N$1))</f>
        <v xml:space="preserve"> </v>
      </c>
      <c r="J926" s="28" t="str">
        <f>IF($C926=""," ",[1]!i_pq_pctchange($C926,J$6,$N$1))</f>
        <v xml:space="preserve"> </v>
      </c>
      <c r="K926" s="28" t="str">
        <f>IF($C926=""," ",[1]!i_pq_pctchange($C926,K$6,$N$1))</f>
        <v xml:space="preserve"> </v>
      </c>
      <c r="L926" s="28" t="str">
        <f>IF(C926=""," ",[1]!s_wq_pctchange($C926,$N$1))</f>
        <v xml:space="preserve"> </v>
      </c>
      <c r="M926" s="28" t="str">
        <f>IF(C926=""," ",[1]!s_mq_pctchange($C926,$N$1))</f>
        <v xml:space="preserve"> </v>
      </c>
      <c r="N926" s="28" t="str">
        <f>IF(C926=""," ",[1]!s_yq_pctchange($C926,$N$1))</f>
        <v xml:space="preserve"> </v>
      </c>
      <c r="O926" s="11"/>
      <c r="P926" s="7"/>
    </row>
    <row r="927" spans="1:16" x14ac:dyDescent="0.35">
      <c r="A927" s="7"/>
      <c r="C927" s="30" t="str">
        <f>IF(指数列表!B924="","",指数列表!B924)</f>
        <v/>
      </c>
      <c r="D927" s="35" t="str">
        <f>IF(C927="","",[1]!s_info_name(C927))</f>
        <v/>
      </c>
      <c r="E927" s="24" t="str">
        <f>IF(C927="","",[1]!s_dq_close(C927,$N$1))</f>
        <v/>
      </c>
      <c r="F927" s="28" t="str">
        <f>IF($C927=""," ",[1]!i_pq_pctchange($C927,F$6,$N$1))</f>
        <v xml:space="preserve"> </v>
      </c>
      <c r="G927" s="28" t="str">
        <f>IF($C927=""," ",[1]!i_pq_pctchange($C927,G$6,$N$1))</f>
        <v xml:space="preserve"> </v>
      </c>
      <c r="H927" s="28" t="str">
        <f>IF($C927=""," ",[1]!i_pq_pctchange($C927,H$6,$N$1))</f>
        <v xml:space="preserve"> </v>
      </c>
      <c r="I927" s="28" t="str">
        <f>IF($C927=""," ",[1]!i_pq_pctchange($C927,I$6,$N$1))</f>
        <v xml:space="preserve"> </v>
      </c>
      <c r="J927" s="28" t="str">
        <f>IF($C927=""," ",[1]!i_pq_pctchange($C927,J$6,$N$1))</f>
        <v xml:space="preserve"> </v>
      </c>
      <c r="K927" s="28" t="str">
        <f>IF($C927=""," ",[1]!i_pq_pctchange($C927,K$6,$N$1))</f>
        <v xml:space="preserve"> </v>
      </c>
      <c r="L927" s="28" t="str">
        <f>IF(C927=""," ",[1]!s_wq_pctchange($C927,$N$1))</f>
        <v xml:space="preserve"> </v>
      </c>
      <c r="M927" s="28" t="str">
        <f>IF(C927=""," ",[1]!s_mq_pctchange($C927,$N$1))</f>
        <v xml:space="preserve"> </v>
      </c>
      <c r="N927" s="28" t="str">
        <f>IF(C927=""," ",[1]!s_yq_pctchange($C927,$N$1))</f>
        <v xml:space="preserve"> </v>
      </c>
      <c r="O927" s="11"/>
      <c r="P927" s="7"/>
    </row>
    <row r="928" spans="1:16" x14ac:dyDescent="0.35">
      <c r="A928" s="7"/>
      <c r="C928" s="31" t="str">
        <f>IF(指数列表!B925="","",指数列表!B925)</f>
        <v/>
      </c>
      <c r="D928" s="36" t="str">
        <f>IF(C928="","",[1]!s_info_name(C928))</f>
        <v/>
      </c>
      <c r="E928" s="25" t="str">
        <f>IF(C928="","",[1]!s_dq_close(C928,$N$1))</f>
        <v/>
      </c>
      <c r="F928" s="28" t="str">
        <f>IF($C928=""," ",[1]!i_pq_pctchange($C928,F$6,$N$1))</f>
        <v xml:space="preserve"> </v>
      </c>
      <c r="G928" s="28" t="str">
        <f>IF($C928=""," ",[1]!i_pq_pctchange($C928,G$6,$N$1))</f>
        <v xml:space="preserve"> </v>
      </c>
      <c r="H928" s="28" t="str">
        <f>IF($C928=""," ",[1]!i_pq_pctchange($C928,H$6,$N$1))</f>
        <v xml:space="preserve"> </v>
      </c>
      <c r="I928" s="28" t="str">
        <f>IF($C928=""," ",[1]!i_pq_pctchange($C928,I$6,$N$1))</f>
        <v xml:space="preserve"> </v>
      </c>
      <c r="J928" s="28" t="str">
        <f>IF($C928=""," ",[1]!i_pq_pctchange($C928,J$6,$N$1))</f>
        <v xml:space="preserve"> </v>
      </c>
      <c r="K928" s="28" t="str">
        <f>IF($C928=""," ",[1]!i_pq_pctchange($C928,K$6,$N$1))</f>
        <v xml:space="preserve"> </v>
      </c>
      <c r="L928" s="28" t="str">
        <f>IF(C928=""," ",[1]!s_wq_pctchange($C928,$N$1))</f>
        <v xml:space="preserve"> </v>
      </c>
      <c r="M928" s="28" t="str">
        <f>IF(C928=""," ",[1]!s_mq_pctchange($C928,$N$1))</f>
        <v xml:space="preserve"> </v>
      </c>
      <c r="N928" s="28" t="str">
        <f>IF(C928=""," ",[1]!s_yq_pctchange($C928,$N$1))</f>
        <v xml:space="preserve"> </v>
      </c>
      <c r="O928" s="11"/>
      <c r="P928" s="7"/>
    </row>
    <row r="929" spans="1:16" x14ac:dyDescent="0.35">
      <c r="A929" s="7"/>
      <c r="C929" s="30" t="str">
        <f>IF(指数列表!B926="","",指数列表!B926)</f>
        <v/>
      </c>
      <c r="D929" s="35" t="str">
        <f>IF(C929="","",[1]!s_info_name(C929))</f>
        <v/>
      </c>
      <c r="E929" s="24" t="str">
        <f>IF(C929="","",[1]!s_dq_close(C929,$N$1))</f>
        <v/>
      </c>
      <c r="F929" s="28" t="str">
        <f>IF($C929=""," ",[1]!i_pq_pctchange($C929,F$6,$N$1))</f>
        <v xml:space="preserve"> </v>
      </c>
      <c r="G929" s="28" t="str">
        <f>IF($C929=""," ",[1]!i_pq_pctchange($C929,G$6,$N$1))</f>
        <v xml:space="preserve"> </v>
      </c>
      <c r="H929" s="28" t="str">
        <f>IF($C929=""," ",[1]!i_pq_pctchange($C929,H$6,$N$1))</f>
        <v xml:space="preserve"> </v>
      </c>
      <c r="I929" s="28" t="str">
        <f>IF($C929=""," ",[1]!i_pq_pctchange($C929,I$6,$N$1))</f>
        <v xml:space="preserve"> </v>
      </c>
      <c r="J929" s="28" t="str">
        <f>IF($C929=""," ",[1]!i_pq_pctchange($C929,J$6,$N$1))</f>
        <v xml:space="preserve"> </v>
      </c>
      <c r="K929" s="28" t="str">
        <f>IF($C929=""," ",[1]!i_pq_pctchange($C929,K$6,$N$1))</f>
        <v xml:space="preserve"> </v>
      </c>
      <c r="L929" s="28" t="str">
        <f>IF(C929=""," ",[1]!s_wq_pctchange($C929,$N$1))</f>
        <v xml:space="preserve"> </v>
      </c>
      <c r="M929" s="28" t="str">
        <f>IF(C929=""," ",[1]!s_mq_pctchange($C929,$N$1))</f>
        <v xml:space="preserve"> </v>
      </c>
      <c r="N929" s="28" t="str">
        <f>IF(C929=""," ",[1]!s_yq_pctchange($C929,$N$1))</f>
        <v xml:space="preserve"> </v>
      </c>
      <c r="O929" s="11"/>
      <c r="P929" s="7"/>
    </row>
    <row r="930" spans="1:16" x14ac:dyDescent="0.35">
      <c r="A930" s="7"/>
      <c r="C930" s="31" t="str">
        <f>IF(指数列表!B927="","",指数列表!B927)</f>
        <v/>
      </c>
      <c r="D930" s="36" t="str">
        <f>IF(C930="","",[1]!s_info_name(C930))</f>
        <v/>
      </c>
      <c r="E930" s="25" t="str">
        <f>IF(C930="","",[1]!s_dq_close(C930,$N$1))</f>
        <v/>
      </c>
      <c r="F930" s="28" t="str">
        <f>IF($C930=""," ",[1]!i_pq_pctchange($C930,F$6,$N$1))</f>
        <v xml:space="preserve"> </v>
      </c>
      <c r="G930" s="28" t="str">
        <f>IF($C930=""," ",[1]!i_pq_pctchange($C930,G$6,$N$1))</f>
        <v xml:space="preserve"> </v>
      </c>
      <c r="H930" s="28" t="str">
        <f>IF($C930=""," ",[1]!i_pq_pctchange($C930,H$6,$N$1))</f>
        <v xml:space="preserve"> </v>
      </c>
      <c r="I930" s="28" t="str">
        <f>IF($C930=""," ",[1]!i_pq_pctchange($C930,I$6,$N$1))</f>
        <v xml:space="preserve"> </v>
      </c>
      <c r="J930" s="28" t="str">
        <f>IF($C930=""," ",[1]!i_pq_pctchange($C930,J$6,$N$1))</f>
        <v xml:space="preserve"> </v>
      </c>
      <c r="K930" s="28" t="str">
        <f>IF($C930=""," ",[1]!i_pq_pctchange($C930,K$6,$N$1))</f>
        <v xml:space="preserve"> </v>
      </c>
      <c r="L930" s="28" t="str">
        <f>IF(C930=""," ",[1]!s_wq_pctchange($C930,$N$1))</f>
        <v xml:space="preserve"> </v>
      </c>
      <c r="M930" s="28" t="str">
        <f>IF(C930=""," ",[1]!s_mq_pctchange($C930,$N$1))</f>
        <v xml:space="preserve"> </v>
      </c>
      <c r="N930" s="28" t="str">
        <f>IF(C930=""," ",[1]!s_yq_pctchange($C930,$N$1))</f>
        <v xml:space="preserve"> </v>
      </c>
      <c r="O930" s="11"/>
      <c r="P930" s="7"/>
    </row>
    <row r="931" spans="1:16" x14ac:dyDescent="0.35">
      <c r="A931" s="7"/>
      <c r="C931" s="30" t="str">
        <f>IF(指数列表!B928="","",指数列表!B928)</f>
        <v/>
      </c>
      <c r="D931" s="35" t="str">
        <f>IF(C931="","",[1]!s_info_name(C931))</f>
        <v/>
      </c>
      <c r="E931" s="24" t="str">
        <f>IF(C931="","",[1]!s_dq_close(C931,$N$1))</f>
        <v/>
      </c>
      <c r="F931" s="28" t="str">
        <f>IF($C931=""," ",[1]!i_pq_pctchange($C931,F$6,$N$1))</f>
        <v xml:space="preserve"> </v>
      </c>
      <c r="G931" s="28" t="str">
        <f>IF($C931=""," ",[1]!i_pq_pctchange($C931,G$6,$N$1))</f>
        <v xml:space="preserve"> </v>
      </c>
      <c r="H931" s="28" t="str">
        <f>IF($C931=""," ",[1]!i_pq_pctchange($C931,H$6,$N$1))</f>
        <v xml:space="preserve"> </v>
      </c>
      <c r="I931" s="28" t="str">
        <f>IF($C931=""," ",[1]!i_pq_pctchange($C931,I$6,$N$1))</f>
        <v xml:space="preserve"> </v>
      </c>
      <c r="J931" s="28" t="str">
        <f>IF($C931=""," ",[1]!i_pq_pctchange($C931,J$6,$N$1))</f>
        <v xml:space="preserve"> </v>
      </c>
      <c r="K931" s="28" t="str">
        <f>IF($C931=""," ",[1]!i_pq_pctchange($C931,K$6,$N$1))</f>
        <v xml:space="preserve"> </v>
      </c>
      <c r="L931" s="28" t="str">
        <f>IF(C931=""," ",[1]!s_wq_pctchange($C931,$N$1))</f>
        <v xml:space="preserve"> </v>
      </c>
      <c r="M931" s="28" t="str">
        <f>IF(C931=""," ",[1]!s_mq_pctchange($C931,$N$1))</f>
        <v xml:space="preserve"> </v>
      </c>
      <c r="N931" s="28" t="str">
        <f>IF(C931=""," ",[1]!s_yq_pctchange($C931,$N$1))</f>
        <v xml:space="preserve"> </v>
      </c>
      <c r="O931" s="11"/>
      <c r="P931" s="7"/>
    </row>
    <row r="932" spans="1:16" x14ac:dyDescent="0.35">
      <c r="A932" s="7"/>
      <c r="C932" s="31" t="str">
        <f>IF(指数列表!B929="","",指数列表!B929)</f>
        <v/>
      </c>
      <c r="D932" s="36" t="str">
        <f>IF(C932="","",[1]!s_info_name(C932))</f>
        <v/>
      </c>
      <c r="E932" s="25" t="str">
        <f>IF(C932="","",[1]!s_dq_close(C932,$N$1))</f>
        <v/>
      </c>
      <c r="F932" s="28" t="str">
        <f>IF($C932=""," ",[1]!i_pq_pctchange($C932,F$6,$N$1))</f>
        <v xml:space="preserve"> </v>
      </c>
      <c r="G932" s="28" t="str">
        <f>IF($C932=""," ",[1]!i_pq_pctchange($C932,G$6,$N$1))</f>
        <v xml:space="preserve"> </v>
      </c>
      <c r="H932" s="28" t="str">
        <f>IF($C932=""," ",[1]!i_pq_pctchange($C932,H$6,$N$1))</f>
        <v xml:space="preserve"> </v>
      </c>
      <c r="I932" s="28" t="str">
        <f>IF($C932=""," ",[1]!i_pq_pctchange($C932,I$6,$N$1))</f>
        <v xml:space="preserve"> </v>
      </c>
      <c r="J932" s="28" t="str">
        <f>IF($C932=""," ",[1]!i_pq_pctchange($C932,J$6,$N$1))</f>
        <v xml:space="preserve"> </v>
      </c>
      <c r="K932" s="28" t="str">
        <f>IF($C932=""," ",[1]!i_pq_pctchange($C932,K$6,$N$1))</f>
        <v xml:space="preserve"> </v>
      </c>
      <c r="L932" s="28" t="str">
        <f>IF(C932=""," ",[1]!s_wq_pctchange($C932,$N$1))</f>
        <v xml:space="preserve"> </v>
      </c>
      <c r="M932" s="28" t="str">
        <f>IF(C932=""," ",[1]!s_mq_pctchange($C932,$N$1))</f>
        <v xml:space="preserve"> </v>
      </c>
      <c r="N932" s="28" t="str">
        <f>IF(C932=""," ",[1]!s_yq_pctchange($C932,$N$1))</f>
        <v xml:space="preserve"> </v>
      </c>
      <c r="O932" s="11"/>
      <c r="P932" s="7"/>
    </row>
    <row r="933" spans="1:16" x14ac:dyDescent="0.35">
      <c r="A933" s="7"/>
      <c r="C933" s="30" t="str">
        <f>IF(指数列表!B930="","",指数列表!B930)</f>
        <v/>
      </c>
      <c r="D933" s="35" t="str">
        <f>IF(C933="","",[1]!s_info_name(C933))</f>
        <v/>
      </c>
      <c r="E933" s="24" t="str">
        <f>IF(C933="","",[1]!s_dq_close(C933,$N$1))</f>
        <v/>
      </c>
      <c r="F933" s="28" t="str">
        <f>IF($C933=""," ",[1]!i_pq_pctchange($C933,F$6,$N$1))</f>
        <v xml:space="preserve"> </v>
      </c>
      <c r="G933" s="28" t="str">
        <f>IF($C933=""," ",[1]!i_pq_pctchange($C933,G$6,$N$1))</f>
        <v xml:space="preserve"> </v>
      </c>
      <c r="H933" s="28" t="str">
        <f>IF($C933=""," ",[1]!i_pq_pctchange($C933,H$6,$N$1))</f>
        <v xml:space="preserve"> </v>
      </c>
      <c r="I933" s="28" t="str">
        <f>IF($C933=""," ",[1]!i_pq_pctchange($C933,I$6,$N$1))</f>
        <v xml:space="preserve"> </v>
      </c>
      <c r="J933" s="28" t="str">
        <f>IF($C933=""," ",[1]!i_pq_pctchange($C933,J$6,$N$1))</f>
        <v xml:space="preserve"> </v>
      </c>
      <c r="K933" s="28" t="str">
        <f>IF($C933=""," ",[1]!i_pq_pctchange($C933,K$6,$N$1))</f>
        <v xml:space="preserve"> </v>
      </c>
      <c r="L933" s="28" t="str">
        <f>IF(C933=""," ",[1]!s_wq_pctchange($C933,$N$1))</f>
        <v xml:space="preserve"> </v>
      </c>
      <c r="M933" s="28" t="str">
        <f>IF(C933=""," ",[1]!s_mq_pctchange($C933,$N$1))</f>
        <v xml:space="preserve"> </v>
      </c>
      <c r="N933" s="28" t="str">
        <f>IF(C933=""," ",[1]!s_yq_pctchange($C933,$N$1))</f>
        <v xml:space="preserve"> </v>
      </c>
      <c r="O933" s="11"/>
      <c r="P933" s="7"/>
    </row>
    <row r="934" spans="1:16" x14ac:dyDescent="0.35">
      <c r="A934" s="7"/>
      <c r="C934" s="31" t="str">
        <f>IF(指数列表!B931="","",指数列表!B931)</f>
        <v/>
      </c>
      <c r="D934" s="36" t="str">
        <f>IF(C934="","",[1]!s_info_name(C934))</f>
        <v/>
      </c>
      <c r="E934" s="25" t="str">
        <f>IF(C934="","",[1]!s_dq_close(C934,$N$1))</f>
        <v/>
      </c>
      <c r="F934" s="28" t="str">
        <f>IF($C934=""," ",[1]!i_pq_pctchange($C934,F$6,$N$1))</f>
        <v xml:space="preserve"> </v>
      </c>
      <c r="G934" s="28" t="str">
        <f>IF($C934=""," ",[1]!i_pq_pctchange($C934,G$6,$N$1))</f>
        <v xml:space="preserve"> </v>
      </c>
      <c r="H934" s="28" t="str">
        <f>IF($C934=""," ",[1]!i_pq_pctchange($C934,H$6,$N$1))</f>
        <v xml:space="preserve"> </v>
      </c>
      <c r="I934" s="28" t="str">
        <f>IF($C934=""," ",[1]!i_pq_pctchange($C934,I$6,$N$1))</f>
        <v xml:space="preserve"> </v>
      </c>
      <c r="J934" s="28" t="str">
        <f>IF($C934=""," ",[1]!i_pq_pctchange($C934,J$6,$N$1))</f>
        <v xml:space="preserve"> </v>
      </c>
      <c r="K934" s="28" t="str">
        <f>IF($C934=""," ",[1]!i_pq_pctchange($C934,K$6,$N$1))</f>
        <v xml:space="preserve"> </v>
      </c>
      <c r="L934" s="28" t="str">
        <f>IF(C934=""," ",[1]!s_wq_pctchange($C934,$N$1))</f>
        <v xml:space="preserve"> </v>
      </c>
      <c r="M934" s="28" t="str">
        <f>IF(C934=""," ",[1]!s_mq_pctchange($C934,$N$1))</f>
        <v xml:space="preserve"> </v>
      </c>
      <c r="N934" s="28" t="str">
        <f>IF(C934=""," ",[1]!s_yq_pctchange($C934,$N$1))</f>
        <v xml:space="preserve"> </v>
      </c>
      <c r="O934" s="11"/>
      <c r="P934" s="7"/>
    </row>
    <row r="935" spans="1:16" x14ac:dyDescent="0.35">
      <c r="A935" s="7"/>
      <c r="C935" s="30" t="str">
        <f>IF(指数列表!B932="","",指数列表!B932)</f>
        <v/>
      </c>
      <c r="D935" s="35" t="str">
        <f>IF(C935="","",[1]!s_info_name(C935))</f>
        <v/>
      </c>
      <c r="E935" s="24" t="str">
        <f>IF(C935="","",[1]!s_dq_close(C935,$N$1))</f>
        <v/>
      </c>
      <c r="F935" s="28" t="str">
        <f>IF($C935=""," ",[1]!i_pq_pctchange($C935,F$6,$N$1))</f>
        <v xml:space="preserve"> </v>
      </c>
      <c r="G935" s="28" t="str">
        <f>IF($C935=""," ",[1]!i_pq_pctchange($C935,G$6,$N$1))</f>
        <v xml:space="preserve"> </v>
      </c>
      <c r="H935" s="28" t="str">
        <f>IF($C935=""," ",[1]!i_pq_pctchange($C935,H$6,$N$1))</f>
        <v xml:space="preserve"> </v>
      </c>
      <c r="I935" s="28" t="str">
        <f>IF($C935=""," ",[1]!i_pq_pctchange($C935,I$6,$N$1))</f>
        <v xml:space="preserve"> </v>
      </c>
      <c r="J935" s="28" t="str">
        <f>IF($C935=""," ",[1]!i_pq_pctchange($C935,J$6,$N$1))</f>
        <v xml:space="preserve"> </v>
      </c>
      <c r="K935" s="28" t="str">
        <f>IF($C935=""," ",[1]!i_pq_pctchange($C935,K$6,$N$1))</f>
        <v xml:space="preserve"> </v>
      </c>
      <c r="L935" s="28" t="str">
        <f>IF(C935=""," ",[1]!s_wq_pctchange($C935,$N$1))</f>
        <v xml:space="preserve"> </v>
      </c>
      <c r="M935" s="28" t="str">
        <f>IF(C935=""," ",[1]!s_mq_pctchange($C935,$N$1))</f>
        <v xml:space="preserve"> </v>
      </c>
      <c r="N935" s="28" t="str">
        <f>IF(C935=""," ",[1]!s_yq_pctchange($C935,$N$1))</f>
        <v xml:space="preserve"> </v>
      </c>
      <c r="O935" s="11"/>
      <c r="P935" s="7"/>
    </row>
    <row r="936" spans="1:16" x14ac:dyDescent="0.35">
      <c r="A936" s="7"/>
      <c r="C936" s="31" t="str">
        <f>IF(指数列表!B933="","",指数列表!B933)</f>
        <v/>
      </c>
      <c r="D936" s="36" t="str">
        <f>IF(C936="","",[1]!s_info_name(C936))</f>
        <v/>
      </c>
      <c r="E936" s="25" t="str">
        <f>IF(C936="","",[1]!s_dq_close(C936,$N$1))</f>
        <v/>
      </c>
      <c r="F936" s="28" t="str">
        <f>IF($C936=""," ",[1]!i_pq_pctchange($C936,F$6,$N$1))</f>
        <v xml:space="preserve"> </v>
      </c>
      <c r="G936" s="28" t="str">
        <f>IF($C936=""," ",[1]!i_pq_pctchange($C936,G$6,$N$1))</f>
        <v xml:space="preserve"> </v>
      </c>
      <c r="H936" s="28" t="str">
        <f>IF($C936=""," ",[1]!i_pq_pctchange($C936,H$6,$N$1))</f>
        <v xml:space="preserve"> </v>
      </c>
      <c r="I936" s="28" t="str">
        <f>IF($C936=""," ",[1]!i_pq_pctchange($C936,I$6,$N$1))</f>
        <v xml:space="preserve"> </v>
      </c>
      <c r="J936" s="28" t="str">
        <f>IF($C936=""," ",[1]!i_pq_pctchange($C936,J$6,$N$1))</f>
        <v xml:space="preserve"> </v>
      </c>
      <c r="K936" s="28" t="str">
        <f>IF($C936=""," ",[1]!i_pq_pctchange($C936,K$6,$N$1))</f>
        <v xml:space="preserve"> </v>
      </c>
      <c r="L936" s="28" t="str">
        <f>IF(C936=""," ",[1]!s_wq_pctchange($C936,$N$1))</f>
        <v xml:space="preserve"> </v>
      </c>
      <c r="M936" s="28" t="str">
        <f>IF(C936=""," ",[1]!s_mq_pctchange($C936,$N$1))</f>
        <v xml:space="preserve"> </v>
      </c>
      <c r="N936" s="28" t="str">
        <f>IF(C936=""," ",[1]!s_yq_pctchange($C936,$N$1))</f>
        <v xml:space="preserve"> </v>
      </c>
      <c r="O936" s="11"/>
      <c r="P936" s="7"/>
    </row>
    <row r="937" spans="1:16" x14ac:dyDescent="0.35">
      <c r="A937" s="7"/>
      <c r="C937" s="30" t="str">
        <f>IF(指数列表!B934="","",指数列表!B934)</f>
        <v/>
      </c>
      <c r="D937" s="35" t="str">
        <f>IF(C937="","",[1]!s_info_name(C937))</f>
        <v/>
      </c>
      <c r="E937" s="24" t="str">
        <f>IF(C937="","",[1]!s_dq_close(C937,$N$1))</f>
        <v/>
      </c>
      <c r="F937" s="28" t="str">
        <f>IF($C937=""," ",[1]!i_pq_pctchange($C937,F$6,$N$1))</f>
        <v xml:space="preserve"> </v>
      </c>
      <c r="G937" s="28" t="str">
        <f>IF($C937=""," ",[1]!i_pq_pctchange($C937,G$6,$N$1))</f>
        <v xml:space="preserve"> </v>
      </c>
      <c r="H937" s="28" t="str">
        <f>IF($C937=""," ",[1]!i_pq_pctchange($C937,H$6,$N$1))</f>
        <v xml:space="preserve"> </v>
      </c>
      <c r="I937" s="28" t="str">
        <f>IF($C937=""," ",[1]!i_pq_pctchange($C937,I$6,$N$1))</f>
        <v xml:space="preserve"> </v>
      </c>
      <c r="J937" s="28" t="str">
        <f>IF($C937=""," ",[1]!i_pq_pctchange($C937,J$6,$N$1))</f>
        <v xml:space="preserve"> </v>
      </c>
      <c r="K937" s="28" t="str">
        <f>IF($C937=""," ",[1]!i_pq_pctchange($C937,K$6,$N$1))</f>
        <v xml:space="preserve"> </v>
      </c>
      <c r="L937" s="28" t="str">
        <f>IF(C937=""," ",[1]!s_wq_pctchange($C937,$N$1))</f>
        <v xml:space="preserve"> </v>
      </c>
      <c r="M937" s="28" t="str">
        <f>IF(C937=""," ",[1]!s_mq_pctchange($C937,$N$1))</f>
        <v xml:space="preserve"> </v>
      </c>
      <c r="N937" s="28" t="str">
        <f>IF(C937=""," ",[1]!s_yq_pctchange($C937,$N$1))</f>
        <v xml:space="preserve"> </v>
      </c>
      <c r="O937" s="11"/>
      <c r="P937" s="7"/>
    </row>
    <row r="938" spans="1:16" x14ac:dyDescent="0.35">
      <c r="A938" s="7"/>
      <c r="C938" s="31" t="str">
        <f>IF(指数列表!B935="","",指数列表!B935)</f>
        <v/>
      </c>
      <c r="D938" s="36" t="str">
        <f>IF(C938="","",[1]!s_info_name(C938))</f>
        <v/>
      </c>
      <c r="E938" s="25" t="str">
        <f>IF(C938="","",[1]!s_dq_close(C938,$N$1))</f>
        <v/>
      </c>
      <c r="F938" s="28" t="str">
        <f>IF($C938=""," ",[1]!i_pq_pctchange($C938,F$6,$N$1))</f>
        <v xml:space="preserve"> </v>
      </c>
      <c r="G938" s="28" t="str">
        <f>IF($C938=""," ",[1]!i_pq_pctchange($C938,G$6,$N$1))</f>
        <v xml:space="preserve"> </v>
      </c>
      <c r="H938" s="28" t="str">
        <f>IF($C938=""," ",[1]!i_pq_pctchange($C938,H$6,$N$1))</f>
        <v xml:space="preserve"> </v>
      </c>
      <c r="I938" s="28" t="str">
        <f>IF($C938=""," ",[1]!i_pq_pctchange($C938,I$6,$N$1))</f>
        <v xml:space="preserve"> </v>
      </c>
      <c r="J938" s="28" t="str">
        <f>IF($C938=""," ",[1]!i_pq_pctchange($C938,J$6,$N$1))</f>
        <v xml:space="preserve"> </v>
      </c>
      <c r="K938" s="28" t="str">
        <f>IF($C938=""," ",[1]!i_pq_pctchange($C938,K$6,$N$1))</f>
        <v xml:space="preserve"> </v>
      </c>
      <c r="L938" s="28" t="str">
        <f>IF(C938=""," ",[1]!s_wq_pctchange($C938,$N$1))</f>
        <v xml:space="preserve"> </v>
      </c>
      <c r="M938" s="28" t="str">
        <f>IF(C938=""," ",[1]!s_mq_pctchange($C938,$N$1))</f>
        <v xml:space="preserve"> </v>
      </c>
      <c r="N938" s="28" t="str">
        <f>IF(C938=""," ",[1]!s_yq_pctchange($C938,$N$1))</f>
        <v xml:space="preserve"> </v>
      </c>
      <c r="O938" s="11"/>
      <c r="P938" s="7"/>
    </row>
    <row r="939" spans="1:16" x14ac:dyDescent="0.35">
      <c r="A939" s="7"/>
      <c r="C939" s="30" t="str">
        <f>IF(指数列表!B936="","",指数列表!B936)</f>
        <v/>
      </c>
      <c r="D939" s="35" t="str">
        <f>IF(C939="","",[1]!s_info_name(C939))</f>
        <v/>
      </c>
      <c r="E939" s="24" t="str">
        <f>IF(C939="","",[1]!s_dq_close(C939,$N$1))</f>
        <v/>
      </c>
      <c r="F939" s="28" t="str">
        <f>IF($C939=""," ",[1]!i_pq_pctchange($C939,F$6,$N$1))</f>
        <v xml:space="preserve"> </v>
      </c>
      <c r="G939" s="28" t="str">
        <f>IF($C939=""," ",[1]!i_pq_pctchange($C939,G$6,$N$1))</f>
        <v xml:space="preserve"> </v>
      </c>
      <c r="H939" s="28" t="str">
        <f>IF($C939=""," ",[1]!i_pq_pctchange($C939,H$6,$N$1))</f>
        <v xml:space="preserve"> </v>
      </c>
      <c r="I939" s="28" t="str">
        <f>IF($C939=""," ",[1]!i_pq_pctchange($C939,I$6,$N$1))</f>
        <v xml:space="preserve"> </v>
      </c>
      <c r="J939" s="28" t="str">
        <f>IF($C939=""," ",[1]!i_pq_pctchange($C939,J$6,$N$1))</f>
        <v xml:space="preserve"> </v>
      </c>
      <c r="K939" s="28" t="str">
        <f>IF($C939=""," ",[1]!i_pq_pctchange($C939,K$6,$N$1))</f>
        <v xml:space="preserve"> </v>
      </c>
      <c r="L939" s="28" t="str">
        <f>IF(C939=""," ",[1]!s_wq_pctchange($C939,$N$1))</f>
        <v xml:space="preserve"> </v>
      </c>
      <c r="M939" s="28" t="str">
        <f>IF(C939=""," ",[1]!s_mq_pctchange($C939,$N$1))</f>
        <v xml:space="preserve"> </v>
      </c>
      <c r="N939" s="28" t="str">
        <f>IF(C939=""," ",[1]!s_yq_pctchange($C939,$N$1))</f>
        <v xml:space="preserve"> </v>
      </c>
      <c r="O939" s="11"/>
      <c r="P939" s="7"/>
    </row>
    <row r="940" spans="1:16" x14ac:dyDescent="0.35">
      <c r="A940" s="7"/>
      <c r="C940" s="31" t="str">
        <f>IF(指数列表!B937="","",指数列表!B937)</f>
        <v/>
      </c>
      <c r="D940" s="36" t="str">
        <f>IF(C940="","",[1]!s_info_name(C940))</f>
        <v/>
      </c>
      <c r="E940" s="25" t="str">
        <f>IF(C940="","",[1]!s_dq_close(C940,$N$1))</f>
        <v/>
      </c>
      <c r="F940" s="28" t="str">
        <f>IF($C940=""," ",[1]!i_pq_pctchange($C940,F$6,$N$1))</f>
        <v xml:space="preserve"> </v>
      </c>
      <c r="G940" s="28" t="str">
        <f>IF($C940=""," ",[1]!i_pq_pctchange($C940,G$6,$N$1))</f>
        <v xml:space="preserve"> </v>
      </c>
      <c r="H940" s="28" t="str">
        <f>IF($C940=""," ",[1]!i_pq_pctchange($C940,H$6,$N$1))</f>
        <v xml:space="preserve"> </v>
      </c>
      <c r="I940" s="28" t="str">
        <f>IF($C940=""," ",[1]!i_pq_pctchange($C940,I$6,$N$1))</f>
        <v xml:space="preserve"> </v>
      </c>
      <c r="J940" s="28" t="str">
        <f>IF($C940=""," ",[1]!i_pq_pctchange($C940,J$6,$N$1))</f>
        <v xml:space="preserve"> </v>
      </c>
      <c r="K940" s="28" t="str">
        <f>IF($C940=""," ",[1]!i_pq_pctchange($C940,K$6,$N$1))</f>
        <v xml:space="preserve"> </v>
      </c>
      <c r="L940" s="28" t="str">
        <f>IF(C940=""," ",[1]!s_wq_pctchange($C940,$N$1))</f>
        <v xml:space="preserve"> </v>
      </c>
      <c r="M940" s="28" t="str">
        <f>IF(C940=""," ",[1]!s_mq_pctchange($C940,$N$1))</f>
        <v xml:space="preserve"> </v>
      </c>
      <c r="N940" s="28" t="str">
        <f>IF(C940=""," ",[1]!s_yq_pctchange($C940,$N$1))</f>
        <v xml:space="preserve"> </v>
      </c>
      <c r="O940" s="11"/>
      <c r="P940" s="7"/>
    </row>
    <row r="941" spans="1:16" x14ac:dyDescent="0.35">
      <c r="A941" s="7"/>
      <c r="C941" s="30" t="str">
        <f>IF(指数列表!B938="","",指数列表!B938)</f>
        <v/>
      </c>
      <c r="D941" s="35" t="str">
        <f>IF(C941="","",[1]!s_info_name(C941))</f>
        <v/>
      </c>
      <c r="E941" s="24" t="str">
        <f>IF(C941="","",[1]!s_dq_close(C941,$N$1))</f>
        <v/>
      </c>
      <c r="F941" s="28" t="str">
        <f>IF($C941=""," ",[1]!i_pq_pctchange($C941,F$6,$N$1))</f>
        <v xml:space="preserve"> </v>
      </c>
      <c r="G941" s="28" t="str">
        <f>IF($C941=""," ",[1]!i_pq_pctchange($C941,G$6,$N$1))</f>
        <v xml:space="preserve"> </v>
      </c>
      <c r="H941" s="28" t="str">
        <f>IF($C941=""," ",[1]!i_pq_pctchange($C941,H$6,$N$1))</f>
        <v xml:space="preserve"> </v>
      </c>
      <c r="I941" s="28" t="str">
        <f>IF($C941=""," ",[1]!i_pq_pctchange($C941,I$6,$N$1))</f>
        <v xml:space="preserve"> </v>
      </c>
      <c r="J941" s="28" t="str">
        <f>IF($C941=""," ",[1]!i_pq_pctchange($C941,J$6,$N$1))</f>
        <v xml:space="preserve"> </v>
      </c>
      <c r="K941" s="28" t="str">
        <f>IF($C941=""," ",[1]!i_pq_pctchange($C941,K$6,$N$1))</f>
        <v xml:space="preserve"> </v>
      </c>
      <c r="L941" s="28" t="str">
        <f>IF(C941=""," ",[1]!s_wq_pctchange($C941,$N$1))</f>
        <v xml:space="preserve"> </v>
      </c>
      <c r="M941" s="28" t="str">
        <f>IF(C941=""," ",[1]!s_mq_pctchange($C941,$N$1))</f>
        <v xml:space="preserve"> </v>
      </c>
      <c r="N941" s="28" t="str">
        <f>IF(C941=""," ",[1]!s_yq_pctchange($C941,$N$1))</f>
        <v xml:space="preserve"> </v>
      </c>
      <c r="O941" s="11"/>
      <c r="P941" s="7"/>
    </row>
    <row r="942" spans="1:16" x14ac:dyDescent="0.35">
      <c r="A942" s="7"/>
      <c r="C942" s="31" t="str">
        <f>IF(指数列表!B939="","",指数列表!B939)</f>
        <v/>
      </c>
      <c r="D942" s="36" t="str">
        <f>IF(C942="","",[1]!s_info_name(C942))</f>
        <v/>
      </c>
      <c r="E942" s="25" t="str">
        <f>IF(C942="","",[1]!s_dq_close(C942,$N$1))</f>
        <v/>
      </c>
      <c r="F942" s="28" t="str">
        <f>IF($C942=""," ",[1]!i_pq_pctchange($C942,F$6,$N$1))</f>
        <v xml:space="preserve"> </v>
      </c>
      <c r="G942" s="28" t="str">
        <f>IF($C942=""," ",[1]!i_pq_pctchange($C942,G$6,$N$1))</f>
        <v xml:space="preserve"> </v>
      </c>
      <c r="H942" s="28" t="str">
        <f>IF($C942=""," ",[1]!i_pq_pctchange($C942,H$6,$N$1))</f>
        <v xml:space="preserve"> </v>
      </c>
      <c r="I942" s="28" t="str">
        <f>IF($C942=""," ",[1]!i_pq_pctchange($C942,I$6,$N$1))</f>
        <v xml:space="preserve"> </v>
      </c>
      <c r="J942" s="28" t="str">
        <f>IF($C942=""," ",[1]!i_pq_pctchange($C942,J$6,$N$1))</f>
        <v xml:space="preserve"> </v>
      </c>
      <c r="K942" s="28" t="str">
        <f>IF($C942=""," ",[1]!i_pq_pctchange($C942,K$6,$N$1))</f>
        <v xml:space="preserve"> </v>
      </c>
      <c r="L942" s="28" t="str">
        <f>IF(C942=""," ",[1]!s_wq_pctchange($C942,$N$1))</f>
        <v xml:space="preserve"> </v>
      </c>
      <c r="M942" s="28" t="str">
        <f>IF(C942=""," ",[1]!s_mq_pctchange($C942,$N$1))</f>
        <v xml:space="preserve"> </v>
      </c>
      <c r="N942" s="28" t="str">
        <f>IF(C942=""," ",[1]!s_yq_pctchange($C942,$N$1))</f>
        <v xml:space="preserve"> </v>
      </c>
      <c r="O942" s="11"/>
      <c r="P942" s="7"/>
    </row>
    <row r="943" spans="1:16" x14ac:dyDescent="0.35">
      <c r="A943" s="7"/>
      <c r="C943" s="30" t="str">
        <f>IF(指数列表!B940="","",指数列表!B940)</f>
        <v/>
      </c>
      <c r="D943" s="35" t="str">
        <f>IF(C943="","",[1]!s_info_name(C943))</f>
        <v/>
      </c>
      <c r="E943" s="24" t="str">
        <f>IF(C943="","",[1]!s_dq_close(C943,$N$1))</f>
        <v/>
      </c>
      <c r="F943" s="28" t="str">
        <f>IF($C943=""," ",[1]!i_pq_pctchange($C943,F$6,$N$1))</f>
        <v xml:space="preserve"> </v>
      </c>
      <c r="G943" s="28" t="str">
        <f>IF($C943=""," ",[1]!i_pq_pctchange($C943,G$6,$N$1))</f>
        <v xml:space="preserve"> </v>
      </c>
      <c r="H943" s="28" t="str">
        <f>IF($C943=""," ",[1]!i_pq_pctchange($C943,H$6,$N$1))</f>
        <v xml:space="preserve"> </v>
      </c>
      <c r="I943" s="28" t="str">
        <f>IF($C943=""," ",[1]!i_pq_pctchange($C943,I$6,$N$1))</f>
        <v xml:space="preserve"> </v>
      </c>
      <c r="J943" s="28" t="str">
        <f>IF($C943=""," ",[1]!i_pq_pctchange($C943,J$6,$N$1))</f>
        <v xml:space="preserve"> </v>
      </c>
      <c r="K943" s="28" t="str">
        <f>IF($C943=""," ",[1]!i_pq_pctchange($C943,K$6,$N$1))</f>
        <v xml:space="preserve"> </v>
      </c>
      <c r="L943" s="28" t="str">
        <f>IF(C943=""," ",[1]!s_wq_pctchange($C943,$N$1))</f>
        <v xml:space="preserve"> </v>
      </c>
      <c r="M943" s="28" t="str">
        <f>IF(C943=""," ",[1]!s_mq_pctchange($C943,$N$1))</f>
        <v xml:space="preserve"> </v>
      </c>
      <c r="N943" s="28" t="str">
        <f>IF(C943=""," ",[1]!s_yq_pctchange($C943,$N$1))</f>
        <v xml:space="preserve"> </v>
      </c>
      <c r="O943" s="11"/>
      <c r="P943" s="7"/>
    </row>
    <row r="944" spans="1:16" x14ac:dyDescent="0.35">
      <c r="A944" s="7"/>
      <c r="C944" s="31" t="str">
        <f>IF(指数列表!B941="","",指数列表!B941)</f>
        <v/>
      </c>
      <c r="D944" s="36" t="str">
        <f>IF(C944="","",[1]!s_info_name(C944))</f>
        <v/>
      </c>
      <c r="E944" s="25" t="str">
        <f>IF(C944="","",[1]!s_dq_close(C944,$N$1))</f>
        <v/>
      </c>
      <c r="F944" s="28" t="str">
        <f>IF($C944=""," ",[1]!i_pq_pctchange($C944,F$6,$N$1))</f>
        <v xml:space="preserve"> </v>
      </c>
      <c r="G944" s="28" t="str">
        <f>IF($C944=""," ",[1]!i_pq_pctchange($C944,G$6,$N$1))</f>
        <v xml:space="preserve"> </v>
      </c>
      <c r="H944" s="28" t="str">
        <f>IF($C944=""," ",[1]!i_pq_pctchange($C944,H$6,$N$1))</f>
        <v xml:space="preserve"> </v>
      </c>
      <c r="I944" s="28" t="str">
        <f>IF($C944=""," ",[1]!i_pq_pctchange($C944,I$6,$N$1))</f>
        <v xml:space="preserve"> </v>
      </c>
      <c r="J944" s="28" t="str">
        <f>IF($C944=""," ",[1]!i_pq_pctchange($C944,J$6,$N$1))</f>
        <v xml:space="preserve"> </v>
      </c>
      <c r="K944" s="28" t="str">
        <f>IF($C944=""," ",[1]!i_pq_pctchange($C944,K$6,$N$1))</f>
        <v xml:space="preserve"> </v>
      </c>
      <c r="L944" s="28" t="str">
        <f>IF(C944=""," ",[1]!s_wq_pctchange($C944,$N$1))</f>
        <v xml:space="preserve"> </v>
      </c>
      <c r="M944" s="28" t="str">
        <f>IF(C944=""," ",[1]!s_mq_pctchange($C944,$N$1))</f>
        <v xml:space="preserve"> </v>
      </c>
      <c r="N944" s="28" t="str">
        <f>IF(C944=""," ",[1]!s_yq_pctchange($C944,$N$1))</f>
        <v xml:space="preserve"> </v>
      </c>
      <c r="O944" s="11"/>
      <c r="P944" s="7"/>
    </row>
    <row r="945" spans="1:16" x14ac:dyDescent="0.35">
      <c r="A945" s="7"/>
      <c r="C945" s="30" t="str">
        <f>IF(指数列表!B942="","",指数列表!B942)</f>
        <v/>
      </c>
      <c r="D945" s="35" t="str">
        <f>IF(C945="","",[1]!s_info_name(C945))</f>
        <v/>
      </c>
      <c r="E945" s="24" t="str">
        <f>IF(C945="","",[1]!s_dq_close(C945,$N$1))</f>
        <v/>
      </c>
      <c r="F945" s="28" t="str">
        <f>IF($C945=""," ",[1]!i_pq_pctchange($C945,F$6,$N$1))</f>
        <v xml:space="preserve"> </v>
      </c>
      <c r="G945" s="28" t="str">
        <f>IF($C945=""," ",[1]!i_pq_pctchange($C945,G$6,$N$1))</f>
        <v xml:space="preserve"> </v>
      </c>
      <c r="H945" s="28" t="str">
        <f>IF($C945=""," ",[1]!i_pq_pctchange($C945,H$6,$N$1))</f>
        <v xml:space="preserve"> </v>
      </c>
      <c r="I945" s="28" t="str">
        <f>IF($C945=""," ",[1]!i_pq_pctchange($C945,I$6,$N$1))</f>
        <v xml:space="preserve"> </v>
      </c>
      <c r="J945" s="28" t="str">
        <f>IF($C945=""," ",[1]!i_pq_pctchange($C945,J$6,$N$1))</f>
        <v xml:space="preserve"> </v>
      </c>
      <c r="K945" s="28" t="str">
        <f>IF($C945=""," ",[1]!i_pq_pctchange($C945,K$6,$N$1))</f>
        <v xml:space="preserve"> </v>
      </c>
      <c r="L945" s="28" t="str">
        <f>IF(C945=""," ",[1]!s_wq_pctchange($C945,$N$1))</f>
        <v xml:space="preserve"> </v>
      </c>
      <c r="M945" s="28" t="str">
        <f>IF(C945=""," ",[1]!s_mq_pctchange($C945,$N$1))</f>
        <v xml:space="preserve"> </v>
      </c>
      <c r="N945" s="28" t="str">
        <f>IF(C945=""," ",[1]!s_yq_pctchange($C945,$N$1))</f>
        <v xml:space="preserve"> </v>
      </c>
      <c r="O945" s="11"/>
      <c r="P945" s="7"/>
    </row>
    <row r="946" spans="1:16" x14ac:dyDescent="0.35">
      <c r="A946" s="7"/>
      <c r="C946" s="31" t="str">
        <f>IF(指数列表!B943="","",指数列表!B943)</f>
        <v/>
      </c>
      <c r="D946" s="36" t="str">
        <f>IF(C946="","",[1]!s_info_name(C946))</f>
        <v/>
      </c>
      <c r="E946" s="25" t="str">
        <f>IF(C946="","",[1]!s_dq_close(C946,$N$1))</f>
        <v/>
      </c>
      <c r="F946" s="28" t="str">
        <f>IF($C946=""," ",[1]!i_pq_pctchange($C946,F$6,$N$1))</f>
        <v xml:space="preserve"> </v>
      </c>
      <c r="G946" s="28" t="str">
        <f>IF($C946=""," ",[1]!i_pq_pctchange($C946,G$6,$N$1))</f>
        <v xml:space="preserve"> </v>
      </c>
      <c r="H946" s="28" t="str">
        <f>IF($C946=""," ",[1]!i_pq_pctchange($C946,H$6,$N$1))</f>
        <v xml:space="preserve"> </v>
      </c>
      <c r="I946" s="28" t="str">
        <f>IF($C946=""," ",[1]!i_pq_pctchange($C946,I$6,$N$1))</f>
        <v xml:space="preserve"> </v>
      </c>
      <c r="J946" s="28" t="str">
        <f>IF($C946=""," ",[1]!i_pq_pctchange($C946,J$6,$N$1))</f>
        <v xml:space="preserve"> </v>
      </c>
      <c r="K946" s="28" t="str">
        <f>IF($C946=""," ",[1]!i_pq_pctchange($C946,K$6,$N$1))</f>
        <v xml:space="preserve"> </v>
      </c>
      <c r="L946" s="28" t="str">
        <f>IF(C946=""," ",[1]!s_wq_pctchange($C946,$N$1))</f>
        <v xml:space="preserve"> </v>
      </c>
      <c r="M946" s="28" t="str">
        <f>IF(C946=""," ",[1]!s_mq_pctchange($C946,$N$1))</f>
        <v xml:space="preserve"> </v>
      </c>
      <c r="N946" s="28" t="str">
        <f>IF(C946=""," ",[1]!s_yq_pctchange($C946,$N$1))</f>
        <v xml:space="preserve"> </v>
      </c>
      <c r="O946" s="11"/>
      <c r="P946" s="7"/>
    </row>
    <row r="947" spans="1:16" x14ac:dyDescent="0.35">
      <c r="A947" s="7"/>
      <c r="C947" s="30" t="str">
        <f>IF(指数列表!B944="","",指数列表!B944)</f>
        <v/>
      </c>
      <c r="D947" s="35" t="str">
        <f>IF(C947="","",[1]!s_info_name(C947))</f>
        <v/>
      </c>
      <c r="E947" s="24" t="str">
        <f>IF(C947="","",[1]!s_dq_close(C947,$N$1))</f>
        <v/>
      </c>
      <c r="F947" s="28" t="str">
        <f>IF($C947=""," ",[1]!i_pq_pctchange($C947,F$6,$N$1))</f>
        <v xml:space="preserve"> </v>
      </c>
      <c r="G947" s="28" t="str">
        <f>IF($C947=""," ",[1]!i_pq_pctchange($C947,G$6,$N$1))</f>
        <v xml:space="preserve"> </v>
      </c>
      <c r="H947" s="28" t="str">
        <f>IF($C947=""," ",[1]!i_pq_pctchange($C947,H$6,$N$1))</f>
        <v xml:space="preserve"> </v>
      </c>
      <c r="I947" s="28" t="str">
        <f>IF($C947=""," ",[1]!i_pq_pctchange($C947,I$6,$N$1))</f>
        <v xml:space="preserve"> </v>
      </c>
      <c r="J947" s="28" t="str">
        <f>IF($C947=""," ",[1]!i_pq_pctchange($C947,J$6,$N$1))</f>
        <v xml:space="preserve"> </v>
      </c>
      <c r="K947" s="28" t="str">
        <f>IF($C947=""," ",[1]!i_pq_pctchange($C947,K$6,$N$1))</f>
        <v xml:space="preserve"> </v>
      </c>
      <c r="L947" s="28" t="str">
        <f>IF(C947=""," ",[1]!s_wq_pctchange($C947,$N$1))</f>
        <v xml:space="preserve"> </v>
      </c>
      <c r="M947" s="28" t="str">
        <f>IF(C947=""," ",[1]!s_mq_pctchange($C947,$N$1))</f>
        <v xml:space="preserve"> </v>
      </c>
      <c r="N947" s="28" t="str">
        <f>IF(C947=""," ",[1]!s_yq_pctchange($C947,$N$1))</f>
        <v xml:space="preserve"> </v>
      </c>
      <c r="O947" s="11"/>
      <c r="P947" s="7"/>
    </row>
    <row r="948" spans="1:16" x14ac:dyDescent="0.35">
      <c r="A948" s="7"/>
      <c r="C948" s="31" t="str">
        <f>IF(指数列表!B945="","",指数列表!B945)</f>
        <v/>
      </c>
      <c r="D948" s="36" t="str">
        <f>IF(C948="","",[1]!s_info_name(C948))</f>
        <v/>
      </c>
      <c r="E948" s="25" t="str">
        <f>IF(C948="","",[1]!s_dq_close(C948,$N$1))</f>
        <v/>
      </c>
      <c r="F948" s="28" t="str">
        <f>IF($C948=""," ",[1]!i_pq_pctchange($C948,F$6,$N$1))</f>
        <v xml:space="preserve"> </v>
      </c>
      <c r="G948" s="28" t="str">
        <f>IF($C948=""," ",[1]!i_pq_pctchange($C948,G$6,$N$1))</f>
        <v xml:space="preserve"> </v>
      </c>
      <c r="H948" s="28" t="str">
        <f>IF($C948=""," ",[1]!i_pq_pctchange($C948,H$6,$N$1))</f>
        <v xml:space="preserve"> </v>
      </c>
      <c r="I948" s="28" t="str">
        <f>IF($C948=""," ",[1]!i_pq_pctchange($C948,I$6,$N$1))</f>
        <v xml:space="preserve"> </v>
      </c>
      <c r="J948" s="28" t="str">
        <f>IF($C948=""," ",[1]!i_pq_pctchange($C948,J$6,$N$1))</f>
        <v xml:space="preserve"> </v>
      </c>
      <c r="K948" s="28" t="str">
        <f>IF($C948=""," ",[1]!i_pq_pctchange($C948,K$6,$N$1))</f>
        <v xml:space="preserve"> </v>
      </c>
      <c r="L948" s="28" t="str">
        <f>IF(C948=""," ",[1]!s_wq_pctchange($C948,$N$1))</f>
        <v xml:space="preserve"> </v>
      </c>
      <c r="M948" s="28" t="str">
        <f>IF(C948=""," ",[1]!s_mq_pctchange($C948,$N$1))</f>
        <v xml:space="preserve"> </v>
      </c>
      <c r="N948" s="28" t="str">
        <f>IF(C948=""," ",[1]!s_yq_pctchange($C948,$N$1))</f>
        <v xml:space="preserve"> </v>
      </c>
      <c r="O948" s="11"/>
      <c r="P948" s="7"/>
    </row>
    <row r="949" spans="1:16" x14ac:dyDescent="0.35">
      <c r="A949" s="7"/>
      <c r="C949" s="30" t="str">
        <f>IF(指数列表!B946="","",指数列表!B946)</f>
        <v/>
      </c>
      <c r="D949" s="35" t="str">
        <f>IF(C949="","",[1]!s_info_name(C949))</f>
        <v/>
      </c>
      <c r="E949" s="24" t="str">
        <f>IF(C949="","",[1]!s_dq_close(C949,$N$1))</f>
        <v/>
      </c>
      <c r="F949" s="28" t="str">
        <f>IF($C949=""," ",[1]!i_pq_pctchange($C949,F$6,$N$1))</f>
        <v xml:space="preserve"> </v>
      </c>
      <c r="G949" s="28" t="str">
        <f>IF($C949=""," ",[1]!i_pq_pctchange($C949,G$6,$N$1))</f>
        <v xml:space="preserve"> </v>
      </c>
      <c r="H949" s="28" t="str">
        <f>IF($C949=""," ",[1]!i_pq_pctchange($C949,H$6,$N$1))</f>
        <v xml:space="preserve"> </v>
      </c>
      <c r="I949" s="28" t="str">
        <f>IF($C949=""," ",[1]!i_pq_pctchange($C949,I$6,$N$1))</f>
        <v xml:space="preserve"> </v>
      </c>
      <c r="J949" s="28" t="str">
        <f>IF($C949=""," ",[1]!i_pq_pctchange($C949,J$6,$N$1))</f>
        <v xml:space="preserve"> </v>
      </c>
      <c r="K949" s="28" t="str">
        <f>IF($C949=""," ",[1]!i_pq_pctchange($C949,K$6,$N$1))</f>
        <v xml:space="preserve"> </v>
      </c>
      <c r="L949" s="28" t="str">
        <f>IF(C949=""," ",[1]!s_wq_pctchange($C949,$N$1))</f>
        <v xml:space="preserve"> </v>
      </c>
      <c r="M949" s="28" t="str">
        <f>IF(C949=""," ",[1]!s_mq_pctchange($C949,$N$1))</f>
        <v xml:space="preserve"> </v>
      </c>
      <c r="N949" s="28" t="str">
        <f>IF(C949=""," ",[1]!s_yq_pctchange($C949,$N$1))</f>
        <v xml:space="preserve"> </v>
      </c>
      <c r="O949" s="11"/>
      <c r="P949" s="7"/>
    </row>
    <row r="950" spans="1:16" x14ac:dyDescent="0.35">
      <c r="A950" s="7"/>
      <c r="C950" s="31" t="str">
        <f>IF(指数列表!B947="","",指数列表!B947)</f>
        <v/>
      </c>
      <c r="D950" s="36" t="str">
        <f>IF(C950="","",[1]!s_info_name(C950))</f>
        <v/>
      </c>
      <c r="E950" s="25" t="str">
        <f>IF(C950="","",[1]!s_dq_close(C950,$N$1))</f>
        <v/>
      </c>
      <c r="F950" s="28" t="str">
        <f>IF($C950=""," ",[1]!i_pq_pctchange($C950,F$6,$N$1))</f>
        <v xml:space="preserve"> </v>
      </c>
      <c r="G950" s="28" t="str">
        <f>IF($C950=""," ",[1]!i_pq_pctchange($C950,G$6,$N$1))</f>
        <v xml:space="preserve"> </v>
      </c>
      <c r="H950" s="28" t="str">
        <f>IF($C950=""," ",[1]!i_pq_pctchange($C950,H$6,$N$1))</f>
        <v xml:space="preserve"> </v>
      </c>
      <c r="I950" s="28" t="str">
        <f>IF($C950=""," ",[1]!i_pq_pctchange($C950,I$6,$N$1))</f>
        <v xml:space="preserve"> </v>
      </c>
      <c r="J950" s="28" t="str">
        <f>IF($C950=""," ",[1]!i_pq_pctchange($C950,J$6,$N$1))</f>
        <v xml:space="preserve"> </v>
      </c>
      <c r="K950" s="28" t="str">
        <f>IF($C950=""," ",[1]!i_pq_pctchange($C950,K$6,$N$1))</f>
        <v xml:space="preserve"> </v>
      </c>
      <c r="L950" s="28" t="str">
        <f>IF(C950=""," ",[1]!s_wq_pctchange($C950,$N$1))</f>
        <v xml:space="preserve"> </v>
      </c>
      <c r="M950" s="28" t="str">
        <f>IF(C950=""," ",[1]!s_mq_pctchange($C950,$N$1))</f>
        <v xml:space="preserve"> </v>
      </c>
      <c r="N950" s="28" t="str">
        <f>IF(C950=""," ",[1]!s_yq_pctchange($C950,$N$1))</f>
        <v xml:space="preserve"> </v>
      </c>
      <c r="O950" s="11"/>
      <c r="P950" s="7"/>
    </row>
    <row r="951" spans="1:16" x14ac:dyDescent="0.35">
      <c r="A951" s="7"/>
      <c r="C951" s="30" t="str">
        <f>IF(指数列表!B948="","",指数列表!B948)</f>
        <v/>
      </c>
      <c r="D951" s="35" t="str">
        <f>IF(C951="","",[1]!s_info_name(C951))</f>
        <v/>
      </c>
      <c r="E951" s="24" t="str">
        <f>IF(C951="","",[1]!s_dq_close(C951,$N$1))</f>
        <v/>
      </c>
      <c r="F951" s="28" t="str">
        <f>IF($C951=""," ",[1]!i_pq_pctchange($C951,F$6,$N$1))</f>
        <v xml:space="preserve"> </v>
      </c>
      <c r="G951" s="28" t="str">
        <f>IF($C951=""," ",[1]!i_pq_pctchange($C951,G$6,$N$1))</f>
        <v xml:space="preserve"> </v>
      </c>
      <c r="H951" s="28" t="str">
        <f>IF($C951=""," ",[1]!i_pq_pctchange($C951,H$6,$N$1))</f>
        <v xml:space="preserve"> </v>
      </c>
      <c r="I951" s="28" t="str">
        <f>IF($C951=""," ",[1]!i_pq_pctchange($C951,I$6,$N$1))</f>
        <v xml:space="preserve"> </v>
      </c>
      <c r="J951" s="28" t="str">
        <f>IF($C951=""," ",[1]!i_pq_pctchange($C951,J$6,$N$1))</f>
        <v xml:space="preserve"> </v>
      </c>
      <c r="K951" s="28" t="str">
        <f>IF($C951=""," ",[1]!i_pq_pctchange($C951,K$6,$N$1))</f>
        <v xml:space="preserve"> </v>
      </c>
      <c r="L951" s="28" t="str">
        <f>IF(C951=""," ",[1]!s_wq_pctchange($C951,$N$1))</f>
        <v xml:space="preserve"> </v>
      </c>
      <c r="M951" s="28" t="str">
        <f>IF(C951=""," ",[1]!s_mq_pctchange($C951,$N$1))</f>
        <v xml:space="preserve"> </v>
      </c>
      <c r="N951" s="28" t="str">
        <f>IF(C951=""," ",[1]!s_yq_pctchange($C951,$N$1))</f>
        <v xml:space="preserve"> </v>
      </c>
      <c r="O951" s="11"/>
      <c r="P951" s="7"/>
    </row>
    <row r="952" spans="1:16" x14ac:dyDescent="0.35">
      <c r="A952" s="7"/>
      <c r="C952" s="31" t="str">
        <f>IF(指数列表!B949="","",指数列表!B949)</f>
        <v/>
      </c>
      <c r="D952" s="36" t="str">
        <f>IF(C952="","",[1]!s_info_name(C952))</f>
        <v/>
      </c>
      <c r="E952" s="25" t="str">
        <f>IF(C952="","",[1]!s_dq_close(C952,$N$1))</f>
        <v/>
      </c>
      <c r="F952" s="28" t="str">
        <f>IF($C952=""," ",[1]!i_pq_pctchange($C952,F$6,$N$1))</f>
        <v xml:space="preserve"> </v>
      </c>
      <c r="G952" s="28" t="str">
        <f>IF($C952=""," ",[1]!i_pq_pctchange($C952,G$6,$N$1))</f>
        <v xml:space="preserve"> </v>
      </c>
      <c r="H952" s="28" t="str">
        <f>IF($C952=""," ",[1]!i_pq_pctchange($C952,H$6,$N$1))</f>
        <v xml:space="preserve"> </v>
      </c>
      <c r="I952" s="28" t="str">
        <f>IF($C952=""," ",[1]!i_pq_pctchange($C952,I$6,$N$1))</f>
        <v xml:space="preserve"> </v>
      </c>
      <c r="J952" s="28" t="str">
        <f>IF($C952=""," ",[1]!i_pq_pctchange($C952,J$6,$N$1))</f>
        <v xml:space="preserve"> </v>
      </c>
      <c r="K952" s="28" t="str">
        <f>IF($C952=""," ",[1]!i_pq_pctchange($C952,K$6,$N$1))</f>
        <v xml:space="preserve"> </v>
      </c>
      <c r="L952" s="28" t="str">
        <f>IF(C952=""," ",[1]!s_wq_pctchange($C952,$N$1))</f>
        <v xml:space="preserve"> </v>
      </c>
      <c r="M952" s="28" t="str">
        <f>IF(C952=""," ",[1]!s_mq_pctchange($C952,$N$1))</f>
        <v xml:space="preserve"> </v>
      </c>
      <c r="N952" s="28" t="str">
        <f>IF(C952=""," ",[1]!s_yq_pctchange($C952,$N$1))</f>
        <v xml:space="preserve"> </v>
      </c>
      <c r="O952" s="11"/>
      <c r="P952" s="7"/>
    </row>
    <row r="953" spans="1:16" x14ac:dyDescent="0.35">
      <c r="A953" s="7"/>
      <c r="C953" s="30" t="str">
        <f>IF(指数列表!B950="","",指数列表!B950)</f>
        <v/>
      </c>
      <c r="D953" s="35" t="str">
        <f>IF(C953="","",[1]!s_info_name(C953))</f>
        <v/>
      </c>
      <c r="E953" s="24" t="str">
        <f>IF(C953="","",[1]!s_dq_close(C953,$N$1))</f>
        <v/>
      </c>
      <c r="F953" s="28" t="str">
        <f>IF($C953=""," ",[1]!i_pq_pctchange($C953,F$6,$N$1))</f>
        <v xml:space="preserve"> </v>
      </c>
      <c r="G953" s="28" t="str">
        <f>IF($C953=""," ",[1]!i_pq_pctchange($C953,G$6,$N$1))</f>
        <v xml:space="preserve"> </v>
      </c>
      <c r="H953" s="28" t="str">
        <f>IF($C953=""," ",[1]!i_pq_pctchange($C953,H$6,$N$1))</f>
        <v xml:space="preserve"> </v>
      </c>
      <c r="I953" s="28" t="str">
        <f>IF($C953=""," ",[1]!i_pq_pctchange($C953,I$6,$N$1))</f>
        <v xml:space="preserve"> </v>
      </c>
      <c r="J953" s="28" t="str">
        <f>IF($C953=""," ",[1]!i_pq_pctchange($C953,J$6,$N$1))</f>
        <v xml:space="preserve"> </v>
      </c>
      <c r="K953" s="28" t="str">
        <f>IF($C953=""," ",[1]!i_pq_pctchange($C953,K$6,$N$1))</f>
        <v xml:space="preserve"> </v>
      </c>
      <c r="L953" s="28" t="str">
        <f>IF(C953=""," ",[1]!s_wq_pctchange($C953,$N$1))</f>
        <v xml:space="preserve"> </v>
      </c>
      <c r="M953" s="28" t="str">
        <f>IF(C953=""," ",[1]!s_mq_pctchange($C953,$N$1))</f>
        <v xml:space="preserve"> </v>
      </c>
      <c r="N953" s="28" t="str">
        <f>IF(C953=""," ",[1]!s_yq_pctchange($C953,$N$1))</f>
        <v xml:space="preserve"> </v>
      </c>
      <c r="O953" s="11"/>
      <c r="P953" s="7"/>
    </row>
    <row r="954" spans="1:16" x14ac:dyDescent="0.35">
      <c r="A954" s="7"/>
      <c r="C954" s="31" t="str">
        <f>IF(指数列表!B951="","",指数列表!B951)</f>
        <v/>
      </c>
      <c r="D954" s="36" t="str">
        <f>IF(C954="","",[1]!s_info_name(C954))</f>
        <v/>
      </c>
      <c r="E954" s="25" t="str">
        <f>IF(C954="","",[1]!s_dq_close(C954,$N$1))</f>
        <v/>
      </c>
      <c r="F954" s="28" t="str">
        <f>IF($C954=""," ",[1]!i_pq_pctchange($C954,F$6,$N$1))</f>
        <v xml:space="preserve"> </v>
      </c>
      <c r="G954" s="28" t="str">
        <f>IF($C954=""," ",[1]!i_pq_pctchange($C954,G$6,$N$1))</f>
        <v xml:space="preserve"> </v>
      </c>
      <c r="H954" s="28" t="str">
        <f>IF($C954=""," ",[1]!i_pq_pctchange($C954,H$6,$N$1))</f>
        <v xml:space="preserve"> </v>
      </c>
      <c r="I954" s="28" t="str">
        <f>IF($C954=""," ",[1]!i_pq_pctchange($C954,I$6,$N$1))</f>
        <v xml:space="preserve"> </v>
      </c>
      <c r="J954" s="28" t="str">
        <f>IF($C954=""," ",[1]!i_pq_pctchange($C954,J$6,$N$1))</f>
        <v xml:space="preserve"> </v>
      </c>
      <c r="K954" s="28" t="str">
        <f>IF($C954=""," ",[1]!i_pq_pctchange($C954,K$6,$N$1))</f>
        <v xml:space="preserve"> </v>
      </c>
      <c r="L954" s="28" t="str">
        <f>IF(C954=""," ",[1]!s_wq_pctchange($C954,$N$1))</f>
        <v xml:space="preserve"> </v>
      </c>
      <c r="M954" s="28" t="str">
        <f>IF(C954=""," ",[1]!s_mq_pctchange($C954,$N$1))</f>
        <v xml:space="preserve"> </v>
      </c>
      <c r="N954" s="28" t="str">
        <f>IF(C954=""," ",[1]!s_yq_pctchange($C954,$N$1))</f>
        <v xml:space="preserve"> </v>
      </c>
      <c r="O954" s="11"/>
      <c r="P954" s="7"/>
    </row>
    <row r="955" spans="1:16" x14ac:dyDescent="0.35">
      <c r="A955" s="7"/>
      <c r="C955" s="30" t="str">
        <f>IF(指数列表!B952="","",指数列表!B952)</f>
        <v/>
      </c>
      <c r="D955" s="35" t="str">
        <f>IF(C955="","",[1]!s_info_name(C955))</f>
        <v/>
      </c>
      <c r="E955" s="24" t="str">
        <f>IF(C955="","",[1]!s_dq_close(C955,$N$1))</f>
        <v/>
      </c>
      <c r="F955" s="28" t="str">
        <f>IF($C955=""," ",[1]!i_pq_pctchange($C955,F$6,$N$1))</f>
        <v xml:space="preserve"> </v>
      </c>
      <c r="G955" s="28" t="str">
        <f>IF($C955=""," ",[1]!i_pq_pctchange($C955,G$6,$N$1))</f>
        <v xml:space="preserve"> </v>
      </c>
      <c r="H955" s="28" t="str">
        <f>IF($C955=""," ",[1]!i_pq_pctchange($C955,H$6,$N$1))</f>
        <v xml:space="preserve"> </v>
      </c>
      <c r="I955" s="28" t="str">
        <f>IF($C955=""," ",[1]!i_pq_pctchange($C955,I$6,$N$1))</f>
        <v xml:space="preserve"> </v>
      </c>
      <c r="J955" s="28" t="str">
        <f>IF($C955=""," ",[1]!i_pq_pctchange($C955,J$6,$N$1))</f>
        <v xml:space="preserve"> </v>
      </c>
      <c r="K955" s="28" t="str">
        <f>IF($C955=""," ",[1]!i_pq_pctchange($C955,K$6,$N$1))</f>
        <v xml:space="preserve"> </v>
      </c>
      <c r="L955" s="28" t="str">
        <f>IF(C955=""," ",[1]!s_wq_pctchange($C955,$N$1))</f>
        <v xml:space="preserve"> </v>
      </c>
      <c r="M955" s="28" t="str">
        <f>IF(C955=""," ",[1]!s_mq_pctchange($C955,$N$1))</f>
        <v xml:space="preserve"> </v>
      </c>
      <c r="N955" s="28" t="str">
        <f>IF(C955=""," ",[1]!s_yq_pctchange($C955,$N$1))</f>
        <v xml:space="preserve"> </v>
      </c>
      <c r="O955" s="11"/>
      <c r="P955" s="7"/>
    </row>
    <row r="956" spans="1:16" x14ac:dyDescent="0.35">
      <c r="A956" s="7"/>
      <c r="C956" s="31" t="str">
        <f>IF(指数列表!B953="","",指数列表!B953)</f>
        <v/>
      </c>
      <c r="D956" s="36" t="str">
        <f>IF(C956="","",[1]!s_info_name(C956))</f>
        <v/>
      </c>
      <c r="E956" s="25" t="str">
        <f>IF(C956="","",[1]!s_dq_close(C956,$N$1))</f>
        <v/>
      </c>
      <c r="F956" s="28" t="str">
        <f>IF($C956=""," ",[1]!i_pq_pctchange($C956,F$6,$N$1))</f>
        <v xml:space="preserve"> </v>
      </c>
      <c r="G956" s="28" t="str">
        <f>IF($C956=""," ",[1]!i_pq_pctchange($C956,G$6,$N$1))</f>
        <v xml:space="preserve"> </v>
      </c>
      <c r="H956" s="28" t="str">
        <f>IF($C956=""," ",[1]!i_pq_pctchange($C956,H$6,$N$1))</f>
        <v xml:space="preserve"> </v>
      </c>
      <c r="I956" s="28" t="str">
        <f>IF($C956=""," ",[1]!i_pq_pctchange($C956,I$6,$N$1))</f>
        <v xml:space="preserve"> </v>
      </c>
      <c r="J956" s="28" t="str">
        <f>IF($C956=""," ",[1]!i_pq_pctchange($C956,J$6,$N$1))</f>
        <v xml:space="preserve"> </v>
      </c>
      <c r="K956" s="28" t="str">
        <f>IF($C956=""," ",[1]!i_pq_pctchange($C956,K$6,$N$1))</f>
        <v xml:space="preserve"> </v>
      </c>
      <c r="L956" s="28" t="str">
        <f>IF(C956=""," ",[1]!s_wq_pctchange($C956,$N$1))</f>
        <v xml:space="preserve"> </v>
      </c>
      <c r="M956" s="28" t="str">
        <f>IF(C956=""," ",[1]!s_mq_pctchange($C956,$N$1))</f>
        <v xml:space="preserve"> </v>
      </c>
      <c r="N956" s="28" t="str">
        <f>IF(C956=""," ",[1]!s_yq_pctchange($C956,$N$1))</f>
        <v xml:space="preserve"> </v>
      </c>
      <c r="O956" s="11"/>
      <c r="P956" s="7"/>
    </row>
    <row r="957" spans="1:16" x14ac:dyDescent="0.35">
      <c r="A957" s="7"/>
      <c r="C957" s="30" t="str">
        <f>IF(指数列表!B954="","",指数列表!B954)</f>
        <v/>
      </c>
      <c r="D957" s="35" t="str">
        <f>IF(C957="","",[1]!s_info_name(C957))</f>
        <v/>
      </c>
      <c r="E957" s="24" t="str">
        <f>IF(C957="","",[1]!s_dq_close(C957,$N$1))</f>
        <v/>
      </c>
      <c r="F957" s="28" t="str">
        <f>IF($C957=""," ",[1]!i_pq_pctchange($C957,F$6,$N$1))</f>
        <v xml:space="preserve"> </v>
      </c>
      <c r="G957" s="28" t="str">
        <f>IF($C957=""," ",[1]!i_pq_pctchange($C957,G$6,$N$1))</f>
        <v xml:space="preserve"> </v>
      </c>
      <c r="H957" s="28" t="str">
        <f>IF($C957=""," ",[1]!i_pq_pctchange($C957,H$6,$N$1))</f>
        <v xml:space="preserve"> </v>
      </c>
      <c r="I957" s="28" t="str">
        <f>IF($C957=""," ",[1]!i_pq_pctchange($C957,I$6,$N$1))</f>
        <v xml:space="preserve"> </v>
      </c>
      <c r="J957" s="28" t="str">
        <f>IF($C957=""," ",[1]!i_pq_pctchange($C957,J$6,$N$1))</f>
        <v xml:space="preserve"> </v>
      </c>
      <c r="K957" s="28" t="str">
        <f>IF($C957=""," ",[1]!i_pq_pctchange($C957,K$6,$N$1))</f>
        <v xml:space="preserve"> </v>
      </c>
      <c r="L957" s="28" t="str">
        <f>IF(C957=""," ",[1]!s_wq_pctchange($C957,$N$1))</f>
        <v xml:space="preserve"> </v>
      </c>
      <c r="M957" s="28" t="str">
        <f>IF(C957=""," ",[1]!s_mq_pctchange($C957,$N$1))</f>
        <v xml:space="preserve"> </v>
      </c>
      <c r="N957" s="28" t="str">
        <f>IF(C957=""," ",[1]!s_yq_pctchange($C957,$N$1))</f>
        <v xml:space="preserve"> </v>
      </c>
      <c r="O957" s="11"/>
      <c r="P957" s="7"/>
    </row>
    <row r="958" spans="1:16" x14ac:dyDescent="0.35">
      <c r="A958" s="7"/>
      <c r="C958" s="31" t="str">
        <f>IF(指数列表!B955="","",指数列表!B955)</f>
        <v/>
      </c>
      <c r="D958" s="36" t="str">
        <f>IF(C958="","",[1]!s_info_name(C958))</f>
        <v/>
      </c>
      <c r="E958" s="25" t="str">
        <f>IF(C958="","",[1]!s_dq_close(C958,$N$1))</f>
        <v/>
      </c>
      <c r="F958" s="28" t="str">
        <f>IF($C958=""," ",[1]!i_pq_pctchange($C958,F$6,$N$1))</f>
        <v xml:space="preserve"> </v>
      </c>
      <c r="G958" s="28" t="str">
        <f>IF($C958=""," ",[1]!i_pq_pctchange($C958,G$6,$N$1))</f>
        <v xml:space="preserve"> </v>
      </c>
      <c r="H958" s="28" t="str">
        <f>IF($C958=""," ",[1]!i_pq_pctchange($C958,H$6,$N$1))</f>
        <v xml:space="preserve"> </v>
      </c>
      <c r="I958" s="28" t="str">
        <f>IF($C958=""," ",[1]!i_pq_pctchange($C958,I$6,$N$1))</f>
        <v xml:space="preserve"> </v>
      </c>
      <c r="J958" s="28" t="str">
        <f>IF($C958=""," ",[1]!i_pq_pctchange($C958,J$6,$N$1))</f>
        <v xml:space="preserve"> </v>
      </c>
      <c r="K958" s="28" t="str">
        <f>IF($C958=""," ",[1]!i_pq_pctchange($C958,K$6,$N$1))</f>
        <v xml:space="preserve"> </v>
      </c>
      <c r="L958" s="28" t="str">
        <f>IF(C958=""," ",[1]!s_wq_pctchange($C958,$N$1))</f>
        <v xml:space="preserve"> </v>
      </c>
      <c r="M958" s="28" t="str">
        <f>IF(C958=""," ",[1]!s_mq_pctchange($C958,$N$1))</f>
        <v xml:space="preserve"> </v>
      </c>
      <c r="N958" s="28" t="str">
        <f>IF(C958=""," ",[1]!s_yq_pctchange($C958,$N$1))</f>
        <v xml:space="preserve"> </v>
      </c>
      <c r="O958" s="11"/>
      <c r="P958" s="7"/>
    </row>
    <row r="959" spans="1:16" x14ac:dyDescent="0.35">
      <c r="A959" s="7"/>
      <c r="C959" s="30" t="str">
        <f>IF(指数列表!B956="","",指数列表!B956)</f>
        <v/>
      </c>
      <c r="D959" s="35" t="str">
        <f>IF(C959="","",[1]!s_info_name(C959))</f>
        <v/>
      </c>
      <c r="E959" s="24" t="str">
        <f>IF(C959="","",[1]!s_dq_close(C959,$N$1))</f>
        <v/>
      </c>
      <c r="F959" s="28" t="str">
        <f>IF($C959=""," ",[1]!i_pq_pctchange($C959,F$6,$N$1))</f>
        <v xml:space="preserve"> </v>
      </c>
      <c r="G959" s="28" t="str">
        <f>IF($C959=""," ",[1]!i_pq_pctchange($C959,G$6,$N$1))</f>
        <v xml:space="preserve"> </v>
      </c>
      <c r="H959" s="28" t="str">
        <f>IF($C959=""," ",[1]!i_pq_pctchange($C959,H$6,$N$1))</f>
        <v xml:space="preserve"> </v>
      </c>
      <c r="I959" s="28" t="str">
        <f>IF($C959=""," ",[1]!i_pq_pctchange($C959,I$6,$N$1))</f>
        <v xml:space="preserve"> </v>
      </c>
      <c r="J959" s="28" t="str">
        <f>IF($C959=""," ",[1]!i_pq_pctchange($C959,J$6,$N$1))</f>
        <v xml:space="preserve"> </v>
      </c>
      <c r="K959" s="28" t="str">
        <f>IF($C959=""," ",[1]!i_pq_pctchange($C959,K$6,$N$1))</f>
        <v xml:space="preserve"> </v>
      </c>
      <c r="L959" s="28" t="str">
        <f>IF(C959=""," ",[1]!s_wq_pctchange($C959,$N$1))</f>
        <v xml:space="preserve"> </v>
      </c>
      <c r="M959" s="28" t="str">
        <f>IF(C959=""," ",[1]!s_mq_pctchange($C959,$N$1))</f>
        <v xml:space="preserve"> </v>
      </c>
      <c r="N959" s="28" t="str">
        <f>IF(C959=""," ",[1]!s_yq_pctchange($C959,$N$1))</f>
        <v xml:space="preserve"> </v>
      </c>
      <c r="O959" s="11"/>
      <c r="P959" s="7"/>
    </row>
    <row r="960" spans="1:16" x14ac:dyDescent="0.35">
      <c r="A960" s="7"/>
      <c r="C960" s="31" t="str">
        <f>IF(指数列表!B957="","",指数列表!B957)</f>
        <v/>
      </c>
      <c r="D960" s="36" t="str">
        <f>IF(C960="","",[1]!s_info_name(C960))</f>
        <v/>
      </c>
      <c r="E960" s="25" t="str">
        <f>IF(C960="","",[1]!s_dq_close(C960,$N$1))</f>
        <v/>
      </c>
      <c r="F960" s="28" t="str">
        <f>IF($C960=""," ",[1]!i_pq_pctchange($C960,F$6,$N$1))</f>
        <v xml:space="preserve"> </v>
      </c>
      <c r="G960" s="28" t="str">
        <f>IF($C960=""," ",[1]!i_pq_pctchange($C960,G$6,$N$1))</f>
        <v xml:space="preserve"> </v>
      </c>
      <c r="H960" s="28" t="str">
        <f>IF($C960=""," ",[1]!i_pq_pctchange($C960,H$6,$N$1))</f>
        <v xml:space="preserve"> </v>
      </c>
      <c r="I960" s="28" t="str">
        <f>IF($C960=""," ",[1]!i_pq_pctchange($C960,I$6,$N$1))</f>
        <v xml:space="preserve"> </v>
      </c>
      <c r="J960" s="28" t="str">
        <f>IF($C960=""," ",[1]!i_pq_pctchange($C960,J$6,$N$1))</f>
        <v xml:space="preserve"> </v>
      </c>
      <c r="K960" s="28" t="str">
        <f>IF($C960=""," ",[1]!i_pq_pctchange($C960,K$6,$N$1))</f>
        <v xml:space="preserve"> </v>
      </c>
      <c r="L960" s="28" t="str">
        <f>IF(C960=""," ",[1]!s_wq_pctchange($C960,$N$1))</f>
        <v xml:space="preserve"> </v>
      </c>
      <c r="M960" s="28" t="str">
        <f>IF(C960=""," ",[1]!s_mq_pctchange($C960,$N$1))</f>
        <v xml:space="preserve"> </v>
      </c>
      <c r="N960" s="28" t="str">
        <f>IF(C960=""," ",[1]!s_yq_pctchange($C960,$N$1))</f>
        <v xml:space="preserve"> </v>
      </c>
      <c r="O960" s="11"/>
      <c r="P960" s="7"/>
    </row>
    <row r="961" spans="1:16" x14ac:dyDescent="0.35">
      <c r="A961" s="7"/>
      <c r="C961" s="30" t="str">
        <f>IF(指数列表!B958="","",指数列表!B958)</f>
        <v/>
      </c>
      <c r="D961" s="35" t="str">
        <f>IF(C961="","",[1]!s_info_name(C961))</f>
        <v/>
      </c>
      <c r="E961" s="24" t="str">
        <f>IF(C961="","",[1]!s_dq_close(C961,$N$1))</f>
        <v/>
      </c>
      <c r="F961" s="28" t="str">
        <f>IF($C961=""," ",[1]!i_pq_pctchange($C961,F$6,$N$1))</f>
        <v xml:space="preserve"> </v>
      </c>
      <c r="G961" s="28" t="str">
        <f>IF($C961=""," ",[1]!i_pq_pctchange($C961,G$6,$N$1))</f>
        <v xml:space="preserve"> </v>
      </c>
      <c r="H961" s="28" t="str">
        <f>IF($C961=""," ",[1]!i_pq_pctchange($C961,H$6,$N$1))</f>
        <v xml:space="preserve"> </v>
      </c>
      <c r="I961" s="28" t="str">
        <f>IF($C961=""," ",[1]!i_pq_pctchange($C961,I$6,$N$1))</f>
        <v xml:space="preserve"> </v>
      </c>
      <c r="J961" s="28" t="str">
        <f>IF($C961=""," ",[1]!i_pq_pctchange($C961,J$6,$N$1))</f>
        <v xml:space="preserve"> </v>
      </c>
      <c r="K961" s="28" t="str">
        <f>IF($C961=""," ",[1]!i_pq_pctchange($C961,K$6,$N$1))</f>
        <v xml:space="preserve"> </v>
      </c>
      <c r="L961" s="28" t="str">
        <f>IF(C961=""," ",[1]!s_wq_pctchange($C961,$N$1))</f>
        <v xml:space="preserve"> </v>
      </c>
      <c r="M961" s="28" t="str">
        <f>IF(C961=""," ",[1]!s_mq_pctchange($C961,$N$1))</f>
        <v xml:space="preserve"> </v>
      </c>
      <c r="N961" s="28" t="str">
        <f>IF(C961=""," ",[1]!s_yq_pctchange($C961,$N$1))</f>
        <v xml:space="preserve"> </v>
      </c>
      <c r="O961" s="11"/>
      <c r="P961" s="7"/>
    </row>
    <row r="962" spans="1:16" x14ac:dyDescent="0.35">
      <c r="A962" s="7"/>
      <c r="C962" s="31" t="str">
        <f>IF(指数列表!B959="","",指数列表!B959)</f>
        <v/>
      </c>
      <c r="D962" s="36" t="str">
        <f>IF(C962="","",[1]!s_info_name(C962))</f>
        <v/>
      </c>
      <c r="E962" s="25" t="str">
        <f>IF(C962="","",[1]!s_dq_close(C962,$N$1))</f>
        <v/>
      </c>
      <c r="F962" s="28" t="str">
        <f>IF($C962=""," ",[1]!i_pq_pctchange($C962,F$6,$N$1))</f>
        <v xml:space="preserve"> </v>
      </c>
      <c r="G962" s="28" t="str">
        <f>IF($C962=""," ",[1]!i_pq_pctchange($C962,G$6,$N$1))</f>
        <v xml:space="preserve"> </v>
      </c>
      <c r="H962" s="28" t="str">
        <f>IF($C962=""," ",[1]!i_pq_pctchange($C962,H$6,$N$1))</f>
        <v xml:space="preserve"> </v>
      </c>
      <c r="I962" s="28" t="str">
        <f>IF($C962=""," ",[1]!i_pq_pctchange($C962,I$6,$N$1))</f>
        <v xml:space="preserve"> </v>
      </c>
      <c r="J962" s="28" t="str">
        <f>IF($C962=""," ",[1]!i_pq_pctchange($C962,J$6,$N$1))</f>
        <v xml:space="preserve"> </v>
      </c>
      <c r="K962" s="28" t="str">
        <f>IF($C962=""," ",[1]!i_pq_pctchange($C962,K$6,$N$1))</f>
        <v xml:space="preserve"> </v>
      </c>
      <c r="L962" s="28" t="str">
        <f>IF(C962=""," ",[1]!s_wq_pctchange($C962,$N$1))</f>
        <v xml:space="preserve"> </v>
      </c>
      <c r="M962" s="28" t="str">
        <f>IF(C962=""," ",[1]!s_mq_pctchange($C962,$N$1))</f>
        <v xml:space="preserve"> </v>
      </c>
      <c r="N962" s="28" t="str">
        <f>IF(C962=""," ",[1]!s_yq_pctchange($C962,$N$1))</f>
        <v xml:space="preserve"> </v>
      </c>
      <c r="O962" s="11"/>
      <c r="P962" s="7"/>
    </row>
    <row r="963" spans="1:16" x14ac:dyDescent="0.35">
      <c r="A963" s="7"/>
      <c r="C963" s="30" t="str">
        <f>IF(指数列表!B960="","",指数列表!B960)</f>
        <v/>
      </c>
      <c r="D963" s="35" t="str">
        <f>IF(C963="","",[1]!s_info_name(C963))</f>
        <v/>
      </c>
      <c r="E963" s="24" t="str">
        <f>IF(C963="","",[1]!s_dq_close(C963,$N$1))</f>
        <v/>
      </c>
      <c r="F963" s="28" t="str">
        <f>IF($C963=""," ",[1]!i_pq_pctchange($C963,F$6,$N$1))</f>
        <v xml:space="preserve"> </v>
      </c>
      <c r="G963" s="28" t="str">
        <f>IF($C963=""," ",[1]!i_pq_pctchange($C963,G$6,$N$1))</f>
        <v xml:space="preserve"> </v>
      </c>
      <c r="H963" s="28" t="str">
        <f>IF($C963=""," ",[1]!i_pq_pctchange($C963,H$6,$N$1))</f>
        <v xml:space="preserve"> </v>
      </c>
      <c r="I963" s="28" t="str">
        <f>IF($C963=""," ",[1]!i_pq_pctchange($C963,I$6,$N$1))</f>
        <v xml:space="preserve"> </v>
      </c>
      <c r="J963" s="28" t="str">
        <f>IF($C963=""," ",[1]!i_pq_pctchange($C963,J$6,$N$1))</f>
        <v xml:space="preserve"> </v>
      </c>
      <c r="K963" s="28" t="str">
        <f>IF($C963=""," ",[1]!i_pq_pctchange($C963,K$6,$N$1))</f>
        <v xml:space="preserve"> </v>
      </c>
      <c r="L963" s="28" t="str">
        <f>IF(C963=""," ",[1]!s_wq_pctchange($C963,$N$1))</f>
        <v xml:space="preserve"> </v>
      </c>
      <c r="M963" s="28" t="str">
        <f>IF(C963=""," ",[1]!s_mq_pctchange($C963,$N$1))</f>
        <v xml:space="preserve"> </v>
      </c>
      <c r="N963" s="28" t="str">
        <f>IF(C963=""," ",[1]!s_yq_pctchange($C963,$N$1))</f>
        <v xml:space="preserve"> </v>
      </c>
      <c r="O963" s="11"/>
      <c r="P963" s="7"/>
    </row>
    <row r="964" spans="1:16" x14ac:dyDescent="0.35">
      <c r="A964" s="7"/>
      <c r="C964" s="31" t="str">
        <f>IF(指数列表!B961="","",指数列表!B961)</f>
        <v/>
      </c>
      <c r="D964" s="36" t="str">
        <f>IF(C964="","",[1]!s_info_name(C964))</f>
        <v/>
      </c>
      <c r="E964" s="25" t="str">
        <f>IF(C964="","",[1]!s_dq_close(C964,$N$1))</f>
        <v/>
      </c>
      <c r="F964" s="28" t="str">
        <f>IF($C964=""," ",[1]!i_pq_pctchange($C964,F$6,$N$1))</f>
        <v xml:space="preserve"> </v>
      </c>
      <c r="G964" s="28" t="str">
        <f>IF($C964=""," ",[1]!i_pq_pctchange($C964,G$6,$N$1))</f>
        <v xml:space="preserve"> </v>
      </c>
      <c r="H964" s="28" t="str">
        <f>IF($C964=""," ",[1]!i_pq_pctchange($C964,H$6,$N$1))</f>
        <v xml:space="preserve"> </v>
      </c>
      <c r="I964" s="28" t="str">
        <f>IF($C964=""," ",[1]!i_pq_pctchange($C964,I$6,$N$1))</f>
        <v xml:space="preserve"> </v>
      </c>
      <c r="J964" s="28" t="str">
        <f>IF($C964=""," ",[1]!i_pq_pctchange($C964,J$6,$N$1))</f>
        <v xml:space="preserve"> </v>
      </c>
      <c r="K964" s="28" t="str">
        <f>IF($C964=""," ",[1]!i_pq_pctchange($C964,K$6,$N$1))</f>
        <v xml:space="preserve"> </v>
      </c>
      <c r="L964" s="28" t="str">
        <f>IF(C964=""," ",[1]!s_wq_pctchange($C964,$N$1))</f>
        <v xml:space="preserve"> </v>
      </c>
      <c r="M964" s="28" t="str">
        <f>IF(C964=""," ",[1]!s_mq_pctchange($C964,$N$1))</f>
        <v xml:space="preserve"> </v>
      </c>
      <c r="N964" s="28" t="str">
        <f>IF(C964=""," ",[1]!s_yq_pctchange($C964,$N$1))</f>
        <v xml:space="preserve"> </v>
      </c>
      <c r="O964" s="11"/>
      <c r="P964" s="7"/>
    </row>
    <row r="965" spans="1:16" x14ac:dyDescent="0.35">
      <c r="A965" s="7"/>
      <c r="C965" s="30" t="str">
        <f>IF(指数列表!B962="","",指数列表!B962)</f>
        <v/>
      </c>
      <c r="D965" s="35" t="str">
        <f>IF(C965="","",[1]!s_info_name(C965))</f>
        <v/>
      </c>
      <c r="E965" s="24" t="str">
        <f>IF(C965="","",[1]!s_dq_close(C965,$N$1))</f>
        <v/>
      </c>
      <c r="F965" s="28" t="str">
        <f>IF($C965=""," ",[1]!i_pq_pctchange($C965,F$6,$N$1))</f>
        <v xml:space="preserve"> </v>
      </c>
      <c r="G965" s="28" t="str">
        <f>IF($C965=""," ",[1]!i_pq_pctchange($C965,G$6,$N$1))</f>
        <v xml:space="preserve"> </v>
      </c>
      <c r="H965" s="28" t="str">
        <f>IF($C965=""," ",[1]!i_pq_pctchange($C965,H$6,$N$1))</f>
        <v xml:space="preserve"> </v>
      </c>
      <c r="I965" s="28" t="str">
        <f>IF($C965=""," ",[1]!i_pq_pctchange($C965,I$6,$N$1))</f>
        <v xml:space="preserve"> </v>
      </c>
      <c r="J965" s="28" t="str">
        <f>IF($C965=""," ",[1]!i_pq_pctchange($C965,J$6,$N$1))</f>
        <v xml:space="preserve"> </v>
      </c>
      <c r="K965" s="28" t="str">
        <f>IF($C965=""," ",[1]!i_pq_pctchange($C965,K$6,$N$1))</f>
        <v xml:space="preserve"> </v>
      </c>
      <c r="L965" s="28" t="str">
        <f>IF(C965=""," ",[1]!s_wq_pctchange($C965,$N$1))</f>
        <v xml:space="preserve"> </v>
      </c>
      <c r="M965" s="28" t="str">
        <f>IF(C965=""," ",[1]!s_mq_pctchange($C965,$N$1))</f>
        <v xml:space="preserve"> </v>
      </c>
      <c r="N965" s="28" t="str">
        <f>IF(C965=""," ",[1]!s_yq_pctchange($C965,$N$1))</f>
        <v xml:space="preserve"> </v>
      </c>
      <c r="O965" s="11"/>
      <c r="P965" s="7"/>
    </row>
    <row r="966" spans="1:16" x14ac:dyDescent="0.35">
      <c r="A966" s="7"/>
      <c r="C966" s="31" t="str">
        <f>IF(指数列表!B963="","",指数列表!B963)</f>
        <v/>
      </c>
      <c r="D966" s="36" t="str">
        <f>IF(C966="","",[1]!s_info_name(C966))</f>
        <v/>
      </c>
      <c r="E966" s="25" t="str">
        <f>IF(C966="","",[1]!s_dq_close(C966,$N$1))</f>
        <v/>
      </c>
      <c r="F966" s="28" t="str">
        <f>IF($C966=""," ",[1]!i_pq_pctchange($C966,F$6,$N$1))</f>
        <v xml:space="preserve"> </v>
      </c>
      <c r="G966" s="28" t="str">
        <f>IF($C966=""," ",[1]!i_pq_pctchange($C966,G$6,$N$1))</f>
        <v xml:space="preserve"> </v>
      </c>
      <c r="H966" s="28" t="str">
        <f>IF($C966=""," ",[1]!i_pq_pctchange($C966,H$6,$N$1))</f>
        <v xml:space="preserve"> </v>
      </c>
      <c r="I966" s="28" t="str">
        <f>IF($C966=""," ",[1]!i_pq_pctchange($C966,I$6,$N$1))</f>
        <v xml:space="preserve"> </v>
      </c>
      <c r="J966" s="28" t="str">
        <f>IF($C966=""," ",[1]!i_pq_pctchange($C966,J$6,$N$1))</f>
        <v xml:space="preserve"> </v>
      </c>
      <c r="K966" s="28" t="str">
        <f>IF($C966=""," ",[1]!i_pq_pctchange($C966,K$6,$N$1))</f>
        <v xml:space="preserve"> </v>
      </c>
      <c r="L966" s="28" t="str">
        <f>IF(C966=""," ",[1]!s_wq_pctchange($C966,$N$1))</f>
        <v xml:space="preserve"> </v>
      </c>
      <c r="M966" s="28" t="str">
        <f>IF(C966=""," ",[1]!s_mq_pctchange($C966,$N$1))</f>
        <v xml:space="preserve"> </v>
      </c>
      <c r="N966" s="28" t="str">
        <f>IF(C966=""," ",[1]!s_yq_pctchange($C966,$N$1))</f>
        <v xml:space="preserve"> </v>
      </c>
      <c r="O966" s="11"/>
      <c r="P966" s="7"/>
    </row>
    <row r="967" spans="1:16" x14ac:dyDescent="0.35">
      <c r="A967" s="7"/>
      <c r="C967" s="30" t="str">
        <f>IF(指数列表!B964="","",指数列表!B964)</f>
        <v/>
      </c>
      <c r="D967" s="35" t="str">
        <f>IF(C967="","",[1]!s_info_name(C967))</f>
        <v/>
      </c>
      <c r="E967" s="24" t="str">
        <f>IF(C967="","",[1]!s_dq_close(C967,$N$1))</f>
        <v/>
      </c>
      <c r="F967" s="28" t="str">
        <f>IF($C967=""," ",[1]!i_pq_pctchange($C967,F$6,$N$1))</f>
        <v xml:space="preserve"> </v>
      </c>
      <c r="G967" s="28" t="str">
        <f>IF($C967=""," ",[1]!i_pq_pctchange($C967,G$6,$N$1))</f>
        <v xml:space="preserve"> </v>
      </c>
      <c r="H967" s="28" t="str">
        <f>IF($C967=""," ",[1]!i_pq_pctchange($C967,H$6,$N$1))</f>
        <v xml:space="preserve"> </v>
      </c>
      <c r="I967" s="28" t="str">
        <f>IF($C967=""," ",[1]!i_pq_pctchange($C967,I$6,$N$1))</f>
        <v xml:space="preserve"> </v>
      </c>
      <c r="J967" s="28" t="str">
        <f>IF($C967=""," ",[1]!i_pq_pctchange($C967,J$6,$N$1))</f>
        <v xml:space="preserve"> </v>
      </c>
      <c r="K967" s="28" t="str">
        <f>IF($C967=""," ",[1]!i_pq_pctchange($C967,K$6,$N$1))</f>
        <v xml:space="preserve"> </v>
      </c>
      <c r="L967" s="28" t="str">
        <f>IF(C967=""," ",[1]!s_wq_pctchange($C967,$N$1))</f>
        <v xml:space="preserve"> </v>
      </c>
      <c r="M967" s="28" t="str">
        <f>IF(C967=""," ",[1]!s_mq_pctchange($C967,$N$1))</f>
        <v xml:space="preserve"> </v>
      </c>
      <c r="N967" s="28" t="str">
        <f>IF(C967=""," ",[1]!s_yq_pctchange($C967,$N$1))</f>
        <v xml:space="preserve"> </v>
      </c>
      <c r="O967" s="11"/>
      <c r="P967" s="7"/>
    </row>
    <row r="968" spans="1:16" x14ac:dyDescent="0.35">
      <c r="A968" s="7"/>
      <c r="C968" s="31" t="str">
        <f>IF(指数列表!B965="","",指数列表!B965)</f>
        <v/>
      </c>
      <c r="D968" s="36" t="str">
        <f>IF(C968="","",[1]!s_info_name(C968))</f>
        <v/>
      </c>
      <c r="E968" s="25" t="str">
        <f>IF(C968="","",[1]!s_dq_close(C968,$N$1))</f>
        <v/>
      </c>
      <c r="F968" s="28" t="str">
        <f>IF($C968=""," ",[1]!i_pq_pctchange($C968,F$6,$N$1))</f>
        <v xml:space="preserve"> </v>
      </c>
      <c r="G968" s="28" t="str">
        <f>IF($C968=""," ",[1]!i_pq_pctchange($C968,G$6,$N$1))</f>
        <v xml:space="preserve"> </v>
      </c>
      <c r="H968" s="28" t="str">
        <f>IF($C968=""," ",[1]!i_pq_pctchange($C968,H$6,$N$1))</f>
        <v xml:space="preserve"> </v>
      </c>
      <c r="I968" s="28" t="str">
        <f>IF($C968=""," ",[1]!i_pq_pctchange($C968,I$6,$N$1))</f>
        <v xml:space="preserve"> </v>
      </c>
      <c r="J968" s="28" t="str">
        <f>IF($C968=""," ",[1]!i_pq_pctchange($C968,J$6,$N$1))</f>
        <v xml:space="preserve"> </v>
      </c>
      <c r="K968" s="28" t="str">
        <f>IF($C968=""," ",[1]!i_pq_pctchange($C968,K$6,$N$1))</f>
        <v xml:space="preserve"> </v>
      </c>
      <c r="L968" s="28" t="str">
        <f>IF(C968=""," ",[1]!s_wq_pctchange($C968,$N$1))</f>
        <v xml:space="preserve"> </v>
      </c>
      <c r="M968" s="28" t="str">
        <f>IF(C968=""," ",[1]!s_mq_pctchange($C968,$N$1))</f>
        <v xml:space="preserve"> </v>
      </c>
      <c r="N968" s="28" t="str">
        <f>IF(C968=""," ",[1]!s_yq_pctchange($C968,$N$1))</f>
        <v xml:space="preserve"> </v>
      </c>
      <c r="O968" s="11"/>
      <c r="P968" s="7"/>
    </row>
    <row r="969" spans="1:16" x14ac:dyDescent="0.35">
      <c r="A969" s="7"/>
      <c r="C969" s="30" t="str">
        <f>IF(指数列表!B966="","",指数列表!B966)</f>
        <v/>
      </c>
      <c r="D969" s="35" t="str">
        <f>IF(C969="","",[1]!s_info_name(C969))</f>
        <v/>
      </c>
      <c r="E969" s="24" t="str">
        <f>IF(C969="","",[1]!s_dq_close(C969,$N$1))</f>
        <v/>
      </c>
      <c r="F969" s="28" t="str">
        <f>IF($C969=""," ",[1]!i_pq_pctchange($C969,F$6,$N$1))</f>
        <v xml:space="preserve"> </v>
      </c>
      <c r="G969" s="28" t="str">
        <f>IF($C969=""," ",[1]!i_pq_pctchange($C969,G$6,$N$1))</f>
        <v xml:space="preserve"> </v>
      </c>
      <c r="H969" s="28" t="str">
        <f>IF($C969=""," ",[1]!i_pq_pctchange($C969,H$6,$N$1))</f>
        <v xml:space="preserve"> </v>
      </c>
      <c r="I969" s="28" t="str">
        <f>IF($C969=""," ",[1]!i_pq_pctchange($C969,I$6,$N$1))</f>
        <v xml:space="preserve"> </v>
      </c>
      <c r="J969" s="28" t="str">
        <f>IF($C969=""," ",[1]!i_pq_pctchange($C969,J$6,$N$1))</f>
        <v xml:space="preserve"> </v>
      </c>
      <c r="K969" s="28" t="str">
        <f>IF($C969=""," ",[1]!i_pq_pctchange($C969,K$6,$N$1))</f>
        <v xml:space="preserve"> </v>
      </c>
      <c r="L969" s="28" t="str">
        <f>IF(C969=""," ",[1]!s_wq_pctchange($C969,$N$1))</f>
        <v xml:space="preserve"> </v>
      </c>
      <c r="M969" s="28" t="str">
        <f>IF(C969=""," ",[1]!s_mq_pctchange($C969,$N$1))</f>
        <v xml:space="preserve"> </v>
      </c>
      <c r="N969" s="28" t="str">
        <f>IF(C969=""," ",[1]!s_yq_pctchange($C969,$N$1))</f>
        <v xml:space="preserve"> </v>
      </c>
      <c r="O969" s="11"/>
      <c r="P969" s="7"/>
    </row>
    <row r="970" spans="1:16" x14ac:dyDescent="0.35">
      <c r="A970" s="7"/>
      <c r="C970" s="31" t="str">
        <f>IF(指数列表!B967="","",指数列表!B967)</f>
        <v/>
      </c>
      <c r="D970" s="36" t="str">
        <f>IF(C970="","",[1]!s_info_name(C970))</f>
        <v/>
      </c>
      <c r="E970" s="25" t="str">
        <f>IF(C970="","",[1]!s_dq_close(C970,$N$1))</f>
        <v/>
      </c>
      <c r="F970" s="28" t="str">
        <f>IF($C970=""," ",[1]!i_pq_pctchange($C970,F$6,$N$1))</f>
        <v xml:space="preserve"> </v>
      </c>
      <c r="G970" s="28" t="str">
        <f>IF($C970=""," ",[1]!i_pq_pctchange($C970,G$6,$N$1))</f>
        <v xml:space="preserve"> </v>
      </c>
      <c r="H970" s="28" t="str">
        <f>IF($C970=""," ",[1]!i_pq_pctchange($C970,H$6,$N$1))</f>
        <v xml:space="preserve"> </v>
      </c>
      <c r="I970" s="28" t="str">
        <f>IF($C970=""," ",[1]!i_pq_pctchange($C970,I$6,$N$1))</f>
        <v xml:space="preserve"> </v>
      </c>
      <c r="J970" s="28" t="str">
        <f>IF($C970=""," ",[1]!i_pq_pctchange($C970,J$6,$N$1))</f>
        <v xml:space="preserve"> </v>
      </c>
      <c r="K970" s="28" t="str">
        <f>IF($C970=""," ",[1]!i_pq_pctchange($C970,K$6,$N$1))</f>
        <v xml:space="preserve"> </v>
      </c>
      <c r="L970" s="28" t="str">
        <f>IF(C970=""," ",[1]!s_wq_pctchange($C970,$N$1))</f>
        <v xml:space="preserve"> </v>
      </c>
      <c r="M970" s="28" t="str">
        <f>IF(C970=""," ",[1]!s_mq_pctchange($C970,$N$1))</f>
        <v xml:space="preserve"> </v>
      </c>
      <c r="N970" s="28" t="str">
        <f>IF(C970=""," ",[1]!s_yq_pctchange($C970,$N$1))</f>
        <v xml:space="preserve"> </v>
      </c>
      <c r="O970" s="11"/>
      <c r="P970" s="7"/>
    </row>
    <row r="971" spans="1:16" x14ac:dyDescent="0.35">
      <c r="A971" s="7"/>
      <c r="C971" s="30" t="str">
        <f>IF(指数列表!B968="","",指数列表!B968)</f>
        <v/>
      </c>
      <c r="D971" s="35" t="str">
        <f>IF(C971="","",[1]!s_info_name(C971))</f>
        <v/>
      </c>
      <c r="E971" s="24" t="str">
        <f>IF(C971="","",[1]!s_dq_close(C971,$N$1))</f>
        <v/>
      </c>
      <c r="F971" s="28" t="str">
        <f>IF($C971=""," ",[1]!i_pq_pctchange($C971,F$6,$N$1))</f>
        <v xml:space="preserve"> </v>
      </c>
      <c r="G971" s="28" t="str">
        <f>IF($C971=""," ",[1]!i_pq_pctchange($C971,G$6,$N$1))</f>
        <v xml:space="preserve"> </v>
      </c>
      <c r="H971" s="28" t="str">
        <f>IF($C971=""," ",[1]!i_pq_pctchange($C971,H$6,$N$1))</f>
        <v xml:space="preserve"> </v>
      </c>
      <c r="I971" s="28" t="str">
        <f>IF($C971=""," ",[1]!i_pq_pctchange($C971,I$6,$N$1))</f>
        <v xml:space="preserve"> </v>
      </c>
      <c r="J971" s="28" t="str">
        <f>IF($C971=""," ",[1]!i_pq_pctchange($C971,J$6,$N$1))</f>
        <v xml:space="preserve"> </v>
      </c>
      <c r="K971" s="28" t="str">
        <f>IF($C971=""," ",[1]!i_pq_pctchange($C971,K$6,$N$1))</f>
        <v xml:space="preserve"> </v>
      </c>
      <c r="L971" s="28" t="str">
        <f>IF(C971=""," ",[1]!s_wq_pctchange($C971,$N$1))</f>
        <v xml:space="preserve"> </v>
      </c>
      <c r="M971" s="28" t="str">
        <f>IF(C971=""," ",[1]!s_mq_pctchange($C971,$N$1))</f>
        <v xml:space="preserve"> </v>
      </c>
      <c r="N971" s="28" t="str">
        <f>IF(C971=""," ",[1]!s_yq_pctchange($C971,$N$1))</f>
        <v xml:space="preserve"> </v>
      </c>
      <c r="O971" s="11"/>
      <c r="P971" s="7"/>
    </row>
    <row r="972" spans="1:16" x14ac:dyDescent="0.35">
      <c r="A972" s="7"/>
      <c r="C972" s="31" t="str">
        <f>IF(指数列表!B969="","",指数列表!B969)</f>
        <v/>
      </c>
      <c r="D972" s="36" t="str">
        <f>IF(C972="","",[1]!s_info_name(C972))</f>
        <v/>
      </c>
      <c r="E972" s="25" t="str">
        <f>IF(C972="","",[1]!s_dq_close(C972,$N$1))</f>
        <v/>
      </c>
      <c r="F972" s="28" t="str">
        <f>IF($C972=""," ",[1]!i_pq_pctchange($C972,F$6,$N$1))</f>
        <v xml:space="preserve"> </v>
      </c>
      <c r="G972" s="28" t="str">
        <f>IF($C972=""," ",[1]!i_pq_pctchange($C972,G$6,$N$1))</f>
        <v xml:space="preserve"> </v>
      </c>
      <c r="H972" s="28" t="str">
        <f>IF($C972=""," ",[1]!i_pq_pctchange($C972,H$6,$N$1))</f>
        <v xml:space="preserve"> </v>
      </c>
      <c r="I972" s="28" t="str">
        <f>IF($C972=""," ",[1]!i_pq_pctchange($C972,I$6,$N$1))</f>
        <v xml:space="preserve"> </v>
      </c>
      <c r="J972" s="28" t="str">
        <f>IF($C972=""," ",[1]!i_pq_pctchange($C972,J$6,$N$1))</f>
        <v xml:space="preserve"> </v>
      </c>
      <c r="K972" s="28" t="str">
        <f>IF($C972=""," ",[1]!i_pq_pctchange($C972,K$6,$N$1))</f>
        <v xml:space="preserve"> </v>
      </c>
      <c r="L972" s="28" t="str">
        <f>IF(C972=""," ",[1]!s_wq_pctchange($C972,$N$1))</f>
        <v xml:space="preserve"> </v>
      </c>
      <c r="M972" s="28" t="str">
        <f>IF(C972=""," ",[1]!s_mq_pctchange($C972,$N$1))</f>
        <v xml:space="preserve"> </v>
      </c>
      <c r="N972" s="28" t="str">
        <f>IF(C972=""," ",[1]!s_yq_pctchange($C972,$N$1))</f>
        <v xml:space="preserve"> </v>
      </c>
      <c r="O972" s="11"/>
      <c r="P972" s="7"/>
    </row>
    <row r="973" spans="1:16" x14ac:dyDescent="0.35">
      <c r="A973" s="7"/>
      <c r="C973" s="30" t="str">
        <f>IF(指数列表!B970="","",指数列表!B970)</f>
        <v/>
      </c>
      <c r="D973" s="35" t="str">
        <f>IF(C973="","",[1]!s_info_name(C973))</f>
        <v/>
      </c>
      <c r="E973" s="24" t="str">
        <f>IF(C973="","",[1]!s_dq_close(C973,$N$1))</f>
        <v/>
      </c>
      <c r="F973" s="28" t="str">
        <f>IF($C973=""," ",[1]!i_pq_pctchange($C973,F$6,$N$1))</f>
        <v xml:space="preserve"> </v>
      </c>
      <c r="G973" s="28" t="str">
        <f>IF($C973=""," ",[1]!i_pq_pctchange($C973,G$6,$N$1))</f>
        <v xml:space="preserve"> </v>
      </c>
      <c r="H973" s="28" t="str">
        <f>IF($C973=""," ",[1]!i_pq_pctchange($C973,H$6,$N$1))</f>
        <v xml:space="preserve"> </v>
      </c>
      <c r="I973" s="28" t="str">
        <f>IF($C973=""," ",[1]!i_pq_pctchange($C973,I$6,$N$1))</f>
        <v xml:space="preserve"> </v>
      </c>
      <c r="J973" s="28" t="str">
        <f>IF($C973=""," ",[1]!i_pq_pctchange($C973,J$6,$N$1))</f>
        <v xml:space="preserve"> </v>
      </c>
      <c r="K973" s="28" t="str">
        <f>IF($C973=""," ",[1]!i_pq_pctchange($C973,K$6,$N$1))</f>
        <v xml:space="preserve"> </v>
      </c>
      <c r="L973" s="28" t="str">
        <f>IF(C973=""," ",[1]!s_wq_pctchange($C973,$N$1))</f>
        <v xml:space="preserve"> </v>
      </c>
      <c r="M973" s="28" t="str">
        <f>IF(C973=""," ",[1]!s_mq_pctchange($C973,$N$1))</f>
        <v xml:space="preserve"> </v>
      </c>
      <c r="N973" s="28" t="str">
        <f>IF(C973=""," ",[1]!s_yq_pctchange($C973,$N$1))</f>
        <v xml:space="preserve"> </v>
      </c>
      <c r="O973" s="11"/>
      <c r="P973" s="7"/>
    </row>
    <row r="974" spans="1:16" x14ac:dyDescent="0.35">
      <c r="A974" s="7"/>
      <c r="C974" s="31" t="str">
        <f>IF(指数列表!B971="","",指数列表!B971)</f>
        <v/>
      </c>
      <c r="D974" s="36" t="str">
        <f>IF(C974="","",[1]!s_info_name(C974))</f>
        <v/>
      </c>
      <c r="E974" s="25" t="str">
        <f>IF(C974="","",[1]!s_dq_close(C974,$N$1))</f>
        <v/>
      </c>
      <c r="F974" s="28" t="str">
        <f>IF($C974=""," ",[1]!i_pq_pctchange($C974,F$6,$N$1))</f>
        <v xml:space="preserve"> </v>
      </c>
      <c r="G974" s="28" t="str">
        <f>IF($C974=""," ",[1]!i_pq_pctchange($C974,G$6,$N$1))</f>
        <v xml:space="preserve"> </v>
      </c>
      <c r="H974" s="28" t="str">
        <f>IF($C974=""," ",[1]!i_pq_pctchange($C974,H$6,$N$1))</f>
        <v xml:space="preserve"> </v>
      </c>
      <c r="I974" s="28" t="str">
        <f>IF($C974=""," ",[1]!i_pq_pctchange($C974,I$6,$N$1))</f>
        <v xml:space="preserve"> </v>
      </c>
      <c r="J974" s="28" t="str">
        <f>IF($C974=""," ",[1]!i_pq_pctchange($C974,J$6,$N$1))</f>
        <v xml:space="preserve"> </v>
      </c>
      <c r="K974" s="28" t="str">
        <f>IF($C974=""," ",[1]!i_pq_pctchange($C974,K$6,$N$1))</f>
        <v xml:space="preserve"> </v>
      </c>
      <c r="L974" s="28" t="str">
        <f>IF(C974=""," ",[1]!s_wq_pctchange($C974,$N$1))</f>
        <v xml:space="preserve"> </v>
      </c>
      <c r="M974" s="28" t="str">
        <f>IF(C974=""," ",[1]!s_mq_pctchange($C974,$N$1))</f>
        <v xml:space="preserve"> </v>
      </c>
      <c r="N974" s="28" t="str">
        <f>IF(C974=""," ",[1]!s_yq_pctchange($C974,$N$1))</f>
        <v xml:space="preserve"> </v>
      </c>
      <c r="O974" s="11"/>
      <c r="P974" s="7"/>
    </row>
    <row r="975" spans="1:16" x14ac:dyDescent="0.35">
      <c r="A975" s="7"/>
      <c r="C975" s="30" t="str">
        <f>IF(指数列表!B972="","",指数列表!B972)</f>
        <v/>
      </c>
      <c r="D975" s="35" t="str">
        <f>IF(C975="","",[1]!s_info_name(C975))</f>
        <v/>
      </c>
      <c r="E975" s="24" t="str">
        <f>IF(C975="","",[1]!s_dq_close(C975,$N$1))</f>
        <v/>
      </c>
      <c r="F975" s="28" t="str">
        <f>IF($C975=""," ",[1]!i_pq_pctchange($C975,F$6,$N$1))</f>
        <v xml:space="preserve"> </v>
      </c>
      <c r="G975" s="28" t="str">
        <f>IF($C975=""," ",[1]!i_pq_pctchange($C975,G$6,$N$1))</f>
        <v xml:space="preserve"> </v>
      </c>
      <c r="H975" s="28" t="str">
        <f>IF($C975=""," ",[1]!i_pq_pctchange($C975,H$6,$N$1))</f>
        <v xml:space="preserve"> </v>
      </c>
      <c r="I975" s="28" t="str">
        <f>IF($C975=""," ",[1]!i_pq_pctchange($C975,I$6,$N$1))</f>
        <v xml:space="preserve"> </v>
      </c>
      <c r="J975" s="28" t="str">
        <f>IF($C975=""," ",[1]!i_pq_pctchange($C975,J$6,$N$1))</f>
        <v xml:space="preserve"> </v>
      </c>
      <c r="K975" s="28" t="str">
        <f>IF($C975=""," ",[1]!i_pq_pctchange($C975,K$6,$N$1))</f>
        <v xml:space="preserve"> </v>
      </c>
      <c r="L975" s="28" t="str">
        <f>IF(C975=""," ",[1]!s_wq_pctchange($C975,$N$1))</f>
        <v xml:space="preserve"> </v>
      </c>
      <c r="M975" s="28" t="str">
        <f>IF(C975=""," ",[1]!s_mq_pctchange($C975,$N$1))</f>
        <v xml:space="preserve"> </v>
      </c>
      <c r="N975" s="28" t="str">
        <f>IF(C975=""," ",[1]!s_yq_pctchange($C975,$N$1))</f>
        <v xml:space="preserve"> </v>
      </c>
      <c r="O975" s="11"/>
      <c r="P975" s="7"/>
    </row>
    <row r="976" spans="1:16" x14ac:dyDescent="0.35">
      <c r="A976" s="7"/>
      <c r="C976" s="31" t="str">
        <f>IF(指数列表!B973="","",指数列表!B973)</f>
        <v/>
      </c>
      <c r="D976" s="36" t="str">
        <f>IF(C976="","",[1]!s_info_name(C976))</f>
        <v/>
      </c>
      <c r="E976" s="25" t="str">
        <f>IF(C976="","",[1]!s_dq_close(C976,$N$1))</f>
        <v/>
      </c>
      <c r="F976" s="28" t="str">
        <f>IF($C976=""," ",[1]!i_pq_pctchange($C976,F$6,$N$1))</f>
        <v xml:space="preserve"> </v>
      </c>
      <c r="G976" s="28" t="str">
        <f>IF($C976=""," ",[1]!i_pq_pctchange($C976,G$6,$N$1))</f>
        <v xml:space="preserve"> </v>
      </c>
      <c r="H976" s="28" t="str">
        <f>IF($C976=""," ",[1]!i_pq_pctchange($C976,H$6,$N$1))</f>
        <v xml:space="preserve"> </v>
      </c>
      <c r="I976" s="28" t="str">
        <f>IF($C976=""," ",[1]!i_pq_pctchange($C976,I$6,$N$1))</f>
        <v xml:space="preserve"> </v>
      </c>
      <c r="J976" s="28" t="str">
        <f>IF($C976=""," ",[1]!i_pq_pctchange($C976,J$6,$N$1))</f>
        <v xml:space="preserve"> </v>
      </c>
      <c r="K976" s="28" t="str">
        <f>IF($C976=""," ",[1]!i_pq_pctchange($C976,K$6,$N$1))</f>
        <v xml:space="preserve"> </v>
      </c>
      <c r="L976" s="28" t="str">
        <f>IF(C976=""," ",[1]!s_wq_pctchange($C976,$N$1))</f>
        <v xml:space="preserve"> </v>
      </c>
      <c r="M976" s="28" t="str">
        <f>IF(C976=""," ",[1]!s_mq_pctchange($C976,$N$1))</f>
        <v xml:space="preserve"> </v>
      </c>
      <c r="N976" s="28" t="str">
        <f>IF(C976=""," ",[1]!s_yq_pctchange($C976,$N$1))</f>
        <v xml:space="preserve"> </v>
      </c>
      <c r="O976" s="11"/>
      <c r="P976" s="7"/>
    </row>
    <row r="977" spans="1:16" x14ac:dyDescent="0.35">
      <c r="A977" s="7"/>
      <c r="C977" s="30" t="str">
        <f>IF(指数列表!B974="","",指数列表!B974)</f>
        <v/>
      </c>
      <c r="D977" s="35" t="str">
        <f>IF(C977="","",[1]!s_info_name(C977))</f>
        <v/>
      </c>
      <c r="E977" s="24" t="str">
        <f>IF(C977="","",[1]!s_dq_close(C977,$N$1))</f>
        <v/>
      </c>
      <c r="F977" s="28" t="str">
        <f>IF($C977=""," ",[1]!i_pq_pctchange($C977,F$6,$N$1))</f>
        <v xml:space="preserve"> </v>
      </c>
      <c r="G977" s="28" t="str">
        <f>IF($C977=""," ",[1]!i_pq_pctchange($C977,G$6,$N$1))</f>
        <v xml:space="preserve"> </v>
      </c>
      <c r="H977" s="28" t="str">
        <f>IF($C977=""," ",[1]!i_pq_pctchange($C977,H$6,$N$1))</f>
        <v xml:space="preserve"> </v>
      </c>
      <c r="I977" s="28" t="str">
        <f>IF($C977=""," ",[1]!i_pq_pctchange($C977,I$6,$N$1))</f>
        <v xml:space="preserve"> </v>
      </c>
      <c r="J977" s="28" t="str">
        <f>IF($C977=""," ",[1]!i_pq_pctchange($C977,J$6,$N$1))</f>
        <v xml:space="preserve"> </v>
      </c>
      <c r="K977" s="28" t="str">
        <f>IF($C977=""," ",[1]!i_pq_pctchange($C977,K$6,$N$1))</f>
        <v xml:space="preserve"> </v>
      </c>
      <c r="L977" s="28" t="str">
        <f>IF(C977=""," ",[1]!s_wq_pctchange($C977,$N$1))</f>
        <v xml:space="preserve"> </v>
      </c>
      <c r="M977" s="28" t="str">
        <f>IF(C977=""," ",[1]!s_mq_pctchange($C977,$N$1))</f>
        <v xml:space="preserve"> </v>
      </c>
      <c r="N977" s="28" t="str">
        <f>IF(C977=""," ",[1]!s_yq_pctchange($C977,$N$1))</f>
        <v xml:space="preserve"> </v>
      </c>
      <c r="O977" s="11"/>
      <c r="P977" s="7"/>
    </row>
    <row r="978" spans="1:16" x14ac:dyDescent="0.35">
      <c r="A978" s="7"/>
      <c r="C978" s="31" t="str">
        <f>IF(指数列表!B975="","",指数列表!B975)</f>
        <v/>
      </c>
      <c r="D978" s="36" t="str">
        <f>IF(C978="","",[1]!s_info_name(C978))</f>
        <v/>
      </c>
      <c r="E978" s="25" t="str">
        <f>IF(C978="","",[1]!s_dq_close(C978,$N$1))</f>
        <v/>
      </c>
      <c r="F978" s="28" t="str">
        <f>IF($C978=""," ",[1]!i_pq_pctchange($C978,F$6,$N$1))</f>
        <v xml:space="preserve"> </v>
      </c>
      <c r="G978" s="28" t="str">
        <f>IF($C978=""," ",[1]!i_pq_pctchange($C978,G$6,$N$1))</f>
        <v xml:space="preserve"> </v>
      </c>
      <c r="H978" s="28" t="str">
        <f>IF($C978=""," ",[1]!i_pq_pctchange($C978,H$6,$N$1))</f>
        <v xml:space="preserve"> </v>
      </c>
      <c r="I978" s="28" t="str">
        <f>IF($C978=""," ",[1]!i_pq_pctchange($C978,I$6,$N$1))</f>
        <v xml:space="preserve"> </v>
      </c>
      <c r="J978" s="28" t="str">
        <f>IF($C978=""," ",[1]!i_pq_pctchange($C978,J$6,$N$1))</f>
        <v xml:space="preserve"> </v>
      </c>
      <c r="K978" s="28" t="str">
        <f>IF($C978=""," ",[1]!i_pq_pctchange($C978,K$6,$N$1))</f>
        <v xml:space="preserve"> </v>
      </c>
      <c r="L978" s="28" t="str">
        <f>IF(C978=""," ",[1]!s_wq_pctchange($C978,$N$1))</f>
        <v xml:space="preserve"> </v>
      </c>
      <c r="M978" s="28" t="str">
        <f>IF(C978=""," ",[1]!s_mq_pctchange($C978,$N$1))</f>
        <v xml:space="preserve"> </v>
      </c>
      <c r="N978" s="28" t="str">
        <f>IF(C978=""," ",[1]!s_yq_pctchange($C978,$N$1))</f>
        <v xml:space="preserve"> </v>
      </c>
      <c r="O978" s="11"/>
      <c r="P978" s="7"/>
    </row>
    <row r="979" spans="1:16" x14ac:dyDescent="0.35">
      <c r="A979" s="7"/>
      <c r="C979" s="30" t="str">
        <f>IF(指数列表!B976="","",指数列表!B976)</f>
        <v/>
      </c>
      <c r="D979" s="35" t="str">
        <f>IF(C979="","",[1]!s_info_name(C979))</f>
        <v/>
      </c>
      <c r="E979" s="24" t="str">
        <f>IF(C979="","",[1]!s_dq_close(C979,$N$1))</f>
        <v/>
      </c>
      <c r="F979" s="28" t="str">
        <f>IF($C979=""," ",[1]!i_pq_pctchange($C979,F$6,$N$1))</f>
        <v xml:space="preserve"> </v>
      </c>
      <c r="G979" s="28" t="str">
        <f>IF($C979=""," ",[1]!i_pq_pctchange($C979,G$6,$N$1))</f>
        <v xml:space="preserve"> </v>
      </c>
      <c r="H979" s="28" t="str">
        <f>IF($C979=""," ",[1]!i_pq_pctchange($C979,H$6,$N$1))</f>
        <v xml:space="preserve"> </v>
      </c>
      <c r="I979" s="28" t="str">
        <f>IF($C979=""," ",[1]!i_pq_pctchange($C979,I$6,$N$1))</f>
        <v xml:space="preserve"> </v>
      </c>
      <c r="J979" s="28" t="str">
        <f>IF($C979=""," ",[1]!i_pq_pctchange($C979,J$6,$N$1))</f>
        <v xml:space="preserve"> </v>
      </c>
      <c r="K979" s="28" t="str">
        <f>IF($C979=""," ",[1]!i_pq_pctchange($C979,K$6,$N$1))</f>
        <v xml:space="preserve"> </v>
      </c>
      <c r="L979" s="28" t="str">
        <f>IF(C979=""," ",[1]!s_wq_pctchange($C979,$N$1))</f>
        <v xml:space="preserve"> </v>
      </c>
      <c r="M979" s="28" t="str">
        <f>IF(C979=""," ",[1]!s_mq_pctchange($C979,$N$1))</f>
        <v xml:space="preserve"> </v>
      </c>
      <c r="N979" s="28" t="str">
        <f>IF(C979=""," ",[1]!s_yq_pctchange($C979,$N$1))</f>
        <v xml:space="preserve"> </v>
      </c>
      <c r="O979" s="11"/>
      <c r="P979" s="7"/>
    </row>
    <row r="980" spans="1:16" x14ac:dyDescent="0.35">
      <c r="A980" s="7"/>
      <c r="C980" s="31" t="str">
        <f>IF(指数列表!B977="","",指数列表!B977)</f>
        <v/>
      </c>
      <c r="D980" s="36" t="str">
        <f>IF(C980="","",[1]!s_info_name(C980))</f>
        <v/>
      </c>
      <c r="E980" s="25" t="str">
        <f>IF(C980="","",[1]!s_dq_close(C980,$N$1))</f>
        <v/>
      </c>
      <c r="F980" s="28" t="str">
        <f>IF($C980=""," ",[1]!i_pq_pctchange($C980,F$6,$N$1))</f>
        <v xml:space="preserve"> </v>
      </c>
      <c r="G980" s="28" t="str">
        <f>IF($C980=""," ",[1]!i_pq_pctchange($C980,G$6,$N$1))</f>
        <v xml:space="preserve"> </v>
      </c>
      <c r="H980" s="28" t="str">
        <f>IF($C980=""," ",[1]!i_pq_pctchange($C980,H$6,$N$1))</f>
        <v xml:space="preserve"> </v>
      </c>
      <c r="I980" s="28" t="str">
        <f>IF($C980=""," ",[1]!i_pq_pctchange($C980,I$6,$N$1))</f>
        <v xml:space="preserve"> </v>
      </c>
      <c r="J980" s="28" t="str">
        <f>IF($C980=""," ",[1]!i_pq_pctchange($C980,J$6,$N$1))</f>
        <v xml:space="preserve"> </v>
      </c>
      <c r="K980" s="28" t="str">
        <f>IF($C980=""," ",[1]!i_pq_pctchange($C980,K$6,$N$1))</f>
        <v xml:space="preserve"> </v>
      </c>
      <c r="L980" s="28" t="str">
        <f>IF(C980=""," ",[1]!s_wq_pctchange($C980,$N$1))</f>
        <v xml:space="preserve"> </v>
      </c>
      <c r="M980" s="28" t="str">
        <f>IF(C980=""," ",[1]!s_mq_pctchange($C980,$N$1))</f>
        <v xml:space="preserve"> </v>
      </c>
      <c r="N980" s="28" t="str">
        <f>IF(C980=""," ",[1]!s_yq_pctchange($C980,$N$1))</f>
        <v xml:space="preserve"> </v>
      </c>
      <c r="O980" s="11"/>
      <c r="P980" s="7"/>
    </row>
    <row r="981" spans="1:16" x14ac:dyDescent="0.35">
      <c r="A981" s="7"/>
      <c r="C981" s="30" t="str">
        <f>IF(指数列表!B978="","",指数列表!B978)</f>
        <v/>
      </c>
      <c r="D981" s="35" t="str">
        <f>IF(C981="","",[1]!s_info_name(C981))</f>
        <v/>
      </c>
      <c r="E981" s="24" t="str">
        <f>IF(C981="","",[1]!s_dq_close(C981,$N$1))</f>
        <v/>
      </c>
      <c r="F981" s="28" t="str">
        <f>IF($C981=""," ",[1]!i_pq_pctchange($C981,F$6,$N$1))</f>
        <v xml:space="preserve"> </v>
      </c>
      <c r="G981" s="28" t="str">
        <f>IF($C981=""," ",[1]!i_pq_pctchange($C981,G$6,$N$1))</f>
        <v xml:space="preserve"> </v>
      </c>
      <c r="H981" s="28" t="str">
        <f>IF($C981=""," ",[1]!i_pq_pctchange($C981,H$6,$N$1))</f>
        <v xml:space="preserve"> </v>
      </c>
      <c r="I981" s="28" t="str">
        <f>IF($C981=""," ",[1]!i_pq_pctchange($C981,I$6,$N$1))</f>
        <v xml:space="preserve"> </v>
      </c>
      <c r="J981" s="28" t="str">
        <f>IF($C981=""," ",[1]!i_pq_pctchange($C981,J$6,$N$1))</f>
        <v xml:space="preserve"> </v>
      </c>
      <c r="K981" s="28" t="str">
        <f>IF($C981=""," ",[1]!i_pq_pctchange($C981,K$6,$N$1))</f>
        <v xml:space="preserve"> </v>
      </c>
      <c r="L981" s="28" t="str">
        <f>IF(C981=""," ",[1]!s_wq_pctchange($C981,$N$1))</f>
        <v xml:space="preserve"> </v>
      </c>
      <c r="M981" s="28" t="str">
        <f>IF(C981=""," ",[1]!s_mq_pctchange($C981,$N$1))</f>
        <v xml:space="preserve"> </v>
      </c>
      <c r="N981" s="28" t="str">
        <f>IF(C981=""," ",[1]!s_yq_pctchange($C981,$N$1))</f>
        <v xml:space="preserve"> </v>
      </c>
      <c r="O981" s="11"/>
      <c r="P981" s="7"/>
    </row>
    <row r="982" spans="1:16" x14ac:dyDescent="0.35">
      <c r="A982" s="7"/>
      <c r="C982" s="31" t="str">
        <f>IF(指数列表!B979="","",指数列表!B979)</f>
        <v/>
      </c>
      <c r="D982" s="36" t="str">
        <f>IF(C982="","",[1]!s_info_name(C982))</f>
        <v/>
      </c>
      <c r="E982" s="25" t="str">
        <f>IF(C982="","",[1]!s_dq_close(C982,$N$1))</f>
        <v/>
      </c>
      <c r="F982" s="28" t="str">
        <f>IF($C982=""," ",[1]!i_pq_pctchange($C982,F$6,$N$1))</f>
        <v xml:space="preserve"> </v>
      </c>
      <c r="G982" s="28" t="str">
        <f>IF($C982=""," ",[1]!i_pq_pctchange($C982,G$6,$N$1))</f>
        <v xml:space="preserve"> </v>
      </c>
      <c r="H982" s="28" t="str">
        <f>IF($C982=""," ",[1]!i_pq_pctchange($C982,H$6,$N$1))</f>
        <v xml:space="preserve"> </v>
      </c>
      <c r="I982" s="28" t="str">
        <f>IF($C982=""," ",[1]!i_pq_pctchange($C982,I$6,$N$1))</f>
        <v xml:space="preserve"> </v>
      </c>
      <c r="J982" s="28" t="str">
        <f>IF($C982=""," ",[1]!i_pq_pctchange($C982,J$6,$N$1))</f>
        <v xml:space="preserve"> </v>
      </c>
      <c r="K982" s="28" t="str">
        <f>IF($C982=""," ",[1]!i_pq_pctchange($C982,K$6,$N$1))</f>
        <v xml:space="preserve"> </v>
      </c>
      <c r="L982" s="28" t="str">
        <f>IF(C982=""," ",[1]!s_wq_pctchange($C982,$N$1))</f>
        <v xml:space="preserve"> </v>
      </c>
      <c r="M982" s="28" t="str">
        <f>IF(C982=""," ",[1]!s_mq_pctchange($C982,$N$1))</f>
        <v xml:space="preserve"> </v>
      </c>
      <c r="N982" s="28" t="str">
        <f>IF(C982=""," ",[1]!s_yq_pctchange($C982,$N$1))</f>
        <v xml:space="preserve"> </v>
      </c>
      <c r="O982" s="11"/>
      <c r="P982" s="7"/>
    </row>
    <row r="983" spans="1:16" x14ac:dyDescent="0.35">
      <c r="A983" s="7"/>
      <c r="C983" s="30" t="str">
        <f>IF(指数列表!B980="","",指数列表!B980)</f>
        <v/>
      </c>
      <c r="D983" s="35" t="str">
        <f>IF(C983="","",[1]!s_info_name(C983))</f>
        <v/>
      </c>
      <c r="E983" s="24" t="str">
        <f>IF(C983="","",[1]!s_dq_close(C983,$N$1))</f>
        <v/>
      </c>
      <c r="F983" s="28" t="str">
        <f>IF($C983=""," ",[1]!i_pq_pctchange($C983,F$6,$N$1))</f>
        <v xml:space="preserve"> </v>
      </c>
      <c r="G983" s="28" t="str">
        <f>IF($C983=""," ",[1]!i_pq_pctchange($C983,G$6,$N$1))</f>
        <v xml:space="preserve"> </v>
      </c>
      <c r="H983" s="28" t="str">
        <f>IF($C983=""," ",[1]!i_pq_pctchange($C983,H$6,$N$1))</f>
        <v xml:space="preserve"> </v>
      </c>
      <c r="I983" s="28" t="str">
        <f>IF($C983=""," ",[1]!i_pq_pctchange($C983,I$6,$N$1))</f>
        <v xml:space="preserve"> </v>
      </c>
      <c r="J983" s="28" t="str">
        <f>IF($C983=""," ",[1]!i_pq_pctchange($C983,J$6,$N$1))</f>
        <v xml:space="preserve"> </v>
      </c>
      <c r="K983" s="28" t="str">
        <f>IF($C983=""," ",[1]!i_pq_pctchange($C983,K$6,$N$1))</f>
        <v xml:space="preserve"> </v>
      </c>
      <c r="L983" s="28" t="str">
        <f>IF(C983=""," ",[1]!s_wq_pctchange($C983,$N$1))</f>
        <v xml:space="preserve"> </v>
      </c>
      <c r="M983" s="28" t="str">
        <f>IF(C983=""," ",[1]!s_mq_pctchange($C983,$N$1))</f>
        <v xml:space="preserve"> </v>
      </c>
      <c r="N983" s="28" t="str">
        <f>IF(C983=""," ",[1]!s_yq_pctchange($C983,$N$1))</f>
        <v xml:space="preserve"> </v>
      </c>
      <c r="O983" s="11"/>
      <c r="P983" s="7"/>
    </row>
    <row r="984" spans="1:16" x14ac:dyDescent="0.35">
      <c r="A984" s="7"/>
      <c r="C984" s="31" t="str">
        <f>IF(指数列表!B981="","",指数列表!B981)</f>
        <v/>
      </c>
      <c r="D984" s="36" t="str">
        <f>IF(C984="","",[1]!s_info_name(C984))</f>
        <v/>
      </c>
      <c r="E984" s="25" t="str">
        <f>IF(C984="","",[1]!s_dq_close(C984,$N$1))</f>
        <v/>
      </c>
      <c r="F984" s="28" t="str">
        <f>IF($C984=""," ",[1]!i_pq_pctchange($C984,F$6,$N$1))</f>
        <v xml:space="preserve"> </v>
      </c>
      <c r="G984" s="28" t="str">
        <f>IF($C984=""," ",[1]!i_pq_pctchange($C984,G$6,$N$1))</f>
        <v xml:space="preserve"> </v>
      </c>
      <c r="H984" s="28" t="str">
        <f>IF($C984=""," ",[1]!i_pq_pctchange($C984,H$6,$N$1))</f>
        <v xml:space="preserve"> </v>
      </c>
      <c r="I984" s="28" t="str">
        <f>IF($C984=""," ",[1]!i_pq_pctchange($C984,I$6,$N$1))</f>
        <v xml:space="preserve"> </v>
      </c>
      <c r="J984" s="28" t="str">
        <f>IF($C984=""," ",[1]!i_pq_pctchange($C984,J$6,$N$1))</f>
        <v xml:space="preserve"> </v>
      </c>
      <c r="K984" s="28" t="str">
        <f>IF($C984=""," ",[1]!i_pq_pctchange($C984,K$6,$N$1))</f>
        <v xml:space="preserve"> </v>
      </c>
      <c r="L984" s="28" t="str">
        <f>IF(C984=""," ",[1]!s_wq_pctchange($C984,$N$1))</f>
        <v xml:space="preserve"> </v>
      </c>
      <c r="M984" s="28" t="str">
        <f>IF(C984=""," ",[1]!s_mq_pctchange($C984,$N$1))</f>
        <v xml:space="preserve"> </v>
      </c>
      <c r="N984" s="28" t="str">
        <f>IF(C984=""," ",[1]!s_yq_pctchange($C984,$N$1))</f>
        <v xml:space="preserve"> </v>
      </c>
      <c r="O984" s="11"/>
      <c r="P984" s="7"/>
    </row>
    <row r="985" spans="1:16" x14ac:dyDescent="0.35">
      <c r="A985" s="7"/>
      <c r="C985" s="30" t="str">
        <f>IF(指数列表!B982="","",指数列表!B982)</f>
        <v/>
      </c>
      <c r="D985" s="35" t="str">
        <f>IF(C985="","",[1]!s_info_name(C985))</f>
        <v/>
      </c>
      <c r="E985" s="24" t="str">
        <f>IF(C985="","",[1]!s_dq_close(C985,$N$1))</f>
        <v/>
      </c>
      <c r="F985" s="28" t="str">
        <f>IF($C985=""," ",[1]!i_pq_pctchange($C985,F$6,$N$1))</f>
        <v xml:space="preserve"> </v>
      </c>
      <c r="G985" s="28" t="str">
        <f>IF($C985=""," ",[1]!i_pq_pctchange($C985,G$6,$N$1))</f>
        <v xml:space="preserve"> </v>
      </c>
      <c r="H985" s="28" t="str">
        <f>IF($C985=""," ",[1]!i_pq_pctchange($C985,H$6,$N$1))</f>
        <v xml:space="preserve"> </v>
      </c>
      <c r="I985" s="28" t="str">
        <f>IF($C985=""," ",[1]!i_pq_pctchange($C985,I$6,$N$1))</f>
        <v xml:space="preserve"> </v>
      </c>
      <c r="J985" s="28" t="str">
        <f>IF($C985=""," ",[1]!i_pq_pctchange($C985,J$6,$N$1))</f>
        <v xml:space="preserve"> </v>
      </c>
      <c r="K985" s="28" t="str">
        <f>IF($C985=""," ",[1]!i_pq_pctchange($C985,K$6,$N$1))</f>
        <v xml:space="preserve"> </v>
      </c>
      <c r="L985" s="28" t="str">
        <f>IF(C985=""," ",[1]!s_wq_pctchange($C985,$N$1))</f>
        <v xml:space="preserve"> </v>
      </c>
      <c r="M985" s="28" t="str">
        <f>IF(C985=""," ",[1]!s_mq_pctchange($C985,$N$1))</f>
        <v xml:space="preserve"> </v>
      </c>
      <c r="N985" s="28" t="str">
        <f>IF(C985=""," ",[1]!s_yq_pctchange($C985,$N$1))</f>
        <v xml:space="preserve"> </v>
      </c>
      <c r="O985" s="11"/>
      <c r="P985" s="7"/>
    </row>
    <row r="986" spans="1:16" x14ac:dyDescent="0.35">
      <c r="A986" s="7"/>
      <c r="C986" s="31" t="str">
        <f>IF(指数列表!B983="","",指数列表!B983)</f>
        <v/>
      </c>
      <c r="D986" s="36" t="str">
        <f>IF(C986="","",[1]!s_info_name(C986))</f>
        <v/>
      </c>
      <c r="E986" s="25" t="str">
        <f>IF(C986="","",[1]!s_dq_close(C986,$N$1))</f>
        <v/>
      </c>
      <c r="F986" s="28" t="str">
        <f>IF($C986=""," ",[1]!i_pq_pctchange($C986,F$6,$N$1))</f>
        <v xml:space="preserve"> </v>
      </c>
      <c r="G986" s="28" t="str">
        <f>IF($C986=""," ",[1]!i_pq_pctchange($C986,G$6,$N$1))</f>
        <v xml:space="preserve"> </v>
      </c>
      <c r="H986" s="28" t="str">
        <f>IF($C986=""," ",[1]!i_pq_pctchange($C986,H$6,$N$1))</f>
        <v xml:space="preserve"> </v>
      </c>
      <c r="I986" s="28" t="str">
        <f>IF($C986=""," ",[1]!i_pq_pctchange($C986,I$6,$N$1))</f>
        <v xml:space="preserve"> </v>
      </c>
      <c r="J986" s="28" t="str">
        <f>IF($C986=""," ",[1]!i_pq_pctchange($C986,J$6,$N$1))</f>
        <v xml:space="preserve"> </v>
      </c>
      <c r="K986" s="28" t="str">
        <f>IF($C986=""," ",[1]!i_pq_pctchange($C986,K$6,$N$1))</f>
        <v xml:space="preserve"> </v>
      </c>
      <c r="L986" s="28" t="str">
        <f>IF(C986=""," ",[1]!s_wq_pctchange($C986,$N$1))</f>
        <v xml:space="preserve"> </v>
      </c>
      <c r="M986" s="28" t="str">
        <f>IF(C986=""," ",[1]!s_mq_pctchange($C986,$N$1))</f>
        <v xml:space="preserve"> </v>
      </c>
      <c r="N986" s="28" t="str">
        <f>IF(C986=""," ",[1]!s_yq_pctchange($C986,$N$1))</f>
        <v xml:space="preserve"> </v>
      </c>
      <c r="O986" s="11"/>
      <c r="P986" s="7"/>
    </row>
    <row r="987" spans="1:16" x14ac:dyDescent="0.35">
      <c r="A987" s="7"/>
      <c r="C987" s="30" t="str">
        <f>IF(指数列表!B984="","",指数列表!B984)</f>
        <v/>
      </c>
      <c r="D987" s="35" t="str">
        <f>IF(C987="","",[1]!s_info_name(C987))</f>
        <v/>
      </c>
      <c r="E987" s="24" t="str">
        <f>IF(C987="","",[1]!s_dq_close(C987,$N$1))</f>
        <v/>
      </c>
      <c r="F987" s="28" t="str">
        <f>IF($C987=""," ",[1]!i_pq_pctchange($C987,F$6,$N$1))</f>
        <v xml:space="preserve"> </v>
      </c>
      <c r="G987" s="28" t="str">
        <f>IF($C987=""," ",[1]!i_pq_pctchange($C987,G$6,$N$1))</f>
        <v xml:space="preserve"> </v>
      </c>
      <c r="H987" s="28" t="str">
        <f>IF($C987=""," ",[1]!i_pq_pctchange($C987,H$6,$N$1))</f>
        <v xml:space="preserve"> </v>
      </c>
      <c r="I987" s="28" t="str">
        <f>IF($C987=""," ",[1]!i_pq_pctchange($C987,I$6,$N$1))</f>
        <v xml:space="preserve"> </v>
      </c>
      <c r="J987" s="28" t="str">
        <f>IF($C987=""," ",[1]!i_pq_pctchange($C987,J$6,$N$1))</f>
        <v xml:space="preserve"> </v>
      </c>
      <c r="K987" s="28" t="str">
        <f>IF($C987=""," ",[1]!i_pq_pctchange($C987,K$6,$N$1))</f>
        <v xml:space="preserve"> </v>
      </c>
      <c r="L987" s="28" t="str">
        <f>IF(C987=""," ",[1]!s_wq_pctchange($C987,$N$1))</f>
        <v xml:space="preserve"> </v>
      </c>
      <c r="M987" s="28" t="str">
        <f>IF(C987=""," ",[1]!s_mq_pctchange($C987,$N$1))</f>
        <v xml:space="preserve"> </v>
      </c>
      <c r="N987" s="28" t="str">
        <f>IF(C987=""," ",[1]!s_yq_pctchange($C987,$N$1))</f>
        <v xml:space="preserve"> </v>
      </c>
      <c r="O987" s="11"/>
      <c r="P987" s="7"/>
    </row>
    <row r="988" spans="1:16" x14ac:dyDescent="0.35">
      <c r="A988" s="7"/>
      <c r="C988" s="31" t="str">
        <f>IF(指数列表!B985="","",指数列表!B985)</f>
        <v/>
      </c>
      <c r="D988" s="36" t="str">
        <f>IF(C988="","",[1]!s_info_name(C988))</f>
        <v/>
      </c>
      <c r="E988" s="25" t="str">
        <f>IF(C988="","",[1]!s_dq_close(C988,$N$1))</f>
        <v/>
      </c>
      <c r="F988" s="28" t="str">
        <f>IF($C988=""," ",[1]!i_pq_pctchange($C988,F$6,$N$1))</f>
        <v xml:space="preserve"> </v>
      </c>
      <c r="G988" s="28" t="str">
        <f>IF($C988=""," ",[1]!i_pq_pctchange($C988,G$6,$N$1))</f>
        <v xml:space="preserve"> </v>
      </c>
      <c r="H988" s="28" t="str">
        <f>IF($C988=""," ",[1]!i_pq_pctchange($C988,H$6,$N$1))</f>
        <v xml:space="preserve"> </v>
      </c>
      <c r="I988" s="28" t="str">
        <f>IF($C988=""," ",[1]!i_pq_pctchange($C988,I$6,$N$1))</f>
        <v xml:space="preserve"> </v>
      </c>
      <c r="J988" s="28" t="str">
        <f>IF($C988=""," ",[1]!i_pq_pctchange($C988,J$6,$N$1))</f>
        <v xml:space="preserve"> </v>
      </c>
      <c r="K988" s="28" t="str">
        <f>IF($C988=""," ",[1]!i_pq_pctchange($C988,K$6,$N$1))</f>
        <v xml:space="preserve"> </v>
      </c>
      <c r="L988" s="28" t="str">
        <f>IF(C988=""," ",[1]!s_wq_pctchange($C988,$N$1))</f>
        <v xml:space="preserve"> </v>
      </c>
      <c r="M988" s="28" t="str">
        <f>IF(C988=""," ",[1]!s_mq_pctchange($C988,$N$1))</f>
        <v xml:space="preserve"> </v>
      </c>
      <c r="N988" s="28" t="str">
        <f>IF(C988=""," ",[1]!s_yq_pctchange($C988,$N$1))</f>
        <v xml:space="preserve"> </v>
      </c>
      <c r="O988" s="11"/>
      <c r="P988" s="7"/>
    </row>
    <row r="989" spans="1:16" x14ac:dyDescent="0.35">
      <c r="A989" s="7"/>
      <c r="C989" s="30" t="str">
        <f>IF(指数列表!B986="","",指数列表!B986)</f>
        <v/>
      </c>
      <c r="D989" s="35" t="str">
        <f>IF(C989="","",[1]!s_info_name(C989))</f>
        <v/>
      </c>
      <c r="E989" s="24" t="str">
        <f>IF(C989="","",[1]!s_dq_close(C989,$N$1))</f>
        <v/>
      </c>
      <c r="F989" s="28" t="str">
        <f>IF($C989=""," ",[1]!i_pq_pctchange($C989,F$6,$N$1))</f>
        <v xml:space="preserve"> </v>
      </c>
      <c r="G989" s="28" t="str">
        <f>IF($C989=""," ",[1]!i_pq_pctchange($C989,G$6,$N$1))</f>
        <v xml:space="preserve"> </v>
      </c>
      <c r="H989" s="28" t="str">
        <f>IF($C989=""," ",[1]!i_pq_pctchange($C989,H$6,$N$1))</f>
        <v xml:space="preserve"> </v>
      </c>
      <c r="I989" s="28" t="str">
        <f>IF($C989=""," ",[1]!i_pq_pctchange($C989,I$6,$N$1))</f>
        <v xml:space="preserve"> </v>
      </c>
      <c r="J989" s="28" t="str">
        <f>IF($C989=""," ",[1]!i_pq_pctchange($C989,J$6,$N$1))</f>
        <v xml:space="preserve"> </v>
      </c>
      <c r="K989" s="28" t="str">
        <f>IF($C989=""," ",[1]!i_pq_pctchange($C989,K$6,$N$1))</f>
        <v xml:space="preserve"> </v>
      </c>
      <c r="L989" s="28" t="str">
        <f>IF(C989=""," ",[1]!s_wq_pctchange($C989,$N$1))</f>
        <v xml:space="preserve"> </v>
      </c>
      <c r="M989" s="28" t="str">
        <f>IF(C989=""," ",[1]!s_mq_pctchange($C989,$N$1))</f>
        <v xml:space="preserve"> </v>
      </c>
      <c r="N989" s="28" t="str">
        <f>IF(C989=""," ",[1]!s_yq_pctchange($C989,$N$1))</f>
        <v xml:space="preserve"> </v>
      </c>
      <c r="O989" s="11"/>
      <c r="P989" s="7"/>
    </row>
    <row r="990" spans="1:16" x14ac:dyDescent="0.35">
      <c r="A990" s="7"/>
      <c r="C990" s="31" t="str">
        <f>IF(指数列表!B987="","",指数列表!B987)</f>
        <v/>
      </c>
      <c r="D990" s="36" t="str">
        <f>IF(C990="","",[1]!s_info_name(C990))</f>
        <v/>
      </c>
      <c r="E990" s="25" t="str">
        <f>IF(C990="","",[1]!s_dq_close(C990,$N$1))</f>
        <v/>
      </c>
      <c r="F990" s="28" t="str">
        <f>IF($C990=""," ",[1]!i_pq_pctchange($C990,F$6,$N$1))</f>
        <v xml:space="preserve"> </v>
      </c>
      <c r="G990" s="28" t="str">
        <f>IF($C990=""," ",[1]!i_pq_pctchange($C990,G$6,$N$1))</f>
        <v xml:space="preserve"> </v>
      </c>
      <c r="H990" s="28" t="str">
        <f>IF($C990=""," ",[1]!i_pq_pctchange($C990,H$6,$N$1))</f>
        <v xml:space="preserve"> </v>
      </c>
      <c r="I990" s="28" t="str">
        <f>IF($C990=""," ",[1]!i_pq_pctchange($C990,I$6,$N$1))</f>
        <v xml:space="preserve"> </v>
      </c>
      <c r="J990" s="28" t="str">
        <f>IF($C990=""," ",[1]!i_pq_pctchange($C990,J$6,$N$1))</f>
        <v xml:space="preserve"> </v>
      </c>
      <c r="K990" s="28" t="str">
        <f>IF($C990=""," ",[1]!i_pq_pctchange($C990,K$6,$N$1))</f>
        <v xml:space="preserve"> </v>
      </c>
      <c r="L990" s="28" t="str">
        <f>IF(C990=""," ",[1]!s_wq_pctchange($C990,$N$1))</f>
        <v xml:space="preserve"> </v>
      </c>
      <c r="M990" s="28" t="str">
        <f>IF(C990=""," ",[1]!s_mq_pctchange($C990,$N$1))</f>
        <v xml:space="preserve"> </v>
      </c>
      <c r="N990" s="28" t="str">
        <f>IF(C990=""," ",[1]!s_yq_pctchange($C990,$N$1))</f>
        <v xml:space="preserve"> </v>
      </c>
      <c r="O990" s="11"/>
      <c r="P990" s="7"/>
    </row>
    <row r="991" spans="1:16" x14ac:dyDescent="0.35">
      <c r="A991" s="7"/>
      <c r="C991" s="30" t="str">
        <f>IF(指数列表!B988="","",指数列表!B988)</f>
        <v/>
      </c>
      <c r="D991" s="35" t="str">
        <f>IF(C991="","",[1]!s_info_name(C991))</f>
        <v/>
      </c>
      <c r="E991" s="24" t="str">
        <f>IF(C991="","",[1]!s_dq_close(C991,$N$1))</f>
        <v/>
      </c>
      <c r="F991" s="28" t="str">
        <f>IF($C991=""," ",[1]!i_pq_pctchange($C991,F$6,$N$1))</f>
        <v xml:space="preserve"> </v>
      </c>
      <c r="G991" s="28" t="str">
        <f>IF($C991=""," ",[1]!i_pq_pctchange($C991,G$6,$N$1))</f>
        <v xml:space="preserve"> </v>
      </c>
      <c r="H991" s="28" t="str">
        <f>IF($C991=""," ",[1]!i_pq_pctchange($C991,H$6,$N$1))</f>
        <v xml:space="preserve"> </v>
      </c>
      <c r="I991" s="28" t="str">
        <f>IF($C991=""," ",[1]!i_pq_pctchange($C991,I$6,$N$1))</f>
        <v xml:space="preserve"> </v>
      </c>
      <c r="J991" s="28" t="str">
        <f>IF($C991=""," ",[1]!i_pq_pctchange($C991,J$6,$N$1))</f>
        <v xml:space="preserve"> </v>
      </c>
      <c r="K991" s="28" t="str">
        <f>IF($C991=""," ",[1]!i_pq_pctchange($C991,K$6,$N$1))</f>
        <v xml:space="preserve"> </v>
      </c>
      <c r="L991" s="28" t="str">
        <f>IF(C991=""," ",[1]!s_wq_pctchange($C991,$N$1))</f>
        <v xml:space="preserve"> </v>
      </c>
      <c r="M991" s="28" t="str">
        <f>IF(C991=""," ",[1]!s_mq_pctchange($C991,$N$1))</f>
        <v xml:space="preserve"> </v>
      </c>
      <c r="N991" s="28" t="str">
        <f>IF(C991=""," ",[1]!s_yq_pctchange($C991,$N$1))</f>
        <v xml:space="preserve"> </v>
      </c>
      <c r="O991" s="11"/>
      <c r="P991" s="7"/>
    </row>
    <row r="992" spans="1:16" x14ac:dyDescent="0.35">
      <c r="A992" s="7"/>
      <c r="C992" s="31" t="str">
        <f>IF(指数列表!B989="","",指数列表!B989)</f>
        <v/>
      </c>
      <c r="D992" s="36" t="str">
        <f>IF(C992="","",[1]!s_info_name(C992))</f>
        <v/>
      </c>
      <c r="E992" s="25" t="str">
        <f>IF(C992="","",[1]!s_dq_close(C992,$N$1))</f>
        <v/>
      </c>
      <c r="F992" s="28" t="str">
        <f>IF($C992=""," ",[1]!i_pq_pctchange($C992,F$6,$N$1))</f>
        <v xml:space="preserve"> </v>
      </c>
      <c r="G992" s="28" t="str">
        <f>IF($C992=""," ",[1]!i_pq_pctchange($C992,G$6,$N$1))</f>
        <v xml:space="preserve"> </v>
      </c>
      <c r="H992" s="28" t="str">
        <f>IF($C992=""," ",[1]!i_pq_pctchange($C992,H$6,$N$1))</f>
        <v xml:space="preserve"> </v>
      </c>
      <c r="I992" s="28" t="str">
        <f>IF($C992=""," ",[1]!i_pq_pctchange($C992,I$6,$N$1))</f>
        <v xml:space="preserve"> </v>
      </c>
      <c r="J992" s="28" t="str">
        <f>IF($C992=""," ",[1]!i_pq_pctchange($C992,J$6,$N$1))</f>
        <v xml:space="preserve"> </v>
      </c>
      <c r="K992" s="28" t="str">
        <f>IF($C992=""," ",[1]!i_pq_pctchange($C992,K$6,$N$1))</f>
        <v xml:space="preserve"> </v>
      </c>
      <c r="L992" s="28" t="str">
        <f>IF(C992=""," ",[1]!s_wq_pctchange($C992,$N$1))</f>
        <v xml:space="preserve"> </v>
      </c>
      <c r="M992" s="28" t="str">
        <f>IF(C992=""," ",[1]!s_mq_pctchange($C992,$N$1))</f>
        <v xml:space="preserve"> </v>
      </c>
      <c r="N992" s="28" t="str">
        <f>IF(C992=""," ",[1]!s_yq_pctchange($C992,$N$1))</f>
        <v xml:space="preserve"> </v>
      </c>
      <c r="O992" s="11"/>
      <c r="P992" s="7"/>
    </row>
    <row r="993" spans="1:16" x14ac:dyDescent="0.35">
      <c r="A993" s="7"/>
      <c r="C993" s="30" t="str">
        <f>IF(指数列表!B990="","",指数列表!B990)</f>
        <v/>
      </c>
      <c r="D993" s="35" t="str">
        <f>IF(C993="","",[1]!s_info_name(C993))</f>
        <v/>
      </c>
      <c r="E993" s="24" t="str">
        <f>IF(C993="","",[1]!s_dq_close(C993,$N$1))</f>
        <v/>
      </c>
      <c r="F993" s="28" t="str">
        <f>IF($C993=""," ",[1]!i_pq_pctchange($C993,F$6,$N$1))</f>
        <v xml:space="preserve"> </v>
      </c>
      <c r="G993" s="28" t="str">
        <f>IF($C993=""," ",[1]!i_pq_pctchange($C993,G$6,$N$1))</f>
        <v xml:space="preserve"> </v>
      </c>
      <c r="H993" s="28" t="str">
        <f>IF($C993=""," ",[1]!i_pq_pctchange($C993,H$6,$N$1))</f>
        <v xml:space="preserve"> </v>
      </c>
      <c r="I993" s="28" t="str">
        <f>IF($C993=""," ",[1]!i_pq_pctchange($C993,I$6,$N$1))</f>
        <v xml:space="preserve"> </v>
      </c>
      <c r="J993" s="28" t="str">
        <f>IF($C993=""," ",[1]!i_pq_pctchange($C993,J$6,$N$1))</f>
        <v xml:space="preserve"> </v>
      </c>
      <c r="K993" s="28" t="str">
        <f>IF($C993=""," ",[1]!i_pq_pctchange($C993,K$6,$N$1))</f>
        <v xml:space="preserve"> </v>
      </c>
      <c r="L993" s="28" t="str">
        <f>IF(C993=""," ",[1]!s_wq_pctchange($C993,$N$1))</f>
        <v xml:space="preserve"> </v>
      </c>
      <c r="M993" s="28" t="str">
        <f>IF(C993=""," ",[1]!s_mq_pctchange($C993,$N$1))</f>
        <v xml:space="preserve"> </v>
      </c>
      <c r="N993" s="28" t="str">
        <f>IF(C993=""," ",[1]!s_yq_pctchange($C993,$N$1))</f>
        <v xml:space="preserve"> </v>
      </c>
      <c r="O993" s="11"/>
      <c r="P993" s="7"/>
    </row>
    <row r="994" spans="1:16" x14ac:dyDescent="0.35">
      <c r="A994" s="7"/>
      <c r="C994" s="31" t="str">
        <f>IF(指数列表!B991="","",指数列表!B991)</f>
        <v/>
      </c>
      <c r="D994" s="36" t="str">
        <f>IF(C994="","",[1]!s_info_name(C994))</f>
        <v/>
      </c>
      <c r="E994" s="25" t="str">
        <f>IF(C994="","",[1]!s_dq_close(C994,$N$1))</f>
        <v/>
      </c>
      <c r="F994" s="28" t="str">
        <f>IF($C994=""," ",[1]!i_pq_pctchange($C994,F$6,$N$1))</f>
        <v xml:space="preserve"> </v>
      </c>
      <c r="G994" s="28" t="str">
        <f>IF($C994=""," ",[1]!i_pq_pctchange($C994,G$6,$N$1))</f>
        <v xml:space="preserve"> </v>
      </c>
      <c r="H994" s="28" t="str">
        <f>IF($C994=""," ",[1]!i_pq_pctchange($C994,H$6,$N$1))</f>
        <v xml:space="preserve"> </v>
      </c>
      <c r="I994" s="28" t="str">
        <f>IF($C994=""," ",[1]!i_pq_pctchange($C994,I$6,$N$1))</f>
        <v xml:space="preserve"> </v>
      </c>
      <c r="J994" s="28" t="str">
        <f>IF($C994=""," ",[1]!i_pq_pctchange($C994,J$6,$N$1))</f>
        <v xml:space="preserve"> </v>
      </c>
      <c r="K994" s="28" t="str">
        <f>IF($C994=""," ",[1]!i_pq_pctchange($C994,K$6,$N$1))</f>
        <v xml:space="preserve"> </v>
      </c>
      <c r="L994" s="28" t="str">
        <f>IF(C994=""," ",[1]!s_wq_pctchange($C994,$N$1))</f>
        <v xml:space="preserve"> </v>
      </c>
      <c r="M994" s="28" t="str">
        <f>IF(C994=""," ",[1]!s_mq_pctchange($C994,$N$1))</f>
        <v xml:space="preserve"> </v>
      </c>
      <c r="N994" s="28" t="str">
        <f>IF(C994=""," ",[1]!s_yq_pctchange($C994,$N$1))</f>
        <v xml:space="preserve"> </v>
      </c>
      <c r="O994" s="11"/>
      <c r="P994" s="7"/>
    </row>
    <row r="995" spans="1:16" x14ac:dyDescent="0.35">
      <c r="A995" s="7"/>
      <c r="C995" s="30" t="str">
        <f>IF(指数列表!B992="","",指数列表!B992)</f>
        <v/>
      </c>
      <c r="D995" s="35" t="str">
        <f>IF(C995="","",[1]!s_info_name(C995))</f>
        <v/>
      </c>
      <c r="E995" s="24" t="str">
        <f>IF(C995="","",[1]!s_dq_close(C995,$N$1))</f>
        <v/>
      </c>
      <c r="F995" s="28" t="str">
        <f>IF($C995=""," ",[1]!i_pq_pctchange($C995,F$6,$N$1))</f>
        <v xml:space="preserve"> </v>
      </c>
      <c r="G995" s="28" t="str">
        <f>IF($C995=""," ",[1]!i_pq_pctchange($C995,G$6,$N$1))</f>
        <v xml:space="preserve"> </v>
      </c>
      <c r="H995" s="28" t="str">
        <f>IF($C995=""," ",[1]!i_pq_pctchange($C995,H$6,$N$1))</f>
        <v xml:space="preserve"> </v>
      </c>
      <c r="I995" s="28" t="str">
        <f>IF($C995=""," ",[1]!i_pq_pctchange($C995,I$6,$N$1))</f>
        <v xml:space="preserve"> </v>
      </c>
      <c r="J995" s="28" t="str">
        <f>IF($C995=""," ",[1]!i_pq_pctchange($C995,J$6,$N$1))</f>
        <v xml:space="preserve"> </v>
      </c>
      <c r="K995" s="28" t="str">
        <f>IF($C995=""," ",[1]!i_pq_pctchange($C995,K$6,$N$1))</f>
        <v xml:space="preserve"> </v>
      </c>
      <c r="L995" s="28" t="str">
        <f>IF(C995=""," ",[1]!s_wq_pctchange($C995,$N$1))</f>
        <v xml:space="preserve"> </v>
      </c>
      <c r="M995" s="28" t="str">
        <f>IF(C995=""," ",[1]!s_mq_pctchange($C995,$N$1))</f>
        <v xml:space="preserve"> </v>
      </c>
      <c r="N995" s="28" t="str">
        <f>IF(C995=""," ",[1]!s_yq_pctchange($C995,$N$1))</f>
        <v xml:space="preserve"> </v>
      </c>
      <c r="O995" s="11"/>
      <c r="P995" s="7"/>
    </row>
    <row r="996" spans="1:16" x14ac:dyDescent="0.35">
      <c r="A996" s="7"/>
      <c r="C996" s="31" t="str">
        <f>IF(指数列表!B993="","",指数列表!B993)</f>
        <v/>
      </c>
      <c r="D996" s="36" t="str">
        <f>IF(C996="","",[1]!s_info_name(C996))</f>
        <v/>
      </c>
      <c r="E996" s="25" t="str">
        <f>IF(C996="","",[1]!s_dq_close(C996,$N$1))</f>
        <v/>
      </c>
      <c r="F996" s="28" t="str">
        <f>IF($C996=""," ",[1]!i_pq_pctchange($C996,F$6,$N$1))</f>
        <v xml:space="preserve"> </v>
      </c>
      <c r="G996" s="28" t="str">
        <f>IF($C996=""," ",[1]!i_pq_pctchange($C996,G$6,$N$1))</f>
        <v xml:space="preserve"> </v>
      </c>
      <c r="H996" s="28" t="str">
        <f>IF($C996=""," ",[1]!i_pq_pctchange($C996,H$6,$N$1))</f>
        <v xml:space="preserve"> </v>
      </c>
      <c r="I996" s="28" t="str">
        <f>IF($C996=""," ",[1]!i_pq_pctchange($C996,I$6,$N$1))</f>
        <v xml:space="preserve"> </v>
      </c>
      <c r="J996" s="28" t="str">
        <f>IF($C996=""," ",[1]!i_pq_pctchange($C996,J$6,$N$1))</f>
        <v xml:space="preserve"> </v>
      </c>
      <c r="K996" s="28" t="str">
        <f>IF($C996=""," ",[1]!i_pq_pctchange($C996,K$6,$N$1))</f>
        <v xml:space="preserve"> </v>
      </c>
      <c r="L996" s="28" t="str">
        <f>IF(C996=""," ",[1]!s_wq_pctchange($C996,$N$1))</f>
        <v xml:space="preserve"> </v>
      </c>
      <c r="M996" s="28" t="str">
        <f>IF(C996=""," ",[1]!s_mq_pctchange($C996,$N$1))</f>
        <v xml:space="preserve"> </v>
      </c>
      <c r="N996" s="28" t="str">
        <f>IF(C996=""," ",[1]!s_yq_pctchange($C996,$N$1))</f>
        <v xml:space="preserve"> </v>
      </c>
      <c r="O996" s="11"/>
      <c r="P996" s="7"/>
    </row>
    <row r="997" spans="1:16" x14ac:dyDescent="0.35">
      <c r="A997" s="7"/>
      <c r="C997" s="30" t="str">
        <f>IF(指数列表!B994="","",指数列表!B994)</f>
        <v/>
      </c>
      <c r="D997" s="35" t="str">
        <f>IF(C997="","",[1]!s_info_name(C997))</f>
        <v/>
      </c>
      <c r="E997" s="24" t="str">
        <f>IF(C997="","",[1]!s_dq_close(C997,$N$1))</f>
        <v/>
      </c>
      <c r="F997" s="28" t="str">
        <f>IF($C997=""," ",[1]!i_pq_pctchange($C997,F$6,$N$1))</f>
        <v xml:space="preserve"> </v>
      </c>
      <c r="G997" s="28" t="str">
        <f>IF($C997=""," ",[1]!i_pq_pctchange($C997,G$6,$N$1))</f>
        <v xml:space="preserve"> </v>
      </c>
      <c r="H997" s="28" t="str">
        <f>IF($C997=""," ",[1]!i_pq_pctchange($C997,H$6,$N$1))</f>
        <v xml:space="preserve"> </v>
      </c>
      <c r="I997" s="28" t="str">
        <f>IF($C997=""," ",[1]!i_pq_pctchange($C997,I$6,$N$1))</f>
        <v xml:space="preserve"> </v>
      </c>
      <c r="J997" s="28" t="str">
        <f>IF($C997=""," ",[1]!i_pq_pctchange($C997,J$6,$N$1))</f>
        <v xml:space="preserve"> </v>
      </c>
      <c r="K997" s="28" t="str">
        <f>IF($C997=""," ",[1]!i_pq_pctchange($C997,K$6,$N$1))</f>
        <v xml:space="preserve"> </v>
      </c>
      <c r="L997" s="28" t="str">
        <f>IF(C997=""," ",[1]!s_wq_pctchange($C997,$N$1))</f>
        <v xml:space="preserve"> </v>
      </c>
      <c r="M997" s="28" t="str">
        <f>IF(C997=""," ",[1]!s_mq_pctchange($C997,$N$1))</f>
        <v xml:space="preserve"> </v>
      </c>
      <c r="N997" s="28" t="str">
        <f>IF(C997=""," ",[1]!s_yq_pctchange($C997,$N$1))</f>
        <v xml:space="preserve"> </v>
      </c>
      <c r="O997" s="11"/>
      <c r="P997" s="7"/>
    </row>
    <row r="998" spans="1:16" x14ac:dyDescent="0.35">
      <c r="A998" s="7"/>
      <c r="C998" s="31" t="str">
        <f>IF(指数列表!B995="","",指数列表!B995)</f>
        <v/>
      </c>
      <c r="D998" s="36" t="str">
        <f>IF(C998="","",[1]!s_info_name(C998))</f>
        <v/>
      </c>
      <c r="E998" s="25" t="str">
        <f>IF(C998="","",[1]!s_dq_close(C998,$N$1))</f>
        <v/>
      </c>
      <c r="F998" s="28" t="str">
        <f>IF($C998=""," ",[1]!i_pq_pctchange($C998,F$6,$N$1))</f>
        <v xml:space="preserve"> </v>
      </c>
      <c r="G998" s="28" t="str">
        <f>IF($C998=""," ",[1]!i_pq_pctchange($C998,G$6,$N$1))</f>
        <v xml:space="preserve"> </v>
      </c>
      <c r="H998" s="28" t="str">
        <f>IF($C998=""," ",[1]!i_pq_pctchange($C998,H$6,$N$1))</f>
        <v xml:space="preserve"> </v>
      </c>
      <c r="I998" s="28" t="str">
        <f>IF($C998=""," ",[1]!i_pq_pctchange($C998,I$6,$N$1))</f>
        <v xml:space="preserve"> </v>
      </c>
      <c r="J998" s="28" t="str">
        <f>IF($C998=""," ",[1]!i_pq_pctchange($C998,J$6,$N$1))</f>
        <v xml:space="preserve"> </v>
      </c>
      <c r="K998" s="28" t="str">
        <f>IF($C998=""," ",[1]!i_pq_pctchange($C998,K$6,$N$1))</f>
        <v xml:space="preserve"> </v>
      </c>
      <c r="L998" s="28" t="str">
        <f>IF(C998=""," ",[1]!s_wq_pctchange($C998,$N$1))</f>
        <v xml:space="preserve"> </v>
      </c>
      <c r="M998" s="28" t="str">
        <f>IF(C998=""," ",[1]!s_mq_pctchange($C998,$N$1))</f>
        <v xml:space="preserve"> </v>
      </c>
      <c r="N998" s="28" t="str">
        <f>IF(C998=""," ",[1]!s_yq_pctchange($C998,$N$1))</f>
        <v xml:space="preserve"> </v>
      </c>
      <c r="O998" s="11"/>
      <c r="P998" s="7"/>
    </row>
    <row r="999" spans="1:16" x14ac:dyDescent="0.35">
      <c r="A999" s="7"/>
      <c r="C999" s="30" t="str">
        <f>IF(指数列表!B996="","",指数列表!B996)</f>
        <v/>
      </c>
      <c r="D999" s="35" t="str">
        <f>IF(C999="","",[1]!s_info_name(C999))</f>
        <v/>
      </c>
      <c r="E999" s="24" t="str">
        <f>IF(C999="","",[1]!s_dq_close(C999,$N$1))</f>
        <v/>
      </c>
      <c r="F999" s="28" t="str">
        <f>IF($C999=""," ",[1]!i_pq_pctchange($C999,F$6,$N$1))</f>
        <v xml:space="preserve"> </v>
      </c>
      <c r="G999" s="28" t="str">
        <f>IF($C999=""," ",[1]!i_pq_pctchange($C999,G$6,$N$1))</f>
        <v xml:space="preserve"> </v>
      </c>
      <c r="H999" s="28" t="str">
        <f>IF($C999=""," ",[1]!i_pq_pctchange($C999,H$6,$N$1))</f>
        <v xml:space="preserve"> </v>
      </c>
      <c r="I999" s="28" t="str">
        <f>IF($C999=""," ",[1]!i_pq_pctchange($C999,I$6,$N$1))</f>
        <v xml:space="preserve"> </v>
      </c>
      <c r="J999" s="28" t="str">
        <f>IF($C999=""," ",[1]!i_pq_pctchange($C999,J$6,$N$1))</f>
        <v xml:space="preserve"> </v>
      </c>
      <c r="K999" s="28" t="str">
        <f>IF($C999=""," ",[1]!i_pq_pctchange($C999,K$6,$N$1))</f>
        <v xml:space="preserve"> </v>
      </c>
      <c r="L999" s="28" t="str">
        <f>IF(C999=""," ",[1]!s_wq_pctchange($C999,$N$1))</f>
        <v xml:space="preserve"> </v>
      </c>
      <c r="M999" s="28" t="str">
        <f>IF(C999=""," ",[1]!s_mq_pctchange($C999,$N$1))</f>
        <v xml:space="preserve"> </v>
      </c>
      <c r="N999" s="28" t="str">
        <f>IF(C999=""," ",[1]!s_yq_pctchange($C999,$N$1))</f>
        <v xml:space="preserve"> </v>
      </c>
      <c r="O999" s="11"/>
      <c r="P999" s="7"/>
    </row>
    <row r="1000" spans="1:16" x14ac:dyDescent="0.35">
      <c r="A1000" s="7"/>
      <c r="C1000" s="31" t="str">
        <f>IF(指数列表!B997="","",指数列表!B997)</f>
        <v/>
      </c>
      <c r="D1000" s="36" t="str">
        <f>IF(C1000="","",[1]!s_info_name(C1000))</f>
        <v/>
      </c>
      <c r="E1000" s="25" t="str">
        <f>IF(C1000="","",[1]!s_dq_close(C1000,$N$1))</f>
        <v/>
      </c>
      <c r="F1000" s="28" t="str">
        <f>IF($C1000=""," ",[1]!i_pq_pctchange($C1000,F$6,$N$1))</f>
        <v xml:space="preserve"> </v>
      </c>
      <c r="G1000" s="28" t="str">
        <f>IF($C1000=""," ",[1]!i_pq_pctchange($C1000,G$6,$N$1))</f>
        <v xml:space="preserve"> </v>
      </c>
      <c r="H1000" s="28" t="str">
        <f>IF($C1000=""," ",[1]!i_pq_pctchange($C1000,H$6,$N$1))</f>
        <v xml:space="preserve"> </v>
      </c>
      <c r="I1000" s="28" t="str">
        <f>IF($C1000=""," ",[1]!i_pq_pctchange($C1000,I$6,$N$1))</f>
        <v xml:space="preserve"> </v>
      </c>
      <c r="J1000" s="28" t="str">
        <f>IF($C1000=""," ",[1]!i_pq_pctchange($C1000,J$6,$N$1))</f>
        <v xml:space="preserve"> </v>
      </c>
      <c r="K1000" s="28" t="str">
        <f>IF($C1000=""," ",[1]!i_pq_pctchange($C1000,K$6,$N$1))</f>
        <v xml:space="preserve"> </v>
      </c>
      <c r="L1000" s="28" t="str">
        <f>IF(C1000=""," ",[1]!s_wq_pctchange($C1000,$N$1))</f>
        <v xml:space="preserve"> </v>
      </c>
      <c r="M1000" s="28" t="str">
        <f>IF(C1000=""," ",[1]!s_mq_pctchange($C1000,$N$1))</f>
        <v xml:space="preserve"> </v>
      </c>
      <c r="N1000" s="28" t="str">
        <f>IF(C1000=""," ",[1]!s_yq_pctchange($C1000,$N$1))</f>
        <v xml:space="preserve"> </v>
      </c>
      <c r="O1000" s="11"/>
      <c r="P1000" s="7"/>
    </row>
    <row r="1001" spans="1:16" x14ac:dyDescent="0.35">
      <c r="A1001" s="7"/>
      <c r="C1001" s="30" t="str">
        <f>IF(指数列表!B998="","",指数列表!B998)</f>
        <v/>
      </c>
      <c r="D1001" s="35" t="str">
        <f>IF(C1001="","",[1]!s_info_name(C1001))</f>
        <v/>
      </c>
      <c r="E1001" s="24" t="str">
        <f>IF(C1001="","",[1]!s_dq_close(C1001,$N$1))</f>
        <v/>
      </c>
      <c r="F1001" s="28" t="str">
        <f>IF($C1001=""," ",[1]!i_pq_pctchange($C1001,F$6,$N$1))</f>
        <v xml:space="preserve"> </v>
      </c>
      <c r="G1001" s="28" t="str">
        <f>IF($C1001=""," ",[1]!i_pq_pctchange($C1001,G$6,$N$1))</f>
        <v xml:space="preserve"> </v>
      </c>
      <c r="H1001" s="28" t="str">
        <f>IF($C1001=""," ",[1]!i_pq_pctchange($C1001,H$6,$N$1))</f>
        <v xml:space="preserve"> </v>
      </c>
      <c r="I1001" s="28" t="str">
        <f>IF($C1001=""," ",[1]!i_pq_pctchange($C1001,I$6,$N$1))</f>
        <v xml:space="preserve"> </v>
      </c>
      <c r="J1001" s="28" t="str">
        <f>IF($C1001=""," ",[1]!i_pq_pctchange($C1001,J$6,$N$1))</f>
        <v xml:space="preserve"> </v>
      </c>
      <c r="K1001" s="28" t="str">
        <f>IF($C1001=""," ",[1]!i_pq_pctchange($C1001,K$6,$N$1))</f>
        <v xml:space="preserve"> </v>
      </c>
      <c r="L1001" s="28" t="str">
        <f>IF(C1001=""," ",[1]!s_wq_pctchange($C1001,$N$1))</f>
        <v xml:space="preserve"> </v>
      </c>
      <c r="M1001" s="28" t="str">
        <f>IF(C1001=""," ",[1]!s_mq_pctchange($C1001,$N$1))</f>
        <v xml:space="preserve"> </v>
      </c>
      <c r="N1001" s="28" t="str">
        <f>IF(C1001=""," ",[1]!s_yq_pctchange($C1001,$N$1))</f>
        <v xml:space="preserve"> </v>
      </c>
      <c r="O1001" s="11"/>
      <c r="P1001" s="7"/>
    </row>
    <row r="1002" spans="1:16" x14ac:dyDescent="0.35">
      <c r="A1002" s="7"/>
      <c r="C1002" s="31" t="str">
        <f>IF(指数列表!B999="","",指数列表!B999)</f>
        <v/>
      </c>
      <c r="D1002" s="36" t="str">
        <f>IF(C1002="","",[1]!s_info_name(C1002))</f>
        <v/>
      </c>
      <c r="E1002" s="25" t="str">
        <f>IF(C1002="","",[1]!s_dq_close(C1002,$N$1))</f>
        <v/>
      </c>
      <c r="F1002" s="28" t="str">
        <f>IF($C1002=""," ",[1]!i_pq_pctchange($C1002,F$6,$N$1))</f>
        <v xml:space="preserve"> </v>
      </c>
      <c r="G1002" s="28" t="str">
        <f>IF($C1002=""," ",[1]!i_pq_pctchange($C1002,G$6,$N$1))</f>
        <v xml:space="preserve"> </v>
      </c>
      <c r="H1002" s="28" t="str">
        <f>IF($C1002=""," ",[1]!i_pq_pctchange($C1002,H$6,$N$1))</f>
        <v xml:space="preserve"> </v>
      </c>
      <c r="I1002" s="28" t="str">
        <f>IF($C1002=""," ",[1]!i_pq_pctchange($C1002,I$6,$N$1))</f>
        <v xml:space="preserve"> </v>
      </c>
      <c r="J1002" s="28" t="str">
        <f>IF($C1002=""," ",[1]!i_pq_pctchange($C1002,J$6,$N$1))</f>
        <v xml:space="preserve"> </v>
      </c>
      <c r="K1002" s="28" t="str">
        <f>IF($C1002=""," ",[1]!i_pq_pctchange($C1002,K$6,$N$1))</f>
        <v xml:space="preserve"> </v>
      </c>
      <c r="L1002" s="28" t="str">
        <f>IF(C1002=""," ",[1]!s_wq_pctchange($C1002,$N$1))</f>
        <v xml:space="preserve"> </v>
      </c>
      <c r="M1002" s="28" t="str">
        <f>IF(C1002=""," ",[1]!s_mq_pctchange($C1002,$N$1))</f>
        <v xml:space="preserve"> </v>
      </c>
      <c r="N1002" s="28" t="str">
        <f>IF(C1002=""," ",[1]!s_yq_pctchange($C1002,$N$1))</f>
        <v xml:space="preserve"> </v>
      </c>
      <c r="O1002" s="11"/>
      <c r="P1002" s="7"/>
    </row>
    <row r="1003" spans="1:16" x14ac:dyDescent="0.35">
      <c r="A1003" s="7"/>
      <c r="C1003" s="30" t="str">
        <f>IF(指数列表!B1000="","",指数列表!B1000)</f>
        <v/>
      </c>
      <c r="D1003" s="35" t="str">
        <f>IF(C1003="","",[1]!s_info_name(C1003))</f>
        <v/>
      </c>
      <c r="E1003" s="24" t="str">
        <f>IF(C1003="","",[1]!s_dq_close(C1003,$N$1))</f>
        <v/>
      </c>
      <c r="F1003" s="28" t="str">
        <f>IF($C1003=""," ",[1]!i_pq_pctchange($C1003,F$6,$N$1))</f>
        <v xml:space="preserve"> </v>
      </c>
      <c r="G1003" s="28" t="str">
        <f>IF($C1003=""," ",[1]!i_pq_pctchange($C1003,G$6,$N$1))</f>
        <v xml:space="preserve"> </v>
      </c>
      <c r="H1003" s="28" t="str">
        <f>IF($C1003=""," ",[1]!i_pq_pctchange($C1003,H$6,$N$1))</f>
        <v xml:space="preserve"> </v>
      </c>
      <c r="I1003" s="28" t="str">
        <f>IF($C1003=""," ",[1]!i_pq_pctchange($C1003,I$6,$N$1))</f>
        <v xml:space="preserve"> </v>
      </c>
      <c r="J1003" s="28" t="str">
        <f>IF($C1003=""," ",[1]!i_pq_pctchange($C1003,J$6,$N$1))</f>
        <v xml:space="preserve"> </v>
      </c>
      <c r="K1003" s="28" t="str">
        <f>IF($C1003=""," ",[1]!i_pq_pctchange($C1003,K$6,$N$1))</f>
        <v xml:space="preserve"> </v>
      </c>
      <c r="L1003" s="28" t="str">
        <f>IF(C1003=""," ",[1]!s_wq_pctchange($C1003,$N$1))</f>
        <v xml:space="preserve"> </v>
      </c>
      <c r="M1003" s="28" t="str">
        <f>IF(C1003=""," ",[1]!s_mq_pctchange($C1003,$N$1))</f>
        <v xml:space="preserve"> </v>
      </c>
      <c r="N1003" s="28" t="str">
        <f>IF(C1003=""," ",[1]!s_yq_pctchange($C1003,$N$1))</f>
        <v xml:space="preserve"> </v>
      </c>
      <c r="O1003" s="11"/>
      <c r="P1003" s="7"/>
    </row>
    <row r="1004" spans="1:16" x14ac:dyDescent="0.35">
      <c r="A1004" s="7"/>
      <c r="C1004" s="31" t="str">
        <f>IF(指数列表!B1001="","",指数列表!B1001)</f>
        <v/>
      </c>
      <c r="D1004" s="36" t="str">
        <f>IF(C1004="","",[1]!s_info_name(C1004))</f>
        <v/>
      </c>
      <c r="E1004" s="25" t="str">
        <f>IF(C1004="","",[1]!s_dq_close(C1004,$N$1))</f>
        <v/>
      </c>
      <c r="F1004" s="28" t="str">
        <f>IF($C1004=""," ",[1]!i_pq_pctchange($C1004,F$6,$N$1))</f>
        <v xml:space="preserve"> </v>
      </c>
      <c r="G1004" s="28" t="str">
        <f>IF($C1004=""," ",[1]!i_pq_pctchange($C1004,G$6,$N$1))</f>
        <v xml:space="preserve"> </v>
      </c>
      <c r="H1004" s="28" t="str">
        <f>IF($C1004=""," ",[1]!i_pq_pctchange($C1004,H$6,$N$1))</f>
        <v xml:space="preserve"> </v>
      </c>
      <c r="I1004" s="28" t="str">
        <f>IF($C1004=""," ",[1]!i_pq_pctchange($C1004,I$6,$N$1))</f>
        <v xml:space="preserve"> </v>
      </c>
      <c r="J1004" s="28" t="str">
        <f>IF($C1004=""," ",[1]!i_pq_pctchange($C1004,J$6,$N$1))</f>
        <v xml:space="preserve"> </v>
      </c>
      <c r="K1004" s="28" t="str">
        <f>IF($C1004=""," ",[1]!i_pq_pctchange($C1004,K$6,$N$1))</f>
        <v xml:space="preserve"> </v>
      </c>
      <c r="L1004" s="28" t="str">
        <f>IF(C1004=""," ",[1]!s_wq_pctchange($C1004,$N$1))</f>
        <v xml:space="preserve"> </v>
      </c>
      <c r="M1004" s="28" t="str">
        <f>IF(C1004=""," ",[1]!s_mq_pctchange($C1004,$N$1))</f>
        <v xml:space="preserve"> </v>
      </c>
      <c r="N1004" s="28" t="str">
        <f>IF(C1004=""," ",[1]!s_yq_pctchange($C1004,$N$1))</f>
        <v xml:space="preserve"> </v>
      </c>
      <c r="O1004" s="11"/>
      <c r="P1004" s="7"/>
    </row>
    <row r="1005" spans="1:16" x14ac:dyDescent="0.35">
      <c r="A1005" s="7"/>
      <c r="C1005" s="30" t="str">
        <f>IF(指数列表!B1002="","",指数列表!B1002)</f>
        <v/>
      </c>
      <c r="D1005" s="35" t="str">
        <f>IF(C1005="","",[1]!s_info_name(C1005))</f>
        <v/>
      </c>
      <c r="E1005" s="24" t="str">
        <f>IF(C1005="","",[1]!s_dq_close(C1005,$N$1))</f>
        <v/>
      </c>
      <c r="F1005" s="28" t="str">
        <f>IF($C1005=""," ",[1]!i_pq_pctchange($C1005,F$6,$N$1))</f>
        <v xml:space="preserve"> </v>
      </c>
      <c r="G1005" s="28" t="str">
        <f>IF($C1005=""," ",[1]!i_pq_pctchange($C1005,G$6,$N$1))</f>
        <v xml:space="preserve"> </v>
      </c>
      <c r="H1005" s="28" t="str">
        <f>IF($C1005=""," ",[1]!i_pq_pctchange($C1005,H$6,$N$1))</f>
        <v xml:space="preserve"> </v>
      </c>
      <c r="I1005" s="28" t="str">
        <f>IF($C1005=""," ",[1]!i_pq_pctchange($C1005,I$6,$N$1))</f>
        <v xml:space="preserve"> </v>
      </c>
      <c r="J1005" s="28" t="str">
        <f>IF($C1005=""," ",[1]!i_pq_pctchange($C1005,J$6,$N$1))</f>
        <v xml:space="preserve"> </v>
      </c>
      <c r="K1005" s="28" t="str">
        <f>IF($C1005=""," ",[1]!i_pq_pctchange($C1005,K$6,$N$1))</f>
        <v xml:space="preserve"> </v>
      </c>
      <c r="L1005" s="28" t="str">
        <f>IF(C1005=""," ",[1]!s_wq_pctchange($C1005,$N$1))</f>
        <v xml:space="preserve"> </v>
      </c>
      <c r="M1005" s="28" t="str">
        <f>IF(C1005=""," ",[1]!s_mq_pctchange($C1005,$N$1))</f>
        <v xml:space="preserve"> </v>
      </c>
      <c r="N1005" s="28" t="str">
        <f>IF(C1005=""," ",[1]!s_yq_pctchange($C1005,$N$1))</f>
        <v xml:space="preserve"> </v>
      </c>
      <c r="O1005" s="11"/>
      <c r="P1005" s="7"/>
    </row>
    <row r="1006" spans="1:16" x14ac:dyDescent="0.35">
      <c r="A1006" s="7"/>
      <c r="C1006" s="31" t="str">
        <f>IF(指数列表!B1003="","",指数列表!B1003)</f>
        <v/>
      </c>
      <c r="D1006" s="36" t="str">
        <f>IF(C1006="","",[1]!s_info_name(C1006))</f>
        <v/>
      </c>
      <c r="E1006" s="25" t="str">
        <f>IF(C1006="","",[1]!s_dq_close(C1006,$N$1))</f>
        <v/>
      </c>
      <c r="F1006" s="28" t="str">
        <f>IF($C1006=""," ",[1]!i_pq_pctchange($C1006,F$6,$N$1))</f>
        <v xml:space="preserve"> </v>
      </c>
      <c r="G1006" s="28" t="str">
        <f>IF($C1006=""," ",[1]!i_pq_pctchange($C1006,G$6,$N$1))</f>
        <v xml:space="preserve"> </v>
      </c>
      <c r="H1006" s="28" t="str">
        <f>IF($C1006=""," ",[1]!i_pq_pctchange($C1006,H$6,$N$1))</f>
        <v xml:space="preserve"> </v>
      </c>
      <c r="I1006" s="28" t="str">
        <f>IF($C1006=""," ",[1]!i_pq_pctchange($C1006,I$6,$N$1))</f>
        <v xml:space="preserve"> </v>
      </c>
      <c r="J1006" s="28" t="str">
        <f>IF($C1006=""," ",[1]!i_pq_pctchange($C1006,J$6,$N$1))</f>
        <v xml:space="preserve"> </v>
      </c>
      <c r="K1006" s="28" t="str">
        <f>IF($C1006=""," ",[1]!i_pq_pctchange($C1006,K$6,$N$1))</f>
        <v xml:space="preserve"> </v>
      </c>
      <c r="L1006" s="28" t="str">
        <f>IF(C1006=""," ",[1]!s_wq_pctchange($C1006,$N$1))</f>
        <v xml:space="preserve"> </v>
      </c>
      <c r="M1006" s="28" t="str">
        <f>IF(C1006=""," ",[1]!s_mq_pctchange($C1006,$N$1))</f>
        <v xml:space="preserve"> </v>
      </c>
      <c r="N1006" s="28" t="str">
        <f>IF(C1006=""," ",[1]!s_yq_pctchange($C1006,$N$1))</f>
        <v xml:space="preserve"> </v>
      </c>
      <c r="O1006" s="11"/>
      <c r="P1006" s="7"/>
    </row>
    <row r="1007" spans="1:16" x14ac:dyDescent="0.35">
      <c r="A1007" s="7"/>
      <c r="C1007" s="30" t="str">
        <f>IF(指数列表!B1004="","",指数列表!B1004)</f>
        <v/>
      </c>
      <c r="D1007" s="35" t="str">
        <f>IF(C1007="","",[1]!s_info_name(C1007))</f>
        <v/>
      </c>
      <c r="E1007" s="24" t="str">
        <f>IF(C1007="","",[1]!s_dq_close(C1007,$N$1))</f>
        <v/>
      </c>
      <c r="F1007" s="28" t="str">
        <f>IF($C1007=""," ",[1]!i_pq_pctchange($C1007,F$6,$N$1))</f>
        <v xml:space="preserve"> </v>
      </c>
      <c r="G1007" s="28" t="str">
        <f>IF($C1007=""," ",[1]!i_pq_pctchange($C1007,G$6,$N$1))</f>
        <v xml:space="preserve"> </v>
      </c>
      <c r="H1007" s="28" t="str">
        <f>IF($C1007=""," ",[1]!i_pq_pctchange($C1007,H$6,$N$1))</f>
        <v xml:space="preserve"> </v>
      </c>
      <c r="I1007" s="28" t="str">
        <f>IF($C1007=""," ",[1]!i_pq_pctchange($C1007,I$6,$N$1))</f>
        <v xml:space="preserve"> </v>
      </c>
      <c r="J1007" s="28" t="str">
        <f>IF($C1007=""," ",[1]!i_pq_pctchange($C1007,J$6,$N$1))</f>
        <v xml:space="preserve"> </v>
      </c>
      <c r="K1007" s="28" t="str">
        <f>IF($C1007=""," ",[1]!i_pq_pctchange($C1007,K$6,$N$1))</f>
        <v xml:space="preserve"> </v>
      </c>
      <c r="L1007" s="28" t="str">
        <f>IF(C1007=""," ",[1]!s_wq_pctchange($C1007,$N$1))</f>
        <v xml:space="preserve"> </v>
      </c>
      <c r="M1007" s="28" t="str">
        <f>IF(C1007=""," ",[1]!s_mq_pctchange($C1007,$N$1))</f>
        <v xml:space="preserve"> </v>
      </c>
      <c r="N1007" s="28" t="str">
        <f>IF(C1007=""," ",[1]!s_yq_pctchange($C1007,$N$1))</f>
        <v xml:space="preserve"> </v>
      </c>
      <c r="O1007" s="11"/>
      <c r="P1007" s="7"/>
    </row>
    <row r="1008" spans="1:16" x14ac:dyDescent="0.35">
      <c r="A1008" s="7"/>
      <c r="C1008" s="31" t="str">
        <f>IF(指数列表!B1005="","",指数列表!B1005)</f>
        <v/>
      </c>
      <c r="D1008" s="36" t="str">
        <f>IF(C1008="","",[1]!s_info_name(C1008))</f>
        <v/>
      </c>
      <c r="E1008" s="25" t="str">
        <f>IF(C1008="","",[1]!s_dq_close(C1008,$N$1))</f>
        <v/>
      </c>
      <c r="F1008" s="28" t="str">
        <f>IF($C1008=""," ",[1]!i_pq_pctchange($C1008,F$6,$N$1))</f>
        <v xml:space="preserve"> </v>
      </c>
      <c r="G1008" s="28" t="str">
        <f>IF($C1008=""," ",[1]!i_pq_pctchange($C1008,G$6,$N$1))</f>
        <v xml:space="preserve"> </v>
      </c>
      <c r="H1008" s="28" t="str">
        <f>IF($C1008=""," ",[1]!i_pq_pctchange($C1008,H$6,$N$1))</f>
        <v xml:space="preserve"> </v>
      </c>
      <c r="I1008" s="28" t="str">
        <f>IF($C1008=""," ",[1]!i_pq_pctchange($C1008,I$6,$N$1))</f>
        <v xml:space="preserve"> </v>
      </c>
      <c r="J1008" s="28" t="str">
        <f>IF($C1008=""," ",[1]!i_pq_pctchange($C1008,J$6,$N$1))</f>
        <v xml:space="preserve"> </v>
      </c>
      <c r="K1008" s="28" t="str">
        <f>IF($C1008=""," ",[1]!i_pq_pctchange($C1008,K$6,$N$1))</f>
        <v xml:space="preserve"> </v>
      </c>
      <c r="L1008" s="28" t="str">
        <f>IF(C1008=""," ",[1]!s_wq_pctchange($C1008,$N$1))</f>
        <v xml:space="preserve"> </v>
      </c>
      <c r="M1008" s="28" t="str">
        <f>IF(C1008=""," ",[1]!s_mq_pctchange($C1008,$N$1))</f>
        <v xml:space="preserve"> </v>
      </c>
      <c r="N1008" s="28" t="str">
        <f>IF(C1008=""," ",[1]!s_yq_pctchange($C1008,$N$1))</f>
        <v xml:space="preserve"> </v>
      </c>
      <c r="O1008" s="11"/>
      <c r="P1008" s="7"/>
    </row>
    <row r="1009" spans="1:16" x14ac:dyDescent="0.35">
      <c r="A1009" s="7"/>
      <c r="C1009" s="30" t="str">
        <f>IF(指数列表!B1006="","",指数列表!B1006)</f>
        <v/>
      </c>
      <c r="D1009" s="35" t="str">
        <f>IF(C1009="","",[1]!s_info_name(C1009))</f>
        <v/>
      </c>
      <c r="E1009" s="24" t="str">
        <f>IF(C1009="","",[1]!s_dq_close(C1009,$N$1))</f>
        <v/>
      </c>
      <c r="F1009" s="28" t="str">
        <f>IF($C1009=""," ",[1]!i_pq_pctchange($C1009,F$6,$N$1))</f>
        <v xml:space="preserve"> </v>
      </c>
      <c r="G1009" s="28" t="str">
        <f>IF($C1009=""," ",[1]!i_pq_pctchange($C1009,G$6,$N$1))</f>
        <v xml:space="preserve"> </v>
      </c>
      <c r="H1009" s="28" t="str">
        <f>IF($C1009=""," ",[1]!i_pq_pctchange($C1009,H$6,$N$1))</f>
        <v xml:space="preserve"> </v>
      </c>
      <c r="I1009" s="28" t="str">
        <f>IF($C1009=""," ",[1]!i_pq_pctchange($C1009,I$6,$N$1))</f>
        <v xml:space="preserve"> </v>
      </c>
      <c r="J1009" s="28" t="str">
        <f>IF($C1009=""," ",[1]!i_pq_pctchange($C1009,J$6,$N$1))</f>
        <v xml:space="preserve"> </v>
      </c>
      <c r="K1009" s="28" t="str">
        <f>IF($C1009=""," ",[1]!i_pq_pctchange($C1009,K$6,$N$1))</f>
        <v xml:space="preserve"> </v>
      </c>
      <c r="L1009" s="28" t="str">
        <f>IF(C1009=""," ",[1]!s_wq_pctchange($C1009,$N$1))</f>
        <v xml:space="preserve"> </v>
      </c>
      <c r="M1009" s="28" t="str">
        <f>IF(C1009=""," ",[1]!s_mq_pctchange($C1009,$N$1))</f>
        <v xml:space="preserve"> </v>
      </c>
      <c r="N1009" s="28" t="str">
        <f>IF(C1009=""," ",[1]!s_yq_pctchange($C1009,$N$1))</f>
        <v xml:space="preserve"> </v>
      </c>
      <c r="O1009" s="11"/>
      <c r="P1009" s="7"/>
    </row>
    <row r="1010" spans="1:16" x14ac:dyDescent="0.35">
      <c r="A1010" s="7"/>
      <c r="C1010" s="31" t="str">
        <f>IF(指数列表!B1007="","",指数列表!B1007)</f>
        <v/>
      </c>
      <c r="D1010" s="36" t="str">
        <f>IF(C1010="","",[1]!s_info_name(C1010))</f>
        <v/>
      </c>
      <c r="E1010" s="25" t="str">
        <f>IF(C1010="","",[1]!s_dq_close(C1010,$N$1))</f>
        <v/>
      </c>
      <c r="F1010" s="28" t="str">
        <f>IF($C1010=""," ",[1]!i_pq_pctchange($C1010,F$6,$N$1))</f>
        <v xml:space="preserve"> </v>
      </c>
      <c r="G1010" s="28" t="str">
        <f>IF($C1010=""," ",[1]!i_pq_pctchange($C1010,G$6,$N$1))</f>
        <v xml:space="preserve"> </v>
      </c>
      <c r="H1010" s="28" t="str">
        <f>IF($C1010=""," ",[1]!i_pq_pctchange($C1010,H$6,$N$1))</f>
        <v xml:space="preserve"> </v>
      </c>
      <c r="I1010" s="28" t="str">
        <f>IF($C1010=""," ",[1]!i_pq_pctchange($C1010,I$6,$N$1))</f>
        <v xml:space="preserve"> </v>
      </c>
      <c r="J1010" s="28" t="str">
        <f>IF($C1010=""," ",[1]!i_pq_pctchange($C1010,J$6,$N$1))</f>
        <v xml:space="preserve"> </v>
      </c>
      <c r="K1010" s="28" t="str">
        <f>IF($C1010=""," ",[1]!i_pq_pctchange($C1010,K$6,$N$1))</f>
        <v xml:space="preserve"> </v>
      </c>
      <c r="L1010" s="28" t="str">
        <f>IF(C1010=""," ",[1]!s_wq_pctchange($C1010,$N$1))</f>
        <v xml:space="preserve"> </v>
      </c>
      <c r="M1010" s="28" t="str">
        <f>IF(C1010=""," ",[1]!s_mq_pctchange($C1010,$N$1))</f>
        <v xml:space="preserve"> </v>
      </c>
      <c r="N1010" s="28" t="str">
        <f>IF(C1010=""," ",[1]!s_yq_pctchange($C1010,$N$1))</f>
        <v xml:space="preserve"> </v>
      </c>
      <c r="O1010" s="11"/>
      <c r="P1010" s="7"/>
    </row>
    <row r="1011" spans="1:16" x14ac:dyDescent="0.35">
      <c r="A1011" s="7"/>
      <c r="C1011" s="30" t="str">
        <f>IF(指数列表!B1008="","",指数列表!B1008)</f>
        <v/>
      </c>
      <c r="D1011" s="35" t="str">
        <f>IF(C1011="","",[1]!s_info_name(C1011))</f>
        <v/>
      </c>
      <c r="E1011" s="24" t="str">
        <f>IF(C1011="","",[1]!s_dq_close(C1011,$N$1))</f>
        <v/>
      </c>
      <c r="F1011" s="28" t="str">
        <f>IF($C1011=""," ",[1]!i_pq_pctchange($C1011,F$6,$N$1))</f>
        <v xml:space="preserve"> </v>
      </c>
      <c r="G1011" s="28" t="str">
        <f>IF($C1011=""," ",[1]!i_pq_pctchange($C1011,G$6,$N$1))</f>
        <v xml:space="preserve"> </v>
      </c>
      <c r="H1011" s="28" t="str">
        <f>IF($C1011=""," ",[1]!i_pq_pctchange($C1011,H$6,$N$1))</f>
        <v xml:space="preserve"> </v>
      </c>
      <c r="I1011" s="28" t="str">
        <f>IF($C1011=""," ",[1]!i_pq_pctchange($C1011,I$6,$N$1))</f>
        <v xml:space="preserve"> </v>
      </c>
      <c r="J1011" s="28" t="str">
        <f>IF($C1011=""," ",[1]!i_pq_pctchange($C1011,J$6,$N$1))</f>
        <v xml:space="preserve"> </v>
      </c>
      <c r="K1011" s="28" t="str">
        <f>IF($C1011=""," ",[1]!i_pq_pctchange($C1011,K$6,$N$1))</f>
        <v xml:space="preserve"> </v>
      </c>
      <c r="L1011" s="28" t="str">
        <f>IF(C1011=""," ",[1]!s_wq_pctchange($C1011,$N$1))</f>
        <v xml:space="preserve"> </v>
      </c>
      <c r="M1011" s="28" t="str">
        <f>IF(C1011=""," ",[1]!s_mq_pctchange($C1011,$N$1))</f>
        <v xml:space="preserve"> </v>
      </c>
      <c r="N1011" s="28" t="str">
        <f>IF(C1011=""," ",[1]!s_yq_pctchange($C1011,$N$1))</f>
        <v xml:space="preserve"> </v>
      </c>
      <c r="O1011" s="11"/>
      <c r="P1011" s="7"/>
    </row>
    <row r="1012" spans="1:16" x14ac:dyDescent="0.35">
      <c r="A1012" s="7"/>
      <c r="C1012" s="31" t="str">
        <f>IF(指数列表!B1009="","",指数列表!B1009)</f>
        <v/>
      </c>
      <c r="D1012" s="36" t="str">
        <f>IF(C1012="","",[1]!s_info_name(C1012))</f>
        <v/>
      </c>
      <c r="E1012" s="25" t="str">
        <f>IF(C1012="","",[1]!s_dq_close(C1012,$N$1))</f>
        <v/>
      </c>
      <c r="F1012" s="28" t="str">
        <f>IF($C1012=""," ",[1]!i_pq_pctchange($C1012,F$6,$N$1))</f>
        <v xml:space="preserve"> </v>
      </c>
      <c r="G1012" s="28" t="str">
        <f>IF($C1012=""," ",[1]!i_pq_pctchange($C1012,G$6,$N$1))</f>
        <v xml:space="preserve"> </v>
      </c>
      <c r="H1012" s="28" t="str">
        <f>IF($C1012=""," ",[1]!i_pq_pctchange($C1012,H$6,$N$1))</f>
        <v xml:space="preserve"> </v>
      </c>
      <c r="I1012" s="28" t="str">
        <f>IF($C1012=""," ",[1]!i_pq_pctchange($C1012,I$6,$N$1))</f>
        <v xml:space="preserve"> </v>
      </c>
      <c r="J1012" s="28" t="str">
        <f>IF($C1012=""," ",[1]!i_pq_pctchange($C1012,J$6,$N$1))</f>
        <v xml:space="preserve"> </v>
      </c>
      <c r="K1012" s="28" t="str">
        <f>IF($C1012=""," ",[1]!i_pq_pctchange($C1012,K$6,$N$1))</f>
        <v xml:space="preserve"> </v>
      </c>
      <c r="L1012" s="28" t="str">
        <f>IF(C1012=""," ",[1]!s_wq_pctchange($C1012,$N$1))</f>
        <v xml:space="preserve"> </v>
      </c>
      <c r="M1012" s="28" t="str">
        <f>IF(C1012=""," ",[1]!s_mq_pctchange($C1012,$N$1))</f>
        <v xml:space="preserve"> </v>
      </c>
      <c r="N1012" s="28" t="str">
        <f>IF(C1012=""," ",[1]!s_yq_pctchange($C1012,$N$1))</f>
        <v xml:space="preserve"> </v>
      </c>
      <c r="O1012" s="11"/>
      <c r="P1012" s="7"/>
    </row>
    <row r="1013" spans="1:16" x14ac:dyDescent="0.35">
      <c r="A1013" s="7"/>
      <c r="C1013" s="30" t="str">
        <f>IF(指数列表!B1010="","",指数列表!B1010)</f>
        <v/>
      </c>
      <c r="D1013" s="35" t="str">
        <f>IF(C1013="","",[1]!s_info_name(C1013))</f>
        <v/>
      </c>
      <c r="E1013" s="24" t="str">
        <f>IF(C1013="","",[1]!s_dq_close(C1013,$N$1))</f>
        <v/>
      </c>
      <c r="F1013" s="28" t="str">
        <f>IF($C1013=""," ",[1]!i_pq_pctchange($C1013,F$6,$N$1))</f>
        <v xml:space="preserve"> </v>
      </c>
      <c r="G1013" s="28" t="str">
        <f>IF($C1013=""," ",[1]!i_pq_pctchange($C1013,G$6,$N$1))</f>
        <v xml:space="preserve"> </v>
      </c>
      <c r="H1013" s="28" t="str">
        <f>IF($C1013=""," ",[1]!i_pq_pctchange($C1013,H$6,$N$1))</f>
        <v xml:space="preserve"> </v>
      </c>
      <c r="I1013" s="28" t="str">
        <f>IF($C1013=""," ",[1]!i_pq_pctchange($C1013,I$6,$N$1))</f>
        <v xml:space="preserve"> </v>
      </c>
      <c r="J1013" s="28" t="str">
        <f>IF($C1013=""," ",[1]!i_pq_pctchange($C1013,J$6,$N$1))</f>
        <v xml:space="preserve"> </v>
      </c>
      <c r="K1013" s="28" t="str">
        <f>IF($C1013=""," ",[1]!i_pq_pctchange($C1013,K$6,$N$1))</f>
        <v xml:space="preserve"> </v>
      </c>
      <c r="L1013" s="28" t="str">
        <f>IF(C1013=""," ",[1]!s_wq_pctchange($C1013,$N$1))</f>
        <v xml:space="preserve"> </v>
      </c>
      <c r="M1013" s="28" t="str">
        <f>IF(C1013=""," ",[1]!s_mq_pctchange($C1013,$N$1))</f>
        <v xml:space="preserve"> </v>
      </c>
      <c r="N1013" s="28" t="str">
        <f>IF(C1013=""," ",[1]!s_yq_pctchange($C1013,$N$1))</f>
        <v xml:space="preserve"> </v>
      </c>
      <c r="O1013" s="11"/>
      <c r="P1013" s="7"/>
    </row>
    <row r="1014" spans="1:16" x14ac:dyDescent="0.35">
      <c r="A1014" s="7"/>
      <c r="C1014" s="31" t="str">
        <f>IF(指数列表!B1011="","",指数列表!B1011)</f>
        <v/>
      </c>
      <c r="D1014" s="36" t="str">
        <f>IF(C1014="","",[1]!s_info_name(C1014))</f>
        <v/>
      </c>
      <c r="E1014" s="25" t="str">
        <f>IF(C1014="","",[1]!s_dq_close(C1014,$N$1))</f>
        <v/>
      </c>
      <c r="F1014" s="28" t="str">
        <f>IF($C1014=""," ",[1]!i_pq_pctchange($C1014,F$6,$N$1))</f>
        <v xml:space="preserve"> </v>
      </c>
      <c r="G1014" s="28" t="str">
        <f>IF($C1014=""," ",[1]!i_pq_pctchange($C1014,G$6,$N$1))</f>
        <v xml:space="preserve"> </v>
      </c>
      <c r="H1014" s="28" t="str">
        <f>IF($C1014=""," ",[1]!i_pq_pctchange($C1014,H$6,$N$1))</f>
        <v xml:space="preserve"> </v>
      </c>
      <c r="I1014" s="28" t="str">
        <f>IF($C1014=""," ",[1]!i_pq_pctchange($C1014,I$6,$N$1))</f>
        <v xml:space="preserve"> </v>
      </c>
      <c r="J1014" s="28" t="str">
        <f>IF($C1014=""," ",[1]!i_pq_pctchange($C1014,J$6,$N$1))</f>
        <v xml:space="preserve"> </v>
      </c>
      <c r="K1014" s="28" t="str">
        <f>IF($C1014=""," ",[1]!i_pq_pctchange($C1014,K$6,$N$1))</f>
        <v xml:space="preserve"> </v>
      </c>
      <c r="L1014" s="28" t="str">
        <f>IF(C1014=""," ",[1]!s_wq_pctchange($C1014,$N$1))</f>
        <v xml:space="preserve"> </v>
      </c>
      <c r="M1014" s="28" t="str">
        <f>IF(C1014=""," ",[1]!s_mq_pctchange($C1014,$N$1))</f>
        <v xml:space="preserve"> </v>
      </c>
      <c r="N1014" s="28" t="str">
        <f>IF(C1014=""," ",[1]!s_yq_pctchange($C1014,$N$1))</f>
        <v xml:space="preserve"> </v>
      </c>
      <c r="O1014" s="11"/>
      <c r="P1014" s="7"/>
    </row>
    <row r="1015" spans="1:16" x14ac:dyDescent="0.35">
      <c r="A1015" s="7"/>
      <c r="C1015" s="30" t="str">
        <f>IF(指数列表!B1012="","",指数列表!B1012)</f>
        <v/>
      </c>
      <c r="D1015" s="35" t="str">
        <f>IF(C1015="","",[1]!s_info_name(C1015))</f>
        <v/>
      </c>
      <c r="E1015" s="24" t="str">
        <f>IF(C1015="","",[1]!s_dq_close(C1015,$N$1))</f>
        <v/>
      </c>
      <c r="F1015" s="28" t="str">
        <f>IF($C1015=""," ",[1]!i_pq_pctchange($C1015,F$6,$N$1))</f>
        <v xml:space="preserve"> </v>
      </c>
      <c r="G1015" s="28" t="str">
        <f>IF($C1015=""," ",[1]!i_pq_pctchange($C1015,G$6,$N$1))</f>
        <v xml:space="preserve"> </v>
      </c>
      <c r="H1015" s="28" t="str">
        <f>IF($C1015=""," ",[1]!i_pq_pctchange($C1015,H$6,$N$1))</f>
        <v xml:space="preserve"> </v>
      </c>
      <c r="I1015" s="28" t="str">
        <f>IF($C1015=""," ",[1]!i_pq_pctchange($C1015,I$6,$N$1))</f>
        <v xml:space="preserve"> </v>
      </c>
      <c r="J1015" s="28" t="str">
        <f>IF($C1015=""," ",[1]!i_pq_pctchange($C1015,J$6,$N$1))</f>
        <v xml:space="preserve"> </v>
      </c>
      <c r="K1015" s="28" t="str">
        <f>IF($C1015=""," ",[1]!i_pq_pctchange($C1015,K$6,$N$1))</f>
        <v xml:space="preserve"> </v>
      </c>
      <c r="L1015" s="28" t="str">
        <f>IF(C1015=""," ",[1]!s_wq_pctchange($C1015,$N$1))</f>
        <v xml:space="preserve"> </v>
      </c>
      <c r="M1015" s="28" t="str">
        <f>IF(C1015=""," ",[1]!s_mq_pctchange($C1015,$N$1))</f>
        <v xml:space="preserve"> </v>
      </c>
      <c r="N1015" s="28" t="str">
        <f>IF(C1015=""," ",[1]!s_yq_pctchange($C1015,$N$1))</f>
        <v xml:space="preserve"> </v>
      </c>
      <c r="O1015" s="11"/>
      <c r="P1015" s="7"/>
    </row>
    <row r="1016" spans="1:16" x14ac:dyDescent="0.35">
      <c r="A1016" s="7"/>
      <c r="C1016" s="31" t="str">
        <f>IF(指数列表!B1013="","",指数列表!B1013)</f>
        <v/>
      </c>
      <c r="D1016" s="36" t="str">
        <f>IF(C1016="","",[1]!s_info_name(C1016))</f>
        <v/>
      </c>
      <c r="E1016" s="25" t="str">
        <f>IF(C1016="","",[1]!s_dq_close(C1016,$N$1))</f>
        <v/>
      </c>
      <c r="F1016" s="28" t="str">
        <f>IF($C1016=""," ",[1]!i_pq_pctchange($C1016,F$6,$N$1))</f>
        <v xml:space="preserve"> </v>
      </c>
      <c r="G1016" s="28" t="str">
        <f>IF($C1016=""," ",[1]!i_pq_pctchange($C1016,G$6,$N$1))</f>
        <v xml:space="preserve"> </v>
      </c>
      <c r="H1016" s="28" t="str">
        <f>IF($C1016=""," ",[1]!i_pq_pctchange($C1016,H$6,$N$1))</f>
        <v xml:space="preserve"> </v>
      </c>
      <c r="I1016" s="28" t="str">
        <f>IF($C1016=""," ",[1]!i_pq_pctchange($C1016,I$6,$N$1))</f>
        <v xml:space="preserve"> </v>
      </c>
      <c r="J1016" s="28" t="str">
        <f>IF($C1016=""," ",[1]!i_pq_pctchange($C1016,J$6,$N$1))</f>
        <v xml:space="preserve"> </v>
      </c>
      <c r="K1016" s="28" t="str">
        <f>IF($C1016=""," ",[1]!i_pq_pctchange($C1016,K$6,$N$1))</f>
        <v xml:space="preserve"> </v>
      </c>
      <c r="L1016" s="28" t="str">
        <f>IF(C1016=""," ",[1]!s_wq_pctchange($C1016,$N$1))</f>
        <v xml:space="preserve"> </v>
      </c>
      <c r="M1016" s="28" t="str">
        <f>IF(C1016=""," ",[1]!s_mq_pctchange($C1016,$N$1))</f>
        <v xml:space="preserve"> </v>
      </c>
      <c r="N1016" s="28" t="str">
        <f>IF(C1016=""," ",[1]!s_yq_pctchange($C1016,$N$1))</f>
        <v xml:space="preserve"> </v>
      </c>
      <c r="O1016" s="11"/>
      <c r="P1016" s="7"/>
    </row>
    <row r="1017" spans="1:16" x14ac:dyDescent="0.35">
      <c r="A1017" s="7"/>
      <c r="C1017" s="30" t="str">
        <f>IF(指数列表!B1014="","",指数列表!B1014)</f>
        <v/>
      </c>
      <c r="D1017" s="35" t="str">
        <f>IF(C1017="","",[1]!s_info_name(C1017))</f>
        <v/>
      </c>
      <c r="E1017" s="24" t="str">
        <f>IF(C1017="","",[1]!s_dq_close(C1017,$N$1))</f>
        <v/>
      </c>
      <c r="F1017" s="28" t="str">
        <f>IF($C1017=""," ",[1]!i_pq_pctchange($C1017,F$6,$N$1))</f>
        <v xml:space="preserve"> </v>
      </c>
      <c r="G1017" s="28" t="str">
        <f>IF($C1017=""," ",[1]!i_pq_pctchange($C1017,G$6,$N$1))</f>
        <v xml:space="preserve"> </v>
      </c>
      <c r="H1017" s="28" t="str">
        <f>IF($C1017=""," ",[1]!i_pq_pctchange($C1017,H$6,$N$1))</f>
        <v xml:space="preserve"> </v>
      </c>
      <c r="I1017" s="28" t="str">
        <f>IF($C1017=""," ",[1]!i_pq_pctchange($C1017,I$6,$N$1))</f>
        <v xml:space="preserve"> </v>
      </c>
      <c r="J1017" s="28" t="str">
        <f>IF($C1017=""," ",[1]!i_pq_pctchange($C1017,J$6,$N$1))</f>
        <v xml:space="preserve"> </v>
      </c>
      <c r="K1017" s="28" t="str">
        <f>IF($C1017=""," ",[1]!i_pq_pctchange($C1017,K$6,$N$1))</f>
        <v xml:space="preserve"> </v>
      </c>
      <c r="L1017" s="28" t="str">
        <f>IF(C1017=""," ",[1]!s_wq_pctchange($C1017,$N$1))</f>
        <v xml:space="preserve"> </v>
      </c>
      <c r="M1017" s="28" t="str">
        <f>IF(C1017=""," ",[1]!s_mq_pctchange($C1017,$N$1))</f>
        <v xml:space="preserve"> </v>
      </c>
      <c r="N1017" s="28" t="str">
        <f>IF(C1017=""," ",[1]!s_yq_pctchange($C1017,$N$1))</f>
        <v xml:space="preserve"> </v>
      </c>
      <c r="O1017" s="11"/>
      <c r="P1017" s="7"/>
    </row>
    <row r="1018" spans="1:16" x14ac:dyDescent="0.35">
      <c r="A1018" s="7"/>
      <c r="C1018" s="31" t="str">
        <f>IF(指数列表!B1015="","",指数列表!B1015)</f>
        <v/>
      </c>
      <c r="D1018" s="36" t="str">
        <f>IF(C1018="","",[1]!s_info_name(C1018))</f>
        <v/>
      </c>
      <c r="E1018" s="25" t="str">
        <f>IF(C1018="","",[1]!s_dq_close(C1018,$N$1))</f>
        <v/>
      </c>
      <c r="F1018" s="28" t="str">
        <f>IF($C1018=""," ",[1]!i_pq_pctchange($C1018,F$6,$N$1))</f>
        <v xml:space="preserve"> </v>
      </c>
      <c r="G1018" s="28" t="str">
        <f>IF($C1018=""," ",[1]!i_pq_pctchange($C1018,G$6,$N$1))</f>
        <v xml:space="preserve"> </v>
      </c>
      <c r="H1018" s="28" t="str">
        <f>IF($C1018=""," ",[1]!i_pq_pctchange($C1018,H$6,$N$1))</f>
        <v xml:space="preserve"> </v>
      </c>
      <c r="I1018" s="28" t="str">
        <f>IF($C1018=""," ",[1]!i_pq_pctchange($C1018,I$6,$N$1))</f>
        <v xml:space="preserve"> </v>
      </c>
      <c r="J1018" s="28" t="str">
        <f>IF($C1018=""," ",[1]!i_pq_pctchange($C1018,J$6,$N$1))</f>
        <v xml:space="preserve"> </v>
      </c>
      <c r="K1018" s="28" t="str">
        <f>IF($C1018=""," ",[1]!i_pq_pctchange($C1018,K$6,$N$1))</f>
        <v xml:space="preserve"> </v>
      </c>
      <c r="L1018" s="28" t="str">
        <f>IF(C1018=""," ",[1]!s_wq_pctchange($C1018,$N$1))</f>
        <v xml:space="preserve"> </v>
      </c>
      <c r="M1018" s="28" t="str">
        <f>IF(C1018=""," ",[1]!s_mq_pctchange($C1018,$N$1))</f>
        <v xml:space="preserve"> </v>
      </c>
      <c r="N1018" s="28" t="str">
        <f>IF(C1018=""," ",[1]!s_yq_pctchange($C1018,$N$1))</f>
        <v xml:space="preserve"> </v>
      </c>
      <c r="O1018" s="11"/>
      <c r="P1018" s="7"/>
    </row>
    <row r="1019" spans="1:16" x14ac:dyDescent="0.35">
      <c r="A1019" s="7"/>
      <c r="C1019" s="30" t="str">
        <f>IF(指数列表!B1016="","",指数列表!B1016)</f>
        <v/>
      </c>
      <c r="D1019" s="35" t="str">
        <f>IF(C1019="","",[1]!s_info_name(C1019))</f>
        <v/>
      </c>
      <c r="E1019" s="24" t="str">
        <f>IF(C1019="","",[1]!s_dq_close(C1019,$N$1))</f>
        <v/>
      </c>
      <c r="F1019" s="28" t="str">
        <f>IF($C1019=""," ",[1]!i_pq_pctchange($C1019,F$6,$N$1))</f>
        <v xml:space="preserve"> </v>
      </c>
      <c r="G1019" s="28" t="str">
        <f>IF($C1019=""," ",[1]!i_pq_pctchange($C1019,G$6,$N$1))</f>
        <v xml:space="preserve"> </v>
      </c>
      <c r="H1019" s="28" t="str">
        <f>IF($C1019=""," ",[1]!i_pq_pctchange($C1019,H$6,$N$1))</f>
        <v xml:space="preserve"> </v>
      </c>
      <c r="I1019" s="28" t="str">
        <f>IF($C1019=""," ",[1]!i_pq_pctchange($C1019,I$6,$N$1))</f>
        <v xml:space="preserve"> </v>
      </c>
      <c r="J1019" s="28" t="str">
        <f>IF($C1019=""," ",[1]!i_pq_pctchange($C1019,J$6,$N$1))</f>
        <v xml:space="preserve"> </v>
      </c>
      <c r="K1019" s="28" t="str">
        <f>IF($C1019=""," ",[1]!i_pq_pctchange($C1019,K$6,$N$1))</f>
        <v xml:space="preserve"> </v>
      </c>
      <c r="L1019" s="28" t="str">
        <f>IF(C1019=""," ",[1]!s_wq_pctchange($C1019,$N$1))</f>
        <v xml:space="preserve"> </v>
      </c>
      <c r="M1019" s="28" t="str">
        <f>IF(C1019=""," ",[1]!s_mq_pctchange($C1019,$N$1))</f>
        <v xml:space="preserve"> </v>
      </c>
      <c r="N1019" s="28" t="str">
        <f>IF(C1019=""," ",[1]!s_yq_pctchange($C1019,$N$1))</f>
        <v xml:space="preserve"> </v>
      </c>
      <c r="O1019" s="11"/>
      <c r="P1019" s="7"/>
    </row>
    <row r="1020" spans="1:16" x14ac:dyDescent="0.35">
      <c r="A1020" s="7"/>
      <c r="C1020" s="31" t="str">
        <f>IF(指数列表!B1017="","",指数列表!B1017)</f>
        <v/>
      </c>
      <c r="D1020" s="36" t="str">
        <f>IF(C1020="","",[1]!s_info_name(C1020))</f>
        <v/>
      </c>
      <c r="E1020" s="25" t="str">
        <f>IF(C1020="","",[1]!s_dq_close(C1020,$N$1))</f>
        <v/>
      </c>
      <c r="F1020" s="28" t="str">
        <f>IF($C1020=""," ",[1]!i_pq_pctchange($C1020,F$6,$N$1))</f>
        <v xml:space="preserve"> </v>
      </c>
      <c r="G1020" s="28" t="str">
        <f>IF($C1020=""," ",[1]!i_pq_pctchange($C1020,G$6,$N$1))</f>
        <v xml:space="preserve"> </v>
      </c>
      <c r="H1020" s="28" t="str">
        <f>IF($C1020=""," ",[1]!i_pq_pctchange($C1020,H$6,$N$1))</f>
        <v xml:space="preserve"> </v>
      </c>
      <c r="I1020" s="28" t="str">
        <f>IF($C1020=""," ",[1]!i_pq_pctchange($C1020,I$6,$N$1))</f>
        <v xml:space="preserve"> </v>
      </c>
      <c r="J1020" s="28" t="str">
        <f>IF($C1020=""," ",[1]!i_pq_pctchange($C1020,J$6,$N$1))</f>
        <v xml:space="preserve"> </v>
      </c>
      <c r="K1020" s="28" t="str">
        <f>IF($C1020=""," ",[1]!i_pq_pctchange($C1020,K$6,$N$1))</f>
        <v xml:space="preserve"> </v>
      </c>
      <c r="L1020" s="28" t="str">
        <f>IF(C1020=""," ",[1]!s_wq_pctchange($C1020,$N$1))</f>
        <v xml:space="preserve"> </v>
      </c>
      <c r="M1020" s="28" t="str">
        <f>IF(C1020=""," ",[1]!s_mq_pctchange($C1020,$N$1))</f>
        <v xml:space="preserve"> </v>
      </c>
      <c r="N1020" s="28" t="str">
        <f>IF(C1020=""," ",[1]!s_yq_pctchange($C1020,$N$1))</f>
        <v xml:space="preserve"> </v>
      </c>
      <c r="O1020" s="11"/>
      <c r="P1020" s="7"/>
    </row>
    <row r="1021" spans="1:16" x14ac:dyDescent="0.35">
      <c r="A1021" s="7"/>
      <c r="C1021" s="30" t="str">
        <f>IF(指数列表!B1018="","",指数列表!B1018)</f>
        <v/>
      </c>
      <c r="D1021" s="35" t="str">
        <f>IF(C1021="","",[1]!s_info_name(C1021))</f>
        <v/>
      </c>
      <c r="E1021" s="24" t="str">
        <f>IF(C1021="","",[1]!s_dq_close(C1021,$N$1))</f>
        <v/>
      </c>
      <c r="F1021" s="28" t="str">
        <f>IF($C1021=""," ",[1]!i_pq_pctchange($C1021,F$6,$N$1))</f>
        <v xml:space="preserve"> </v>
      </c>
      <c r="G1021" s="28" t="str">
        <f>IF($C1021=""," ",[1]!i_pq_pctchange($C1021,G$6,$N$1))</f>
        <v xml:space="preserve"> </v>
      </c>
      <c r="H1021" s="28" t="str">
        <f>IF($C1021=""," ",[1]!i_pq_pctchange($C1021,H$6,$N$1))</f>
        <v xml:space="preserve"> </v>
      </c>
      <c r="I1021" s="28" t="str">
        <f>IF($C1021=""," ",[1]!i_pq_pctchange($C1021,I$6,$N$1))</f>
        <v xml:space="preserve"> </v>
      </c>
      <c r="J1021" s="28" t="str">
        <f>IF($C1021=""," ",[1]!i_pq_pctchange($C1021,J$6,$N$1))</f>
        <v xml:space="preserve"> </v>
      </c>
      <c r="K1021" s="28" t="str">
        <f>IF($C1021=""," ",[1]!i_pq_pctchange($C1021,K$6,$N$1))</f>
        <v xml:space="preserve"> </v>
      </c>
      <c r="L1021" s="28" t="str">
        <f>IF(C1021=""," ",[1]!s_wq_pctchange($C1021,$N$1))</f>
        <v xml:space="preserve"> </v>
      </c>
      <c r="M1021" s="28" t="str">
        <f>IF(C1021=""," ",[1]!s_mq_pctchange($C1021,$N$1))</f>
        <v xml:space="preserve"> </v>
      </c>
      <c r="N1021" s="28" t="str">
        <f>IF(C1021=""," ",[1]!s_yq_pctchange($C1021,$N$1))</f>
        <v xml:space="preserve"> </v>
      </c>
      <c r="O1021" s="11"/>
      <c r="P1021" s="7"/>
    </row>
    <row r="1022" spans="1:16" x14ac:dyDescent="0.35">
      <c r="A1022" s="7"/>
      <c r="C1022" s="31" t="str">
        <f>IF(指数列表!B1019="","",指数列表!B1019)</f>
        <v/>
      </c>
      <c r="D1022" s="36" t="str">
        <f>IF(C1022="","",[1]!s_info_name(C1022))</f>
        <v/>
      </c>
      <c r="E1022" s="25" t="str">
        <f>IF(C1022="","",[1]!s_dq_close(C1022,$N$1))</f>
        <v/>
      </c>
      <c r="F1022" s="28" t="str">
        <f>IF($C1022=""," ",[1]!i_pq_pctchange($C1022,F$6,$N$1))</f>
        <v xml:space="preserve"> </v>
      </c>
      <c r="G1022" s="28" t="str">
        <f>IF($C1022=""," ",[1]!i_pq_pctchange($C1022,G$6,$N$1))</f>
        <v xml:space="preserve"> </v>
      </c>
      <c r="H1022" s="28" t="str">
        <f>IF($C1022=""," ",[1]!i_pq_pctchange($C1022,H$6,$N$1))</f>
        <v xml:space="preserve"> </v>
      </c>
      <c r="I1022" s="28" t="str">
        <f>IF($C1022=""," ",[1]!i_pq_pctchange($C1022,I$6,$N$1))</f>
        <v xml:space="preserve"> </v>
      </c>
      <c r="J1022" s="28" t="str">
        <f>IF($C1022=""," ",[1]!i_pq_pctchange($C1022,J$6,$N$1))</f>
        <v xml:space="preserve"> </v>
      </c>
      <c r="K1022" s="28" t="str">
        <f>IF($C1022=""," ",[1]!i_pq_pctchange($C1022,K$6,$N$1))</f>
        <v xml:space="preserve"> </v>
      </c>
      <c r="L1022" s="28" t="str">
        <f>IF(C1022=""," ",[1]!s_wq_pctchange($C1022,$N$1))</f>
        <v xml:space="preserve"> </v>
      </c>
      <c r="M1022" s="28" t="str">
        <f>IF(C1022=""," ",[1]!s_mq_pctchange($C1022,$N$1))</f>
        <v xml:space="preserve"> </v>
      </c>
      <c r="N1022" s="28" t="str">
        <f>IF(C1022=""," ",[1]!s_yq_pctchange($C1022,$N$1))</f>
        <v xml:space="preserve"> </v>
      </c>
      <c r="O1022" s="11"/>
      <c r="P1022" s="7"/>
    </row>
    <row r="1023" spans="1:16" x14ac:dyDescent="0.35">
      <c r="A1023" s="7"/>
      <c r="C1023" s="30" t="str">
        <f>IF(指数列表!B1020="","",指数列表!B1020)</f>
        <v/>
      </c>
      <c r="D1023" s="35" t="str">
        <f>IF(C1023="","",[1]!s_info_name(C1023))</f>
        <v/>
      </c>
      <c r="E1023" s="24" t="str">
        <f>IF(C1023="","",[1]!s_dq_close(C1023,$N$1))</f>
        <v/>
      </c>
      <c r="F1023" s="28" t="str">
        <f>IF($C1023=""," ",[1]!i_pq_pctchange($C1023,F$6,$N$1))</f>
        <v xml:space="preserve"> </v>
      </c>
      <c r="G1023" s="28" t="str">
        <f>IF($C1023=""," ",[1]!i_pq_pctchange($C1023,G$6,$N$1))</f>
        <v xml:space="preserve"> </v>
      </c>
      <c r="H1023" s="28" t="str">
        <f>IF($C1023=""," ",[1]!i_pq_pctchange($C1023,H$6,$N$1))</f>
        <v xml:space="preserve"> </v>
      </c>
      <c r="I1023" s="28" t="str">
        <f>IF($C1023=""," ",[1]!i_pq_pctchange($C1023,I$6,$N$1))</f>
        <v xml:space="preserve"> </v>
      </c>
      <c r="J1023" s="28" t="str">
        <f>IF($C1023=""," ",[1]!i_pq_pctchange($C1023,J$6,$N$1))</f>
        <v xml:space="preserve"> </v>
      </c>
      <c r="K1023" s="28" t="str">
        <f>IF($C1023=""," ",[1]!i_pq_pctchange($C1023,K$6,$N$1))</f>
        <v xml:space="preserve"> </v>
      </c>
      <c r="L1023" s="28" t="str">
        <f>IF(C1023=""," ",[1]!s_wq_pctchange($C1023,$N$1))</f>
        <v xml:space="preserve"> </v>
      </c>
      <c r="M1023" s="28" t="str">
        <f>IF(C1023=""," ",[1]!s_mq_pctchange($C1023,$N$1))</f>
        <v xml:space="preserve"> </v>
      </c>
      <c r="N1023" s="28" t="str">
        <f>IF(C1023=""," ",[1]!s_yq_pctchange($C1023,$N$1))</f>
        <v xml:space="preserve"> </v>
      </c>
      <c r="O1023" s="11"/>
      <c r="P1023" s="7"/>
    </row>
    <row r="1024" spans="1:16" x14ac:dyDescent="0.35">
      <c r="A1024" s="7"/>
      <c r="C1024" s="31" t="str">
        <f>IF(指数列表!B1021="","",指数列表!B1021)</f>
        <v/>
      </c>
      <c r="D1024" s="36" t="str">
        <f>IF(C1024="","",[1]!s_info_name(C1024))</f>
        <v/>
      </c>
      <c r="E1024" s="25" t="str">
        <f>IF(C1024="","",[1]!s_dq_close(C1024,$N$1))</f>
        <v/>
      </c>
      <c r="F1024" s="28" t="str">
        <f>IF($C1024=""," ",[1]!i_pq_pctchange($C1024,F$6,$N$1))</f>
        <v xml:space="preserve"> </v>
      </c>
      <c r="G1024" s="28" t="str">
        <f>IF($C1024=""," ",[1]!i_pq_pctchange($C1024,G$6,$N$1))</f>
        <v xml:space="preserve"> </v>
      </c>
      <c r="H1024" s="28" t="str">
        <f>IF($C1024=""," ",[1]!i_pq_pctchange($C1024,H$6,$N$1))</f>
        <v xml:space="preserve"> </v>
      </c>
      <c r="I1024" s="28" t="str">
        <f>IF($C1024=""," ",[1]!i_pq_pctchange($C1024,I$6,$N$1))</f>
        <v xml:space="preserve"> </v>
      </c>
      <c r="J1024" s="28" t="str">
        <f>IF($C1024=""," ",[1]!i_pq_pctchange($C1024,J$6,$N$1))</f>
        <v xml:space="preserve"> </v>
      </c>
      <c r="K1024" s="28" t="str">
        <f>IF($C1024=""," ",[1]!i_pq_pctchange($C1024,K$6,$N$1))</f>
        <v xml:space="preserve"> </v>
      </c>
      <c r="L1024" s="28" t="str">
        <f>IF(C1024=""," ",[1]!s_wq_pctchange($C1024,$N$1))</f>
        <v xml:space="preserve"> </v>
      </c>
      <c r="M1024" s="28" t="str">
        <f>IF(C1024=""," ",[1]!s_mq_pctchange($C1024,$N$1))</f>
        <v xml:space="preserve"> </v>
      </c>
      <c r="N1024" s="28" t="str">
        <f>IF(C1024=""," ",[1]!s_yq_pctchange($C1024,$N$1))</f>
        <v xml:space="preserve"> </v>
      </c>
      <c r="O1024" s="11"/>
      <c r="P1024" s="7"/>
    </row>
    <row r="1025" spans="1:16" x14ac:dyDescent="0.35">
      <c r="A1025" s="7"/>
      <c r="C1025" s="30" t="str">
        <f>IF(指数列表!B1022="","",指数列表!B1022)</f>
        <v/>
      </c>
      <c r="D1025" s="35" t="str">
        <f>IF(C1025="","",[1]!s_info_name(C1025))</f>
        <v/>
      </c>
      <c r="E1025" s="24" t="str">
        <f>IF(C1025="","",[1]!s_dq_close(C1025,$N$1))</f>
        <v/>
      </c>
      <c r="F1025" s="28" t="str">
        <f>IF($C1025=""," ",[1]!i_pq_pctchange($C1025,F$6,$N$1))</f>
        <v xml:space="preserve"> </v>
      </c>
      <c r="G1025" s="28" t="str">
        <f>IF($C1025=""," ",[1]!i_pq_pctchange($C1025,G$6,$N$1))</f>
        <v xml:space="preserve"> </v>
      </c>
      <c r="H1025" s="28" t="str">
        <f>IF($C1025=""," ",[1]!i_pq_pctchange($C1025,H$6,$N$1))</f>
        <v xml:space="preserve"> </v>
      </c>
      <c r="I1025" s="28" t="str">
        <f>IF($C1025=""," ",[1]!i_pq_pctchange($C1025,I$6,$N$1))</f>
        <v xml:space="preserve"> </v>
      </c>
      <c r="J1025" s="28" t="str">
        <f>IF($C1025=""," ",[1]!i_pq_pctchange($C1025,J$6,$N$1))</f>
        <v xml:space="preserve"> </v>
      </c>
      <c r="K1025" s="28" t="str">
        <f>IF($C1025=""," ",[1]!i_pq_pctchange($C1025,K$6,$N$1))</f>
        <v xml:space="preserve"> </v>
      </c>
      <c r="L1025" s="28" t="str">
        <f>IF(C1025=""," ",[1]!s_wq_pctchange($C1025,$N$1))</f>
        <v xml:space="preserve"> </v>
      </c>
      <c r="M1025" s="28" t="str">
        <f>IF(C1025=""," ",[1]!s_mq_pctchange($C1025,$N$1))</f>
        <v xml:space="preserve"> </v>
      </c>
      <c r="N1025" s="28" t="str">
        <f>IF(C1025=""," ",[1]!s_yq_pctchange($C1025,$N$1))</f>
        <v xml:space="preserve"> </v>
      </c>
      <c r="O1025" s="11"/>
      <c r="P1025" s="7"/>
    </row>
    <row r="1026" spans="1:16" x14ac:dyDescent="0.35">
      <c r="A1026" s="7"/>
      <c r="C1026" s="31" t="str">
        <f>IF(指数列表!B1023="","",指数列表!B1023)</f>
        <v/>
      </c>
      <c r="D1026" s="36" t="str">
        <f>IF(C1026="","",[1]!s_info_name(C1026))</f>
        <v/>
      </c>
      <c r="E1026" s="25" t="str">
        <f>IF(C1026="","",[1]!s_dq_close(C1026,$N$1))</f>
        <v/>
      </c>
      <c r="F1026" s="28" t="str">
        <f>IF($C1026=""," ",[1]!i_pq_pctchange($C1026,F$6,$N$1))</f>
        <v xml:space="preserve"> </v>
      </c>
      <c r="G1026" s="28" t="str">
        <f>IF($C1026=""," ",[1]!i_pq_pctchange($C1026,G$6,$N$1))</f>
        <v xml:space="preserve"> </v>
      </c>
      <c r="H1026" s="28" t="str">
        <f>IF($C1026=""," ",[1]!i_pq_pctchange($C1026,H$6,$N$1))</f>
        <v xml:space="preserve"> </v>
      </c>
      <c r="I1026" s="28" t="str">
        <f>IF($C1026=""," ",[1]!i_pq_pctchange($C1026,I$6,$N$1))</f>
        <v xml:space="preserve"> </v>
      </c>
      <c r="J1026" s="28" t="str">
        <f>IF($C1026=""," ",[1]!i_pq_pctchange($C1026,J$6,$N$1))</f>
        <v xml:space="preserve"> </v>
      </c>
      <c r="K1026" s="28" t="str">
        <f>IF($C1026=""," ",[1]!i_pq_pctchange($C1026,K$6,$N$1))</f>
        <v xml:space="preserve"> </v>
      </c>
      <c r="L1026" s="28" t="str">
        <f>IF(C1026=""," ",[1]!s_wq_pctchange($C1026,$N$1))</f>
        <v xml:space="preserve"> </v>
      </c>
      <c r="M1026" s="28" t="str">
        <f>IF(C1026=""," ",[1]!s_mq_pctchange($C1026,$N$1))</f>
        <v xml:space="preserve"> </v>
      </c>
      <c r="N1026" s="28" t="str">
        <f>IF(C1026=""," ",[1]!s_yq_pctchange($C1026,$N$1))</f>
        <v xml:space="preserve"> </v>
      </c>
      <c r="O1026" s="11"/>
      <c r="P1026" s="7"/>
    </row>
    <row r="1027" spans="1:16" x14ac:dyDescent="0.35">
      <c r="A1027" s="7"/>
      <c r="C1027" s="30" t="str">
        <f>IF(指数列表!B1024="","",指数列表!B1024)</f>
        <v/>
      </c>
      <c r="D1027" s="35" t="str">
        <f>IF(C1027="","",[1]!s_info_name(C1027))</f>
        <v/>
      </c>
      <c r="E1027" s="24" t="str">
        <f>IF(C1027="","",[1]!s_dq_close(C1027,$N$1))</f>
        <v/>
      </c>
      <c r="F1027" s="28" t="str">
        <f>IF($C1027=""," ",[1]!i_pq_pctchange($C1027,F$6,$N$1))</f>
        <v xml:space="preserve"> </v>
      </c>
      <c r="G1027" s="28" t="str">
        <f>IF($C1027=""," ",[1]!i_pq_pctchange($C1027,G$6,$N$1))</f>
        <v xml:space="preserve"> </v>
      </c>
      <c r="H1027" s="28" t="str">
        <f>IF($C1027=""," ",[1]!i_pq_pctchange($C1027,H$6,$N$1))</f>
        <v xml:space="preserve"> </v>
      </c>
      <c r="I1027" s="28" t="str">
        <f>IF($C1027=""," ",[1]!i_pq_pctchange($C1027,I$6,$N$1))</f>
        <v xml:space="preserve"> </v>
      </c>
      <c r="J1027" s="28" t="str">
        <f>IF($C1027=""," ",[1]!i_pq_pctchange($C1027,J$6,$N$1))</f>
        <v xml:space="preserve"> </v>
      </c>
      <c r="K1027" s="28" t="str">
        <f>IF($C1027=""," ",[1]!i_pq_pctchange($C1027,K$6,$N$1))</f>
        <v xml:space="preserve"> </v>
      </c>
      <c r="L1027" s="28" t="str">
        <f>IF(C1027=""," ",[1]!s_wq_pctchange($C1027,$N$1))</f>
        <v xml:space="preserve"> </v>
      </c>
      <c r="M1027" s="28" t="str">
        <f>IF(C1027=""," ",[1]!s_mq_pctchange($C1027,$N$1))</f>
        <v xml:space="preserve"> </v>
      </c>
      <c r="N1027" s="28" t="str">
        <f>IF(C1027=""," ",[1]!s_yq_pctchange($C1027,$N$1))</f>
        <v xml:space="preserve"> </v>
      </c>
      <c r="O1027" s="11"/>
      <c r="P1027" s="7"/>
    </row>
    <row r="1028" spans="1:16" x14ac:dyDescent="0.35">
      <c r="A1028" s="7"/>
      <c r="C1028" s="31" t="str">
        <f>IF(指数列表!B1025="","",指数列表!B1025)</f>
        <v/>
      </c>
      <c r="D1028" s="36" t="str">
        <f>IF(C1028="","",[1]!s_info_name(C1028))</f>
        <v/>
      </c>
      <c r="E1028" s="25" t="str">
        <f>IF(C1028="","",[1]!s_dq_close(C1028,$N$1))</f>
        <v/>
      </c>
      <c r="F1028" s="28" t="str">
        <f>IF($C1028=""," ",[1]!i_pq_pctchange($C1028,F$6,$N$1))</f>
        <v xml:space="preserve"> </v>
      </c>
      <c r="G1028" s="28" t="str">
        <f>IF($C1028=""," ",[1]!i_pq_pctchange($C1028,G$6,$N$1))</f>
        <v xml:space="preserve"> </v>
      </c>
      <c r="H1028" s="28" t="str">
        <f>IF($C1028=""," ",[1]!i_pq_pctchange($C1028,H$6,$N$1))</f>
        <v xml:space="preserve"> </v>
      </c>
      <c r="I1028" s="28" t="str">
        <f>IF($C1028=""," ",[1]!i_pq_pctchange($C1028,I$6,$N$1))</f>
        <v xml:space="preserve"> </v>
      </c>
      <c r="J1028" s="28" t="str">
        <f>IF($C1028=""," ",[1]!i_pq_pctchange($C1028,J$6,$N$1))</f>
        <v xml:space="preserve"> </v>
      </c>
      <c r="K1028" s="28" t="str">
        <f>IF($C1028=""," ",[1]!i_pq_pctchange($C1028,K$6,$N$1))</f>
        <v xml:space="preserve"> </v>
      </c>
      <c r="L1028" s="28" t="str">
        <f>IF(C1028=""," ",[1]!s_wq_pctchange($C1028,$N$1))</f>
        <v xml:space="preserve"> </v>
      </c>
      <c r="M1028" s="28" t="str">
        <f>IF(C1028=""," ",[1]!s_mq_pctchange($C1028,$N$1))</f>
        <v xml:space="preserve"> </v>
      </c>
      <c r="N1028" s="28" t="str">
        <f>IF(C1028=""," ",[1]!s_yq_pctchange($C1028,$N$1))</f>
        <v xml:space="preserve"> </v>
      </c>
      <c r="O1028" s="11"/>
      <c r="P1028" s="7"/>
    </row>
    <row r="1029" spans="1:16" x14ac:dyDescent="0.35">
      <c r="A1029" s="7"/>
      <c r="C1029" s="30" t="str">
        <f>IF(指数列表!B1026="","",指数列表!B1026)</f>
        <v/>
      </c>
      <c r="D1029" s="35" t="str">
        <f>IF(C1029="","",[1]!s_info_name(C1029))</f>
        <v/>
      </c>
      <c r="E1029" s="24" t="str">
        <f>IF(C1029="","",[1]!s_dq_close(C1029,$N$1))</f>
        <v/>
      </c>
      <c r="F1029" s="28" t="str">
        <f>IF($C1029=""," ",[1]!i_pq_pctchange($C1029,F$6,$N$1))</f>
        <v xml:space="preserve"> </v>
      </c>
      <c r="G1029" s="28" t="str">
        <f>IF($C1029=""," ",[1]!i_pq_pctchange($C1029,G$6,$N$1))</f>
        <v xml:space="preserve"> </v>
      </c>
      <c r="H1029" s="28" t="str">
        <f>IF($C1029=""," ",[1]!i_pq_pctchange($C1029,H$6,$N$1))</f>
        <v xml:space="preserve"> </v>
      </c>
      <c r="I1029" s="28" t="str">
        <f>IF($C1029=""," ",[1]!i_pq_pctchange($C1029,I$6,$N$1))</f>
        <v xml:space="preserve"> </v>
      </c>
      <c r="J1029" s="28" t="str">
        <f>IF($C1029=""," ",[1]!i_pq_pctchange($C1029,J$6,$N$1))</f>
        <v xml:space="preserve"> </v>
      </c>
      <c r="K1029" s="28" t="str">
        <f>IF($C1029=""," ",[1]!i_pq_pctchange($C1029,K$6,$N$1))</f>
        <v xml:space="preserve"> </v>
      </c>
      <c r="L1029" s="28" t="str">
        <f>IF(C1029=""," ",[1]!s_wq_pctchange($C1029,$N$1))</f>
        <v xml:space="preserve"> </v>
      </c>
      <c r="M1029" s="28" t="str">
        <f>IF(C1029=""," ",[1]!s_mq_pctchange($C1029,$N$1))</f>
        <v xml:space="preserve"> </v>
      </c>
      <c r="N1029" s="28" t="str">
        <f>IF(C1029=""," ",[1]!s_yq_pctchange($C1029,$N$1))</f>
        <v xml:space="preserve"> </v>
      </c>
      <c r="O1029" s="11"/>
      <c r="P1029" s="7"/>
    </row>
    <row r="1030" spans="1:16" x14ac:dyDescent="0.35">
      <c r="A1030" s="7"/>
      <c r="C1030" s="31" t="str">
        <f>IF(指数列表!B1027="","",指数列表!B1027)</f>
        <v/>
      </c>
      <c r="D1030" s="36" t="str">
        <f>IF(C1030="","",[1]!s_info_name(C1030))</f>
        <v/>
      </c>
      <c r="E1030" s="25" t="str">
        <f>IF(C1030="","",[1]!s_dq_close(C1030,$N$1))</f>
        <v/>
      </c>
      <c r="F1030" s="28" t="str">
        <f>IF($C1030=""," ",[1]!i_pq_pctchange($C1030,F$6,$N$1))</f>
        <v xml:space="preserve"> </v>
      </c>
      <c r="G1030" s="28" t="str">
        <f>IF($C1030=""," ",[1]!i_pq_pctchange($C1030,G$6,$N$1))</f>
        <v xml:space="preserve"> </v>
      </c>
      <c r="H1030" s="28" t="str">
        <f>IF($C1030=""," ",[1]!i_pq_pctchange($C1030,H$6,$N$1))</f>
        <v xml:space="preserve"> </v>
      </c>
      <c r="I1030" s="28" t="str">
        <f>IF($C1030=""," ",[1]!i_pq_pctchange($C1030,I$6,$N$1))</f>
        <v xml:space="preserve"> </v>
      </c>
      <c r="J1030" s="28" t="str">
        <f>IF($C1030=""," ",[1]!i_pq_pctchange($C1030,J$6,$N$1))</f>
        <v xml:space="preserve"> </v>
      </c>
      <c r="K1030" s="28" t="str">
        <f>IF($C1030=""," ",[1]!i_pq_pctchange($C1030,K$6,$N$1))</f>
        <v xml:space="preserve"> </v>
      </c>
      <c r="L1030" s="28" t="str">
        <f>IF(C1030=""," ",[1]!s_wq_pctchange($C1030,$N$1))</f>
        <v xml:space="preserve"> </v>
      </c>
      <c r="M1030" s="28" t="str">
        <f>IF(C1030=""," ",[1]!s_mq_pctchange($C1030,$N$1))</f>
        <v xml:space="preserve"> </v>
      </c>
      <c r="N1030" s="28" t="str">
        <f>IF(C1030=""," ",[1]!s_yq_pctchange($C1030,$N$1))</f>
        <v xml:space="preserve"> </v>
      </c>
      <c r="O1030" s="11"/>
      <c r="P1030" s="7"/>
    </row>
    <row r="1031" spans="1:16" x14ac:dyDescent="0.35">
      <c r="A1031" s="7"/>
      <c r="C1031" s="30" t="str">
        <f>IF(指数列表!B1028="","",指数列表!B1028)</f>
        <v/>
      </c>
      <c r="D1031" s="35" t="str">
        <f>IF(C1031="","",[1]!s_info_name(C1031))</f>
        <v/>
      </c>
      <c r="E1031" s="24" t="str">
        <f>IF(C1031="","",[1]!s_dq_close(C1031,$N$1))</f>
        <v/>
      </c>
      <c r="F1031" s="28" t="str">
        <f>IF($C1031=""," ",[1]!i_pq_pctchange($C1031,F$6,$N$1))</f>
        <v xml:space="preserve"> </v>
      </c>
      <c r="G1031" s="28" t="str">
        <f>IF($C1031=""," ",[1]!i_pq_pctchange($C1031,G$6,$N$1))</f>
        <v xml:space="preserve"> </v>
      </c>
      <c r="H1031" s="28" t="str">
        <f>IF($C1031=""," ",[1]!i_pq_pctchange($C1031,H$6,$N$1))</f>
        <v xml:space="preserve"> </v>
      </c>
      <c r="I1031" s="28" t="str">
        <f>IF($C1031=""," ",[1]!i_pq_pctchange($C1031,I$6,$N$1))</f>
        <v xml:space="preserve"> </v>
      </c>
      <c r="J1031" s="28" t="str">
        <f>IF($C1031=""," ",[1]!i_pq_pctchange($C1031,J$6,$N$1))</f>
        <v xml:space="preserve"> </v>
      </c>
      <c r="K1031" s="28" t="str">
        <f>IF($C1031=""," ",[1]!i_pq_pctchange($C1031,K$6,$N$1))</f>
        <v xml:space="preserve"> </v>
      </c>
      <c r="L1031" s="28" t="str">
        <f>IF(C1031=""," ",[1]!s_wq_pctchange($C1031,$N$1))</f>
        <v xml:space="preserve"> </v>
      </c>
      <c r="M1031" s="28" t="str">
        <f>IF(C1031=""," ",[1]!s_mq_pctchange($C1031,$N$1))</f>
        <v xml:space="preserve"> </v>
      </c>
      <c r="N1031" s="28" t="str">
        <f>IF(C1031=""," ",[1]!s_yq_pctchange($C1031,$N$1))</f>
        <v xml:space="preserve"> </v>
      </c>
      <c r="O1031" s="11"/>
      <c r="P1031" s="7"/>
    </row>
    <row r="1032" spans="1:16" x14ac:dyDescent="0.35">
      <c r="A1032" s="7"/>
      <c r="C1032" s="31" t="str">
        <f>IF(指数列表!B1029="","",指数列表!B1029)</f>
        <v/>
      </c>
      <c r="D1032" s="36" t="str">
        <f>IF(C1032="","",[1]!s_info_name(C1032))</f>
        <v/>
      </c>
      <c r="E1032" s="25" t="str">
        <f>IF(C1032="","",[1]!s_dq_close(C1032,$N$1))</f>
        <v/>
      </c>
      <c r="F1032" s="28" t="str">
        <f>IF($C1032=""," ",[1]!i_pq_pctchange($C1032,F$6,$N$1))</f>
        <v xml:space="preserve"> </v>
      </c>
      <c r="G1032" s="28" t="str">
        <f>IF($C1032=""," ",[1]!i_pq_pctchange($C1032,G$6,$N$1))</f>
        <v xml:space="preserve"> </v>
      </c>
      <c r="H1032" s="28" t="str">
        <f>IF($C1032=""," ",[1]!i_pq_pctchange($C1032,H$6,$N$1))</f>
        <v xml:space="preserve"> </v>
      </c>
      <c r="I1032" s="28" t="str">
        <f>IF($C1032=""," ",[1]!i_pq_pctchange($C1032,I$6,$N$1))</f>
        <v xml:space="preserve"> </v>
      </c>
      <c r="J1032" s="28" t="str">
        <f>IF($C1032=""," ",[1]!i_pq_pctchange($C1032,J$6,$N$1))</f>
        <v xml:space="preserve"> </v>
      </c>
      <c r="K1032" s="28" t="str">
        <f>IF($C1032=""," ",[1]!i_pq_pctchange($C1032,K$6,$N$1))</f>
        <v xml:space="preserve"> </v>
      </c>
      <c r="L1032" s="28" t="str">
        <f>IF(C1032=""," ",[1]!s_wq_pctchange($C1032,$N$1))</f>
        <v xml:space="preserve"> </v>
      </c>
      <c r="M1032" s="28" t="str">
        <f>IF(C1032=""," ",[1]!s_mq_pctchange($C1032,$N$1))</f>
        <v xml:space="preserve"> </v>
      </c>
      <c r="N1032" s="28" t="str">
        <f>IF(C1032=""," ",[1]!s_yq_pctchange($C1032,$N$1))</f>
        <v xml:space="preserve"> </v>
      </c>
      <c r="O1032" s="11"/>
      <c r="P1032" s="7"/>
    </row>
    <row r="1033" spans="1:16" x14ac:dyDescent="0.35">
      <c r="A1033" s="7"/>
      <c r="C1033" s="30" t="str">
        <f>IF(指数列表!B1030="","",指数列表!B1030)</f>
        <v/>
      </c>
      <c r="D1033" s="35" t="str">
        <f>IF(C1033="","",[1]!s_info_name(C1033))</f>
        <v/>
      </c>
      <c r="E1033" s="24" t="str">
        <f>IF(C1033="","",[1]!s_dq_close(C1033,$N$1))</f>
        <v/>
      </c>
      <c r="F1033" s="28" t="str">
        <f>IF($C1033=""," ",[1]!i_pq_pctchange($C1033,F$6,$N$1))</f>
        <v xml:space="preserve"> </v>
      </c>
      <c r="G1033" s="28" t="str">
        <f>IF($C1033=""," ",[1]!i_pq_pctchange($C1033,G$6,$N$1))</f>
        <v xml:space="preserve"> </v>
      </c>
      <c r="H1033" s="28" t="str">
        <f>IF($C1033=""," ",[1]!i_pq_pctchange($C1033,H$6,$N$1))</f>
        <v xml:space="preserve"> </v>
      </c>
      <c r="I1033" s="28" t="str">
        <f>IF($C1033=""," ",[1]!i_pq_pctchange($C1033,I$6,$N$1))</f>
        <v xml:space="preserve"> </v>
      </c>
      <c r="J1033" s="28" t="str">
        <f>IF($C1033=""," ",[1]!i_pq_pctchange($C1033,J$6,$N$1))</f>
        <v xml:space="preserve"> </v>
      </c>
      <c r="K1033" s="28" t="str">
        <f>IF($C1033=""," ",[1]!i_pq_pctchange($C1033,K$6,$N$1))</f>
        <v xml:space="preserve"> </v>
      </c>
      <c r="L1033" s="28" t="str">
        <f>IF(C1033=""," ",[1]!s_wq_pctchange($C1033,$N$1))</f>
        <v xml:space="preserve"> </v>
      </c>
      <c r="M1033" s="28" t="str">
        <f>IF(C1033=""," ",[1]!s_mq_pctchange($C1033,$N$1))</f>
        <v xml:space="preserve"> </v>
      </c>
      <c r="N1033" s="28" t="str">
        <f>IF(C1033=""," ",[1]!s_yq_pctchange($C1033,$N$1))</f>
        <v xml:space="preserve"> </v>
      </c>
      <c r="O1033" s="11"/>
      <c r="P1033" s="7"/>
    </row>
    <row r="1034" spans="1:16" x14ac:dyDescent="0.35">
      <c r="A1034" s="7"/>
      <c r="C1034" s="31" t="str">
        <f>IF(指数列表!B1031="","",指数列表!B1031)</f>
        <v/>
      </c>
      <c r="D1034" s="36" t="str">
        <f>IF(C1034="","",[1]!s_info_name(C1034))</f>
        <v/>
      </c>
      <c r="E1034" s="25" t="str">
        <f>IF(C1034="","",[1]!s_dq_close(C1034,$N$1))</f>
        <v/>
      </c>
      <c r="F1034" s="28" t="str">
        <f>IF($C1034=""," ",[1]!i_pq_pctchange($C1034,F$6,$N$1))</f>
        <v xml:space="preserve"> </v>
      </c>
      <c r="G1034" s="28" t="str">
        <f>IF($C1034=""," ",[1]!i_pq_pctchange($C1034,G$6,$N$1))</f>
        <v xml:space="preserve"> </v>
      </c>
      <c r="H1034" s="28" t="str">
        <f>IF($C1034=""," ",[1]!i_pq_pctchange($C1034,H$6,$N$1))</f>
        <v xml:space="preserve"> </v>
      </c>
      <c r="I1034" s="28" t="str">
        <f>IF($C1034=""," ",[1]!i_pq_pctchange($C1034,I$6,$N$1))</f>
        <v xml:space="preserve"> </v>
      </c>
      <c r="J1034" s="28" t="str">
        <f>IF($C1034=""," ",[1]!i_pq_pctchange($C1034,J$6,$N$1))</f>
        <v xml:space="preserve"> </v>
      </c>
      <c r="K1034" s="28" t="str">
        <f>IF($C1034=""," ",[1]!i_pq_pctchange($C1034,K$6,$N$1))</f>
        <v xml:space="preserve"> </v>
      </c>
      <c r="L1034" s="28" t="str">
        <f>IF(C1034=""," ",[1]!s_wq_pctchange($C1034,$N$1))</f>
        <v xml:space="preserve"> </v>
      </c>
      <c r="M1034" s="28" t="str">
        <f>IF(C1034=""," ",[1]!s_mq_pctchange($C1034,$N$1))</f>
        <v xml:space="preserve"> </v>
      </c>
      <c r="N1034" s="28" t="str">
        <f>IF(C1034=""," ",[1]!s_yq_pctchange($C1034,$N$1))</f>
        <v xml:space="preserve"> </v>
      </c>
      <c r="O1034" s="11"/>
      <c r="P1034" s="7"/>
    </row>
    <row r="1035" spans="1:16" x14ac:dyDescent="0.35">
      <c r="A1035" s="7"/>
      <c r="C1035" s="30" t="str">
        <f>IF(指数列表!B1032="","",指数列表!B1032)</f>
        <v/>
      </c>
      <c r="D1035" s="35" t="str">
        <f>IF(C1035="","",[1]!s_info_name(C1035))</f>
        <v/>
      </c>
      <c r="E1035" s="24" t="str">
        <f>IF(C1035="","",[1]!s_dq_close(C1035,$N$1))</f>
        <v/>
      </c>
      <c r="F1035" s="28" t="str">
        <f>IF($C1035=""," ",[1]!i_pq_pctchange($C1035,F$6,$N$1))</f>
        <v xml:space="preserve"> </v>
      </c>
      <c r="G1035" s="28" t="str">
        <f>IF($C1035=""," ",[1]!i_pq_pctchange($C1035,G$6,$N$1))</f>
        <v xml:space="preserve"> </v>
      </c>
      <c r="H1035" s="28" t="str">
        <f>IF($C1035=""," ",[1]!i_pq_pctchange($C1035,H$6,$N$1))</f>
        <v xml:space="preserve"> </v>
      </c>
      <c r="I1035" s="28" t="str">
        <f>IF($C1035=""," ",[1]!i_pq_pctchange($C1035,I$6,$N$1))</f>
        <v xml:space="preserve"> </v>
      </c>
      <c r="J1035" s="28" t="str">
        <f>IF($C1035=""," ",[1]!i_pq_pctchange($C1035,J$6,$N$1))</f>
        <v xml:space="preserve"> </v>
      </c>
      <c r="K1035" s="28" t="str">
        <f>IF($C1035=""," ",[1]!i_pq_pctchange($C1035,K$6,$N$1))</f>
        <v xml:space="preserve"> </v>
      </c>
      <c r="L1035" s="28" t="str">
        <f>IF(C1035=""," ",[1]!s_wq_pctchange($C1035,$N$1))</f>
        <v xml:space="preserve"> </v>
      </c>
      <c r="M1035" s="28" t="str">
        <f>IF(C1035=""," ",[1]!s_mq_pctchange($C1035,$N$1))</f>
        <v xml:space="preserve"> </v>
      </c>
      <c r="N1035" s="28" t="str">
        <f>IF(C1035=""," ",[1]!s_yq_pctchange($C1035,$N$1))</f>
        <v xml:space="preserve"> </v>
      </c>
      <c r="O1035" s="11"/>
      <c r="P1035" s="7"/>
    </row>
    <row r="1036" spans="1:16" x14ac:dyDescent="0.35">
      <c r="A1036" s="7"/>
      <c r="C1036" s="31" t="str">
        <f>IF(指数列表!B1033="","",指数列表!B1033)</f>
        <v/>
      </c>
      <c r="D1036" s="36" t="str">
        <f>IF(C1036="","",[1]!s_info_name(C1036))</f>
        <v/>
      </c>
      <c r="E1036" s="25" t="str">
        <f>IF(C1036="","",[1]!s_dq_close(C1036,$N$1))</f>
        <v/>
      </c>
      <c r="F1036" s="28" t="str">
        <f>IF($C1036=""," ",[1]!i_pq_pctchange($C1036,F$6,$N$1))</f>
        <v xml:space="preserve"> </v>
      </c>
      <c r="G1036" s="28" t="str">
        <f>IF($C1036=""," ",[1]!i_pq_pctchange($C1036,G$6,$N$1))</f>
        <v xml:space="preserve"> </v>
      </c>
      <c r="H1036" s="28" t="str">
        <f>IF($C1036=""," ",[1]!i_pq_pctchange($C1036,H$6,$N$1))</f>
        <v xml:space="preserve"> </v>
      </c>
      <c r="I1036" s="28" t="str">
        <f>IF($C1036=""," ",[1]!i_pq_pctchange($C1036,I$6,$N$1))</f>
        <v xml:space="preserve"> </v>
      </c>
      <c r="J1036" s="28" t="str">
        <f>IF($C1036=""," ",[1]!i_pq_pctchange($C1036,J$6,$N$1))</f>
        <v xml:space="preserve"> </v>
      </c>
      <c r="K1036" s="28" t="str">
        <f>IF($C1036=""," ",[1]!i_pq_pctchange($C1036,K$6,$N$1))</f>
        <v xml:space="preserve"> </v>
      </c>
      <c r="L1036" s="28" t="str">
        <f>IF(C1036=""," ",[1]!s_wq_pctchange($C1036,$N$1))</f>
        <v xml:space="preserve"> </v>
      </c>
      <c r="M1036" s="28" t="str">
        <f>IF(C1036=""," ",[1]!s_mq_pctchange($C1036,$N$1))</f>
        <v xml:space="preserve"> </v>
      </c>
      <c r="N1036" s="28" t="str">
        <f>IF(C1036=""," ",[1]!s_yq_pctchange($C1036,$N$1))</f>
        <v xml:space="preserve"> </v>
      </c>
      <c r="O1036" s="11"/>
      <c r="P1036" s="7"/>
    </row>
    <row r="1037" spans="1:16" x14ac:dyDescent="0.35">
      <c r="A1037" s="7"/>
      <c r="C1037" s="30" t="str">
        <f>IF(指数列表!B1034="","",指数列表!B1034)</f>
        <v/>
      </c>
      <c r="D1037" s="35" t="str">
        <f>IF(C1037="","",[1]!s_info_name(C1037))</f>
        <v/>
      </c>
      <c r="E1037" s="24" t="str">
        <f>IF(C1037="","",[1]!s_dq_close(C1037,$N$1))</f>
        <v/>
      </c>
      <c r="F1037" s="28" t="str">
        <f>IF($C1037=""," ",[1]!i_pq_pctchange($C1037,F$6,$N$1))</f>
        <v xml:space="preserve"> </v>
      </c>
      <c r="G1037" s="28" t="str">
        <f>IF($C1037=""," ",[1]!i_pq_pctchange($C1037,G$6,$N$1))</f>
        <v xml:space="preserve"> </v>
      </c>
      <c r="H1037" s="28" t="str">
        <f>IF($C1037=""," ",[1]!i_pq_pctchange($C1037,H$6,$N$1))</f>
        <v xml:space="preserve"> </v>
      </c>
      <c r="I1037" s="28" t="str">
        <f>IF($C1037=""," ",[1]!i_pq_pctchange($C1037,I$6,$N$1))</f>
        <v xml:space="preserve"> </v>
      </c>
      <c r="J1037" s="28" t="str">
        <f>IF($C1037=""," ",[1]!i_pq_pctchange($C1037,J$6,$N$1))</f>
        <v xml:space="preserve"> </v>
      </c>
      <c r="K1037" s="28" t="str">
        <f>IF($C1037=""," ",[1]!i_pq_pctchange($C1037,K$6,$N$1))</f>
        <v xml:space="preserve"> </v>
      </c>
      <c r="L1037" s="28" t="str">
        <f>IF(C1037=""," ",[1]!s_wq_pctchange($C1037,$N$1))</f>
        <v xml:space="preserve"> </v>
      </c>
      <c r="M1037" s="28" t="str">
        <f>IF(C1037=""," ",[1]!s_mq_pctchange($C1037,$N$1))</f>
        <v xml:space="preserve"> </v>
      </c>
      <c r="N1037" s="28" t="str">
        <f>IF(C1037=""," ",[1]!s_yq_pctchange($C1037,$N$1))</f>
        <v xml:space="preserve"> </v>
      </c>
      <c r="O1037" s="11"/>
      <c r="P1037" s="7"/>
    </row>
    <row r="1038" spans="1:16" x14ac:dyDescent="0.35">
      <c r="A1038" s="7"/>
      <c r="C1038" s="31" t="str">
        <f>IF(指数列表!B1035="","",指数列表!B1035)</f>
        <v/>
      </c>
      <c r="D1038" s="36" t="str">
        <f>IF(C1038="","",[1]!s_info_name(C1038))</f>
        <v/>
      </c>
      <c r="E1038" s="25" t="str">
        <f>IF(C1038="","",[1]!s_dq_close(C1038,$N$1))</f>
        <v/>
      </c>
      <c r="F1038" s="28" t="str">
        <f>IF($C1038=""," ",[1]!i_pq_pctchange($C1038,F$6,$N$1))</f>
        <v xml:space="preserve"> </v>
      </c>
      <c r="G1038" s="28" t="str">
        <f>IF($C1038=""," ",[1]!i_pq_pctchange($C1038,G$6,$N$1))</f>
        <v xml:space="preserve"> </v>
      </c>
      <c r="H1038" s="28" t="str">
        <f>IF($C1038=""," ",[1]!i_pq_pctchange($C1038,H$6,$N$1))</f>
        <v xml:space="preserve"> </v>
      </c>
      <c r="I1038" s="28" t="str">
        <f>IF($C1038=""," ",[1]!i_pq_pctchange($C1038,I$6,$N$1))</f>
        <v xml:space="preserve"> </v>
      </c>
      <c r="J1038" s="28" t="str">
        <f>IF($C1038=""," ",[1]!i_pq_pctchange($C1038,J$6,$N$1))</f>
        <v xml:space="preserve"> </v>
      </c>
      <c r="K1038" s="28" t="str">
        <f>IF($C1038=""," ",[1]!i_pq_pctchange($C1038,K$6,$N$1))</f>
        <v xml:space="preserve"> </v>
      </c>
      <c r="L1038" s="28" t="str">
        <f>IF(C1038=""," ",[1]!s_wq_pctchange($C1038,$N$1))</f>
        <v xml:space="preserve"> </v>
      </c>
      <c r="M1038" s="28" t="str">
        <f>IF(C1038=""," ",[1]!s_mq_pctchange($C1038,$N$1))</f>
        <v xml:space="preserve"> </v>
      </c>
      <c r="N1038" s="28" t="str">
        <f>IF(C1038=""," ",[1]!s_yq_pctchange($C1038,$N$1))</f>
        <v xml:space="preserve"> </v>
      </c>
      <c r="O1038" s="11"/>
      <c r="P1038" s="7"/>
    </row>
    <row r="1039" spans="1:16" x14ac:dyDescent="0.35">
      <c r="A1039" s="7"/>
      <c r="C1039" s="30" t="str">
        <f>IF(指数列表!B1036="","",指数列表!B1036)</f>
        <v/>
      </c>
      <c r="D1039" s="35" t="str">
        <f>IF(C1039="","",[1]!s_info_name(C1039))</f>
        <v/>
      </c>
      <c r="E1039" s="24" t="str">
        <f>IF(C1039="","",[1]!s_dq_close(C1039,$N$1))</f>
        <v/>
      </c>
      <c r="F1039" s="28" t="str">
        <f>IF($C1039=""," ",[1]!i_pq_pctchange($C1039,F$6,$N$1))</f>
        <v xml:space="preserve"> </v>
      </c>
      <c r="G1039" s="28" t="str">
        <f>IF($C1039=""," ",[1]!i_pq_pctchange($C1039,G$6,$N$1))</f>
        <v xml:space="preserve"> </v>
      </c>
      <c r="H1039" s="28" t="str">
        <f>IF($C1039=""," ",[1]!i_pq_pctchange($C1039,H$6,$N$1))</f>
        <v xml:space="preserve"> </v>
      </c>
      <c r="I1039" s="28" t="str">
        <f>IF($C1039=""," ",[1]!i_pq_pctchange($C1039,I$6,$N$1))</f>
        <v xml:space="preserve"> </v>
      </c>
      <c r="J1039" s="28" t="str">
        <f>IF($C1039=""," ",[1]!i_pq_pctchange($C1039,J$6,$N$1))</f>
        <v xml:space="preserve"> </v>
      </c>
      <c r="K1039" s="28" t="str">
        <f>IF($C1039=""," ",[1]!i_pq_pctchange($C1039,K$6,$N$1))</f>
        <v xml:space="preserve"> </v>
      </c>
      <c r="L1039" s="28" t="str">
        <f>IF(C1039=""," ",[1]!s_wq_pctchange($C1039,$N$1))</f>
        <v xml:space="preserve"> </v>
      </c>
      <c r="M1039" s="28" t="str">
        <f>IF(C1039=""," ",[1]!s_mq_pctchange($C1039,$N$1))</f>
        <v xml:space="preserve"> </v>
      </c>
      <c r="N1039" s="28" t="str">
        <f>IF(C1039=""," ",[1]!s_yq_pctchange($C1039,$N$1))</f>
        <v xml:space="preserve"> </v>
      </c>
      <c r="O1039" s="11"/>
      <c r="P1039" s="7"/>
    </row>
    <row r="1040" spans="1:16" x14ac:dyDescent="0.35">
      <c r="A1040" s="7"/>
      <c r="C1040" s="31" t="str">
        <f>IF(指数列表!B1037="","",指数列表!B1037)</f>
        <v/>
      </c>
      <c r="D1040" s="36" t="str">
        <f>IF(C1040="","",[1]!s_info_name(C1040))</f>
        <v/>
      </c>
      <c r="E1040" s="25" t="str">
        <f>IF(C1040="","",[1]!s_dq_close(C1040,$N$1))</f>
        <v/>
      </c>
      <c r="F1040" s="28" t="str">
        <f>IF($C1040=""," ",[1]!i_pq_pctchange($C1040,F$6,$N$1))</f>
        <v xml:space="preserve"> </v>
      </c>
      <c r="G1040" s="28" t="str">
        <f>IF($C1040=""," ",[1]!i_pq_pctchange($C1040,G$6,$N$1))</f>
        <v xml:space="preserve"> </v>
      </c>
      <c r="H1040" s="28" t="str">
        <f>IF($C1040=""," ",[1]!i_pq_pctchange($C1040,H$6,$N$1))</f>
        <v xml:space="preserve"> </v>
      </c>
      <c r="I1040" s="28" t="str">
        <f>IF($C1040=""," ",[1]!i_pq_pctchange($C1040,I$6,$N$1))</f>
        <v xml:space="preserve"> </v>
      </c>
      <c r="J1040" s="28" t="str">
        <f>IF($C1040=""," ",[1]!i_pq_pctchange($C1040,J$6,$N$1))</f>
        <v xml:space="preserve"> </v>
      </c>
      <c r="K1040" s="28" t="str">
        <f>IF($C1040=""," ",[1]!i_pq_pctchange($C1040,K$6,$N$1))</f>
        <v xml:space="preserve"> </v>
      </c>
      <c r="L1040" s="28" t="str">
        <f>IF(C1040=""," ",[1]!s_wq_pctchange($C1040,$N$1))</f>
        <v xml:space="preserve"> </v>
      </c>
      <c r="M1040" s="28" t="str">
        <f>IF(C1040=""," ",[1]!s_mq_pctchange($C1040,$N$1))</f>
        <v xml:space="preserve"> </v>
      </c>
      <c r="N1040" s="28" t="str">
        <f>IF(C1040=""," ",[1]!s_yq_pctchange($C1040,$N$1))</f>
        <v xml:space="preserve"> </v>
      </c>
      <c r="O1040" s="11"/>
      <c r="P1040" s="7"/>
    </row>
    <row r="1041" spans="1:16" x14ac:dyDescent="0.35">
      <c r="A1041" s="7"/>
      <c r="C1041" s="30" t="str">
        <f>IF(指数列表!B1038="","",指数列表!B1038)</f>
        <v/>
      </c>
      <c r="D1041" s="35" t="str">
        <f>IF(C1041="","",[1]!s_info_name(C1041))</f>
        <v/>
      </c>
      <c r="E1041" s="24" t="str">
        <f>IF(C1041="","",[1]!s_dq_close(C1041,$N$1))</f>
        <v/>
      </c>
      <c r="F1041" s="28" t="str">
        <f>IF($C1041=""," ",[1]!i_pq_pctchange($C1041,F$6,$N$1))</f>
        <v xml:space="preserve"> </v>
      </c>
      <c r="G1041" s="28" t="str">
        <f>IF($C1041=""," ",[1]!i_pq_pctchange($C1041,G$6,$N$1))</f>
        <v xml:space="preserve"> </v>
      </c>
      <c r="H1041" s="28" t="str">
        <f>IF($C1041=""," ",[1]!i_pq_pctchange($C1041,H$6,$N$1))</f>
        <v xml:space="preserve"> </v>
      </c>
      <c r="I1041" s="28" t="str">
        <f>IF($C1041=""," ",[1]!i_pq_pctchange($C1041,I$6,$N$1))</f>
        <v xml:space="preserve"> </v>
      </c>
      <c r="J1041" s="28" t="str">
        <f>IF($C1041=""," ",[1]!i_pq_pctchange($C1041,J$6,$N$1))</f>
        <v xml:space="preserve"> </v>
      </c>
      <c r="K1041" s="28" t="str">
        <f>IF($C1041=""," ",[1]!i_pq_pctchange($C1041,K$6,$N$1))</f>
        <v xml:space="preserve"> </v>
      </c>
      <c r="L1041" s="28" t="str">
        <f>IF(C1041=""," ",[1]!s_wq_pctchange($C1041,$N$1))</f>
        <v xml:space="preserve"> </v>
      </c>
      <c r="M1041" s="28" t="str">
        <f>IF(C1041=""," ",[1]!s_mq_pctchange($C1041,$N$1))</f>
        <v xml:space="preserve"> </v>
      </c>
      <c r="N1041" s="28" t="str">
        <f>IF(C1041=""," ",[1]!s_yq_pctchange($C1041,$N$1))</f>
        <v xml:space="preserve"> </v>
      </c>
      <c r="O1041" s="11"/>
      <c r="P1041" s="7"/>
    </row>
    <row r="1042" spans="1:16" x14ac:dyDescent="0.35">
      <c r="A1042" s="7"/>
      <c r="C1042" s="31" t="str">
        <f>IF(指数列表!B1039="","",指数列表!B1039)</f>
        <v/>
      </c>
      <c r="D1042" s="36" t="str">
        <f>IF(C1042="","",[1]!s_info_name(C1042))</f>
        <v/>
      </c>
      <c r="E1042" s="25" t="str">
        <f>IF(C1042="","",[1]!s_dq_close(C1042,$N$1))</f>
        <v/>
      </c>
      <c r="F1042" s="28" t="str">
        <f>IF($C1042=""," ",[1]!i_pq_pctchange($C1042,F$6,$N$1))</f>
        <v xml:space="preserve"> </v>
      </c>
      <c r="G1042" s="28" t="str">
        <f>IF($C1042=""," ",[1]!i_pq_pctchange($C1042,G$6,$N$1))</f>
        <v xml:space="preserve"> </v>
      </c>
      <c r="H1042" s="28" t="str">
        <f>IF($C1042=""," ",[1]!i_pq_pctchange($C1042,H$6,$N$1))</f>
        <v xml:space="preserve"> </v>
      </c>
      <c r="I1042" s="28" t="str">
        <f>IF($C1042=""," ",[1]!i_pq_pctchange($C1042,I$6,$N$1))</f>
        <v xml:space="preserve"> </v>
      </c>
      <c r="J1042" s="28" t="str">
        <f>IF($C1042=""," ",[1]!i_pq_pctchange($C1042,J$6,$N$1))</f>
        <v xml:space="preserve"> </v>
      </c>
      <c r="K1042" s="28" t="str">
        <f>IF($C1042=""," ",[1]!i_pq_pctchange($C1042,K$6,$N$1))</f>
        <v xml:space="preserve"> </v>
      </c>
      <c r="L1042" s="28" t="str">
        <f>IF(C1042=""," ",[1]!s_wq_pctchange($C1042,$N$1))</f>
        <v xml:space="preserve"> </v>
      </c>
      <c r="M1042" s="28" t="str">
        <f>IF(C1042=""," ",[1]!s_mq_pctchange($C1042,$N$1))</f>
        <v xml:space="preserve"> </v>
      </c>
      <c r="N1042" s="28" t="str">
        <f>IF(C1042=""," ",[1]!s_yq_pctchange($C1042,$N$1))</f>
        <v xml:space="preserve"> </v>
      </c>
      <c r="O1042" s="11"/>
      <c r="P1042" s="7"/>
    </row>
    <row r="1043" spans="1:16" x14ac:dyDescent="0.35">
      <c r="A1043" s="7"/>
      <c r="C1043" s="30" t="str">
        <f>IF(指数列表!B1040="","",指数列表!B1040)</f>
        <v/>
      </c>
      <c r="D1043" s="35" t="str">
        <f>IF(C1043="","",[1]!s_info_name(C1043))</f>
        <v/>
      </c>
      <c r="E1043" s="24" t="str">
        <f>IF(C1043="","",[1]!s_dq_close(C1043,$N$1))</f>
        <v/>
      </c>
      <c r="F1043" s="28" t="str">
        <f>IF($C1043=""," ",[1]!i_pq_pctchange($C1043,F$6,$N$1))</f>
        <v xml:space="preserve"> </v>
      </c>
      <c r="G1043" s="28" t="str">
        <f>IF($C1043=""," ",[1]!i_pq_pctchange($C1043,G$6,$N$1))</f>
        <v xml:space="preserve"> </v>
      </c>
      <c r="H1043" s="28" t="str">
        <f>IF($C1043=""," ",[1]!i_pq_pctchange($C1043,H$6,$N$1))</f>
        <v xml:space="preserve"> </v>
      </c>
      <c r="I1043" s="28" t="str">
        <f>IF($C1043=""," ",[1]!i_pq_pctchange($C1043,I$6,$N$1))</f>
        <v xml:space="preserve"> </v>
      </c>
      <c r="J1043" s="28" t="str">
        <f>IF($C1043=""," ",[1]!i_pq_pctchange($C1043,J$6,$N$1))</f>
        <v xml:space="preserve"> </v>
      </c>
      <c r="K1043" s="28" t="str">
        <f>IF($C1043=""," ",[1]!i_pq_pctchange($C1043,K$6,$N$1))</f>
        <v xml:space="preserve"> </v>
      </c>
      <c r="L1043" s="28" t="str">
        <f>IF(C1043=""," ",[1]!s_wq_pctchange($C1043,$N$1))</f>
        <v xml:space="preserve"> </v>
      </c>
      <c r="M1043" s="28" t="str">
        <f>IF(C1043=""," ",[1]!s_mq_pctchange($C1043,$N$1))</f>
        <v xml:space="preserve"> </v>
      </c>
      <c r="N1043" s="28" t="str">
        <f>IF(C1043=""," ",[1]!s_yq_pctchange($C1043,$N$1))</f>
        <v xml:space="preserve"> </v>
      </c>
      <c r="O1043" s="11"/>
      <c r="P1043" s="7"/>
    </row>
    <row r="1044" spans="1:16" x14ac:dyDescent="0.35">
      <c r="A1044" s="7"/>
      <c r="C1044" s="31" t="str">
        <f>IF(指数列表!B1041="","",指数列表!B1041)</f>
        <v/>
      </c>
      <c r="D1044" s="36" t="str">
        <f>IF(C1044="","",[1]!s_info_name(C1044))</f>
        <v/>
      </c>
      <c r="E1044" s="25" t="str">
        <f>IF(C1044="","",[1]!s_dq_close(C1044,$N$1))</f>
        <v/>
      </c>
      <c r="F1044" s="28" t="str">
        <f>IF($C1044=""," ",[1]!i_pq_pctchange($C1044,F$6,$N$1))</f>
        <v xml:space="preserve"> </v>
      </c>
      <c r="G1044" s="28" t="str">
        <f>IF($C1044=""," ",[1]!i_pq_pctchange($C1044,G$6,$N$1))</f>
        <v xml:space="preserve"> </v>
      </c>
      <c r="H1044" s="28" t="str">
        <f>IF($C1044=""," ",[1]!i_pq_pctchange($C1044,H$6,$N$1))</f>
        <v xml:space="preserve"> </v>
      </c>
      <c r="I1044" s="28" t="str">
        <f>IF($C1044=""," ",[1]!i_pq_pctchange($C1044,I$6,$N$1))</f>
        <v xml:space="preserve"> </v>
      </c>
      <c r="J1044" s="28" t="str">
        <f>IF($C1044=""," ",[1]!i_pq_pctchange($C1044,J$6,$N$1))</f>
        <v xml:space="preserve"> </v>
      </c>
      <c r="K1044" s="28" t="str">
        <f>IF($C1044=""," ",[1]!i_pq_pctchange($C1044,K$6,$N$1))</f>
        <v xml:space="preserve"> </v>
      </c>
      <c r="L1044" s="28" t="str">
        <f>IF(C1044=""," ",[1]!s_wq_pctchange($C1044,$N$1))</f>
        <v xml:space="preserve"> </v>
      </c>
      <c r="M1044" s="28" t="str">
        <f>IF(C1044=""," ",[1]!s_mq_pctchange($C1044,$N$1))</f>
        <v xml:space="preserve"> </v>
      </c>
      <c r="N1044" s="28" t="str">
        <f>IF(C1044=""," ",[1]!s_yq_pctchange($C1044,$N$1))</f>
        <v xml:space="preserve"> </v>
      </c>
      <c r="O1044" s="11"/>
      <c r="P1044" s="7"/>
    </row>
    <row r="1045" spans="1:16" x14ac:dyDescent="0.35">
      <c r="A1045" s="7"/>
      <c r="C1045" s="30" t="str">
        <f>IF(指数列表!B1042="","",指数列表!B1042)</f>
        <v/>
      </c>
      <c r="D1045" s="35" t="str">
        <f>IF(C1045="","",[1]!s_info_name(C1045))</f>
        <v/>
      </c>
      <c r="E1045" s="24" t="str">
        <f>IF(C1045="","",[1]!s_dq_close(C1045,$N$1))</f>
        <v/>
      </c>
      <c r="F1045" s="28" t="str">
        <f>IF($C1045=""," ",[1]!i_pq_pctchange($C1045,F$6,$N$1))</f>
        <v xml:space="preserve"> </v>
      </c>
      <c r="G1045" s="28" t="str">
        <f>IF($C1045=""," ",[1]!i_pq_pctchange($C1045,G$6,$N$1))</f>
        <v xml:space="preserve"> </v>
      </c>
      <c r="H1045" s="28" t="str">
        <f>IF($C1045=""," ",[1]!i_pq_pctchange($C1045,H$6,$N$1))</f>
        <v xml:space="preserve"> </v>
      </c>
      <c r="I1045" s="28" t="str">
        <f>IF($C1045=""," ",[1]!i_pq_pctchange($C1045,I$6,$N$1))</f>
        <v xml:space="preserve"> </v>
      </c>
      <c r="J1045" s="28" t="str">
        <f>IF($C1045=""," ",[1]!i_pq_pctchange($C1045,J$6,$N$1))</f>
        <v xml:space="preserve"> </v>
      </c>
      <c r="K1045" s="28" t="str">
        <f>IF($C1045=""," ",[1]!i_pq_pctchange($C1045,K$6,$N$1))</f>
        <v xml:space="preserve"> </v>
      </c>
      <c r="L1045" s="28" t="str">
        <f>IF(C1045=""," ",[1]!s_wq_pctchange($C1045,$N$1))</f>
        <v xml:space="preserve"> </v>
      </c>
      <c r="M1045" s="28" t="str">
        <f>IF(C1045=""," ",[1]!s_mq_pctchange($C1045,$N$1))</f>
        <v xml:space="preserve"> </v>
      </c>
      <c r="N1045" s="28" t="str">
        <f>IF(C1045=""," ",[1]!s_yq_pctchange($C1045,$N$1))</f>
        <v xml:space="preserve"> </v>
      </c>
      <c r="O1045" s="11"/>
      <c r="P1045" s="7"/>
    </row>
    <row r="1046" spans="1:16" x14ac:dyDescent="0.35">
      <c r="A1046" s="7"/>
      <c r="C1046" s="31" t="str">
        <f>IF(指数列表!B1043="","",指数列表!B1043)</f>
        <v/>
      </c>
      <c r="D1046" s="36" t="str">
        <f>IF(C1046="","",[1]!s_info_name(C1046))</f>
        <v/>
      </c>
      <c r="E1046" s="25" t="str">
        <f>IF(C1046="","",[1]!s_dq_close(C1046,$N$1))</f>
        <v/>
      </c>
      <c r="F1046" s="28" t="str">
        <f>IF($C1046=""," ",[1]!i_pq_pctchange($C1046,F$6,$N$1))</f>
        <v xml:space="preserve"> </v>
      </c>
      <c r="G1046" s="28" t="str">
        <f>IF($C1046=""," ",[1]!i_pq_pctchange($C1046,G$6,$N$1))</f>
        <v xml:space="preserve"> </v>
      </c>
      <c r="H1046" s="28" t="str">
        <f>IF($C1046=""," ",[1]!i_pq_pctchange($C1046,H$6,$N$1))</f>
        <v xml:space="preserve"> </v>
      </c>
      <c r="I1046" s="28" t="str">
        <f>IF($C1046=""," ",[1]!i_pq_pctchange($C1046,I$6,$N$1))</f>
        <v xml:space="preserve"> </v>
      </c>
      <c r="J1046" s="28" t="str">
        <f>IF($C1046=""," ",[1]!i_pq_pctchange($C1046,J$6,$N$1))</f>
        <v xml:space="preserve"> </v>
      </c>
      <c r="K1046" s="28" t="str">
        <f>IF($C1046=""," ",[1]!i_pq_pctchange($C1046,K$6,$N$1))</f>
        <v xml:space="preserve"> </v>
      </c>
      <c r="L1046" s="28" t="str">
        <f>IF(C1046=""," ",[1]!s_wq_pctchange($C1046,$N$1))</f>
        <v xml:space="preserve"> </v>
      </c>
      <c r="M1046" s="28" t="str">
        <f>IF(C1046=""," ",[1]!s_mq_pctchange($C1046,$N$1))</f>
        <v xml:space="preserve"> </v>
      </c>
      <c r="N1046" s="28" t="str">
        <f>IF(C1046=""," ",[1]!s_yq_pctchange($C1046,$N$1))</f>
        <v xml:space="preserve"> </v>
      </c>
      <c r="O1046" s="11"/>
      <c r="P1046" s="7"/>
    </row>
    <row r="1047" spans="1:16" x14ac:dyDescent="0.35">
      <c r="A1047" s="7"/>
      <c r="C1047" s="30" t="str">
        <f>IF(指数列表!B1044="","",指数列表!B1044)</f>
        <v/>
      </c>
      <c r="D1047" s="35" t="str">
        <f>IF(C1047="","",[1]!s_info_name(C1047))</f>
        <v/>
      </c>
      <c r="E1047" s="24" t="str">
        <f>IF(C1047="","",[1]!s_dq_close(C1047,$N$1))</f>
        <v/>
      </c>
      <c r="F1047" s="28" t="str">
        <f>IF($C1047=""," ",[1]!i_pq_pctchange($C1047,F$6,$N$1))</f>
        <v xml:space="preserve"> </v>
      </c>
      <c r="G1047" s="28" t="str">
        <f>IF($C1047=""," ",[1]!i_pq_pctchange($C1047,G$6,$N$1))</f>
        <v xml:space="preserve"> </v>
      </c>
      <c r="H1047" s="28" t="str">
        <f>IF($C1047=""," ",[1]!i_pq_pctchange($C1047,H$6,$N$1))</f>
        <v xml:space="preserve"> </v>
      </c>
      <c r="I1047" s="28" t="str">
        <f>IF($C1047=""," ",[1]!i_pq_pctchange($C1047,I$6,$N$1))</f>
        <v xml:space="preserve"> </v>
      </c>
      <c r="J1047" s="28" t="str">
        <f>IF($C1047=""," ",[1]!i_pq_pctchange($C1047,J$6,$N$1))</f>
        <v xml:space="preserve"> </v>
      </c>
      <c r="K1047" s="28" t="str">
        <f>IF($C1047=""," ",[1]!i_pq_pctchange($C1047,K$6,$N$1))</f>
        <v xml:space="preserve"> </v>
      </c>
      <c r="L1047" s="28" t="str">
        <f>IF(C1047=""," ",[1]!s_wq_pctchange($C1047,$N$1))</f>
        <v xml:space="preserve"> </v>
      </c>
      <c r="M1047" s="28" t="str">
        <f>IF(C1047=""," ",[1]!s_mq_pctchange($C1047,$N$1))</f>
        <v xml:space="preserve"> </v>
      </c>
      <c r="N1047" s="28" t="str">
        <f>IF(C1047=""," ",[1]!s_yq_pctchange($C1047,$N$1))</f>
        <v xml:space="preserve"> </v>
      </c>
      <c r="O1047" s="11"/>
      <c r="P1047" s="7"/>
    </row>
    <row r="1048" spans="1:16" x14ac:dyDescent="0.35">
      <c r="A1048" s="7"/>
      <c r="C1048" s="31" t="str">
        <f>IF(指数列表!B1045="","",指数列表!B1045)</f>
        <v/>
      </c>
      <c r="D1048" s="36" t="str">
        <f>IF(C1048="","",[1]!s_info_name(C1048))</f>
        <v/>
      </c>
      <c r="E1048" s="25" t="str">
        <f>IF(C1048="","",[1]!s_dq_close(C1048,$N$1))</f>
        <v/>
      </c>
      <c r="F1048" s="28" t="str">
        <f>IF($C1048=""," ",[1]!i_pq_pctchange($C1048,F$6,$N$1))</f>
        <v xml:space="preserve"> </v>
      </c>
      <c r="G1048" s="28" t="str">
        <f>IF($C1048=""," ",[1]!i_pq_pctchange($C1048,G$6,$N$1))</f>
        <v xml:space="preserve"> </v>
      </c>
      <c r="H1048" s="28" t="str">
        <f>IF($C1048=""," ",[1]!i_pq_pctchange($C1048,H$6,$N$1))</f>
        <v xml:space="preserve"> </v>
      </c>
      <c r="I1048" s="28" t="str">
        <f>IF($C1048=""," ",[1]!i_pq_pctchange($C1048,I$6,$N$1))</f>
        <v xml:space="preserve"> </v>
      </c>
      <c r="J1048" s="28" t="str">
        <f>IF($C1048=""," ",[1]!i_pq_pctchange($C1048,J$6,$N$1))</f>
        <v xml:space="preserve"> </v>
      </c>
      <c r="K1048" s="28" t="str">
        <f>IF($C1048=""," ",[1]!i_pq_pctchange($C1048,K$6,$N$1))</f>
        <v xml:space="preserve"> </v>
      </c>
      <c r="L1048" s="28" t="str">
        <f>IF(C1048=""," ",[1]!s_wq_pctchange($C1048,$N$1))</f>
        <v xml:space="preserve"> </v>
      </c>
      <c r="M1048" s="28" t="str">
        <f>IF(C1048=""," ",[1]!s_mq_pctchange($C1048,$N$1))</f>
        <v xml:space="preserve"> </v>
      </c>
      <c r="N1048" s="28" t="str">
        <f>IF(C1048=""," ",[1]!s_yq_pctchange($C1048,$N$1))</f>
        <v xml:space="preserve"> </v>
      </c>
      <c r="O1048" s="11"/>
      <c r="P1048" s="7"/>
    </row>
    <row r="1049" spans="1:16" x14ac:dyDescent="0.35">
      <c r="A1049" s="7"/>
      <c r="C1049" s="30" t="str">
        <f>IF(指数列表!B1046="","",指数列表!B1046)</f>
        <v/>
      </c>
      <c r="D1049" s="35" t="str">
        <f>IF(C1049="","",[1]!s_info_name(C1049))</f>
        <v/>
      </c>
      <c r="E1049" s="24" t="str">
        <f>IF(C1049="","",[1]!s_dq_close(C1049,$N$1))</f>
        <v/>
      </c>
      <c r="F1049" s="28" t="str">
        <f>IF($C1049=""," ",[1]!i_pq_pctchange($C1049,F$6,$N$1))</f>
        <v xml:space="preserve"> </v>
      </c>
      <c r="G1049" s="28" t="str">
        <f>IF($C1049=""," ",[1]!i_pq_pctchange($C1049,G$6,$N$1))</f>
        <v xml:space="preserve"> </v>
      </c>
      <c r="H1049" s="28" t="str">
        <f>IF($C1049=""," ",[1]!i_pq_pctchange($C1049,H$6,$N$1))</f>
        <v xml:space="preserve"> </v>
      </c>
      <c r="I1049" s="28" t="str">
        <f>IF($C1049=""," ",[1]!i_pq_pctchange($C1049,I$6,$N$1))</f>
        <v xml:space="preserve"> </v>
      </c>
      <c r="J1049" s="28" t="str">
        <f>IF($C1049=""," ",[1]!i_pq_pctchange($C1049,J$6,$N$1))</f>
        <v xml:space="preserve"> </v>
      </c>
      <c r="K1049" s="28" t="str">
        <f>IF($C1049=""," ",[1]!i_pq_pctchange($C1049,K$6,$N$1))</f>
        <v xml:space="preserve"> </v>
      </c>
      <c r="L1049" s="28" t="str">
        <f>IF(C1049=""," ",[1]!s_wq_pctchange($C1049,$N$1))</f>
        <v xml:space="preserve"> </v>
      </c>
      <c r="M1049" s="28" t="str">
        <f>IF(C1049=""," ",[1]!s_mq_pctchange($C1049,$N$1))</f>
        <v xml:space="preserve"> </v>
      </c>
      <c r="N1049" s="28" t="str">
        <f>IF(C1049=""," ",[1]!s_yq_pctchange($C1049,$N$1))</f>
        <v xml:space="preserve"> </v>
      </c>
      <c r="O1049" s="11"/>
      <c r="P1049" s="7"/>
    </row>
    <row r="1050" spans="1:16" x14ac:dyDescent="0.35">
      <c r="A1050" s="7"/>
      <c r="C1050" s="31" t="str">
        <f>IF(指数列表!B1047="","",指数列表!B1047)</f>
        <v/>
      </c>
      <c r="D1050" s="36" t="str">
        <f>IF(C1050="","",[1]!s_info_name(C1050))</f>
        <v/>
      </c>
      <c r="E1050" s="25" t="str">
        <f>IF(C1050="","",[1]!s_dq_close(C1050,$N$1))</f>
        <v/>
      </c>
      <c r="F1050" s="28" t="str">
        <f>IF($C1050=""," ",[1]!i_pq_pctchange($C1050,F$6,$N$1))</f>
        <v xml:space="preserve"> </v>
      </c>
      <c r="G1050" s="28" t="str">
        <f>IF($C1050=""," ",[1]!i_pq_pctchange($C1050,G$6,$N$1))</f>
        <v xml:space="preserve"> </v>
      </c>
      <c r="H1050" s="28" t="str">
        <f>IF($C1050=""," ",[1]!i_pq_pctchange($C1050,H$6,$N$1))</f>
        <v xml:space="preserve"> </v>
      </c>
      <c r="I1050" s="28" t="str">
        <f>IF($C1050=""," ",[1]!i_pq_pctchange($C1050,I$6,$N$1))</f>
        <v xml:space="preserve"> </v>
      </c>
      <c r="J1050" s="28" t="str">
        <f>IF($C1050=""," ",[1]!i_pq_pctchange($C1050,J$6,$N$1))</f>
        <v xml:space="preserve"> </v>
      </c>
      <c r="K1050" s="28" t="str">
        <f>IF($C1050=""," ",[1]!i_pq_pctchange($C1050,K$6,$N$1))</f>
        <v xml:space="preserve"> </v>
      </c>
      <c r="L1050" s="28" t="str">
        <f>IF(C1050=""," ",[1]!s_wq_pctchange($C1050,$N$1))</f>
        <v xml:space="preserve"> </v>
      </c>
      <c r="M1050" s="28" t="str">
        <f>IF(C1050=""," ",[1]!s_mq_pctchange($C1050,$N$1))</f>
        <v xml:space="preserve"> </v>
      </c>
      <c r="N1050" s="28" t="str">
        <f>IF(C1050=""," ",[1]!s_yq_pctchange($C1050,$N$1))</f>
        <v xml:space="preserve"> </v>
      </c>
      <c r="O1050" s="11"/>
      <c r="P1050" s="7"/>
    </row>
    <row r="1051" spans="1:16" x14ac:dyDescent="0.35">
      <c r="A1051" s="7"/>
      <c r="C1051" s="30" t="str">
        <f>IF(指数列表!B1048="","",指数列表!B1048)</f>
        <v/>
      </c>
      <c r="D1051" s="35" t="str">
        <f>IF(C1051="","",[1]!s_info_name(C1051))</f>
        <v/>
      </c>
      <c r="E1051" s="24" t="str">
        <f>IF(C1051="","",[1]!s_dq_close(C1051,$N$1))</f>
        <v/>
      </c>
      <c r="F1051" s="28" t="str">
        <f>IF($C1051=""," ",[1]!i_pq_pctchange($C1051,F$6,$N$1))</f>
        <v xml:space="preserve"> </v>
      </c>
      <c r="G1051" s="28" t="str">
        <f>IF($C1051=""," ",[1]!i_pq_pctchange($C1051,G$6,$N$1))</f>
        <v xml:space="preserve"> </v>
      </c>
      <c r="H1051" s="28" t="str">
        <f>IF($C1051=""," ",[1]!i_pq_pctchange($C1051,H$6,$N$1))</f>
        <v xml:space="preserve"> </v>
      </c>
      <c r="I1051" s="28" t="str">
        <f>IF($C1051=""," ",[1]!i_pq_pctchange($C1051,I$6,$N$1))</f>
        <v xml:space="preserve"> </v>
      </c>
      <c r="J1051" s="28" t="str">
        <f>IF($C1051=""," ",[1]!i_pq_pctchange($C1051,J$6,$N$1))</f>
        <v xml:space="preserve"> </v>
      </c>
      <c r="K1051" s="28" t="str">
        <f>IF($C1051=""," ",[1]!i_pq_pctchange($C1051,K$6,$N$1))</f>
        <v xml:space="preserve"> </v>
      </c>
      <c r="L1051" s="28" t="str">
        <f>IF(C1051=""," ",[1]!s_wq_pctchange($C1051,$N$1))</f>
        <v xml:space="preserve"> </v>
      </c>
      <c r="M1051" s="28" t="str">
        <f>IF(C1051=""," ",[1]!s_mq_pctchange($C1051,$N$1))</f>
        <v xml:space="preserve"> </v>
      </c>
      <c r="N1051" s="28" t="str">
        <f>IF(C1051=""," ",[1]!s_yq_pctchange($C1051,$N$1))</f>
        <v xml:space="preserve"> </v>
      </c>
      <c r="O1051" s="11"/>
      <c r="P1051" s="7"/>
    </row>
    <row r="1052" spans="1:16" x14ac:dyDescent="0.35">
      <c r="A1052" s="7"/>
      <c r="C1052" s="31" t="str">
        <f>IF(指数列表!B1049="","",指数列表!B1049)</f>
        <v/>
      </c>
      <c r="D1052" s="36" t="str">
        <f>IF(C1052="","",[1]!s_info_name(C1052))</f>
        <v/>
      </c>
      <c r="E1052" s="25" t="str">
        <f>IF(C1052="","",[1]!s_dq_close(C1052,$N$1))</f>
        <v/>
      </c>
      <c r="F1052" s="28" t="str">
        <f>IF($C1052=""," ",[1]!i_pq_pctchange($C1052,F$6,$N$1))</f>
        <v xml:space="preserve"> </v>
      </c>
      <c r="G1052" s="28" t="str">
        <f>IF($C1052=""," ",[1]!i_pq_pctchange($C1052,G$6,$N$1))</f>
        <v xml:space="preserve"> </v>
      </c>
      <c r="H1052" s="28" t="str">
        <f>IF($C1052=""," ",[1]!i_pq_pctchange($C1052,H$6,$N$1))</f>
        <v xml:space="preserve"> </v>
      </c>
      <c r="I1052" s="28" t="str">
        <f>IF($C1052=""," ",[1]!i_pq_pctchange($C1052,I$6,$N$1))</f>
        <v xml:space="preserve"> </v>
      </c>
      <c r="J1052" s="28" t="str">
        <f>IF($C1052=""," ",[1]!i_pq_pctchange($C1052,J$6,$N$1))</f>
        <v xml:space="preserve"> </v>
      </c>
      <c r="K1052" s="28" t="str">
        <f>IF($C1052=""," ",[1]!i_pq_pctchange($C1052,K$6,$N$1))</f>
        <v xml:space="preserve"> </v>
      </c>
      <c r="L1052" s="28" t="str">
        <f>IF(C1052=""," ",[1]!s_wq_pctchange($C1052,$N$1))</f>
        <v xml:space="preserve"> </v>
      </c>
      <c r="M1052" s="28" t="str">
        <f>IF(C1052=""," ",[1]!s_mq_pctchange($C1052,$N$1))</f>
        <v xml:space="preserve"> </v>
      </c>
      <c r="N1052" s="28" t="str">
        <f>IF(C1052=""," ",[1]!s_yq_pctchange($C1052,$N$1))</f>
        <v xml:space="preserve"> </v>
      </c>
      <c r="O1052" s="11"/>
      <c r="P1052" s="7"/>
    </row>
    <row r="1053" spans="1:16" x14ac:dyDescent="0.35">
      <c r="A1053" s="7"/>
      <c r="C1053" s="30" t="str">
        <f>IF(指数列表!B1050="","",指数列表!B1050)</f>
        <v/>
      </c>
      <c r="D1053" s="35" t="str">
        <f>IF(C1053="","",[1]!s_info_name(C1053))</f>
        <v/>
      </c>
      <c r="E1053" s="24" t="str">
        <f>IF(C1053="","",[1]!s_dq_close(C1053,$N$1))</f>
        <v/>
      </c>
      <c r="F1053" s="28" t="str">
        <f>IF($C1053=""," ",[1]!i_pq_pctchange($C1053,F$6,$N$1))</f>
        <v xml:space="preserve"> </v>
      </c>
      <c r="G1053" s="28" t="str">
        <f>IF($C1053=""," ",[1]!i_pq_pctchange($C1053,G$6,$N$1))</f>
        <v xml:space="preserve"> </v>
      </c>
      <c r="H1053" s="28" t="str">
        <f>IF($C1053=""," ",[1]!i_pq_pctchange($C1053,H$6,$N$1))</f>
        <v xml:space="preserve"> </v>
      </c>
      <c r="I1053" s="28" t="str">
        <f>IF($C1053=""," ",[1]!i_pq_pctchange($C1053,I$6,$N$1))</f>
        <v xml:space="preserve"> </v>
      </c>
      <c r="J1053" s="28" t="str">
        <f>IF($C1053=""," ",[1]!i_pq_pctchange($C1053,J$6,$N$1))</f>
        <v xml:space="preserve"> </v>
      </c>
      <c r="K1053" s="28" t="str">
        <f>IF($C1053=""," ",[1]!i_pq_pctchange($C1053,K$6,$N$1))</f>
        <v xml:space="preserve"> </v>
      </c>
      <c r="L1053" s="28" t="str">
        <f>IF(C1053=""," ",[1]!s_wq_pctchange($C1053,$N$1))</f>
        <v xml:space="preserve"> </v>
      </c>
      <c r="M1053" s="28" t="str">
        <f>IF(C1053=""," ",[1]!s_mq_pctchange($C1053,$N$1))</f>
        <v xml:space="preserve"> </v>
      </c>
      <c r="N1053" s="28" t="str">
        <f>IF(C1053=""," ",[1]!s_yq_pctchange($C1053,$N$1))</f>
        <v xml:space="preserve"> </v>
      </c>
      <c r="O1053" s="11"/>
      <c r="P1053" s="7"/>
    </row>
    <row r="1054" spans="1:16" x14ac:dyDescent="0.35">
      <c r="A1054" s="7"/>
      <c r="C1054" s="31" t="str">
        <f>IF(指数列表!B1051="","",指数列表!B1051)</f>
        <v/>
      </c>
      <c r="D1054" s="36" t="str">
        <f>IF(C1054="","",[1]!s_info_name(C1054))</f>
        <v/>
      </c>
      <c r="E1054" s="25" t="str">
        <f>IF(C1054="","",[1]!s_dq_close(C1054,$N$1))</f>
        <v/>
      </c>
      <c r="F1054" s="28" t="str">
        <f>IF($C1054=""," ",[1]!i_pq_pctchange($C1054,F$6,$N$1))</f>
        <v xml:space="preserve"> </v>
      </c>
      <c r="G1054" s="28" t="str">
        <f>IF($C1054=""," ",[1]!i_pq_pctchange($C1054,G$6,$N$1))</f>
        <v xml:space="preserve"> </v>
      </c>
      <c r="H1054" s="28" t="str">
        <f>IF($C1054=""," ",[1]!i_pq_pctchange($C1054,H$6,$N$1))</f>
        <v xml:space="preserve"> </v>
      </c>
      <c r="I1054" s="28" t="str">
        <f>IF($C1054=""," ",[1]!i_pq_pctchange($C1054,I$6,$N$1))</f>
        <v xml:space="preserve"> </v>
      </c>
      <c r="J1054" s="28" t="str">
        <f>IF($C1054=""," ",[1]!i_pq_pctchange($C1054,J$6,$N$1))</f>
        <v xml:space="preserve"> </v>
      </c>
      <c r="K1054" s="28" t="str">
        <f>IF($C1054=""," ",[1]!i_pq_pctchange($C1054,K$6,$N$1))</f>
        <v xml:space="preserve"> </v>
      </c>
      <c r="L1054" s="28" t="str">
        <f>IF(C1054=""," ",[1]!s_wq_pctchange($C1054,$N$1))</f>
        <v xml:space="preserve"> </v>
      </c>
      <c r="M1054" s="28" t="str">
        <f>IF(C1054=""," ",[1]!s_mq_pctchange($C1054,$N$1))</f>
        <v xml:space="preserve"> </v>
      </c>
      <c r="N1054" s="28" t="str">
        <f>IF(C1054=""," ",[1]!s_yq_pctchange($C1054,$N$1))</f>
        <v xml:space="preserve"> </v>
      </c>
      <c r="O1054" s="11"/>
      <c r="P1054" s="7"/>
    </row>
    <row r="1055" spans="1:16" x14ac:dyDescent="0.35">
      <c r="A1055" s="7"/>
      <c r="C1055" s="30" t="str">
        <f>IF(指数列表!B1052="","",指数列表!B1052)</f>
        <v/>
      </c>
      <c r="D1055" s="35" t="str">
        <f>IF(C1055="","",[1]!s_info_name(C1055))</f>
        <v/>
      </c>
      <c r="E1055" s="24" t="str">
        <f>IF(C1055="","",[1]!s_dq_close(C1055,$N$1))</f>
        <v/>
      </c>
      <c r="F1055" s="28" t="str">
        <f>IF($C1055=""," ",[1]!i_pq_pctchange($C1055,F$6,$N$1))</f>
        <v xml:space="preserve"> </v>
      </c>
      <c r="G1055" s="28" t="str">
        <f>IF($C1055=""," ",[1]!i_pq_pctchange($C1055,G$6,$N$1))</f>
        <v xml:space="preserve"> </v>
      </c>
      <c r="H1055" s="28" t="str">
        <f>IF($C1055=""," ",[1]!i_pq_pctchange($C1055,H$6,$N$1))</f>
        <v xml:space="preserve"> </v>
      </c>
      <c r="I1055" s="28" t="str">
        <f>IF($C1055=""," ",[1]!i_pq_pctchange($C1055,I$6,$N$1))</f>
        <v xml:space="preserve"> </v>
      </c>
      <c r="J1055" s="28" t="str">
        <f>IF($C1055=""," ",[1]!i_pq_pctchange($C1055,J$6,$N$1))</f>
        <v xml:space="preserve"> </v>
      </c>
      <c r="K1055" s="28" t="str">
        <f>IF($C1055=""," ",[1]!i_pq_pctchange($C1055,K$6,$N$1))</f>
        <v xml:space="preserve"> </v>
      </c>
      <c r="L1055" s="28" t="str">
        <f>IF(C1055=""," ",[1]!s_wq_pctchange($C1055,$N$1))</f>
        <v xml:space="preserve"> </v>
      </c>
      <c r="M1055" s="28" t="str">
        <f>IF(C1055=""," ",[1]!s_mq_pctchange($C1055,$N$1))</f>
        <v xml:space="preserve"> </v>
      </c>
      <c r="N1055" s="28" t="str">
        <f>IF(C1055=""," ",[1]!s_yq_pctchange($C1055,$N$1))</f>
        <v xml:space="preserve"> </v>
      </c>
      <c r="O1055" s="11"/>
      <c r="P1055" s="7"/>
    </row>
    <row r="1056" spans="1:16" x14ac:dyDescent="0.35">
      <c r="A1056" s="7"/>
      <c r="C1056" s="31" t="str">
        <f>IF(指数列表!B1053="","",指数列表!B1053)</f>
        <v/>
      </c>
      <c r="D1056" s="36" t="str">
        <f>IF(C1056="","",[1]!s_info_name(C1056))</f>
        <v/>
      </c>
      <c r="E1056" s="25" t="str">
        <f>IF(C1056="","",[1]!s_dq_close(C1056,$N$1))</f>
        <v/>
      </c>
      <c r="F1056" s="28" t="str">
        <f>IF($C1056=""," ",[1]!i_pq_pctchange($C1056,F$6,$N$1))</f>
        <v xml:space="preserve"> </v>
      </c>
      <c r="G1056" s="28" t="str">
        <f>IF($C1056=""," ",[1]!i_pq_pctchange($C1056,G$6,$N$1))</f>
        <v xml:space="preserve"> </v>
      </c>
      <c r="H1056" s="28" t="str">
        <f>IF($C1056=""," ",[1]!i_pq_pctchange($C1056,H$6,$N$1))</f>
        <v xml:space="preserve"> </v>
      </c>
      <c r="I1056" s="28" t="str">
        <f>IF($C1056=""," ",[1]!i_pq_pctchange($C1056,I$6,$N$1))</f>
        <v xml:space="preserve"> </v>
      </c>
      <c r="J1056" s="28" t="str">
        <f>IF($C1056=""," ",[1]!i_pq_pctchange($C1056,J$6,$N$1))</f>
        <v xml:space="preserve"> </v>
      </c>
      <c r="K1056" s="28" t="str">
        <f>IF($C1056=""," ",[1]!i_pq_pctchange($C1056,K$6,$N$1))</f>
        <v xml:space="preserve"> </v>
      </c>
      <c r="L1056" s="28" t="str">
        <f>IF(C1056=""," ",[1]!s_wq_pctchange($C1056,$N$1))</f>
        <v xml:space="preserve"> </v>
      </c>
      <c r="M1056" s="28" t="str">
        <f>IF(C1056=""," ",[1]!s_mq_pctchange($C1056,$N$1))</f>
        <v xml:space="preserve"> </v>
      </c>
      <c r="N1056" s="28" t="str">
        <f>IF(C1056=""," ",[1]!s_yq_pctchange($C1056,$N$1))</f>
        <v xml:space="preserve"> </v>
      </c>
      <c r="O1056" s="11"/>
      <c r="P1056" s="7"/>
    </row>
    <row r="1057" spans="1:16" x14ac:dyDescent="0.35">
      <c r="A1057" s="7"/>
      <c r="C1057" s="30" t="str">
        <f>IF(指数列表!B1054="","",指数列表!B1054)</f>
        <v/>
      </c>
      <c r="D1057" s="35" t="str">
        <f>IF(C1057="","",[1]!s_info_name(C1057))</f>
        <v/>
      </c>
      <c r="E1057" s="24" t="str">
        <f>IF(C1057="","",[1]!s_dq_close(C1057,$N$1))</f>
        <v/>
      </c>
      <c r="F1057" s="28" t="str">
        <f>IF($C1057=""," ",[1]!i_pq_pctchange($C1057,F$6,$N$1))</f>
        <v xml:space="preserve"> </v>
      </c>
      <c r="G1057" s="28" t="str">
        <f>IF($C1057=""," ",[1]!i_pq_pctchange($C1057,G$6,$N$1))</f>
        <v xml:space="preserve"> </v>
      </c>
      <c r="H1057" s="28" t="str">
        <f>IF($C1057=""," ",[1]!i_pq_pctchange($C1057,H$6,$N$1))</f>
        <v xml:space="preserve"> </v>
      </c>
      <c r="I1057" s="28" t="str">
        <f>IF($C1057=""," ",[1]!i_pq_pctchange($C1057,I$6,$N$1))</f>
        <v xml:space="preserve"> </v>
      </c>
      <c r="J1057" s="28" t="str">
        <f>IF($C1057=""," ",[1]!i_pq_pctchange($C1057,J$6,$N$1))</f>
        <v xml:space="preserve"> </v>
      </c>
      <c r="K1057" s="28" t="str">
        <f>IF($C1057=""," ",[1]!i_pq_pctchange($C1057,K$6,$N$1))</f>
        <v xml:space="preserve"> </v>
      </c>
      <c r="L1057" s="28" t="str">
        <f>IF(C1057=""," ",[1]!s_wq_pctchange($C1057,$N$1))</f>
        <v xml:space="preserve"> </v>
      </c>
      <c r="M1057" s="28" t="str">
        <f>IF(C1057=""," ",[1]!s_mq_pctchange($C1057,$N$1))</f>
        <v xml:space="preserve"> </v>
      </c>
      <c r="N1057" s="28" t="str">
        <f>IF(C1057=""," ",[1]!s_yq_pctchange($C1057,$N$1))</f>
        <v xml:space="preserve"> </v>
      </c>
      <c r="O1057" s="11"/>
      <c r="P1057" s="7"/>
    </row>
    <row r="1058" spans="1:16" x14ac:dyDescent="0.35">
      <c r="A1058" s="7"/>
      <c r="C1058" s="31" t="str">
        <f>IF(指数列表!B1055="","",指数列表!B1055)</f>
        <v/>
      </c>
      <c r="D1058" s="36" t="str">
        <f>IF(C1058="","",[1]!s_info_name(C1058))</f>
        <v/>
      </c>
      <c r="E1058" s="25" t="str">
        <f>IF(C1058="","",[1]!s_dq_close(C1058,$N$1))</f>
        <v/>
      </c>
      <c r="F1058" s="28" t="str">
        <f>IF($C1058=""," ",[1]!i_pq_pctchange($C1058,F$6,$N$1))</f>
        <v xml:space="preserve"> </v>
      </c>
      <c r="G1058" s="28" t="str">
        <f>IF($C1058=""," ",[1]!i_pq_pctchange($C1058,G$6,$N$1))</f>
        <v xml:space="preserve"> </v>
      </c>
      <c r="H1058" s="28" t="str">
        <f>IF($C1058=""," ",[1]!i_pq_pctchange($C1058,H$6,$N$1))</f>
        <v xml:space="preserve"> </v>
      </c>
      <c r="I1058" s="28" t="str">
        <f>IF($C1058=""," ",[1]!i_pq_pctchange($C1058,I$6,$N$1))</f>
        <v xml:space="preserve"> </v>
      </c>
      <c r="J1058" s="28" t="str">
        <f>IF($C1058=""," ",[1]!i_pq_pctchange($C1058,J$6,$N$1))</f>
        <v xml:space="preserve"> </v>
      </c>
      <c r="K1058" s="28" t="str">
        <f>IF($C1058=""," ",[1]!i_pq_pctchange($C1058,K$6,$N$1))</f>
        <v xml:space="preserve"> </v>
      </c>
      <c r="L1058" s="28" t="str">
        <f>IF(C1058=""," ",[1]!s_wq_pctchange($C1058,$N$1))</f>
        <v xml:space="preserve"> </v>
      </c>
      <c r="M1058" s="28" t="str">
        <f>IF(C1058=""," ",[1]!s_mq_pctchange($C1058,$N$1))</f>
        <v xml:space="preserve"> </v>
      </c>
      <c r="N1058" s="28" t="str">
        <f>IF(C1058=""," ",[1]!s_yq_pctchange($C1058,$N$1))</f>
        <v xml:space="preserve"> </v>
      </c>
      <c r="O1058" s="11"/>
      <c r="P1058" s="7"/>
    </row>
    <row r="1059" spans="1:16" x14ac:dyDescent="0.35">
      <c r="A1059" s="7"/>
      <c r="C1059" s="30" t="str">
        <f>IF(指数列表!B1056="","",指数列表!B1056)</f>
        <v/>
      </c>
      <c r="D1059" s="35" t="str">
        <f>IF(C1059="","",[1]!s_info_name(C1059))</f>
        <v/>
      </c>
      <c r="E1059" s="24" t="str">
        <f>IF(C1059="","",[1]!s_dq_close(C1059,$N$1))</f>
        <v/>
      </c>
      <c r="F1059" s="28" t="str">
        <f>IF($C1059=""," ",[1]!i_pq_pctchange($C1059,F$6,$N$1))</f>
        <v xml:space="preserve"> </v>
      </c>
      <c r="G1059" s="28" t="str">
        <f>IF($C1059=""," ",[1]!i_pq_pctchange($C1059,G$6,$N$1))</f>
        <v xml:space="preserve"> </v>
      </c>
      <c r="H1059" s="28" t="str">
        <f>IF($C1059=""," ",[1]!i_pq_pctchange($C1059,H$6,$N$1))</f>
        <v xml:space="preserve"> </v>
      </c>
      <c r="I1059" s="28" t="str">
        <f>IF($C1059=""," ",[1]!i_pq_pctchange($C1059,I$6,$N$1))</f>
        <v xml:space="preserve"> </v>
      </c>
      <c r="J1059" s="28" t="str">
        <f>IF($C1059=""," ",[1]!i_pq_pctchange($C1059,J$6,$N$1))</f>
        <v xml:space="preserve"> </v>
      </c>
      <c r="K1059" s="28" t="str">
        <f>IF($C1059=""," ",[1]!i_pq_pctchange($C1059,K$6,$N$1))</f>
        <v xml:space="preserve"> </v>
      </c>
      <c r="L1059" s="28" t="str">
        <f>IF(C1059=""," ",[1]!s_wq_pctchange($C1059,$N$1))</f>
        <v xml:space="preserve"> </v>
      </c>
      <c r="M1059" s="28" t="str">
        <f>IF(C1059=""," ",[1]!s_mq_pctchange($C1059,$N$1))</f>
        <v xml:space="preserve"> </v>
      </c>
      <c r="N1059" s="28" t="str">
        <f>IF(C1059=""," ",[1]!s_yq_pctchange($C1059,$N$1))</f>
        <v xml:space="preserve"> </v>
      </c>
      <c r="O1059" s="11"/>
      <c r="P1059" s="7"/>
    </row>
    <row r="1060" spans="1:16" x14ac:dyDescent="0.35">
      <c r="A1060" s="7"/>
      <c r="C1060" s="31" t="str">
        <f>IF(指数列表!B1057="","",指数列表!B1057)</f>
        <v/>
      </c>
      <c r="D1060" s="36" t="str">
        <f>IF(C1060="","",[1]!s_info_name(C1060))</f>
        <v/>
      </c>
      <c r="E1060" s="25" t="str">
        <f>IF(C1060="","",[1]!s_dq_close(C1060,$N$1))</f>
        <v/>
      </c>
      <c r="F1060" s="28" t="str">
        <f>IF($C1060=""," ",[1]!i_pq_pctchange($C1060,F$6,$N$1))</f>
        <v xml:space="preserve"> </v>
      </c>
      <c r="G1060" s="28" t="str">
        <f>IF($C1060=""," ",[1]!i_pq_pctchange($C1060,G$6,$N$1))</f>
        <v xml:space="preserve"> </v>
      </c>
      <c r="H1060" s="28" t="str">
        <f>IF($C1060=""," ",[1]!i_pq_pctchange($C1060,H$6,$N$1))</f>
        <v xml:space="preserve"> </v>
      </c>
      <c r="I1060" s="28" t="str">
        <f>IF($C1060=""," ",[1]!i_pq_pctchange($C1060,I$6,$N$1))</f>
        <v xml:space="preserve"> </v>
      </c>
      <c r="J1060" s="28" t="str">
        <f>IF($C1060=""," ",[1]!i_pq_pctchange($C1060,J$6,$N$1))</f>
        <v xml:space="preserve"> </v>
      </c>
      <c r="K1060" s="28" t="str">
        <f>IF($C1060=""," ",[1]!i_pq_pctchange($C1060,K$6,$N$1))</f>
        <v xml:space="preserve"> </v>
      </c>
      <c r="L1060" s="28" t="str">
        <f>IF(C1060=""," ",[1]!s_wq_pctchange($C1060,$N$1))</f>
        <v xml:space="preserve"> </v>
      </c>
      <c r="M1060" s="28" t="str">
        <f>IF(C1060=""," ",[1]!s_mq_pctchange($C1060,$N$1))</f>
        <v xml:space="preserve"> </v>
      </c>
      <c r="N1060" s="28" t="str">
        <f>IF(C1060=""," ",[1]!s_yq_pctchange($C1060,$N$1))</f>
        <v xml:space="preserve"> </v>
      </c>
      <c r="O1060" s="11"/>
      <c r="P1060" s="7"/>
    </row>
    <row r="1061" spans="1:16" x14ac:dyDescent="0.35">
      <c r="A1061" s="7"/>
      <c r="C1061" s="30" t="str">
        <f>IF(指数列表!B1058="","",指数列表!B1058)</f>
        <v/>
      </c>
      <c r="D1061" s="35" t="str">
        <f>IF(C1061="","",[1]!s_info_name(C1061))</f>
        <v/>
      </c>
      <c r="E1061" s="24" t="str">
        <f>IF(C1061="","",[1]!s_dq_close(C1061,$N$1))</f>
        <v/>
      </c>
      <c r="F1061" s="28" t="str">
        <f>IF($C1061=""," ",[1]!i_pq_pctchange($C1061,F$6,$N$1))</f>
        <v xml:space="preserve"> </v>
      </c>
      <c r="G1061" s="28" t="str">
        <f>IF($C1061=""," ",[1]!i_pq_pctchange($C1061,G$6,$N$1))</f>
        <v xml:space="preserve"> </v>
      </c>
      <c r="H1061" s="28" t="str">
        <f>IF($C1061=""," ",[1]!i_pq_pctchange($C1061,H$6,$N$1))</f>
        <v xml:space="preserve"> </v>
      </c>
      <c r="I1061" s="28" t="str">
        <f>IF($C1061=""," ",[1]!i_pq_pctchange($C1061,I$6,$N$1))</f>
        <v xml:space="preserve"> </v>
      </c>
      <c r="J1061" s="28" t="str">
        <f>IF($C1061=""," ",[1]!i_pq_pctchange($C1061,J$6,$N$1))</f>
        <v xml:space="preserve"> </v>
      </c>
      <c r="K1061" s="28" t="str">
        <f>IF($C1061=""," ",[1]!i_pq_pctchange($C1061,K$6,$N$1))</f>
        <v xml:space="preserve"> </v>
      </c>
      <c r="L1061" s="28" t="str">
        <f>IF(C1061=""," ",[1]!s_wq_pctchange($C1061,$N$1))</f>
        <v xml:space="preserve"> </v>
      </c>
      <c r="M1061" s="28" t="str">
        <f>IF(C1061=""," ",[1]!s_mq_pctchange($C1061,$N$1))</f>
        <v xml:space="preserve"> </v>
      </c>
      <c r="N1061" s="28" t="str">
        <f>IF(C1061=""," ",[1]!s_yq_pctchange($C1061,$N$1))</f>
        <v xml:space="preserve"> </v>
      </c>
      <c r="O1061" s="11"/>
      <c r="P1061" s="7"/>
    </row>
    <row r="1062" spans="1:16" x14ac:dyDescent="0.35">
      <c r="A1062" s="7"/>
      <c r="C1062" s="31" t="str">
        <f>IF(指数列表!B1059="","",指数列表!B1059)</f>
        <v/>
      </c>
      <c r="D1062" s="36" t="str">
        <f>IF(C1062="","",[1]!s_info_name(C1062))</f>
        <v/>
      </c>
      <c r="E1062" s="25" t="str">
        <f>IF(C1062="","",[1]!s_dq_close(C1062,$N$1))</f>
        <v/>
      </c>
      <c r="F1062" s="28" t="str">
        <f>IF($C1062=""," ",[1]!i_pq_pctchange($C1062,F$6,$N$1))</f>
        <v xml:space="preserve"> </v>
      </c>
      <c r="G1062" s="28" t="str">
        <f>IF($C1062=""," ",[1]!i_pq_pctchange($C1062,G$6,$N$1))</f>
        <v xml:space="preserve"> </v>
      </c>
      <c r="H1062" s="28" t="str">
        <f>IF($C1062=""," ",[1]!i_pq_pctchange($C1062,H$6,$N$1))</f>
        <v xml:space="preserve"> </v>
      </c>
      <c r="I1062" s="28" t="str">
        <f>IF($C1062=""," ",[1]!i_pq_pctchange($C1062,I$6,$N$1))</f>
        <v xml:space="preserve"> </v>
      </c>
      <c r="J1062" s="28" t="str">
        <f>IF($C1062=""," ",[1]!i_pq_pctchange($C1062,J$6,$N$1))</f>
        <v xml:space="preserve"> </v>
      </c>
      <c r="K1062" s="28" t="str">
        <f>IF($C1062=""," ",[1]!i_pq_pctchange($C1062,K$6,$N$1))</f>
        <v xml:space="preserve"> </v>
      </c>
      <c r="L1062" s="28" t="str">
        <f>IF(C1062=""," ",[1]!s_wq_pctchange($C1062,$N$1))</f>
        <v xml:space="preserve"> </v>
      </c>
      <c r="M1062" s="28" t="str">
        <f>IF(C1062=""," ",[1]!s_mq_pctchange($C1062,$N$1))</f>
        <v xml:space="preserve"> </v>
      </c>
      <c r="N1062" s="28" t="str">
        <f>IF(C1062=""," ",[1]!s_yq_pctchange($C1062,$N$1))</f>
        <v xml:space="preserve"> </v>
      </c>
      <c r="O1062" s="11"/>
      <c r="P1062" s="7"/>
    </row>
    <row r="1063" spans="1:16" x14ac:dyDescent="0.35">
      <c r="A1063" s="7"/>
      <c r="C1063" s="30" t="str">
        <f>IF(指数列表!B1060="","",指数列表!B1060)</f>
        <v/>
      </c>
      <c r="D1063" s="35" t="str">
        <f>IF(C1063="","",[1]!s_info_name(C1063))</f>
        <v/>
      </c>
      <c r="E1063" s="24" t="str">
        <f>IF(C1063="","",[1]!s_dq_close(C1063,$N$1))</f>
        <v/>
      </c>
      <c r="F1063" s="28" t="str">
        <f>IF($C1063=""," ",[1]!i_pq_pctchange($C1063,F$6,$N$1))</f>
        <v xml:space="preserve"> </v>
      </c>
      <c r="G1063" s="28" t="str">
        <f>IF($C1063=""," ",[1]!i_pq_pctchange($C1063,G$6,$N$1))</f>
        <v xml:space="preserve"> </v>
      </c>
      <c r="H1063" s="28" t="str">
        <f>IF($C1063=""," ",[1]!i_pq_pctchange($C1063,H$6,$N$1))</f>
        <v xml:space="preserve"> </v>
      </c>
      <c r="I1063" s="28" t="str">
        <f>IF($C1063=""," ",[1]!i_pq_pctchange($C1063,I$6,$N$1))</f>
        <v xml:space="preserve"> </v>
      </c>
      <c r="J1063" s="28" t="str">
        <f>IF($C1063=""," ",[1]!i_pq_pctchange($C1063,J$6,$N$1))</f>
        <v xml:space="preserve"> </v>
      </c>
      <c r="K1063" s="28" t="str">
        <f>IF($C1063=""," ",[1]!i_pq_pctchange($C1063,K$6,$N$1))</f>
        <v xml:space="preserve"> </v>
      </c>
      <c r="L1063" s="28" t="str">
        <f>IF(C1063=""," ",[1]!s_wq_pctchange($C1063,$N$1))</f>
        <v xml:space="preserve"> </v>
      </c>
      <c r="M1063" s="28" t="str">
        <f>IF(C1063=""," ",[1]!s_mq_pctchange($C1063,$N$1))</f>
        <v xml:space="preserve"> </v>
      </c>
      <c r="N1063" s="28" t="str">
        <f>IF(C1063=""," ",[1]!s_yq_pctchange($C1063,$N$1))</f>
        <v xml:space="preserve"> </v>
      </c>
      <c r="O1063" s="11"/>
      <c r="P1063" s="7"/>
    </row>
    <row r="1064" spans="1:16" x14ac:dyDescent="0.35">
      <c r="A1064" s="7"/>
      <c r="C1064" s="31" t="str">
        <f>IF(指数列表!B1061="","",指数列表!B1061)</f>
        <v/>
      </c>
      <c r="D1064" s="36" t="str">
        <f>IF(C1064="","",[1]!s_info_name(C1064))</f>
        <v/>
      </c>
      <c r="E1064" s="25" t="str">
        <f>IF(C1064="","",[1]!s_dq_close(C1064,$N$1))</f>
        <v/>
      </c>
      <c r="F1064" s="28" t="str">
        <f>IF($C1064=""," ",[1]!i_pq_pctchange($C1064,F$6,$N$1))</f>
        <v xml:space="preserve"> </v>
      </c>
      <c r="G1064" s="28" t="str">
        <f>IF($C1064=""," ",[1]!i_pq_pctchange($C1064,G$6,$N$1))</f>
        <v xml:space="preserve"> </v>
      </c>
      <c r="H1064" s="28" t="str">
        <f>IF($C1064=""," ",[1]!i_pq_pctchange($C1064,H$6,$N$1))</f>
        <v xml:space="preserve"> </v>
      </c>
      <c r="I1064" s="28" t="str">
        <f>IF($C1064=""," ",[1]!i_pq_pctchange($C1064,I$6,$N$1))</f>
        <v xml:space="preserve"> </v>
      </c>
      <c r="J1064" s="28" t="str">
        <f>IF($C1064=""," ",[1]!i_pq_pctchange($C1064,J$6,$N$1))</f>
        <v xml:space="preserve"> </v>
      </c>
      <c r="K1064" s="28" t="str">
        <f>IF($C1064=""," ",[1]!i_pq_pctchange($C1064,K$6,$N$1))</f>
        <v xml:space="preserve"> </v>
      </c>
      <c r="L1064" s="28" t="str">
        <f>IF(C1064=""," ",[1]!s_wq_pctchange($C1064,$N$1))</f>
        <v xml:space="preserve"> </v>
      </c>
      <c r="M1064" s="28" t="str">
        <f>IF(C1064=""," ",[1]!s_mq_pctchange($C1064,$N$1))</f>
        <v xml:space="preserve"> </v>
      </c>
      <c r="N1064" s="28" t="str">
        <f>IF(C1064=""," ",[1]!s_yq_pctchange($C1064,$N$1))</f>
        <v xml:space="preserve"> </v>
      </c>
      <c r="O1064" s="11"/>
      <c r="P1064" s="7"/>
    </row>
    <row r="1065" spans="1:16" x14ac:dyDescent="0.35">
      <c r="A1065" s="7"/>
      <c r="C1065" s="30" t="str">
        <f>IF(指数列表!B1062="","",指数列表!B1062)</f>
        <v/>
      </c>
      <c r="D1065" s="35" t="str">
        <f>IF(C1065="","",[1]!s_info_name(C1065))</f>
        <v/>
      </c>
      <c r="E1065" s="24" t="str">
        <f>IF(C1065="","",[1]!s_dq_close(C1065,$N$1))</f>
        <v/>
      </c>
      <c r="F1065" s="28" t="str">
        <f>IF($C1065=""," ",[1]!i_pq_pctchange($C1065,F$6,$N$1))</f>
        <v xml:space="preserve"> </v>
      </c>
      <c r="G1065" s="28" t="str">
        <f>IF($C1065=""," ",[1]!i_pq_pctchange($C1065,G$6,$N$1))</f>
        <v xml:space="preserve"> </v>
      </c>
      <c r="H1065" s="28" t="str">
        <f>IF($C1065=""," ",[1]!i_pq_pctchange($C1065,H$6,$N$1))</f>
        <v xml:space="preserve"> </v>
      </c>
      <c r="I1065" s="28" t="str">
        <f>IF($C1065=""," ",[1]!i_pq_pctchange($C1065,I$6,$N$1))</f>
        <v xml:space="preserve"> </v>
      </c>
      <c r="J1065" s="28" t="str">
        <f>IF($C1065=""," ",[1]!i_pq_pctchange($C1065,J$6,$N$1))</f>
        <v xml:space="preserve"> </v>
      </c>
      <c r="K1065" s="28" t="str">
        <f>IF($C1065=""," ",[1]!i_pq_pctchange($C1065,K$6,$N$1))</f>
        <v xml:space="preserve"> </v>
      </c>
      <c r="L1065" s="28" t="str">
        <f>IF(C1065=""," ",[1]!s_wq_pctchange($C1065,$N$1))</f>
        <v xml:space="preserve"> </v>
      </c>
      <c r="M1065" s="28" t="str">
        <f>IF(C1065=""," ",[1]!s_mq_pctchange($C1065,$N$1))</f>
        <v xml:space="preserve"> </v>
      </c>
      <c r="N1065" s="28" t="str">
        <f>IF(C1065=""," ",[1]!s_yq_pctchange($C1065,$N$1))</f>
        <v xml:space="preserve"> </v>
      </c>
      <c r="O1065" s="11"/>
      <c r="P1065" s="7"/>
    </row>
    <row r="1066" spans="1:16" x14ac:dyDescent="0.35">
      <c r="A1066" s="7"/>
      <c r="C1066" s="31" t="str">
        <f>IF(指数列表!B1063="","",指数列表!B1063)</f>
        <v/>
      </c>
      <c r="D1066" s="36" t="str">
        <f>IF(C1066="","",[1]!s_info_name(C1066))</f>
        <v/>
      </c>
      <c r="E1066" s="25" t="str">
        <f>IF(C1066="","",[1]!s_dq_close(C1066,$N$1))</f>
        <v/>
      </c>
      <c r="F1066" s="28" t="str">
        <f>IF($C1066=""," ",[1]!i_pq_pctchange($C1066,F$6,$N$1))</f>
        <v xml:space="preserve"> </v>
      </c>
      <c r="G1066" s="28" t="str">
        <f>IF($C1066=""," ",[1]!i_pq_pctchange($C1066,G$6,$N$1))</f>
        <v xml:space="preserve"> </v>
      </c>
      <c r="H1066" s="28" t="str">
        <f>IF($C1066=""," ",[1]!i_pq_pctchange($C1066,H$6,$N$1))</f>
        <v xml:space="preserve"> </v>
      </c>
      <c r="I1066" s="28" t="str">
        <f>IF($C1066=""," ",[1]!i_pq_pctchange($C1066,I$6,$N$1))</f>
        <v xml:space="preserve"> </v>
      </c>
      <c r="J1066" s="28" t="str">
        <f>IF($C1066=""," ",[1]!i_pq_pctchange($C1066,J$6,$N$1))</f>
        <v xml:space="preserve"> </v>
      </c>
      <c r="K1066" s="28" t="str">
        <f>IF($C1066=""," ",[1]!i_pq_pctchange($C1066,K$6,$N$1))</f>
        <v xml:space="preserve"> </v>
      </c>
      <c r="L1066" s="28" t="str">
        <f>IF(C1066=""," ",[1]!s_wq_pctchange($C1066,$N$1))</f>
        <v xml:space="preserve"> </v>
      </c>
      <c r="M1066" s="28" t="str">
        <f>IF(C1066=""," ",[1]!s_mq_pctchange($C1066,$N$1))</f>
        <v xml:space="preserve"> </v>
      </c>
      <c r="N1066" s="28" t="str">
        <f>IF(C1066=""," ",[1]!s_yq_pctchange($C1066,$N$1))</f>
        <v xml:space="preserve"> </v>
      </c>
      <c r="O1066" s="11"/>
      <c r="P1066" s="7"/>
    </row>
    <row r="1067" spans="1:16" x14ac:dyDescent="0.35">
      <c r="A1067" s="7"/>
      <c r="C1067" s="30" t="str">
        <f>IF(指数列表!B1064="","",指数列表!B1064)</f>
        <v/>
      </c>
      <c r="D1067" s="35" t="str">
        <f>IF(C1067="","",[1]!s_info_name(C1067))</f>
        <v/>
      </c>
      <c r="E1067" s="24" t="str">
        <f>IF(C1067="","",[1]!s_dq_close(C1067,$N$1))</f>
        <v/>
      </c>
      <c r="F1067" s="28" t="str">
        <f>IF($C1067=""," ",[1]!i_pq_pctchange($C1067,F$6,$N$1))</f>
        <v xml:space="preserve"> </v>
      </c>
      <c r="G1067" s="28" t="str">
        <f>IF($C1067=""," ",[1]!i_pq_pctchange($C1067,G$6,$N$1))</f>
        <v xml:space="preserve"> </v>
      </c>
      <c r="H1067" s="28" t="str">
        <f>IF($C1067=""," ",[1]!i_pq_pctchange($C1067,H$6,$N$1))</f>
        <v xml:space="preserve"> </v>
      </c>
      <c r="I1067" s="28" t="str">
        <f>IF($C1067=""," ",[1]!i_pq_pctchange($C1067,I$6,$N$1))</f>
        <v xml:space="preserve"> </v>
      </c>
      <c r="J1067" s="28" t="str">
        <f>IF($C1067=""," ",[1]!i_pq_pctchange($C1067,J$6,$N$1))</f>
        <v xml:space="preserve"> </v>
      </c>
      <c r="K1067" s="28" t="str">
        <f>IF($C1067=""," ",[1]!i_pq_pctchange($C1067,K$6,$N$1))</f>
        <v xml:space="preserve"> </v>
      </c>
      <c r="L1067" s="28" t="str">
        <f>IF(C1067=""," ",[1]!s_wq_pctchange($C1067,$N$1))</f>
        <v xml:space="preserve"> </v>
      </c>
      <c r="M1067" s="28" t="str">
        <f>IF(C1067=""," ",[1]!s_mq_pctchange($C1067,$N$1))</f>
        <v xml:space="preserve"> </v>
      </c>
      <c r="N1067" s="28" t="str">
        <f>IF(C1067=""," ",[1]!s_yq_pctchange($C1067,$N$1))</f>
        <v xml:space="preserve"> </v>
      </c>
      <c r="O1067" s="11"/>
      <c r="P1067" s="7"/>
    </row>
    <row r="1068" spans="1:16" x14ac:dyDescent="0.35">
      <c r="A1068" s="7"/>
      <c r="C1068" s="31" t="str">
        <f>IF(指数列表!B1065="","",指数列表!B1065)</f>
        <v/>
      </c>
      <c r="D1068" s="36" t="str">
        <f>IF(C1068="","",[1]!s_info_name(C1068))</f>
        <v/>
      </c>
      <c r="E1068" s="25" t="str">
        <f>IF(C1068="","",[1]!s_dq_close(C1068,$N$1))</f>
        <v/>
      </c>
      <c r="F1068" s="28" t="str">
        <f>IF($C1068=""," ",[1]!i_pq_pctchange($C1068,F$6,$N$1))</f>
        <v xml:space="preserve"> </v>
      </c>
      <c r="G1068" s="28" t="str">
        <f>IF($C1068=""," ",[1]!i_pq_pctchange($C1068,G$6,$N$1))</f>
        <v xml:space="preserve"> </v>
      </c>
      <c r="H1068" s="28" t="str">
        <f>IF($C1068=""," ",[1]!i_pq_pctchange($C1068,H$6,$N$1))</f>
        <v xml:space="preserve"> </v>
      </c>
      <c r="I1068" s="28" t="str">
        <f>IF($C1068=""," ",[1]!i_pq_pctchange($C1068,I$6,$N$1))</f>
        <v xml:space="preserve"> </v>
      </c>
      <c r="J1068" s="28" t="str">
        <f>IF($C1068=""," ",[1]!i_pq_pctchange($C1068,J$6,$N$1))</f>
        <v xml:space="preserve"> </v>
      </c>
      <c r="K1068" s="28" t="str">
        <f>IF($C1068=""," ",[1]!i_pq_pctchange($C1068,K$6,$N$1))</f>
        <v xml:space="preserve"> </v>
      </c>
      <c r="L1068" s="28" t="str">
        <f>IF(C1068=""," ",[1]!s_wq_pctchange($C1068,$N$1))</f>
        <v xml:space="preserve"> </v>
      </c>
      <c r="M1068" s="28" t="str">
        <f>IF(C1068=""," ",[1]!s_mq_pctchange($C1068,$N$1))</f>
        <v xml:space="preserve"> </v>
      </c>
      <c r="N1068" s="28" t="str">
        <f>IF(C1068=""," ",[1]!s_yq_pctchange($C1068,$N$1))</f>
        <v xml:space="preserve"> </v>
      </c>
      <c r="O1068" s="11"/>
      <c r="P1068" s="7"/>
    </row>
    <row r="1069" spans="1:16" x14ac:dyDescent="0.35">
      <c r="A1069" s="7"/>
      <c r="C1069" s="30" t="str">
        <f>IF(指数列表!B1066="","",指数列表!B1066)</f>
        <v/>
      </c>
      <c r="D1069" s="35" t="str">
        <f>IF(C1069="","",[1]!s_info_name(C1069))</f>
        <v/>
      </c>
      <c r="E1069" s="24" t="str">
        <f>IF(C1069="","",[1]!s_dq_close(C1069,$N$1))</f>
        <v/>
      </c>
      <c r="F1069" s="28" t="str">
        <f>IF($C1069=""," ",[1]!i_pq_pctchange($C1069,F$6,$N$1))</f>
        <v xml:space="preserve"> </v>
      </c>
      <c r="G1069" s="28" t="str">
        <f>IF($C1069=""," ",[1]!i_pq_pctchange($C1069,G$6,$N$1))</f>
        <v xml:space="preserve"> </v>
      </c>
      <c r="H1069" s="28" t="str">
        <f>IF($C1069=""," ",[1]!i_pq_pctchange($C1069,H$6,$N$1))</f>
        <v xml:space="preserve"> </v>
      </c>
      <c r="I1069" s="28" t="str">
        <f>IF($C1069=""," ",[1]!i_pq_pctchange($C1069,I$6,$N$1))</f>
        <v xml:space="preserve"> </v>
      </c>
      <c r="J1069" s="28" t="str">
        <f>IF($C1069=""," ",[1]!i_pq_pctchange($C1069,J$6,$N$1))</f>
        <v xml:space="preserve"> </v>
      </c>
      <c r="K1069" s="28" t="str">
        <f>IF($C1069=""," ",[1]!i_pq_pctchange($C1069,K$6,$N$1))</f>
        <v xml:space="preserve"> </v>
      </c>
      <c r="L1069" s="28" t="str">
        <f>IF(C1069=""," ",[1]!s_wq_pctchange($C1069,$N$1))</f>
        <v xml:space="preserve"> </v>
      </c>
      <c r="M1069" s="28" t="str">
        <f>IF(C1069=""," ",[1]!s_mq_pctchange($C1069,$N$1))</f>
        <v xml:space="preserve"> </v>
      </c>
      <c r="N1069" s="28" t="str">
        <f>IF(C1069=""," ",[1]!s_yq_pctchange($C1069,$N$1))</f>
        <v xml:space="preserve"> </v>
      </c>
      <c r="O1069" s="11"/>
      <c r="P1069" s="7"/>
    </row>
    <row r="1070" spans="1:16" x14ac:dyDescent="0.35">
      <c r="A1070" s="7"/>
      <c r="C1070" s="31" t="str">
        <f>IF(指数列表!B1067="","",指数列表!B1067)</f>
        <v/>
      </c>
      <c r="D1070" s="36" t="str">
        <f>IF(C1070="","",[1]!s_info_name(C1070))</f>
        <v/>
      </c>
      <c r="E1070" s="25" t="str">
        <f>IF(C1070="","",[1]!s_dq_close(C1070,$N$1))</f>
        <v/>
      </c>
      <c r="F1070" s="28" t="str">
        <f>IF($C1070=""," ",[1]!i_pq_pctchange($C1070,F$6,$N$1))</f>
        <v xml:space="preserve"> </v>
      </c>
      <c r="G1070" s="28" t="str">
        <f>IF($C1070=""," ",[1]!i_pq_pctchange($C1070,G$6,$N$1))</f>
        <v xml:space="preserve"> </v>
      </c>
      <c r="H1070" s="28" t="str">
        <f>IF($C1070=""," ",[1]!i_pq_pctchange($C1070,H$6,$N$1))</f>
        <v xml:space="preserve"> </v>
      </c>
      <c r="I1070" s="28" t="str">
        <f>IF($C1070=""," ",[1]!i_pq_pctchange($C1070,I$6,$N$1))</f>
        <v xml:space="preserve"> </v>
      </c>
      <c r="J1070" s="28" t="str">
        <f>IF($C1070=""," ",[1]!i_pq_pctchange($C1070,J$6,$N$1))</f>
        <v xml:space="preserve"> </v>
      </c>
      <c r="K1070" s="28" t="str">
        <f>IF($C1070=""," ",[1]!i_pq_pctchange($C1070,K$6,$N$1))</f>
        <v xml:space="preserve"> </v>
      </c>
      <c r="L1070" s="28" t="str">
        <f>IF(C1070=""," ",[1]!s_wq_pctchange($C1070,$N$1))</f>
        <v xml:space="preserve"> </v>
      </c>
      <c r="M1070" s="28" t="str">
        <f>IF(C1070=""," ",[1]!s_mq_pctchange($C1070,$N$1))</f>
        <v xml:space="preserve"> </v>
      </c>
      <c r="N1070" s="28" t="str">
        <f>IF(C1070=""," ",[1]!s_yq_pctchange($C1070,$N$1))</f>
        <v xml:space="preserve"> </v>
      </c>
      <c r="O1070" s="11"/>
      <c r="P1070" s="7"/>
    </row>
    <row r="1071" spans="1:16" x14ac:dyDescent="0.35">
      <c r="A1071" s="7"/>
      <c r="C1071" s="30" t="str">
        <f>IF(指数列表!B1068="","",指数列表!B1068)</f>
        <v/>
      </c>
      <c r="D1071" s="35" t="str">
        <f>IF(C1071="","",[1]!s_info_name(C1071))</f>
        <v/>
      </c>
      <c r="E1071" s="24" t="str">
        <f>IF(C1071="","",[1]!s_dq_close(C1071,$N$1))</f>
        <v/>
      </c>
      <c r="F1071" s="28" t="str">
        <f>IF($C1071=""," ",[1]!i_pq_pctchange($C1071,F$6,$N$1))</f>
        <v xml:space="preserve"> </v>
      </c>
      <c r="G1071" s="28" t="str">
        <f>IF($C1071=""," ",[1]!i_pq_pctchange($C1071,G$6,$N$1))</f>
        <v xml:space="preserve"> </v>
      </c>
      <c r="H1071" s="28" t="str">
        <f>IF($C1071=""," ",[1]!i_pq_pctchange($C1071,H$6,$N$1))</f>
        <v xml:space="preserve"> </v>
      </c>
      <c r="I1071" s="28" t="str">
        <f>IF($C1071=""," ",[1]!i_pq_pctchange($C1071,I$6,$N$1))</f>
        <v xml:space="preserve"> </v>
      </c>
      <c r="J1071" s="28" t="str">
        <f>IF($C1071=""," ",[1]!i_pq_pctchange($C1071,J$6,$N$1))</f>
        <v xml:space="preserve"> </v>
      </c>
      <c r="K1071" s="28" t="str">
        <f>IF($C1071=""," ",[1]!i_pq_pctchange($C1071,K$6,$N$1))</f>
        <v xml:space="preserve"> </v>
      </c>
      <c r="L1071" s="28" t="str">
        <f>IF(C1071=""," ",[1]!s_wq_pctchange($C1071,$N$1))</f>
        <v xml:space="preserve"> </v>
      </c>
      <c r="M1071" s="28" t="str">
        <f>IF(C1071=""," ",[1]!s_mq_pctchange($C1071,$N$1))</f>
        <v xml:space="preserve"> </v>
      </c>
      <c r="N1071" s="28" t="str">
        <f>IF(C1071=""," ",[1]!s_yq_pctchange($C1071,$N$1))</f>
        <v xml:space="preserve"> </v>
      </c>
      <c r="O1071" s="11"/>
      <c r="P1071" s="7"/>
    </row>
    <row r="1072" spans="1:16" x14ac:dyDescent="0.35">
      <c r="A1072" s="7"/>
      <c r="C1072" s="31" t="str">
        <f>IF(指数列表!B1069="","",指数列表!B1069)</f>
        <v/>
      </c>
      <c r="D1072" s="36" t="str">
        <f>IF(C1072="","",[1]!s_info_name(C1072))</f>
        <v/>
      </c>
      <c r="E1072" s="25" t="str">
        <f>IF(C1072="","",[1]!s_dq_close(C1072,$N$1))</f>
        <v/>
      </c>
      <c r="F1072" s="28" t="str">
        <f>IF($C1072=""," ",[1]!i_pq_pctchange($C1072,F$6,$N$1))</f>
        <v xml:space="preserve"> </v>
      </c>
      <c r="G1072" s="28" t="str">
        <f>IF($C1072=""," ",[1]!i_pq_pctchange($C1072,G$6,$N$1))</f>
        <v xml:space="preserve"> </v>
      </c>
      <c r="H1072" s="28" t="str">
        <f>IF($C1072=""," ",[1]!i_pq_pctchange($C1072,H$6,$N$1))</f>
        <v xml:space="preserve"> </v>
      </c>
      <c r="I1072" s="28" t="str">
        <f>IF($C1072=""," ",[1]!i_pq_pctchange($C1072,I$6,$N$1))</f>
        <v xml:space="preserve"> </v>
      </c>
      <c r="J1072" s="28" t="str">
        <f>IF($C1072=""," ",[1]!i_pq_pctchange($C1072,J$6,$N$1))</f>
        <v xml:space="preserve"> </v>
      </c>
      <c r="K1072" s="28" t="str">
        <f>IF($C1072=""," ",[1]!i_pq_pctchange($C1072,K$6,$N$1))</f>
        <v xml:space="preserve"> </v>
      </c>
      <c r="L1072" s="28" t="str">
        <f>IF(C1072=""," ",[1]!s_wq_pctchange($C1072,$N$1))</f>
        <v xml:space="preserve"> </v>
      </c>
      <c r="M1072" s="28" t="str">
        <f>IF(C1072=""," ",[1]!s_mq_pctchange($C1072,$N$1))</f>
        <v xml:space="preserve"> </v>
      </c>
      <c r="N1072" s="28" t="str">
        <f>IF(C1072=""," ",[1]!s_yq_pctchange($C1072,$N$1))</f>
        <v xml:space="preserve"> </v>
      </c>
      <c r="O1072" s="11"/>
      <c r="P1072" s="7"/>
    </row>
    <row r="1073" spans="1:16" x14ac:dyDescent="0.35">
      <c r="A1073" s="7"/>
      <c r="C1073" s="30" t="str">
        <f>IF(指数列表!B1070="","",指数列表!B1070)</f>
        <v/>
      </c>
      <c r="D1073" s="35" t="str">
        <f>IF(C1073="","",[1]!s_info_name(C1073))</f>
        <v/>
      </c>
      <c r="E1073" s="24" t="str">
        <f>IF(C1073="","",[1]!s_dq_close(C1073,$N$1))</f>
        <v/>
      </c>
      <c r="F1073" s="28" t="str">
        <f>IF($C1073=""," ",[1]!i_pq_pctchange($C1073,F$6,$N$1))</f>
        <v xml:space="preserve"> </v>
      </c>
      <c r="G1073" s="28" t="str">
        <f>IF($C1073=""," ",[1]!i_pq_pctchange($C1073,G$6,$N$1))</f>
        <v xml:space="preserve"> </v>
      </c>
      <c r="H1073" s="28" t="str">
        <f>IF($C1073=""," ",[1]!i_pq_pctchange($C1073,H$6,$N$1))</f>
        <v xml:space="preserve"> </v>
      </c>
      <c r="I1073" s="28" t="str">
        <f>IF($C1073=""," ",[1]!i_pq_pctchange($C1073,I$6,$N$1))</f>
        <v xml:space="preserve"> </v>
      </c>
      <c r="J1073" s="28" t="str">
        <f>IF($C1073=""," ",[1]!i_pq_pctchange($C1073,J$6,$N$1))</f>
        <v xml:space="preserve"> </v>
      </c>
      <c r="K1073" s="28" t="str">
        <f>IF($C1073=""," ",[1]!i_pq_pctchange($C1073,K$6,$N$1))</f>
        <v xml:space="preserve"> </v>
      </c>
      <c r="L1073" s="28" t="str">
        <f>IF(C1073=""," ",[1]!s_wq_pctchange($C1073,$N$1))</f>
        <v xml:space="preserve"> </v>
      </c>
      <c r="M1073" s="28" t="str">
        <f>IF(C1073=""," ",[1]!s_mq_pctchange($C1073,$N$1))</f>
        <v xml:space="preserve"> </v>
      </c>
      <c r="N1073" s="28" t="str">
        <f>IF(C1073=""," ",[1]!s_yq_pctchange($C1073,$N$1))</f>
        <v xml:space="preserve"> </v>
      </c>
      <c r="O1073" s="11"/>
      <c r="P1073" s="7"/>
    </row>
    <row r="1074" spans="1:16" x14ac:dyDescent="0.35">
      <c r="A1074" s="7"/>
      <c r="C1074" s="31" t="str">
        <f>IF(指数列表!B1071="","",指数列表!B1071)</f>
        <v/>
      </c>
      <c r="D1074" s="36" t="str">
        <f>IF(C1074="","",[1]!s_info_name(C1074))</f>
        <v/>
      </c>
      <c r="E1074" s="25" t="str">
        <f>IF(C1074="","",[1]!s_dq_close(C1074,$N$1))</f>
        <v/>
      </c>
      <c r="F1074" s="28" t="str">
        <f>IF($C1074=""," ",[1]!i_pq_pctchange($C1074,F$6,$N$1))</f>
        <v xml:space="preserve"> </v>
      </c>
      <c r="G1074" s="28" t="str">
        <f>IF($C1074=""," ",[1]!i_pq_pctchange($C1074,G$6,$N$1))</f>
        <v xml:space="preserve"> </v>
      </c>
      <c r="H1074" s="28" t="str">
        <f>IF($C1074=""," ",[1]!i_pq_pctchange($C1074,H$6,$N$1))</f>
        <v xml:space="preserve"> </v>
      </c>
      <c r="I1074" s="28" t="str">
        <f>IF($C1074=""," ",[1]!i_pq_pctchange($C1074,I$6,$N$1))</f>
        <v xml:space="preserve"> </v>
      </c>
      <c r="J1074" s="28" t="str">
        <f>IF($C1074=""," ",[1]!i_pq_pctchange($C1074,J$6,$N$1))</f>
        <v xml:space="preserve"> </v>
      </c>
      <c r="K1074" s="28" t="str">
        <f>IF($C1074=""," ",[1]!i_pq_pctchange($C1074,K$6,$N$1))</f>
        <v xml:space="preserve"> </v>
      </c>
      <c r="L1074" s="28" t="str">
        <f>IF(C1074=""," ",[1]!s_wq_pctchange($C1074,$N$1))</f>
        <v xml:space="preserve"> </v>
      </c>
      <c r="M1074" s="28" t="str">
        <f>IF(C1074=""," ",[1]!s_mq_pctchange($C1074,$N$1))</f>
        <v xml:space="preserve"> </v>
      </c>
      <c r="N1074" s="28" t="str">
        <f>IF(C1074=""," ",[1]!s_yq_pctchange($C1074,$N$1))</f>
        <v xml:space="preserve"> </v>
      </c>
      <c r="O1074" s="11"/>
      <c r="P1074" s="7"/>
    </row>
    <row r="1075" spans="1:16" x14ac:dyDescent="0.35">
      <c r="A1075" s="7"/>
      <c r="C1075" s="30" t="str">
        <f>IF(指数列表!B1072="","",指数列表!B1072)</f>
        <v/>
      </c>
      <c r="D1075" s="35" t="str">
        <f>IF(C1075="","",[1]!s_info_name(C1075))</f>
        <v/>
      </c>
      <c r="E1075" s="24" t="str">
        <f>IF(C1075="","",[1]!s_dq_close(C1075,$N$1))</f>
        <v/>
      </c>
      <c r="F1075" s="28" t="str">
        <f>IF($C1075=""," ",[1]!i_pq_pctchange($C1075,F$6,$N$1))</f>
        <v xml:space="preserve"> </v>
      </c>
      <c r="G1075" s="28" t="str">
        <f>IF($C1075=""," ",[1]!i_pq_pctchange($C1075,G$6,$N$1))</f>
        <v xml:space="preserve"> </v>
      </c>
      <c r="H1075" s="28" t="str">
        <f>IF($C1075=""," ",[1]!i_pq_pctchange($C1075,H$6,$N$1))</f>
        <v xml:space="preserve"> </v>
      </c>
      <c r="I1075" s="28" t="str">
        <f>IF($C1075=""," ",[1]!i_pq_pctchange($C1075,I$6,$N$1))</f>
        <v xml:space="preserve"> </v>
      </c>
      <c r="J1075" s="28" t="str">
        <f>IF($C1075=""," ",[1]!i_pq_pctchange($C1075,J$6,$N$1))</f>
        <v xml:space="preserve"> </v>
      </c>
      <c r="K1075" s="28" t="str">
        <f>IF($C1075=""," ",[1]!i_pq_pctchange($C1075,K$6,$N$1))</f>
        <v xml:space="preserve"> </v>
      </c>
      <c r="L1075" s="28" t="str">
        <f>IF(C1075=""," ",[1]!s_wq_pctchange($C1075,$N$1))</f>
        <v xml:space="preserve"> </v>
      </c>
      <c r="M1075" s="28" t="str">
        <f>IF(C1075=""," ",[1]!s_mq_pctchange($C1075,$N$1))</f>
        <v xml:space="preserve"> </v>
      </c>
      <c r="N1075" s="28" t="str">
        <f>IF(C1075=""," ",[1]!s_yq_pctchange($C1075,$N$1))</f>
        <v xml:space="preserve"> </v>
      </c>
      <c r="O1075" s="11"/>
      <c r="P1075" s="7"/>
    </row>
    <row r="1076" spans="1:16" x14ac:dyDescent="0.35">
      <c r="A1076" s="7"/>
      <c r="C1076" s="31" t="str">
        <f>IF(指数列表!B1073="","",指数列表!B1073)</f>
        <v/>
      </c>
      <c r="D1076" s="36" t="str">
        <f>IF(C1076="","",[1]!s_info_name(C1076))</f>
        <v/>
      </c>
      <c r="E1076" s="25" t="str">
        <f>IF(C1076="","",[1]!s_dq_close(C1076,$N$1))</f>
        <v/>
      </c>
      <c r="F1076" s="28" t="str">
        <f>IF($C1076=""," ",[1]!i_pq_pctchange($C1076,F$6,$N$1))</f>
        <v xml:space="preserve"> </v>
      </c>
      <c r="G1076" s="28" t="str">
        <f>IF($C1076=""," ",[1]!i_pq_pctchange($C1076,G$6,$N$1))</f>
        <v xml:space="preserve"> </v>
      </c>
      <c r="H1076" s="28" t="str">
        <f>IF($C1076=""," ",[1]!i_pq_pctchange($C1076,H$6,$N$1))</f>
        <v xml:space="preserve"> </v>
      </c>
      <c r="I1076" s="28" t="str">
        <f>IF($C1076=""," ",[1]!i_pq_pctchange($C1076,I$6,$N$1))</f>
        <v xml:space="preserve"> </v>
      </c>
      <c r="J1076" s="28" t="str">
        <f>IF($C1076=""," ",[1]!i_pq_pctchange($C1076,J$6,$N$1))</f>
        <v xml:space="preserve"> </v>
      </c>
      <c r="K1076" s="28" t="str">
        <f>IF($C1076=""," ",[1]!i_pq_pctchange($C1076,K$6,$N$1))</f>
        <v xml:space="preserve"> </v>
      </c>
      <c r="L1076" s="28" t="str">
        <f>IF(C1076=""," ",[1]!s_wq_pctchange($C1076,$N$1))</f>
        <v xml:space="preserve"> </v>
      </c>
      <c r="M1076" s="28" t="str">
        <f>IF(C1076=""," ",[1]!s_mq_pctchange($C1076,$N$1))</f>
        <v xml:space="preserve"> </v>
      </c>
      <c r="N1076" s="28" t="str">
        <f>IF(C1076=""," ",[1]!s_yq_pctchange($C1076,$N$1))</f>
        <v xml:space="preserve"> </v>
      </c>
      <c r="O1076" s="11"/>
      <c r="P1076" s="7"/>
    </row>
    <row r="1077" spans="1:16" x14ac:dyDescent="0.35">
      <c r="A1077" s="7"/>
      <c r="C1077" s="30" t="str">
        <f>IF(指数列表!B1074="","",指数列表!B1074)</f>
        <v/>
      </c>
      <c r="D1077" s="35" t="str">
        <f>IF(C1077="","",[1]!s_info_name(C1077))</f>
        <v/>
      </c>
      <c r="E1077" s="24" t="str">
        <f>IF(C1077="","",[1]!s_dq_close(C1077,$N$1))</f>
        <v/>
      </c>
      <c r="F1077" s="28" t="str">
        <f>IF($C1077=""," ",[1]!i_pq_pctchange($C1077,F$6,$N$1))</f>
        <v xml:space="preserve"> </v>
      </c>
      <c r="G1077" s="28" t="str">
        <f>IF($C1077=""," ",[1]!i_pq_pctchange($C1077,G$6,$N$1))</f>
        <v xml:space="preserve"> </v>
      </c>
      <c r="H1077" s="28" t="str">
        <f>IF($C1077=""," ",[1]!i_pq_pctchange($C1077,H$6,$N$1))</f>
        <v xml:space="preserve"> </v>
      </c>
      <c r="I1077" s="28" t="str">
        <f>IF($C1077=""," ",[1]!i_pq_pctchange($C1077,I$6,$N$1))</f>
        <v xml:space="preserve"> </v>
      </c>
      <c r="J1077" s="28" t="str">
        <f>IF($C1077=""," ",[1]!i_pq_pctchange($C1077,J$6,$N$1))</f>
        <v xml:space="preserve"> </v>
      </c>
      <c r="K1077" s="28" t="str">
        <f>IF($C1077=""," ",[1]!i_pq_pctchange($C1077,K$6,$N$1))</f>
        <v xml:space="preserve"> </v>
      </c>
      <c r="L1077" s="28" t="str">
        <f>IF(C1077=""," ",[1]!s_wq_pctchange($C1077,$N$1))</f>
        <v xml:space="preserve"> </v>
      </c>
      <c r="M1077" s="28" t="str">
        <f>IF(C1077=""," ",[1]!s_mq_pctchange($C1077,$N$1))</f>
        <v xml:space="preserve"> </v>
      </c>
      <c r="N1077" s="28" t="str">
        <f>IF(C1077=""," ",[1]!s_yq_pctchange($C1077,$N$1))</f>
        <v xml:space="preserve"> </v>
      </c>
      <c r="O1077" s="11"/>
      <c r="P1077" s="7"/>
    </row>
    <row r="1078" spans="1:16" x14ac:dyDescent="0.35">
      <c r="A1078" s="7"/>
      <c r="C1078" s="31" t="str">
        <f>IF(指数列表!B1075="","",指数列表!B1075)</f>
        <v/>
      </c>
      <c r="D1078" s="36" t="str">
        <f>IF(C1078="","",[1]!s_info_name(C1078))</f>
        <v/>
      </c>
      <c r="E1078" s="25" t="str">
        <f>IF(C1078="","",[1]!s_dq_close(C1078,$N$1))</f>
        <v/>
      </c>
      <c r="F1078" s="28" t="str">
        <f>IF($C1078=""," ",[1]!i_pq_pctchange($C1078,F$6,$N$1))</f>
        <v xml:space="preserve"> </v>
      </c>
      <c r="G1078" s="28" t="str">
        <f>IF($C1078=""," ",[1]!i_pq_pctchange($C1078,G$6,$N$1))</f>
        <v xml:space="preserve"> </v>
      </c>
      <c r="H1078" s="28" t="str">
        <f>IF($C1078=""," ",[1]!i_pq_pctchange($C1078,H$6,$N$1))</f>
        <v xml:space="preserve"> </v>
      </c>
      <c r="I1078" s="28" t="str">
        <f>IF($C1078=""," ",[1]!i_pq_pctchange($C1078,I$6,$N$1))</f>
        <v xml:space="preserve"> </v>
      </c>
      <c r="J1078" s="28" t="str">
        <f>IF($C1078=""," ",[1]!i_pq_pctchange($C1078,J$6,$N$1))</f>
        <v xml:space="preserve"> </v>
      </c>
      <c r="K1078" s="28" t="str">
        <f>IF($C1078=""," ",[1]!i_pq_pctchange($C1078,K$6,$N$1))</f>
        <v xml:space="preserve"> </v>
      </c>
      <c r="L1078" s="28" t="str">
        <f>IF(C1078=""," ",[1]!s_wq_pctchange($C1078,$N$1))</f>
        <v xml:space="preserve"> </v>
      </c>
      <c r="M1078" s="28" t="str">
        <f>IF(C1078=""," ",[1]!s_mq_pctchange($C1078,$N$1))</f>
        <v xml:space="preserve"> </v>
      </c>
      <c r="N1078" s="28" t="str">
        <f>IF(C1078=""," ",[1]!s_yq_pctchange($C1078,$N$1))</f>
        <v xml:space="preserve"> </v>
      </c>
      <c r="O1078" s="11"/>
      <c r="P1078" s="7"/>
    </row>
    <row r="1079" spans="1:16" x14ac:dyDescent="0.35">
      <c r="A1079" s="7"/>
      <c r="C1079" s="30" t="str">
        <f>IF(指数列表!B1076="","",指数列表!B1076)</f>
        <v/>
      </c>
      <c r="D1079" s="35" t="str">
        <f>IF(C1079="","",[1]!s_info_name(C1079))</f>
        <v/>
      </c>
      <c r="E1079" s="24" t="str">
        <f>IF(C1079="","",[1]!s_dq_close(C1079,$N$1))</f>
        <v/>
      </c>
      <c r="F1079" s="28" t="str">
        <f>IF($C1079=""," ",[1]!i_pq_pctchange($C1079,F$6,$N$1))</f>
        <v xml:space="preserve"> </v>
      </c>
      <c r="G1079" s="28" t="str">
        <f>IF($C1079=""," ",[1]!i_pq_pctchange($C1079,G$6,$N$1))</f>
        <v xml:space="preserve"> </v>
      </c>
      <c r="H1079" s="28" t="str">
        <f>IF($C1079=""," ",[1]!i_pq_pctchange($C1079,H$6,$N$1))</f>
        <v xml:space="preserve"> </v>
      </c>
      <c r="I1079" s="28" t="str">
        <f>IF($C1079=""," ",[1]!i_pq_pctchange($C1079,I$6,$N$1))</f>
        <v xml:space="preserve"> </v>
      </c>
      <c r="J1079" s="28" t="str">
        <f>IF($C1079=""," ",[1]!i_pq_pctchange($C1079,J$6,$N$1))</f>
        <v xml:space="preserve"> </v>
      </c>
      <c r="K1079" s="28" t="str">
        <f>IF($C1079=""," ",[1]!i_pq_pctchange($C1079,K$6,$N$1))</f>
        <v xml:space="preserve"> </v>
      </c>
      <c r="L1079" s="28" t="str">
        <f>IF(C1079=""," ",[1]!s_wq_pctchange($C1079,$N$1))</f>
        <v xml:space="preserve"> </v>
      </c>
      <c r="M1079" s="28" t="str">
        <f>IF(C1079=""," ",[1]!s_mq_pctchange($C1079,$N$1))</f>
        <v xml:space="preserve"> </v>
      </c>
      <c r="N1079" s="28" t="str">
        <f>IF(C1079=""," ",[1]!s_yq_pctchange($C1079,$N$1))</f>
        <v xml:space="preserve"> </v>
      </c>
      <c r="O1079" s="11"/>
      <c r="P1079" s="7"/>
    </row>
    <row r="1080" spans="1:16" x14ac:dyDescent="0.35">
      <c r="A1080" s="7"/>
      <c r="C1080" s="31" t="str">
        <f>IF(指数列表!B1077="","",指数列表!B1077)</f>
        <v/>
      </c>
      <c r="D1080" s="36" t="str">
        <f>IF(C1080="","",[1]!s_info_name(C1080))</f>
        <v/>
      </c>
      <c r="E1080" s="25" t="str">
        <f>IF(C1080="","",[1]!s_dq_close(C1080,$N$1))</f>
        <v/>
      </c>
      <c r="F1080" s="28" t="str">
        <f>IF($C1080=""," ",[1]!i_pq_pctchange($C1080,F$6,$N$1))</f>
        <v xml:space="preserve"> </v>
      </c>
      <c r="G1080" s="28" t="str">
        <f>IF($C1080=""," ",[1]!i_pq_pctchange($C1080,G$6,$N$1))</f>
        <v xml:space="preserve"> </v>
      </c>
      <c r="H1080" s="28" t="str">
        <f>IF($C1080=""," ",[1]!i_pq_pctchange($C1080,H$6,$N$1))</f>
        <v xml:space="preserve"> </v>
      </c>
      <c r="I1080" s="28" t="str">
        <f>IF($C1080=""," ",[1]!i_pq_pctchange($C1080,I$6,$N$1))</f>
        <v xml:space="preserve"> </v>
      </c>
      <c r="J1080" s="28" t="str">
        <f>IF($C1080=""," ",[1]!i_pq_pctchange($C1080,J$6,$N$1))</f>
        <v xml:space="preserve"> </v>
      </c>
      <c r="K1080" s="28" t="str">
        <f>IF($C1080=""," ",[1]!i_pq_pctchange($C1080,K$6,$N$1))</f>
        <v xml:space="preserve"> </v>
      </c>
      <c r="L1080" s="28" t="str">
        <f>IF(C1080=""," ",[1]!s_wq_pctchange($C1080,$N$1))</f>
        <v xml:space="preserve"> </v>
      </c>
      <c r="M1080" s="28" t="str">
        <f>IF(C1080=""," ",[1]!s_mq_pctchange($C1080,$N$1))</f>
        <v xml:space="preserve"> </v>
      </c>
      <c r="N1080" s="28" t="str">
        <f>IF(C1080=""," ",[1]!s_yq_pctchange($C1080,$N$1))</f>
        <v xml:space="preserve"> </v>
      </c>
      <c r="O1080" s="11"/>
      <c r="P1080" s="7"/>
    </row>
    <row r="1081" spans="1:16" x14ac:dyDescent="0.35">
      <c r="A1081" s="7"/>
      <c r="C1081" s="30" t="str">
        <f>IF(指数列表!B1078="","",指数列表!B1078)</f>
        <v/>
      </c>
      <c r="D1081" s="35" t="str">
        <f>IF(C1081="","",[1]!s_info_name(C1081))</f>
        <v/>
      </c>
      <c r="E1081" s="24" t="str">
        <f>IF(C1081="","",[1]!s_dq_close(C1081,$N$1))</f>
        <v/>
      </c>
      <c r="F1081" s="28" t="str">
        <f>IF($C1081=""," ",[1]!i_pq_pctchange($C1081,F$6,$N$1))</f>
        <v xml:space="preserve"> </v>
      </c>
      <c r="G1081" s="28" t="str">
        <f>IF($C1081=""," ",[1]!i_pq_pctchange($C1081,G$6,$N$1))</f>
        <v xml:space="preserve"> </v>
      </c>
      <c r="H1081" s="28" t="str">
        <f>IF($C1081=""," ",[1]!i_pq_pctchange($C1081,H$6,$N$1))</f>
        <v xml:space="preserve"> </v>
      </c>
      <c r="I1081" s="28" t="str">
        <f>IF($C1081=""," ",[1]!i_pq_pctchange($C1081,I$6,$N$1))</f>
        <v xml:space="preserve"> </v>
      </c>
      <c r="J1081" s="28" t="str">
        <f>IF($C1081=""," ",[1]!i_pq_pctchange($C1081,J$6,$N$1))</f>
        <v xml:space="preserve"> </v>
      </c>
      <c r="K1081" s="28" t="str">
        <f>IF($C1081=""," ",[1]!i_pq_pctchange($C1081,K$6,$N$1))</f>
        <v xml:space="preserve"> </v>
      </c>
      <c r="L1081" s="28" t="str">
        <f>IF(C1081=""," ",[1]!s_wq_pctchange($C1081,$N$1))</f>
        <v xml:space="preserve"> </v>
      </c>
      <c r="M1081" s="28" t="str">
        <f>IF(C1081=""," ",[1]!s_mq_pctchange($C1081,$N$1))</f>
        <v xml:space="preserve"> </v>
      </c>
      <c r="N1081" s="28" t="str">
        <f>IF(C1081=""," ",[1]!s_yq_pctchange($C1081,$N$1))</f>
        <v xml:space="preserve"> </v>
      </c>
      <c r="O1081" s="11"/>
      <c r="P1081" s="7"/>
    </row>
    <row r="1082" spans="1:16" x14ac:dyDescent="0.35">
      <c r="A1082" s="7"/>
      <c r="C1082" s="31" t="str">
        <f>IF(指数列表!B1079="","",指数列表!B1079)</f>
        <v/>
      </c>
      <c r="D1082" s="36" t="str">
        <f>IF(C1082="","",[1]!s_info_name(C1082))</f>
        <v/>
      </c>
      <c r="E1082" s="25" t="str">
        <f>IF(C1082="","",[1]!s_dq_close(C1082,$N$1))</f>
        <v/>
      </c>
      <c r="F1082" s="28" t="str">
        <f>IF($C1082=""," ",[1]!i_pq_pctchange($C1082,F$6,$N$1))</f>
        <v xml:space="preserve"> </v>
      </c>
      <c r="G1082" s="28" t="str">
        <f>IF($C1082=""," ",[1]!i_pq_pctchange($C1082,G$6,$N$1))</f>
        <v xml:space="preserve"> </v>
      </c>
      <c r="H1082" s="28" t="str">
        <f>IF($C1082=""," ",[1]!i_pq_pctchange($C1082,H$6,$N$1))</f>
        <v xml:space="preserve"> </v>
      </c>
      <c r="I1082" s="28" t="str">
        <f>IF($C1082=""," ",[1]!i_pq_pctchange($C1082,I$6,$N$1))</f>
        <v xml:space="preserve"> </v>
      </c>
      <c r="J1082" s="28" t="str">
        <f>IF($C1082=""," ",[1]!i_pq_pctchange($C1082,J$6,$N$1))</f>
        <v xml:space="preserve"> </v>
      </c>
      <c r="K1082" s="28" t="str">
        <f>IF($C1082=""," ",[1]!i_pq_pctchange($C1082,K$6,$N$1))</f>
        <v xml:space="preserve"> </v>
      </c>
      <c r="L1082" s="28" t="str">
        <f>IF(C1082=""," ",[1]!s_wq_pctchange($C1082,$N$1))</f>
        <v xml:space="preserve"> </v>
      </c>
      <c r="M1082" s="28" t="str">
        <f>IF(C1082=""," ",[1]!s_mq_pctchange($C1082,$N$1))</f>
        <v xml:space="preserve"> </v>
      </c>
      <c r="N1082" s="28" t="str">
        <f>IF(C1082=""," ",[1]!s_yq_pctchange($C1082,$N$1))</f>
        <v xml:space="preserve"> </v>
      </c>
      <c r="O1082" s="11"/>
      <c r="P1082" s="7"/>
    </row>
    <row r="1083" spans="1:16" x14ac:dyDescent="0.35">
      <c r="A1083" s="7"/>
      <c r="C1083" s="30" t="str">
        <f>IF(指数列表!B1080="","",指数列表!B1080)</f>
        <v/>
      </c>
      <c r="D1083" s="35" t="str">
        <f>IF(C1083="","",[1]!s_info_name(C1083))</f>
        <v/>
      </c>
      <c r="E1083" s="24" t="str">
        <f>IF(C1083="","",[1]!s_dq_close(C1083,$N$1))</f>
        <v/>
      </c>
      <c r="F1083" s="28" t="str">
        <f>IF($C1083=""," ",[1]!i_pq_pctchange($C1083,F$6,$N$1))</f>
        <v xml:space="preserve"> </v>
      </c>
      <c r="G1083" s="28" t="str">
        <f>IF($C1083=""," ",[1]!i_pq_pctchange($C1083,G$6,$N$1))</f>
        <v xml:space="preserve"> </v>
      </c>
      <c r="H1083" s="28" t="str">
        <f>IF($C1083=""," ",[1]!i_pq_pctchange($C1083,H$6,$N$1))</f>
        <v xml:space="preserve"> </v>
      </c>
      <c r="I1083" s="28" t="str">
        <f>IF($C1083=""," ",[1]!i_pq_pctchange($C1083,I$6,$N$1))</f>
        <v xml:space="preserve"> </v>
      </c>
      <c r="J1083" s="28" t="str">
        <f>IF($C1083=""," ",[1]!i_pq_pctchange($C1083,J$6,$N$1))</f>
        <v xml:space="preserve"> </v>
      </c>
      <c r="K1083" s="28" t="str">
        <f>IF($C1083=""," ",[1]!i_pq_pctchange($C1083,K$6,$N$1))</f>
        <v xml:space="preserve"> </v>
      </c>
      <c r="L1083" s="28" t="str">
        <f>IF(C1083=""," ",[1]!s_wq_pctchange($C1083,$N$1))</f>
        <v xml:space="preserve"> </v>
      </c>
      <c r="M1083" s="28" t="str">
        <f>IF(C1083=""," ",[1]!s_mq_pctchange($C1083,$N$1))</f>
        <v xml:space="preserve"> </v>
      </c>
      <c r="N1083" s="28" t="str">
        <f>IF(C1083=""," ",[1]!s_yq_pctchange($C1083,$N$1))</f>
        <v xml:space="preserve"> </v>
      </c>
      <c r="O1083" s="11"/>
      <c r="P1083" s="7"/>
    </row>
    <row r="1084" spans="1:16" x14ac:dyDescent="0.35">
      <c r="A1084" s="7"/>
      <c r="C1084" s="31" t="str">
        <f>IF(指数列表!B1081="","",指数列表!B1081)</f>
        <v/>
      </c>
      <c r="D1084" s="36" t="str">
        <f>IF(C1084="","",[1]!s_info_name(C1084))</f>
        <v/>
      </c>
      <c r="E1084" s="25" t="str">
        <f>IF(C1084="","",[1]!s_dq_close(C1084,$N$1))</f>
        <v/>
      </c>
      <c r="F1084" s="28" t="str">
        <f>IF($C1084=""," ",[1]!i_pq_pctchange($C1084,F$6,$N$1))</f>
        <v xml:space="preserve"> </v>
      </c>
      <c r="G1084" s="28" t="str">
        <f>IF($C1084=""," ",[1]!i_pq_pctchange($C1084,G$6,$N$1))</f>
        <v xml:space="preserve"> </v>
      </c>
      <c r="H1084" s="28" t="str">
        <f>IF($C1084=""," ",[1]!i_pq_pctchange($C1084,H$6,$N$1))</f>
        <v xml:space="preserve"> </v>
      </c>
      <c r="I1084" s="28" t="str">
        <f>IF($C1084=""," ",[1]!i_pq_pctchange($C1084,I$6,$N$1))</f>
        <v xml:space="preserve"> </v>
      </c>
      <c r="J1084" s="28" t="str">
        <f>IF($C1084=""," ",[1]!i_pq_pctchange($C1084,J$6,$N$1))</f>
        <v xml:space="preserve"> </v>
      </c>
      <c r="K1084" s="28" t="str">
        <f>IF($C1084=""," ",[1]!i_pq_pctchange($C1084,K$6,$N$1))</f>
        <v xml:space="preserve"> </v>
      </c>
      <c r="L1084" s="28" t="str">
        <f>IF(C1084=""," ",[1]!s_wq_pctchange($C1084,$N$1))</f>
        <v xml:space="preserve"> </v>
      </c>
      <c r="M1084" s="28" t="str">
        <f>IF(C1084=""," ",[1]!s_mq_pctchange($C1084,$N$1))</f>
        <v xml:space="preserve"> </v>
      </c>
      <c r="N1084" s="28" t="str">
        <f>IF(C1084=""," ",[1]!s_yq_pctchange($C1084,$N$1))</f>
        <v xml:space="preserve"> </v>
      </c>
      <c r="O1084" s="11"/>
      <c r="P1084" s="7"/>
    </row>
    <row r="1085" spans="1:16" x14ac:dyDescent="0.35">
      <c r="A1085" s="7"/>
      <c r="C1085" s="30" t="str">
        <f>IF(指数列表!B1082="","",指数列表!B1082)</f>
        <v/>
      </c>
      <c r="D1085" s="35" t="str">
        <f>IF(C1085="","",[1]!s_info_name(C1085))</f>
        <v/>
      </c>
      <c r="E1085" s="24" t="str">
        <f>IF(C1085="","",[1]!s_dq_close(C1085,$N$1))</f>
        <v/>
      </c>
      <c r="F1085" s="28" t="str">
        <f>IF($C1085=""," ",[1]!i_pq_pctchange($C1085,F$6,$N$1))</f>
        <v xml:space="preserve"> </v>
      </c>
      <c r="G1085" s="28" t="str">
        <f>IF($C1085=""," ",[1]!i_pq_pctchange($C1085,G$6,$N$1))</f>
        <v xml:space="preserve"> </v>
      </c>
      <c r="H1085" s="28" t="str">
        <f>IF($C1085=""," ",[1]!i_pq_pctchange($C1085,H$6,$N$1))</f>
        <v xml:space="preserve"> </v>
      </c>
      <c r="I1085" s="28" t="str">
        <f>IF($C1085=""," ",[1]!i_pq_pctchange($C1085,I$6,$N$1))</f>
        <v xml:space="preserve"> </v>
      </c>
      <c r="J1085" s="28" t="str">
        <f>IF($C1085=""," ",[1]!i_pq_pctchange($C1085,J$6,$N$1))</f>
        <v xml:space="preserve"> </v>
      </c>
      <c r="K1085" s="28" t="str">
        <f>IF($C1085=""," ",[1]!i_pq_pctchange($C1085,K$6,$N$1))</f>
        <v xml:space="preserve"> </v>
      </c>
      <c r="L1085" s="28" t="str">
        <f>IF(C1085=""," ",[1]!s_wq_pctchange($C1085,$N$1))</f>
        <v xml:space="preserve"> </v>
      </c>
      <c r="M1085" s="28" t="str">
        <f>IF(C1085=""," ",[1]!s_mq_pctchange($C1085,$N$1))</f>
        <v xml:space="preserve"> </v>
      </c>
      <c r="N1085" s="28" t="str">
        <f>IF(C1085=""," ",[1]!s_yq_pctchange($C1085,$N$1))</f>
        <v xml:space="preserve"> </v>
      </c>
      <c r="O1085" s="11"/>
      <c r="P1085" s="7"/>
    </row>
    <row r="1086" spans="1:16" x14ac:dyDescent="0.35">
      <c r="A1086" s="7"/>
      <c r="C1086" s="31" t="str">
        <f>IF(指数列表!B1083="","",指数列表!B1083)</f>
        <v/>
      </c>
      <c r="D1086" s="36" t="str">
        <f>IF(C1086="","",[1]!s_info_name(C1086))</f>
        <v/>
      </c>
      <c r="E1086" s="25" t="str">
        <f>IF(C1086="","",[1]!s_dq_close(C1086,$N$1))</f>
        <v/>
      </c>
      <c r="F1086" s="28" t="str">
        <f>IF($C1086=""," ",[1]!i_pq_pctchange($C1086,F$6,$N$1))</f>
        <v xml:space="preserve"> </v>
      </c>
      <c r="G1086" s="28" t="str">
        <f>IF($C1086=""," ",[1]!i_pq_pctchange($C1086,G$6,$N$1))</f>
        <v xml:space="preserve"> </v>
      </c>
      <c r="H1086" s="28" t="str">
        <f>IF($C1086=""," ",[1]!i_pq_pctchange($C1086,H$6,$N$1))</f>
        <v xml:space="preserve"> </v>
      </c>
      <c r="I1086" s="28" t="str">
        <f>IF($C1086=""," ",[1]!i_pq_pctchange($C1086,I$6,$N$1))</f>
        <v xml:space="preserve"> </v>
      </c>
      <c r="J1086" s="28" t="str">
        <f>IF($C1086=""," ",[1]!i_pq_pctchange($C1086,J$6,$N$1))</f>
        <v xml:space="preserve"> </v>
      </c>
      <c r="K1086" s="28" t="str">
        <f>IF($C1086=""," ",[1]!i_pq_pctchange($C1086,K$6,$N$1))</f>
        <v xml:space="preserve"> </v>
      </c>
      <c r="L1086" s="28" t="str">
        <f>IF(C1086=""," ",[1]!s_wq_pctchange($C1086,$N$1))</f>
        <v xml:space="preserve"> </v>
      </c>
      <c r="M1086" s="28" t="str">
        <f>IF(C1086=""," ",[1]!s_mq_pctchange($C1086,$N$1))</f>
        <v xml:space="preserve"> </v>
      </c>
      <c r="N1086" s="28" t="str">
        <f>IF(C1086=""," ",[1]!s_yq_pctchange($C1086,$N$1))</f>
        <v xml:space="preserve"> </v>
      </c>
      <c r="O1086" s="11"/>
      <c r="P1086" s="7"/>
    </row>
    <row r="1087" spans="1:16" x14ac:dyDescent="0.35">
      <c r="A1087" s="7"/>
      <c r="C1087" s="30" t="str">
        <f>IF(指数列表!B1084="","",指数列表!B1084)</f>
        <v/>
      </c>
      <c r="D1087" s="35" t="str">
        <f>IF(C1087="","",[1]!s_info_name(C1087))</f>
        <v/>
      </c>
      <c r="E1087" s="24" t="str">
        <f>IF(C1087="","",[1]!s_dq_close(C1087,$N$1))</f>
        <v/>
      </c>
      <c r="F1087" s="28" t="str">
        <f>IF($C1087=""," ",[1]!i_pq_pctchange($C1087,F$6,$N$1))</f>
        <v xml:space="preserve"> </v>
      </c>
      <c r="G1087" s="28" t="str">
        <f>IF($C1087=""," ",[1]!i_pq_pctchange($C1087,G$6,$N$1))</f>
        <v xml:space="preserve"> </v>
      </c>
      <c r="H1087" s="28" t="str">
        <f>IF($C1087=""," ",[1]!i_pq_pctchange($C1087,H$6,$N$1))</f>
        <v xml:space="preserve"> </v>
      </c>
      <c r="I1087" s="28" t="str">
        <f>IF($C1087=""," ",[1]!i_pq_pctchange($C1087,I$6,$N$1))</f>
        <v xml:space="preserve"> </v>
      </c>
      <c r="J1087" s="28" t="str">
        <f>IF($C1087=""," ",[1]!i_pq_pctchange($C1087,J$6,$N$1))</f>
        <v xml:space="preserve"> </v>
      </c>
      <c r="K1087" s="28" t="str">
        <f>IF($C1087=""," ",[1]!i_pq_pctchange($C1087,K$6,$N$1))</f>
        <v xml:space="preserve"> </v>
      </c>
      <c r="L1087" s="28" t="str">
        <f>IF(C1087=""," ",[1]!s_wq_pctchange($C1087,$N$1))</f>
        <v xml:space="preserve"> </v>
      </c>
      <c r="M1087" s="28" t="str">
        <f>IF(C1087=""," ",[1]!s_mq_pctchange($C1087,$N$1))</f>
        <v xml:space="preserve"> </v>
      </c>
      <c r="N1087" s="28" t="str">
        <f>IF(C1087=""," ",[1]!s_yq_pctchange($C1087,$N$1))</f>
        <v xml:space="preserve"> </v>
      </c>
      <c r="O1087" s="11"/>
      <c r="P1087" s="7"/>
    </row>
    <row r="1088" spans="1:16" x14ac:dyDescent="0.35">
      <c r="A1088" s="7"/>
      <c r="C1088" s="31" t="str">
        <f>IF(指数列表!B1085="","",指数列表!B1085)</f>
        <v/>
      </c>
      <c r="D1088" s="36" t="str">
        <f>IF(C1088="","",[1]!s_info_name(C1088))</f>
        <v/>
      </c>
      <c r="E1088" s="25" t="str">
        <f>IF(C1088="","",[1]!s_dq_close(C1088,$N$1))</f>
        <v/>
      </c>
      <c r="F1088" s="28" t="str">
        <f>IF($C1088=""," ",[1]!i_pq_pctchange($C1088,F$6,$N$1))</f>
        <v xml:space="preserve"> </v>
      </c>
      <c r="G1088" s="28" t="str">
        <f>IF($C1088=""," ",[1]!i_pq_pctchange($C1088,G$6,$N$1))</f>
        <v xml:space="preserve"> </v>
      </c>
      <c r="H1088" s="28" t="str">
        <f>IF($C1088=""," ",[1]!i_pq_pctchange($C1088,H$6,$N$1))</f>
        <v xml:space="preserve"> </v>
      </c>
      <c r="I1088" s="28" t="str">
        <f>IF($C1088=""," ",[1]!i_pq_pctchange($C1088,I$6,$N$1))</f>
        <v xml:space="preserve"> </v>
      </c>
      <c r="J1088" s="28" t="str">
        <f>IF($C1088=""," ",[1]!i_pq_pctchange($C1088,J$6,$N$1))</f>
        <v xml:space="preserve"> </v>
      </c>
      <c r="K1088" s="28" t="str">
        <f>IF($C1088=""," ",[1]!i_pq_pctchange($C1088,K$6,$N$1))</f>
        <v xml:space="preserve"> </v>
      </c>
      <c r="L1088" s="28" t="str">
        <f>IF(C1088=""," ",[1]!s_wq_pctchange($C1088,$N$1))</f>
        <v xml:space="preserve"> </v>
      </c>
      <c r="M1088" s="28" t="str">
        <f>IF(C1088=""," ",[1]!s_mq_pctchange($C1088,$N$1))</f>
        <v xml:space="preserve"> </v>
      </c>
      <c r="N1088" s="28" t="str">
        <f>IF(C1088=""," ",[1]!s_yq_pctchange($C1088,$N$1))</f>
        <v xml:space="preserve"> </v>
      </c>
      <c r="O1088" s="11"/>
      <c r="P1088" s="7"/>
    </row>
    <row r="1089" spans="1:16" x14ac:dyDescent="0.35">
      <c r="A1089" s="7"/>
      <c r="C1089" s="30" t="str">
        <f>IF(指数列表!B1086="","",指数列表!B1086)</f>
        <v/>
      </c>
      <c r="D1089" s="35" t="str">
        <f>IF(C1089="","",[1]!s_info_name(C1089))</f>
        <v/>
      </c>
      <c r="E1089" s="24" t="str">
        <f>IF(C1089="","",[1]!s_dq_close(C1089,$N$1))</f>
        <v/>
      </c>
      <c r="F1089" s="28" t="str">
        <f>IF($C1089=""," ",[1]!i_pq_pctchange($C1089,F$6,$N$1))</f>
        <v xml:space="preserve"> </v>
      </c>
      <c r="G1089" s="28" t="str">
        <f>IF($C1089=""," ",[1]!i_pq_pctchange($C1089,G$6,$N$1))</f>
        <v xml:space="preserve"> </v>
      </c>
      <c r="H1089" s="28" t="str">
        <f>IF($C1089=""," ",[1]!i_pq_pctchange($C1089,H$6,$N$1))</f>
        <v xml:space="preserve"> </v>
      </c>
      <c r="I1089" s="28" t="str">
        <f>IF($C1089=""," ",[1]!i_pq_pctchange($C1089,I$6,$N$1))</f>
        <v xml:space="preserve"> </v>
      </c>
      <c r="J1089" s="28" t="str">
        <f>IF($C1089=""," ",[1]!i_pq_pctchange($C1089,J$6,$N$1))</f>
        <v xml:space="preserve"> </v>
      </c>
      <c r="K1089" s="28" t="str">
        <f>IF($C1089=""," ",[1]!i_pq_pctchange($C1089,K$6,$N$1))</f>
        <v xml:space="preserve"> </v>
      </c>
      <c r="L1089" s="28" t="str">
        <f>IF(C1089=""," ",[1]!s_wq_pctchange($C1089,$N$1))</f>
        <v xml:space="preserve"> </v>
      </c>
      <c r="M1089" s="28" t="str">
        <f>IF(C1089=""," ",[1]!s_mq_pctchange($C1089,$N$1))</f>
        <v xml:space="preserve"> </v>
      </c>
      <c r="N1089" s="28" t="str">
        <f>IF(C1089=""," ",[1]!s_yq_pctchange($C1089,$N$1))</f>
        <v xml:space="preserve"> </v>
      </c>
      <c r="O1089" s="11"/>
      <c r="P1089" s="7"/>
    </row>
    <row r="1090" spans="1:16" x14ac:dyDescent="0.35">
      <c r="A1090" s="7"/>
      <c r="C1090" s="31" t="str">
        <f>IF(指数列表!B1087="","",指数列表!B1087)</f>
        <v/>
      </c>
      <c r="D1090" s="36" t="str">
        <f>IF(C1090="","",[1]!s_info_name(C1090))</f>
        <v/>
      </c>
      <c r="E1090" s="25" t="str">
        <f>IF(C1090="","",[1]!s_dq_close(C1090,$N$1))</f>
        <v/>
      </c>
      <c r="F1090" s="28" t="str">
        <f>IF($C1090=""," ",[1]!i_pq_pctchange($C1090,F$6,$N$1))</f>
        <v xml:space="preserve"> </v>
      </c>
      <c r="G1090" s="28" t="str">
        <f>IF($C1090=""," ",[1]!i_pq_pctchange($C1090,G$6,$N$1))</f>
        <v xml:space="preserve"> </v>
      </c>
      <c r="H1090" s="28" t="str">
        <f>IF($C1090=""," ",[1]!i_pq_pctchange($C1090,H$6,$N$1))</f>
        <v xml:space="preserve"> </v>
      </c>
      <c r="I1090" s="28" t="str">
        <f>IF($C1090=""," ",[1]!i_pq_pctchange($C1090,I$6,$N$1))</f>
        <v xml:space="preserve"> </v>
      </c>
      <c r="J1090" s="28" t="str">
        <f>IF($C1090=""," ",[1]!i_pq_pctchange($C1090,J$6,$N$1))</f>
        <v xml:space="preserve"> </v>
      </c>
      <c r="K1090" s="28" t="str">
        <f>IF($C1090=""," ",[1]!i_pq_pctchange($C1090,K$6,$N$1))</f>
        <v xml:space="preserve"> </v>
      </c>
      <c r="L1090" s="28" t="str">
        <f>IF(C1090=""," ",[1]!s_wq_pctchange($C1090,$N$1))</f>
        <v xml:space="preserve"> </v>
      </c>
      <c r="M1090" s="28" t="str">
        <f>IF(C1090=""," ",[1]!s_mq_pctchange($C1090,$N$1))</f>
        <v xml:space="preserve"> </v>
      </c>
      <c r="N1090" s="28" t="str">
        <f>IF(C1090=""," ",[1]!s_yq_pctchange($C1090,$N$1))</f>
        <v xml:space="preserve"> </v>
      </c>
      <c r="O1090" s="11"/>
      <c r="P1090" s="7"/>
    </row>
    <row r="1091" spans="1:16" x14ac:dyDescent="0.35">
      <c r="A1091" s="7"/>
      <c r="C1091" s="30" t="str">
        <f>IF(指数列表!B1088="","",指数列表!B1088)</f>
        <v/>
      </c>
      <c r="D1091" s="35" t="str">
        <f>IF(C1091="","",[1]!s_info_name(C1091))</f>
        <v/>
      </c>
      <c r="E1091" s="24" t="str">
        <f>IF(C1091="","",[1]!s_dq_close(C1091,$N$1))</f>
        <v/>
      </c>
      <c r="F1091" s="28" t="str">
        <f>IF($C1091=""," ",[1]!i_pq_pctchange($C1091,F$6,$N$1))</f>
        <v xml:space="preserve"> </v>
      </c>
      <c r="G1091" s="28" t="str">
        <f>IF($C1091=""," ",[1]!i_pq_pctchange($C1091,G$6,$N$1))</f>
        <v xml:space="preserve"> </v>
      </c>
      <c r="H1091" s="28" t="str">
        <f>IF($C1091=""," ",[1]!i_pq_pctchange($C1091,H$6,$N$1))</f>
        <v xml:space="preserve"> </v>
      </c>
      <c r="I1091" s="28" t="str">
        <f>IF($C1091=""," ",[1]!i_pq_pctchange($C1091,I$6,$N$1))</f>
        <v xml:space="preserve"> </v>
      </c>
      <c r="J1091" s="28" t="str">
        <f>IF($C1091=""," ",[1]!i_pq_pctchange($C1091,J$6,$N$1))</f>
        <v xml:space="preserve"> </v>
      </c>
      <c r="K1091" s="28" t="str">
        <f>IF($C1091=""," ",[1]!i_pq_pctchange($C1091,K$6,$N$1))</f>
        <v xml:space="preserve"> </v>
      </c>
      <c r="L1091" s="28" t="str">
        <f>IF(C1091=""," ",[1]!s_wq_pctchange($C1091,$N$1))</f>
        <v xml:space="preserve"> </v>
      </c>
      <c r="M1091" s="28" t="str">
        <f>IF(C1091=""," ",[1]!s_mq_pctchange($C1091,$N$1))</f>
        <v xml:space="preserve"> </v>
      </c>
      <c r="N1091" s="28" t="str">
        <f>IF(C1091=""," ",[1]!s_yq_pctchange($C1091,$N$1))</f>
        <v xml:space="preserve"> </v>
      </c>
      <c r="O1091" s="11"/>
      <c r="P1091" s="7"/>
    </row>
    <row r="1092" spans="1:16" x14ac:dyDescent="0.35">
      <c r="A1092" s="7"/>
      <c r="C1092" s="31" t="str">
        <f>IF(指数列表!B1089="","",指数列表!B1089)</f>
        <v/>
      </c>
      <c r="D1092" s="36" t="str">
        <f>IF(C1092="","",[1]!s_info_name(C1092))</f>
        <v/>
      </c>
      <c r="E1092" s="25" t="str">
        <f>IF(C1092="","",[1]!s_dq_close(C1092,$N$1))</f>
        <v/>
      </c>
      <c r="F1092" s="28" t="str">
        <f>IF($C1092=""," ",[1]!i_pq_pctchange($C1092,F$6,$N$1))</f>
        <v xml:space="preserve"> </v>
      </c>
      <c r="G1092" s="28" t="str">
        <f>IF($C1092=""," ",[1]!i_pq_pctchange($C1092,G$6,$N$1))</f>
        <v xml:space="preserve"> </v>
      </c>
      <c r="H1092" s="28" t="str">
        <f>IF($C1092=""," ",[1]!i_pq_pctchange($C1092,H$6,$N$1))</f>
        <v xml:space="preserve"> </v>
      </c>
      <c r="I1092" s="28" t="str">
        <f>IF($C1092=""," ",[1]!i_pq_pctchange($C1092,I$6,$N$1))</f>
        <v xml:space="preserve"> </v>
      </c>
      <c r="J1092" s="28" t="str">
        <f>IF($C1092=""," ",[1]!i_pq_pctchange($C1092,J$6,$N$1))</f>
        <v xml:space="preserve"> </v>
      </c>
      <c r="K1092" s="28" t="str">
        <f>IF($C1092=""," ",[1]!i_pq_pctchange($C1092,K$6,$N$1))</f>
        <v xml:space="preserve"> </v>
      </c>
      <c r="L1092" s="28" t="str">
        <f>IF(C1092=""," ",[1]!s_wq_pctchange($C1092,$N$1))</f>
        <v xml:space="preserve"> </v>
      </c>
      <c r="M1092" s="28" t="str">
        <f>IF(C1092=""," ",[1]!s_mq_pctchange($C1092,$N$1))</f>
        <v xml:space="preserve"> </v>
      </c>
      <c r="N1092" s="28" t="str">
        <f>IF(C1092=""," ",[1]!s_yq_pctchange($C1092,$N$1))</f>
        <v xml:space="preserve"> </v>
      </c>
      <c r="O1092" s="11"/>
      <c r="P1092" s="7"/>
    </row>
    <row r="1093" spans="1:16" x14ac:dyDescent="0.35">
      <c r="A1093" s="7"/>
      <c r="C1093" s="30" t="str">
        <f>IF(指数列表!B1090="","",指数列表!B1090)</f>
        <v/>
      </c>
      <c r="D1093" s="35" t="str">
        <f>IF(C1093="","",[1]!s_info_name(C1093))</f>
        <v/>
      </c>
      <c r="E1093" s="24" t="str">
        <f>IF(C1093="","",[1]!s_dq_close(C1093,$N$1))</f>
        <v/>
      </c>
      <c r="F1093" s="28" t="str">
        <f>IF($C1093=""," ",[1]!i_pq_pctchange($C1093,F$6,$N$1))</f>
        <v xml:space="preserve"> </v>
      </c>
      <c r="G1093" s="28" t="str">
        <f>IF($C1093=""," ",[1]!i_pq_pctchange($C1093,G$6,$N$1))</f>
        <v xml:space="preserve"> </v>
      </c>
      <c r="H1093" s="28" t="str">
        <f>IF($C1093=""," ",[1]!i_pq_pctchange($C1093,H$6,$N$1))</f>
        <v xml:space="preserve"> </v>
      </c>
      <c r="I1093" s="28" t="str">
        <f>IF($C1093=""," ",[1]!i_pq_pctchange($C1093,I$6,$N$1))</f>
        <v xml:space="preserve"> </v>
      </c>
      <c r="J1093" s="28" t="str">
        <f>IF($C1093=""," ",[1]!i_pq_pctchange($C1093,J$6,$N$1))</f>
        <v xml:space="preserve"> </v>
      </c>
      <c r="K1093" s="28" t="str">
        <f>IF($C1093=""," ",[1]!i_pq_pctchange($C1093,K$6,$N$1))</f>
        <v xml:space="preserve"> </v>
      </c>
      <c r="L1093" s="28" t="str">
        <f>IF(C1093=""," ",[1]!s_wq_pctchange($C1093,$N$1))</f>
        <v xml:space="preserve"> </v>
      </c>
      <c r="M1093" s="28" t="str">
        <f>IF(C1093=""," ",[1]!s_mq_pctchange($C1093,$N$1))</f>
        <v xml:space="preserve"> </v>
      </c>
      <c r="N1093" s="28" t="str">
        <f>IF(C1093=""," ",[1]!s_yq_pctchange($C1093,$N$1))</f>
        <v xml:space="preserve"> </v>
      </c>
      <c r="O1093" s="11"/>
      <c r="P1093" s="7"/>
    </row>
    <row r="1094" spans="1:16" x14ac:dyDescent="0.35">
      <c r="A1094" s="7"/>
      <c r="C1094" s="31" t="str">
        <f>IF(指数列表!B1091="","",指数列表!B1091)</f>
        <v/>
      </c>
      <c r="D1094" s="36" t="str">
        <f>IF(C1094="","",[1]!s_info_name(C1094))</f>
        <v/>
      </c>
      <c r="E1094" s="25" t="str">
        <f>IF(C1094="","",[1]!s_dq_close(C1094,$N$1))</f>
        <v/>
      </c>
      <c r="F1094" s="28" t="str">
        <f>IF($C1094=""," ",[1]!i_pq_pctchange($C1094,F$6,$N$1))</f>
        <v xml:space="preserve"> </v>
      </c>
      <c r="G1094" s="28" t="str">
        <f>IF($C1094=""," ",[1]!i_pq_pctchange($C1094,G$6,$N$1))</f>
        <v xml:space="preserve"> </v>
      </c>
      <c r="H1094" s="28" t="str">
        <f>IF($C1094=""," ",[1]!i_pq_pctchange($C1094,H$6,$N$1))</f>
        <v xml:space="preserve"> </v>
      </c>
      <c r="I1094" s="28" t="str">
        <f>IF($C1094=""," ",[1]!i_pq_pctchange($C1094,I$6,$N$1))</f>
        <v xml:space="preserve"> </v>
      </c>
      <c r="J1094" s="28" t="str">
        <f>IF($C1094=""," ",[1]!i_pq_pctchange($C1094,J$6,$N$1))</f>
        <v xml:space="preserve"> </v>
      </c>
      <c r="K1094" s="28" t="str">
        <f>IF($C1094=""," ",[1]!i_pq_pctchange($C1094,K$6,$N$1))</f>
        <v xml:space="preserve"> </v>
      </c>
      <c r="L1094" s="28" t="str">
        <f>IF(C1094=""," ",[1]!s_wq_pctchange($C1094,$N$1))</f>
        <v xml:space="preserve"> </v>
      </c>
      <c r="M1094" s="28" t="str">
        <f>IF(C1094=""," ",[1]!s_mq_pctchange($C1094,$N$1))</f>
        <v xml:space="preserve"> </v>
      </c>
      <c r="N1094" s="28" t="str">
        <f>IF(C1094=""," ",[1]!s_yq_pctchange($C1094,$N$1))</f>
        <v xml:space="preserve"> </v>
      </c>
      <c r="O1094" s="11"/>
      <c r="P1094" s="7"/>
    </row>
    <row r="1095" spans="1:16" x14ac:dyDescent="0.35">
      <c r="A1095" s="7"/>
      <c r="C1095" s="30" t="str">
        <f>IF(指数列表!B1092="","",指数列表!B1092)</f>
        <v/>
      </c>
      <c r="D1095" s="35" t="str">
        <f>IF(C1095="","",[1]!s_info_name(C1095))</f>
        <v/>
      </c>
      <c r="E1095" s="24" t="str">
        <f>IF(C1095="","",[1]!s_dq_close(C1095,$N$1))</f>
        <v/>
      </c>
      <c r="F1095" s="28" t="str">
        <f>IF($C1095=""," ",[1]!i_pq_pctchange($C1095,F$6,$N$1))</f>
        <v xml:space="preserve"> </v>
      </c>
      <c r="G1095" s="28" t="str">
        <f>IF($C1095=""," ",[1]!i_pq_pctchange($C1095,G$6,$N$1))</f>
        <v xml:space="preserve"> </v>
      </c>
      <c r="H1095" s="28" t="str">
        <f>IF($C1095=""," ",[1]!i_pq_pctchange($C1095,H$6,$N$1))</f>
        <v xml:space="preserve"> </v>
      </c>
      <c r="I1095" s="28" t="str">
        <f>IF($C1095=""," ",[1]!i_pq_pctchange($C1095,I$6,$N$1))</f>
        <v xml:space="preserve"> </v>
      </c>
      <c r="J1095" s="28" t="str">
        <f>IF($C1095=""," ",[1]!i_pq_pctchange($C1095,J$6,$N$1))</f>
        <v xml:space="preserve"> </v>
      </c>
      <c r="K1095" s="28" t="str">
        <f>IF($C1095=""," ",[1]!i_pq_pctchange($C1095,K$6,$N$1))</f>
        <v xml:space="preserve"> </v>
      </c>
      <c r="L1095" s="28" t="str">
        <f>IF(C1095=""," ",[1]!s_wq_pctchange($C1095,$N$1))</f>
        <v xml:space="preserve"> </v>
      </c>
      <c r="M1095" s="28" t="str">
        <f>IF(C1095=""," ",[1]!s_mq_pctchange($C1095,$N$1))</f>
        <v xml:space="preserve"> </v>
      </c>
      <c r="N1095" s="28" t="str">
        <f>IF(C1095=""," ",[1]!s_yq_pctchange($C1095,$N$1))</f>
        <v xml:space="preserve"> </v>
      </c>
      <c r="O1095" s="11"/>
      <c r="P1095" s="7"/>
    </row>
    <row r="1096" spans="1:16" x14ac:dyDescent="0.35">
      <c r="A1096" s="7"/>
      <c r="C1096" s="31" t="str">
        <f>IF(指数列表!B1093="","",指数列表!B1093)</f>
        <v/>
      </c>
      <c r="D1096" s="36" t="str">
        <f>IF(C1096="","",[1]!s_info_name(C1096))</f>
        <v/>
      </c>
      <c r="E1096" s="25" t="str">
        <f>IF(C1096="","",[1]!s_dq_close(C1096,$N$1))</f>
        <v/>
      </c>
      <c r="F1096" s="28" t="str">
        <f>IF($C1096=""," ",[1]!i_pq_pctchange($C1096,F$6,$N$1))</f>
        <v xml:space="preserve"> </v>
      </c>
      <c r="G1096" s="28" t="str">
        <f>IF($C1096=""," ",[1]!i_pq_pctchange($C1096,G$6,$N$1))</f>
        <v xml:space="preserve"> </v>
      </c>
      <c r="H1096" s="28" t="str">
        <f>IF($C1096=""," ",[1]!i_pq_pctchange($C1096,H$6,$N$1))</f>
        <v xml:space="preserve"> </v>
      </c>
      <c r="I1096" s="28" t="str">
        <f>IF($C1096=""," ",[1]!i_pq_pctchange($C1096,I$6,$N$1))</f>
        <v xml:space="preserve"> </v>
      </c>
      <c r="J1096" s="28" t="str">
        <f>IF($C1096=""," ",[1]!i_pq_pctchange($C1096,J$6,$N$1))</f>
        <v xml:space="preserve"> </v>
      </c>
      <c r="K1096" s="28" t="str">
        <f>IF($C1096=""," ",[1]!i_pq_pctchange($C1096,K$6,$N$1))</f>
        <v xml:space="preserve"> </v>
      </c>
      <c r="L1096" s="28" t="str">
        <f>IF(C1096=""," ",[1]!s_wq_pctchange($C1096,$N$1))</f>
        <v xml:space="preserve"> </v>
      </c>
      <c r="M1096" s="28" t="str">
        <f>IF(C1096=""," ",[1]!s_mq_pctchange($C1096,$N$1))</f>
        <v xml:space="preserve"> </v>
      </c>
      <c r="N1096" s="28" t="str">
        <f>IF(C1096=""," ",[1]!s_yq_pctchange($C1096,$N$1))</f>
        <v xml:space="preserve"> </v>
      </c>
      <c r="O1096" s="11"/>
      <c r="P1096" s="7"/>
    </row>
    <row r="1097" spans="1:16" x14ac:dyDescent="0.35">
      <c r="A1097" s="7"/>
      <c r="C1097" s="30" t="str">
        <f>IF(指数列表!B1094="","",指数列表!B1094)</f>
        <v/>
      </c>
      <c r="D1097" s="35" t="str">
        <f>IF(C1097="","",[1]!s_info_name(C1097))</f>
        <v/>
      </c>
      <c r="E1097" s="24" t="str">
        <f>IF(C1097="","",[1]!s_dq_close(C1097,$N$1))</f>
        <v/>
      </c>
      <c r="F1097" s="28" t="str">
        <f>IF($C1097=""," ",[1]!i_pq_pctchange($C1097,F$6,$N$1))</f>
        <v xml:space="preserve"> </v>
      </c>
      <c r="G1097" s="28" t="str">
        <f>IF($C1097=""," ",[1]!i_pq_pctchange($C1097,G$6,$N$1))</f>
        <v xml:space="preserve"> </v>
      </c>
      <c r="H1097" s="28" t="str">
        <f>IF($C1097=""," ",[1]!i_pq_pctchange($C1097,H$6,$N$1))</f>
        <v xml:space="preserve"> </v>
      </c>
      <c r="I1097" s="28" t="str">
        <f>IF($C1097=""," ",[1]!i_pq_pctchange($C1097,I$6,$N$1))</f>
        <v xml:space="preserve"> </v>
      </c>
      <c r="J1097" s="28" t="str">
        <f>IF($C1097=""," ",[1]!i_pq_pctchange($C1097,J$6,$N$1))</f>
        <v xml:space="preserve"> </v>
      </c>
      <c r="K1097" s="28" t="str">
        <f>IF($C1097=""," ",[1]!i_pq_pctchange($C1097,K$6,$N$1))</f>
        <v xml:space="preserve"> </v>
      </c>
      <c r="L1097" s="28" t="str">
        <f>IF(C1097=""," ",[1]!s_wq_pctchange($C1097,$N$1))</f>
        <v xml:space="preserve"> </v>
      </c>
      <c r="M1097" s="28" t="str">
        <f>IF(C1097=""," ",[1]!s_mq_pctchange($C1097,$N$1))</f>
        <v xml:space="preserve"> </v>
      </c>
      <c r="N1097" s="28" t="str">
        <f>IF(C1097=""," ",[1]!s_yq_pctchange($C1097,$N$1))</f>
        <v xml:space="preserve"> </v>
      </c>
      <c r="O1097" s="11"/>
      <c r="P1097" s="7"/>
    </row>
    <row r="1098" spans="1:16" x14ac:dyDescent="0.35">
      <c r="A1098" s="7"/>
      <c r="C1098" s="31" t="str">
        <f>IF(指数列表!B1095="","",指数列表!B1095)</f>
        <v/>
      </c>
      <c r="D1098" s="36" t="str">
        <f>IF(C1098="","",[1]!s_info_name(C1098))</f>
        <v/>
      </c>
      <c r="E1098" s="25" t="str">
        <f>IF(C1098="","",[1]!s_dq_close(C1098,$N$1))</f>
        <v/>
      </c>
      <c r="F1098" s="28" t="str">
        <f>IF($C1098=""," ",[1]!i_pq_pctchange($C1098,F$6,$N$1))</f>
        <v xml:space="preserve"> </v>
      </c>
      <c r="G1098" s="28" t="str">
        <f>IF($C1098=""," ",[1]!i_pq_pctchange($C1098,G$6,$N$1))</f>
        <v xml:space="preserve"> </v>
      </c>
      <c r="H1098" s="28" t="str">
        <f>IF($C1098=""," ",[1]!i_pq_pctchange($C1098,H$6,$N$1))</f>
        <v xml:space="preserve"> </v>
      </c>
      <c r="I1098" s="28" t="str">
        <f>IF($C1098=""," ",[1]!i_pq_pctchange($C1098,I$6,$N$1))</f>
        <v xml:space="preserve"> </v>
      </c>
      <c r="J1098" s="28" t="str">
        <f>IF($C1098=""," ",[1]!i_pq_pctchange($C1098,J$6,$N$1))</f>
        <v xml:space="preserve"> </v>
      </c>
      <c r="K1098" s="28" t="str">
        <f>IF($C1098=""," ",[1]!i_pq_pctchange($C1098,K$6,$N$1))</f>
        <v xml:space="preserve"> </v>
      </c>
      <c r="L1098" s="28" t="str">
        <f>IF(C1098=""," ",[1]!s_wq_pctchange($C1098,$N$1))</f>
        <v xml:space="preserve"> </v>
      </c>
      <c r="M1098" s="28" t="str">
        <f>IF(C1098=""," ",[1]!s_mq_pctchange($C1098,$N$1))</f>
        <v xml:space="preserve"> </v>
      </c>
      <c r="N1098" s="28" t="str">
        <f>IF(C1098=""," ",[1]!s_yq_pctchange($C1098,$N$1))</f>
        <v xml:space="preserve"> </v>
      </c>
      <c r="O1098" s="11"/>
      <c r="P1098" s="7"/>
    </row>
    <row r="1099" spans="1:16" x14ac:dyDescent="0.35">
      <c r="A1099" s="7"/>
      <c r="C1099" s="30" t="str">
        <f>IF(指数列表!B1096="","",指数列表!B1096)</f>
        <v/>
      </c>
      <c r="D1099" s="35" t="str">
        <f>IF(C1099="","",[1]!s_info_name(C1099))</f>
        <v/>
      </c>
      <c r="E1099" s="24" t="str">
        <f>IF(C1099="","",[1]!s_dq_close(C1099,$N$1))</f>
        <v/>
      </c>
      <c r="F1099" s="28" t="str">
        <f>IF($C1099=""," ",[1]!i_pq_pctchange($C1099,F$6,$N$1))</f>
        <v xml:space="preserve"> </v>
      </c>
      <c r="G1099" s="28" t="str">
        <f>IF($C1099=""," ",[1]!i_pq_pctchange($C1099,G$6,$N$1))</f>
        <v xml:space="preserve"> </v>
      </c>
      <c r="H1099" s="28" t="str">
        <f>IF($C1099=""," ",[1]!i_pq_pctchange($C1099,H$6,$N$1))</f>
        <v xml:space="preserve"> </v>
      </c>
      <c r="I1099" s="28" t="str">
        <f>IF($C1099=""," ",[1]!i_pq_pctchange($C1099,I$6,$N$1))</f>
        <v xml:space="preserve"> </v>
      </c>
      <c r="J1099" s="28" t="str">
        <f>IF($C1099=""," ",[1]!i_pq_pctchange($C1099,J$6,$N$1))</f>
        <v xml:space="preserve"> </v>
      </c>
      <c r="K1099" s="28" t="str">
        <f>IF($C1099=""," ",[1]!i_pq_pctchange($C1099,K$6,$N$1))</f>
        <v xml:space="preserve"> </v>
      </c>
      <c r="L1099" s="28" t="str">
        <f>IF(C1099=""," ",[1]!s_wq_pctchange($C1099,$N$1))</f>
        <v xml:space="preserve"> </v>
      </c>
      <c r="M1099" s="28" t="str">
        <f>IF(C1099=""," ",[1]!s_mq_pctchange($C1099,$N$1))</f>
        <v xml:space="preserve"> </v>
      </c>
      <c r="N1099" s="28" t="str">
        <f>IF(C1099=""," ",[1]!s_yq_pctchange($C1099,$N$1))</f>
        <v xml:space="preserve"> </v>
      </c>
      <c r="O1099" s="11"/>
      <c r="P1099" s="7"/>
    </row>
    <row r="1100" spans="1:16" x14ac:dyDescent="0.35">
      <c r="A1100" s="7"/>
      <c r="C1100" s="31" t="str">
        <f>IF(指数列表!B1097="","",指数列表!B1097)</f>
        <v/>
      </c>
      <c r="D1100" s="36" t="str">
        <f>IF(C1100="","",[1]!s_info_name(C1100))</f>
        <v/>
      </c>
      <c r="E1100" s="25" t="str">
        <f>IF(C1100="","",[1]!s_dq_close(C1100,$N$1))</f>
        <v/>
      </c>
      <c r="F1100" s="28" t="str">
        <f>IF($C1100=""," ",[1]!i_pq_pctchange($C1100,F$6,$N$1))</f>
        <v xml:space="preserve"> </v>
      </c>
      <c r="G1100" s="28" t="str">
        <f>IF($C1100=""," ",[1]!i_pq_pctchange($C1100,G$6,$N$1))</f>
        <v xml:space="preserve"> </v>
      </c>
      <c r="H1100" s="28" t="str">
        <f>IF($C1100=""," ",[1]!i_pq_pctchange($C1100,H$6,$N$1))</f>
        <v xml:space="preserve"> </v>
      </c>
      <c r="I1100" s="28" t="str">
        <f>IF($C1100=""," ",[1]!i_pq_pctchange($C1100,I$6,$N$1))</f>
        <v xml:space="preserve"> </v>
      </c>
      <c r="J1100" s="28" t="str">
        <f>IF($C1100=""," ",[1]!i_pq_pctchange($C1100,J$6,$N$1))</f>
        <v xml:space="preserve"> </v>
      </c>
      <c r="K1100" s="28" t="str">
        <f>IF($C1100=""," ",[1]!i_pq_pctchange($C1100,K$6,$N$1))</f>
        <v xml:space="preserve"> </v>
      </c>
      <c r="L1100" s="28" t="str">
        <f>IF(C1100=""," ",[1]!s_wq_pctchange($C1100,$N$1))</f>
        <v xml:space="preserve"> </v>
      </c>
      <c r="M1100" s="28" t="str">
        <f>IF(C1100=""," ",[1]!s_mq_pctchange($C1100,$N$1))</f>
        <v xml:space="preserve"> </v>
      </c>
      <c r="N1100" s="28" t="str">
        <f>IF(C1100=""," ",[1]!s_yq_pctchange($C1100,$N$1))</f>
        <v xml:space="preserve"> </v>
      </c>
      <c r="O1100" s="11"/>
      <c r="P1100" s="7"/>
    </row>
    <row r="1101" spans="1:16" x14ac:dyDescent="0.35">
      <c r="A1101" s="7"/>
      <c r="C1101" s="30" t="str">
        <f>IF(指数列表!B1098="","",指数列表!B1098)</f>
        <v/>
      </c>
      <c r="D1101" s="35" t="str">
        <f>IF(C1101="","",[1]!s_info_name(C1101))</f>
        <v/>
      </c>
      <c r="E1101" s="24" t="str">
        <f>IF(C1101="","",[1]!s_dq_close(C1101,$N$1))</f>
        <v/>
      </c>
      <c r="F1101" s="28" t="str">
        <f>IF($C1101=""," ",[1]!i_pq_pctchange($C1101,F$6,$N$1))</f>
        <v xml:space="preserve"> </v>
      </c>
      <c r="G1101" s="28" t="str">
        <f>IF($C1101=""," ",[1]!i_pq_pctchange($C1101,G$6,$N$1))</f>
        <v xml:space="preserve"> </v>
      </c>
      <c r="H1101" s="28" t="str">
        <f>IF($C1101=""," ",[1]!i_pq_pctchange($C1101,H$6,$N$1))</f>
        <v xml:space="preserve"> </v>
      </c>
      <c r="I1101" s="28" t="str">
        <f>IF($C1101=""," ",[1]!i_pq_pctchange($C1101,I$6,$N$1))</f>
        <v xml:space="preserve"> </v>
      </c>
      <c r="J1101" s="28" t="str">
        <f>IF($C1101=""," ",[1]!i_pq_pctchange($C1101,J$6,$N$1))</f>
        <v xml:space="preserve"> </v>
      </c>
      <c r="K1101" s="28" t="str">
        <f>IF($C1101=""," ",[1]!i_pq_pctchange($C1101,K$6,$N$1))</f>
        <v xml:space="preserve"> </v>
      </c>
      <c r="L1101" s="28" t="str">
        <f>IF(C1101=""," ",[1]!s_wq_pctchange($C1101,$N$1))</f>
        <v xml:space="preserve"> </v>
      </c>
      <c r="M1101" s="28" t="str">
        <f>IF(C1101=""," ",[1]!s_mq_pctchange($C1101,$N$1))</f>
        <v xml:space="preserve"> </v>
      </c>
      <c r="N1101" s="28" t="str">
        <f>IF(C1101=""," ",[1]!s_yq_pctchange($C1101,$N$1))</f>
        <v xml:space="preserve"> </v>
      </c>
      <c r="O1101" s="11"/>
      <c r="P1101" s="7"/>
    </row>
    <row r="1102" spans="1:16" x14ac:dyDescent="0.35">
      <c r="A1102" s="7"/>
      <c r="C1102" s="31" t="str">
        <f>IF(指数列表!B1099="","",指数列表!B1099)</f>
        <v/>
      </c>
      <c r="D1102" s="36" t="str">
        <f>IF(C1102="","",[1]!s_info_name(C1102))</f>
        <v/>
      </c>
      <c r="E1102" s="25" t="str">
        <f>IF(C1102="","",[1]!s_dq_close(C1102,$N$1))</f>
        <v/>
      </c>
      <c r="F1102" s="28" t="str">
        <f>IF($C1102=""," ",[1]!i_pq_pctchange($C1102,F$6,$N$1))</f>
        <v xml:space="preserve"> </v>
      </c>
      <c r="G1102" s="28" t="str">
        <f>IF($C1102=""," ",[1]!i_pq_pctchange($C1102,G$6,$N$1))</f>
        <v xml:space="preserve"> </v>
      </c>
      <c r="H1102" s="28" t="str">
        <f>IF($C1102=""," ",[1]!i_pq_pctchange($C1102,H$6,$N$1))</f>
        <v xml:space="preserve"> </v>
      </c>
      <c r="I1102" s="28" t="str">
        <f>IF($C1102=""," ",[1]!i_pq_pctchange($C1102,I$6,$N$1))</f>
        <v xml:space="preserve"> </v>
      </c>
      <c r="J1102" s="28" t="str">
        <f>IF($C1102=""," ",[1]!i_pq_pctchange($C1102,J$6,$N$1))</f>
        <v xml:space="preserve"> </v>
      </c>
      <c r="K1102" s="28" t="str">
        <f>IF($C1102=""," ",[1]!i_pq_pctchange($C1102,K$6,$N$1))</f>
        <v xml:space="preserve"> </v>
      </c>
      <c r="L1102" s="28" t="str">
        <f>IF(C1102=""," ",[1]!s_wq_pctchange($C1102,$N$1))</f>
        <v xml:space="preserve"> </v>
      </c>
      <c r="M1102" s="28" t="str">
        <f>IF(C1102=""," ",[1]!s_mq_pctchange($C1102,$N$1))</f>
        <v xml:space="preserve"> </v>
      </c>
      <c r="N1102" s="28" t="str">
        <f>IF(C1102=""," ",[1]!s_yq_pctchange($C1102,$N$1))</f>
        <v xml:space="preserve"> </v>
      </c>
      <c r="O1102" s="11"/>
      <c r="P1102" s="7"/>
    </row>
    <row r="1103" spans="1:16" x14ac:dyDescent="0.35">
      <c r="A1103" s="7"/>
      <c r="C1103" s="30" t="str">
        <f>IF(指数列表!B1100="","",指数列表!B1100)</f>
        <v/>
      </c>
      <c r="D1103" s="35" t="str">
        <f>IF(C1103="","",[1]!s_info_name(C1103))</f>
        <v/>
      </c>
      <c r="E1103" s="24" t="str">
        <f>IF(C1103="","",[1]!s_dq_close(C1103,$N$1))</f>
        <v/>
      </c>
      <c r="F1103" s="28" t="str">
        <f>IF($C1103=""," ",[1]!i_pq_pctchange($C1103,F$6,$N$1))</f>
        <v xml:space="preserve"> </v>
      </c>
      <c r="G1103" s="28" t="str">
        <f>IF($C1103=""," ",[1]!i_pq_pctchange($C1103,G$6,$N$1))</f>
        <v xml:space="preserve"> </v>
      </c>
      <c r="H1103" s="28" t="str">
        <f>IF($C1103=""," ",[1]!i_pq_pctchange($C1103,H$6,$N$1))</f>
        <v xml:space="preserve"> </v>
      </c>
      <c r="I1103" s="28" t="str">
        <f>IF($C1103=""," ",[1]!i_pq_pctchange($C1103,I$6,$N$1))</f>
        <v xml:space="preserve"> </v>
      </c>
      <c r="J1103" s="28" t="str">
        <f>IF($C1103=""," ",[1]!i_pq_pctchange($C1103,J$6,$N$1))</f>
        <v xml:space="preserve"> </v>
      </c>
      <c r="K1103" s="28" t="str">
        <f>IF($C1103=""," ",[1]!i_pq_pctchange($C1103,K$6,$N$1))</f>
        <v xml:space="preserve"> </v>
      </c>
      <c r="L1103" s="28" t="str">
        <f>IF(C1103=""," ",[1]!s_wq_pctchange($C1103,$N$1))</f>
        <v xml:space="preserve"> </v>
      </c>
      <c r="M1103" s="28" t="str">
        <f>IF(C1103=""," ",[1]!s_mq_pctchange($C1103,$N$1))</f>
        <v xml:space="preserve"> </v>
      </c>
      <c r="N1103" s="28" t="str">
        <f>IF(C1103=""," ",[1]!s_yq_pctchange($C1103,$N$1))</f>
        <v xml:space="preserve"> </v>
      </c>
      <c r="O1103" s="11"/>
      <c r="P1103" s="7"/>
    </row>
    <row r="1104" spans="1:16" x14ac:dyDescent="0.35">
      <c r="A1104" s="7"/>
      <c r="C1104" s="31" t="str">
        <f>IF(指数列表!B1101="","",指数列表!B1101)</f>
        <v/>
      </c>
      <c r="D1104" s="36" t="str">
        <f>IF(C1104="","",[1]!s_info_name(C1104))</f>
        <v/>
      </c>
      <c r="E1104" s="25" t="str">
        <f>IF(C1104="","",[1]!s_dq_close(C1104,$N$1))</f>
        <v/>
      </c>
      <c r="F1104" s="28" t="str">
        <f>IF($C1104=""," ",[1]!i_pq_pctchange($C1104,F$6,$N$1))</f>
        <v xml:space="preserve"> </v>
      </c>
      <c r="G1104" s="28" t="str">
        <f>IF($C1104=""," ",[1]!i_pq_pctchange($C1104,G$6,$N$1))</f>
        <v xml:space="preserve"> </v>
      </c>
      <c r="H1104" s="28" t="str">
        <f>IF($C1104=""," ",[1]!i_pq_pctchange($C1104,H$6,$N$1))</f>
        <v xml:space="preserve"> </v>
      </c>
      <c r="I1104" s="28" t="str">
        <f>IF($C1104=""," ",[1]!i_pq_pctchange($C1104,I$6,$N$1))</f>
        <v xml:space="preserve"> </v>
      </c>
      <c r="J1104" s="28" t="str">
        <f>IF($C1104=""," ",[1]!i_pq_pctchange($C1104,J$6,$N$1))</f>
        <v xml:space="preserve"> </v>
      </c>
      <c r="K1104" s="28" t="str">
        <f>IF($C1104=""," ",[1]!i_pq_pctchange($C1104,K$6,$N$1))</f>
        <v xml:space="preserve"> </v>
      </c>
      <c r="L1104" s="28" t="str">
        <f>IF(C1104=""," ",[1]!s_wq_pctchange($C1104,$N$1))</f>
        <v xml:space="preserve"> </v>
      </c>
      <c r="M1104" s="28" t="str">
        <f>IF(C1104=""," ",[1]!s_mq_pctchange($C1104,$N$1))</f>
        <v xml:space="preserve"> </v>
      </c>
      <c r="N1104" s="28" t="str">
        <f>IF(C1104=""," ",[1]!s_yq_pctchange($C1104,$N$1))</f>
        <v xml:space="preserve"> </v>
      </c>
      <c r="O1104" s="11"/>
      <c r="P1104" s="7"/>
    </row>
    <row r="1105" spans="1:16" x14ac:dyDescent="0.35">
      <c r="A1105" s="7"/>
      <c r="C1105" s="30" t="str">
        <f>IF(指数列表!B1102="","",指数列表!B1102)</f>
        <v/>
      </c>
      <c r="D1105" s="35" t="str">
        <f>IF(C1105="","",[1]!s_info_name(C1105))</f>
        <v/>
      </c>
      <c r="E1105" s="24" t="str">
        <f>IF(C1105="","",[1]!s_dq_close(C1105,$N$1))</f>
        <v/>
      </c>
      <c r="F1105" s="28" t="str">
        <f>IF($C1105=""," ",[1]!i_pq_pctchange($C1105,F$6,$N$1))</f>
        <v xml:space="preserve"> </v>
      </c>
      <c r="G1105" s="28" t="str">
        <f>IF($C1105=""," ",[1]!i_pq_pctchange($C1105,G$6,$N$1))</f>
        <v xml:space="preserve"> </v>
      </c>
      <c r="H1105" s="28" t="str">
        <f>IF($C1105=""," ",[1]!i_pq_pctchange($C1105,H$6,$N$1))</f>
        <v xml:space="preserve"> </v>
      </c>
      <c r="I1105" s="28" t="str">
        <f>IF($C1105=""," ",[1]!i_pq_pctchange($C1105,I$6,$N$1))</f>
        <v xml:space="preserve"> </v>
      </c>
      <c r="J1105" s="28" t="str">
        <f>IF($C1105=""," ",[1]!i_pq_pctchange($C1105,J$6,$N$1))</f>
        <v xml:space="preserve"> </v>
      </c>
      <c r="K1105" s="28" t="str">
        <f>IF($C1105=""," ",[1]!i_pq_pctchange($C1105,K$6,$N$1))</f>
        <v xml:space="preserve"> </v>
      </c>
      <c r="L1105" s="28" t="str">
        <f>IF(C1105=""," ",[1]!s_wq_pctchange($C1105,$N$1))</f>
        <v xml:space="preserve"> </v>
      </c>
      <c r="M1105" s="28" t="str">
        <f>IF(C1105=""," ",[1]!s_mq_pctchange($C1105,$N$1))</f>
        <v xml:space="preserve"> </v>
      </c>
      <c r="N1105" s="28" t="str">
        <f>IF(C1105=""," ",[1]!s_yq_pctchange($C1105,$N$1))</f>
        <v xml:space="preserve"> </v>
      </c>
      <c r="O1105" s="11"/>
      <c r="P1105" s="7"/>
    </row>
    <row r="1106" spans="1:16" x14ac:dyDescent="0.35">
      <c r="A1106" s="7"/>
      <c r="C1106" s="31" t="str">
        <f>IF(指数列表!B1103="","",指数列表!B1103)</f>
        <v/>
      </c>
      <c r="D1106" s="36" t="str">
        <f>IF(C1106="","",[1]!s_info_name(C1106))</f>
        <v/>
      </c>
      <c r="E1106" s="25" t="str">
        <f>IF(C1106="","",[1]!s_dq_close(C1106,$N$1))</f>
        <v/>
      </c>
      <c r="F1106" s="28" t="str">
        <f>IF($C1106=""," ",[1]!i_pq_pctchange($C1106,F$6,$N$1))</f>
        <v xml:space="preserve"> </v>
      </c>
      <c r="G1106" s="28" t="str">
        <f>IF($C1106=""," ",[1]!i_pq_pctchange($C1106,G$6,$N$1))</f>
        <v xml:space="preserve"> </v>
      </c>
      <c r="H1106" s="28" t="str">
        <f>IF($C1106=""," ",[1]!i_pq_pctchange($C1106,H$6,$N$1))</f>
        <v xml:space="preserve"> </v>
      </c>
      <c r="I1106" s="28" t="str">
        <f>IF($C1106=""," ",[1]!i_pq_pctchange($C1106,I$6,$N$1))</f>
        <v xml:space="preserve"> </v>
      </c>
      <c r="J1106" s="28" t="str">
        <f>IF($C1106=""," ",[1]!i_pq_pctchange($C1106,J$6,$N$1))</f>
        <v xml:space="preserve"> </v>
      </c>
      <c r="K1106" s="28" t="str">
        <f>IF($C1106=""," ",[1]!i_pq_pctchange($C1106,K$6,$N$1))</f>
        <v xml:space="preserve"> </v>
      </c>
      <c r="L1106" s="28" t="str">
        <f>IF(C1106=""," ",[1]!s_wq_pctchange($C1106,$N$1))</f>
        <v xml:space="preserve"> </v>
      </c>
      <c r="M1106" s="28" t="str">
        <f>IF(C1106=""," ",[1]!s_mq_pctchange($C1106,$N$1))</f>
        <v xml:space="preserve"> </v>
      </c>
      <c r="N1106" s="28" t="str">
        <f>IF(C1106=""," ",[1]!s_yq_pctchange($C1106,$N$1))</f>
        <v xml:space="preserve"> </v>
      </c>
      <c r="O1106" s="11"/>
      <c r="P1106" s="7"/>
    </row>
    <row r="1107" spans="1:16" x14ac:dyDescent="0.35">
      <c r="A1107" s="7"/>
      <c r="C1107" s="30" t="str">
        <f>IF(指数列表!B1104="","",指数列表!B1104)</f>
        <v/>
      </c>
      <c r="D1107" s="35" t="str">
        <f>IF(C1107="","",[1]!s_info_name(C1107))</f>
        <v/>
      </c>
      <c r="E1107" s="24" t="str">
        <f>IF(C1107="","",[1]!s_dq_close(C1107,$N$1))</f>
        <v/>
      </c>
      <c r="F1107" s="28" t="str">
        <f>IF($C1107=""," ",[1]!i_pq_pctchange($C1107,F$6,$N$1))</f>
        <v xml:space="preserve"> </v>
      </c>
      <c r="G1107" s="28" t="str">
        <f>IF($C1107=""," ",[1]!i_pq_pctchange($C1107,G$6,$N$1))</f>
        <v xml:space="preserve"> </v>
      </c>
      <c r="H1107" s="28" t="str">
        <f>IF($C1107=""," ",[1]!i_pq_pctchange($C1107,H$6,$N$1))</f>
        <v xml:space="preserve"> </v>
      </c>
      <c r="I1107" s="28" t="str">
        <f>IF($C1107=""," ",[1]!i_pq_pctchange($C1107,I$6,$N$1))</f>
        <v xml:space="preserve"> </v>
      </c>
      <c r="J1107" s="28" t="str">
        <f>IF($C1107=""," ",[1]!i_pq_pctchange($C1107,J$6,$N$1))</f>
        <v xml:space="preserve"> </v>
      </c>
      <c r="K1107" s="28" t="str">
        <f>IF($C1107=""," ",[1]!i_pq_pctchange($C1107,K$6,$N$1))</f>
        <v xml:space="preserve"> </v>
      </c>
      <c r="L1107" s="28" t="str">
        <f>IF(C1107=""," ",[1]!s_wq_pctchange($C1107,$N$1))</f>
        <v xml:space="preserve"> </v>
      </c>
      <c r="M1107" s="28" t="str">
        <f>IF(C1107=""," ",[1]!s_mq_pctchange($C1107,$N$1))</f>
        <v xml:space="preserve"> </v>
      </c>
      <c r="N1107" s="28" t="str">
        <f>IF(C1107=""," ",[1]!s_yq_pctchange($C1107,$N$1))</f>
        <v xml:space="preserve"> </v>
      </c>
      <c r="O1107" s="11"/>
      <c r="P1107" s="7"/>
    </row>
    <row r="1108" spans="1:16" x14ac:dyDescent="0.35">
      <c r="A1108" s="7"/>
      <c r="C1108" s="31" t="str">
        <f>IF(指数列表!B1105="","",指数列表!B1105)</f>
        <v/>
      </c>
      <c r="D1108" s="36" t="str">
        <f>IF(C1108="","",[1]!s_info_name(C1108))</f>
        <v/>
      </c>
      <c r="E1108" s="25" t="str">
        <f>IF(C1108="","",[1]!s_dq_close(C1108,$N$1))</f>
        <v/>
      </c>
      <c r="F1108" s="28" t="str">
        <f>IF($C1108=""," ",[1]!i_pq_pctchange($C1108,F$6,$N$1))</f>
        <v xml:space="preserve"> </v>
      </c>
      <c r="G1108" s="28" t="str">
        <f>IF($C1108=""," ",[1]!i_pq_pctchange($C1108,G$6,$N$1))</f>
        <v xml:space="preserve"> </v>
      </c>
      <c r="H1108" s="28" t="str">
        <f>IF($C1108=""," ",[1]!i_pq_pctchange($C1108,H$6,$N$1))</f>
        <v xml:space="preserve"> </v>
      </c>
      <c r="I1108" s="28" t="str">
        <f>IF($C1108=""," ",[1]!i_pq_pctchange($C1108,I$6,$N$1))</f>
        <v xml:space="preserve"> </v>
      </c>
      <c r="J1108" s="28" t="str">
        <f>IF($C1108=""," ",[1]!i_pq_pctchange($C1108,J$6,$N$1))</f>
        <v xml:space="preserve"> </v>
      </c>
      <c r="K1108" s="28" t="str">
        <f>IF($C1108=""," ",[1]!i_pq_pctchange($C1108,K$6,$N$1))</f>
        <v xml:space="preserve"> </v>
      </c>
      <c r="L1108" s="28" t="str">
        <f>IF(C1108=""," ",[1]!s_wq_pctchange($C1108,$N$1))</f>
        <v xml:space="preserve"> </v>
      </c>
      <c r="M1108" s="28" t="str">
        <f>IF(C1108=""," ",[1]!s_mq_pctchange($C1108,$N$1))</f>
        <v xml:space="preserve"> </v>
      </c>
      <c r="N1108" s="28" t="str">
        <f>IF(C1108=""," ",[1]!s_yq_pctchange($C1108,$N$1))</f>
        <v xml:space="preserve"> </v>
      </c>
      <c r="O1108" s="11"/>
      <c r="P1108" s="7"/>
    </row>
    <row r="1109" spans="1:16" x14ac:dyDescent="0.35">
      <c r="A1109" s="7"/>
      <c r="C1109" s="30" t="str">
        <f>IF(指数列表!B1106="","",指数列表!B1106)</f>
        <v/>
      </c>
      <c r="D1109" s="35" t="str">
        <f>IF(C1109="","",[1]!s_info_name(C1109))</f>
        <v/>
      </c>
      <c r="E1109" s="24" t="str">
        <f>IF(C1109="","",[1]!s_dq_close(C1109,$N$1))</f>
        <v/>
      </c>
      <c r="F1109" s="28" t="str">
        <f>IF($C1109=""," ",[1]!i_pq_pctchange($C1109,F$6,$N$1))</f>
        <v xml:space="preserve"> </v>
      </c>
      <c r="G1109" s="28" t="str">
        <f>IF($C1109=""," ",[1]!i_pq_pctchange($C1109,G$6,$N$1))</f>
        <v xml:space="preserve"> </v>
      </c>
      <c r="H1109" s="28" t="str">
        <f>IF($C1109=""," ",[1]!i_pq_pctchange($C1109,H$6,$N$1))</f>
        <v xml:space="preserve"> </v>
      </c>
      <c r="I1109" s="28" t="str">
        <f>IF($C1109=""," ",[1]!i_pq_pctchange($C1109,I$6,$N$1))</f>
        <v xml:space="preserve"> </v>
      </c>
      <c r="J1109" s="28" t="str">
        <f>IF($C1109=""," ",[1]!i_pq_pctchange($C1109,J$6,$N$1))</f>
        <v xml:space="preserve"> </v>
      </c>
      <c r="K1109" s="28" t="str">
        <f>IF($C1109=""," ",[1]!i_pq_pctchange($C1109,K$6,$N$1))</f>
        <v xml:space="preserve"> </v>
      </c>
      <c r="L1109" s="28" t="str">
        <f>IF(C1109=""," ",[1]!s_wq_pctchange($C1109,$N$1))</f>
        <v xml:space="preserve"> </v>
      </c>
      <c r="M1109" s="28" t="str">
        <f>IF(C1109=""," ",[1]!s_mq_pctchange($C1109,$N$1))</f>
        <v xml:space="preserve"> </v>
      </c>
      <c r="N1109" s="28" t="str">
        <f>IF(C1109=""," ",[1]!s_yq_pctchange($C1109,$N$1))</f>
        <v xml:space="preserve"> </v>
      </c>
      <c r="O1109" s="11"/>
      <c r="P1109" s="7"/>
    </row>
    <row r="1110" spans="1:16" x14ac:dyDescent="0.35">
      <c r="A1110" s="7"/>
      <c r="C1110" s="31" t="str">
        <f>IF(指数列表!B1107="","",指数列表!B1107)</f>
        <v/>
      </c>
      <c r="D1110" s="36" t="str">
        <f>IF(C1110="","",[1]!s_info_name(C1110))</f>
        <v/>
      </c>
      <c r="E1110" s="25" t="str">
        <f>IF(C1110="","",[1]!s_dq_close(C1110,$N$1))</f>
        <v/>
      </c>
      <c r="F1110" s="28" t="str">
        <f>IF($C1110=""," ",[1]!i_pq_pctchange($C1110,F$6,$N$1))</f>
        <v xml:space="preserve"> </v>
      </c>
      <c r="G1110" s="28" t="str">
        <f>IF($C1110=""," ",[1]!i_pq_pctchange($C1110,G$6,$N$1))</f>
        <v xml:space="preserve"> </v>
      </c>
      <c r="H1110" s="28" t="str">
        <f>IF($C1110=""," ",[1]!i_pq_pctchange($C1110,H$6,$N$1))</f>
        <v xml:space="preserve"> </v>
      </c>
      <c r="I1110" s="28" t="str">
        <f>IF($C1110=""," ",[1]!i_pq_pctchange($C1110,I$6,$N$1))</f>
        <v xml:space="preserve"> </v>
      </c>
      <c r="J1110" s="28" t="str">
        <f>IF($C1110=""," ",[1]!i_pq_pctchange($C1110,J$6,$N$1))</f>
        <v xml:space="preserve"> </v>
      </c>
      <c r="K1110" s="28" t="str">
        <f>IF($C1110=""," ",[1]!i_pq_pctchange($C1110,K$6,$N$1))</f>
        <v xml:space="preserve"> </v>
      </c>
      <c r="L1110" s="28" t="str">
        <f>IF(C1110=""," ",[1]!s_wq_pctchange($C1110,$N$1))</f>
        <v xml:space="preserve"> </v>
      </c>
      <c r="M1110" s="28" t="str">
        <f>IF(C1110=""," ",[1]!s_mq_pctchange($C1110,$N$1))</f>
        <v xml:space="preserve"> </v>
      </c>
      <c r="N1110" s="28" t="str">
        <f>IF(C1110=""," ",[1]!s_yq_pctchange($C1110,$N$1))</f>
        <v xml:space="preserve"> </v>
      </c>
      <c r="O1110" s="11"/>
      <c r="P1110" s="7"/>
    </row>
    <row r="1111" spans="1:16" x14ac:dyDescent="0.35">
      <c r="A1111" s="7"/>
      <c r="C1111" s="30" t="str">
        <f>IF(指数列表!B1108="","",指数列表!B1108)</f>
        <v/>
      </c>
      <c r="D1111" s="35" t="str">
        <f>IF(C1111="","",[1]!s_info_name(C1111))</f>
        <v/>
      </c>
      <c r="E1111" s="24" t="str">
        <f>IF(C1111="","",[1]!s_dq_close(C1111,$N$1))</f>
        <v/>
      </c>
      <c r="F1111" s="28" t="str">
        <f>IF($C1111=""," ",[1]!i_pq_pctchange($C1111,F$6,$N$1))</f>
        <v xml:space="preserve"> </v>
      </c>
      <c r="G1111" s="28" t="str">
        <f>IF($C1111=""," ",[1]!i_pq_pctchange($C1111,G$6,$N$1))</f>
        <v xml:space="preserve"> </v>
      </c>
      <c r="H1111" s="28" t="str">
        <f>IF($C1111=""," ",[1]!i_pq_pctchange($C1111,H$6,$N$1))</f>
        <v xml:space="preserve"> </v>
      </c>
      <c r="I1111" s="28" t="str">
        <f>IF($C1111=""," ",[1]!i_pq_pctchange($C1111,I$6,$N$1))</f>
        <v xml:space="preserve"> </v>
      </c>
      <c r="J1111" s="28" t="str">
        <f>IF($C1111=""," ",[1]!i_pq_pctchange($C1111,J$6,$N$1))</f>
        <v xml:space="preserve"> </v>
      </c>
      <c r="K1111" s="28" t="str">
        <f>IF($C1111=""," ",[1]!i_pq_pctchange($C1111,K$6,$N$1))</f>
        <v xml:space="preserve"> </v>
      </c>
      <c r="L1111" s="28" t="str">
        <f>IF(C1111=""," ",[1]!s_wq_pctchange($C1111,$N$1))</f>
        <v xml:space="preserve"> </v>
      </c>
      <c r="M1111" s="28" t="str">
        <f>IF(C1111=""," ",[1]!s_mq_pctchange($C1111,$N$1))</f>
        <v xml:space="preserve"> </v>
      </c>
      <c r="N1111" s="28" t="str">
        <f>IF(C1111=""," ",[1]!s_yq_pctchange($C1111,$N$1))</f>
        <v xml:space="preserve"> </v>
      </c>
      <c r="O1111" s="11"/>
      <c r="P1111" s="7"/>
    </row>
    <row r="1112" spans="1:16" x14ac:dyDescent="0.35">
      <c r="A1112" s="7"/>
      <c r="C1112" s="31" t="str">
        <f>IF(指数列表!B1109="","",指数列表!B1109)</f>
        <v/>
      </c>
      <c r="D1112" s="36" t="str">
        <f>IF(C1112="","",[1]!s_info_name(C1112))</f>
        <v/>
      </c>
      <c r="E1112" s="25" t="str">
        <f>IF(C1112="","",[1]!s_dq_close(C1112,$N$1))</f>
        <v/>
      </c>
      <c r="F1112" s="28" t="str">
        <f>IF($C1112=""," ",[1]!i_pq_pctchange($C1112,F$6,$N$1))</f>
        <v xml:space="preserve"> </v>
      </c>
      <c r="G1112" s="28" t="str">
        <f>IF($C1112=""," ",[1]!i_pq_pctchange($C1112,G$6,$N$1))</f>
        <v xml:space="preserve"> </v>
      </c>
      <c r="H1112" s="28" t="str">
        <f>IF($C1112=""," ",[1]!i_pq_pctchange($C1112,H$6,$N$1))</f>
        <v xml:space="preserve"> </v>
      </c>
      <c r="I1112" s="28" t="str">
        <f>IF($C1112=""," ",[1]!i_pq_pctchange($C1112,I$6,$N$1))</f>
        <v xml:space="preserve"> </v>
      </c>
      <c r="J1112" s="28" t="str">
        <f>IF($C1112=""," ",[1]!i_pq_pctchange($C1112,J$6,$N$1))</f>
        <v xml:space="preserve"> </v>
      </c>
      <c r="K1112" s="28" t="str">
        <f>IF($C1112=""," ",[1]!i_pq_pctchange($C1112,K$6,$N$1))</f>
        <v xml:space="preserve"> </v>
      </c>
      <c r="L1112" s="28" t="str">
        <f>IF(C1112=""," ",[1]!s_wq_pctchange($C1112,$N$1))</f>
        <v xml:space="preserve"> </v>
      </c>
      <c r="M1112" s="28" t="str">
        <f>IF(C1112=""," ",[1]!s_mq_pctchange($C1112,$N$1))</f>
        <v xml:space="preserve"> </v>
      </c>
      <c r="N1112" s="28" t="str">
        <f>IF(C1112=""," ",[1]!s_yq_pctchange($C1112,$N$1))</f>
        <v xml:space="preserve"> </v>
      </c>
      <c r="O1112" s="11"/>
      <c r="P1112" s="7"/>
    </row>
    <row r="1113" spans="1:16" x14ac:dyDescent="0.35">
      <c r="A1113" s="7"/>
      <c r="C1113" s="30" t="str">
        <f>IF(指数列表!B1110="","",指数列表!B1110)</f>
        <v/>
      </c>
      <c r="D1113" s="35" t="str">
        <f>IF(C1113="","",[1]!s_info_name(C1113))</f>
        <v/>
      </c>
      <c r="E1113" s="24" t="str">
        <f>IF(C1113="","",[1]!s_dq_close(C1113,$N$1))</f>
        <v/>
      </c>
      <c r="F1113" s="28" t="str">
        <f>IF($C1113=""," ",[1]!i_pq_pctchange($C1113,F$6,$N$1))</f>
        <v xml:space="preserve"> </v>
      </c>
      <c r="G1113" s="28" t="str">
        <f>IF($C1113=""," ",[1]!i_pq_pctchange($C1113,G$6,$N$1))</f>
        <v xml:space="preserve"> </v>
      </c>
      <c r="H1113" s="28" t="str">
        <f>IF($C1113=""," ",[1]!i_pq_pctchange($C1113,H$6,$N$1))</f>
        <v xml:space="preserve"> </v>
      </c>
      <c r="I1113" s="28" t="str">
        <f>IF($C1113=""," ",[1]!i_pq_pctchange($C1113,I$6,$N$1))</f>
        <v xml:space="preserve"> </v>
      </c>
      <c r="J1113" s="28" t="str">
        <f>IF($C1113=""," ",[1]!i_pq_pctchange($C1113,J$6,$N$1))</f>
        <v xml:space="preserve"> </v>
      </c>
      <c r="K1113" s="28" t="str">
        <f>IF($C1113=""," ",[1]!i_pq_pctchange($C1113,K$6,$N$1))</f>
        <v xml:space="preserve"> </v>
      </c>
      <c r="L1113" s="28" t="str">
        <f>IF(C1113=""," ",[1]!s_wq_pctchange($C1113,$N$1))</f>
        <v xml:space="preserve"> </v>
      </c>
      <c r="M1113" s="28" t="str">
        <f>IF(C1113=""," ",[1]!s_mq_pctchange($C1113,$N$1))</f>
        <v xml:space="preserve"> </v>
      </c>
      <c r="N1113" s="28" t="str">
        <f>IF(C1113=""," ",[1]!s_yq_pctchange($C1113,$N$1))</f>
        <v xml:space="preserve"> </v>
      </c>
      <c r="O1113" s="11"/>
      <c r="P1113" s="7"/>
    </row>
    <row r="1114" spans="1:16" x14ac:dyDescent="0.35">
      <c r="A1114" s="7"/>
      <c r="C1114" s="31" t="str">
        <f>IF(指数列表!B1111="","",指数列表!B1111)</f>
        <v/>
      </c>
      <c r="D1114" s="36" t="str">
        <f>IF(C1114="","",[1]!s_info_name(C1114))</f>
        <v/>
      </c>
      <c r="E1114" s="25" t="str">
        <f>IF(C1114="","",[1]!s_dq_close(C1114,$N$1))</f>
        <v/>
      </c>
      <c r="F1114" s="28" t="str">
        <f>IF($C1114=""," ",[1]!i_pq_pctchange($C1114,F$6,$N$1))</f>
        <v xml:space="preserve"> </v>
      </c>
      <c r="G1114" s="28" t="str">
        <f>IF($C1114=""," ",[1]!i_pq_pctchange($C1114,G$6,$N$1))</f>
        <v xml:space="preserve"> </v>
      </c>
      <c r="H1114" s="28" t="str">
        <f>IF($C1114=""," ",[1]!i_pq_pctchange($C1114,H$6,$N$1))</f>
        <v xml:space="preserve"> </v>
      </c>
      <c r="I1114" s="28" t="str">
        <f>IF($C1114=""," ",[1]!i_pq_pctchange($C1114,I$6,$N$1))</f>
        <v xml:space="preserve"> </v>
      </c>
      <c r="J1114" s="28" t="str">
        <f>IF($C1114=""," ",[1]!i_pq_pctchange($C1114,J$6,$N$1))</f>
        <v xml:space="preserve"> </v>
      </c>
      <c r="K1114" s="28" t="str">
        <f>IF($C1114=""," ",[1]!i_pq_pctchange($C1114,K$6,$N$1))</f>
        <v xml:space="preserve"> </v>
      </c>
      <c r="L1114" s="28" t="str">
        <f>IF(C1114=""," ",[1]!s_wq_pctchange($C1114,$N$1))</f>
        <v xml:space="preserve"> </v>
      </c>
      <c r="M1114" s="28" t="str">
        <f>IF(C1114=""," ",[1]!s_mq_pctchange($C1114,$N$1))</f>
        <v xml:space="preserve"> </v>
      </c>
      <c r="N1114" s="28" t="str">
        <f>IF(C1114=""," ",[1]!s_yq_pctchange($C1114,$N$1))</f>
        <v xml:space="preserve"> </v>
      </c>
      <c r="O1114" s="11"/>
      <c r="P1114" s="7"/>
    </row>
    <row r="1115" spans="1:16" x14ac:dyDescent="0.35">
      <c r="A1115" s="7"/>
      <c r="C1115" s="30" t="str">
        <f>IF(指数列表!B1112="","",指数列表!B1112)</f>
        <v/>
      </c>
      <c r="D1115" s="35" t="str">
        <f>IF(C1115="","",[1]!s_info_name(C1115))</f>
        <v/>
      </c>
      <c r="E1115" s="24" t="str">
        <f>IF(C1115="","",[1]!s_dq_close(C1115,$N$1))</f>
        <v/>
      </c>
      <c r="F1115" s="28" t="str">
        <f>IF($C1115=""," ",[1]!i_pq_pctchange($C1115,F$6,$N$1))</f>
        <v xml:space="preserve"> </v>
      </c>
      <c r="G1115" s="28" t="str">
        <f>IF($C1115=""," ",[1]!i_pq_pctchange($C1115,G$6,$N$1))</f>
        <v xml:space="preserve"> </v>
      </c>
      <c r="H1115" s="28" t="str">
        <f>IF($C1115=""," ",[1]!i_pq_pctchange($C1115,H$6,$N$1))</f>
        <v xml:space="preserve"> </v>
      </c>
      <c r="I1115" s="28" t="str">
        <f>IF($C1115=""," ",[1]!i_pq_pctchange($C1115,I$6,$N$1))</f>
        <v xml:space="preserve"> </v>
      </c>
      <c r="J1115" s="28" t="str">
        <f>IF($C1115=""," ",[1]!i_pq_pctchange($C1115,J$6,$N$1))</f>
        <v xml:space="preserve"> </v>
      </c>
      <c r="K1115" s="28" t="str">
        <f>IF($C1115=""," ",[1]!i_pq_pctchange($C1115,K$6,$N$1))</f>
        <v xml:space="preserve"> </v>
      </c>
      <c r="L1115" s="28" t="str">
        <f>IF(C1115=""," ",[1]!s_wq_pctchange($C1115,$N$1))</f>
        <v xml:space="preserve"> </v>
      </c>
      <c r="M1115" s="28" t="str">
        <f>IF(C1115=""," ",[1]!s_mq_pctchange($C1115,$N$1))</f>
        <v xml:space="preserve"> </v>
      </c>
      <c r="N1115" s="28" t="str">
        <f>IF(C1115=""," ",[1]!s_yq_pctchange($C1115,$N$1))</f>
        <v xml:space="preserve"> </v>
      </c>
      <c r="O1115" s="11"/>
      <c r="P1115" s="7"/>
    </row>
    <row r="1116" spans="1:16" x14ac:dyDescent="0.35">
      <c r="A1116" s="7"/>
      <c r="C1116" s="31" t="str">
        <f>IF(指数列表!B1113="","",指数列表!B1113)</f>
        <v/>
      </c>
      <c r="D1116" s="36" t="str">
        <f>IF(C1116="","",[1]!s_info_name(C1116))</f>
        <v/>
      </c>
      <c r="E1116" s="25" t="str">
        <f>IF(C1116="","",[1]!s_dq_close(C1116,$N$1))</f>
        <v/>
      </c>
      <c r="F1116" s="28" t="str">
        <f>IF($C1116=""," ",[1]!i_pq_pctchange($C1116,F$6,$N$1))</f>
        <v xml:space="preserve"> </v>
      </c>
      <c r="G1116" s="28" t="str">
        <f>IF($C1116=""," ",[1]!i_pq_pctchange($C1116,G$6,$N$1))</f>
        <v xml:space="preserve"> </v>
      </c>
      <c r="H1116" s="28" t="str">
        <f>IF($C1116=""," ",[1]!i_pq_pctchange($C1116,H$6,$N$1))</f>
        <v xml:space="preserve"> </v>
      </c>
      <c r="I1116" s="28" t="str">
        <f>IF($C1116=""," ",[1]!i_pq_pctchange($C1116,I$6,$N$1))</f>
        <v xml:space="preserve"> </v>
      </c>
      <c r="J1116" s="28" t="str">
        <f>IF($C1116=""," ",[1]!i_pq_pctchange($C1116,J$6,$N$1))</f>
        <v xml:space="preserve"> </v>
      </c>
      <c r="K1116" s="28" t="str">
        <f>IF($C1116=""," ",[1]!i_pq_pctchange($C1116,K$6,$N$1))</f>
        <v xml:space="preserve"> </v>
      </c>
      <c r="L1116" s="28" t="str">
        <f>IF(C1116=""," ",[1]!s_wq_pctchange($C1116,$N$1))</f>
        <v xml:space="preserve"> </v>
      </c>
      <c r="M1116" s="28" t="str">
        <f>IF(C1116=""," ",[1]!s_mq_pctchange($C1116,$N$1))</f>
        <v xml:space="preserve"> </v>
      </c>
      <c r="N1116" s="28" t="str">
        <f>IF(C1116=""," ",[1]!s_yq_pctchange($C1116,$N$1))</f>
        <v xml:space="preserve"> </v>
      </c>
      <c r="O1116" s="11"/>
      <c r="P1116" s="7"/>
    </row>
    <row r="1117" spans="1:16" x14ac:dyDescent="0.35">
      <c r="A1117" s="7"/>
      <c r="C1117" s="30" t="str">
        <f>IF(指数列表!B1114="","",指数列表!B1114)</f>
        <v/>
      </c>
      <c r="D1117" s="35" t="str">
        <f>IF(C1117="","",[1]!s_info_name(C1117))</f>
        <v/>
      </c>
      <c r="E1117" s="24" t="str">
        <f>IF(C1117="","",[1]!s_dq_close(C1117,$N$1))</f>
        <v/>
      </c>
      <c r="F1117" s="28" t="str">
        <f>IF($C1117=""," ",[1]!i_pq_pctchange($C1117,F$6,$N$1))</f>
        <v xml:space="preserve"> </v>
      </c>
      <c r="G1117" s="28" t="str">
        <f>IF($C1117=""," ",[1]!i_pq_pctchange($C1117,G$6,$N$1))</f>
        <v xml:space="preserve"> </v>
      </c>
      <c r="H1117" s="28" t="str">
        <f>IF($C1117=""," ",[1]!i_pq_pctchange($C1117,H$6,$N$1))</f>
        <v xml:space="preserve"> </v>
      </c>
      <c r="I1117" s="28" t="str">
        <f>IF($C1117=""," ",[1]!i_pq_pctchange($C1117,I$6,$N$1))</f>
        <v xml:space="preserve"> </v>
      </c>
      <c r="J1117" s="28" t="str">
        <f>IF($C1117=""," ",[1]!i_pq_pctchange($C1117,J$6,$N$1))</f>
        <v xml:space="preserve"> </v>
      </c>
      <c r="K1117" s="28" t="str">
        <f>IF($C1117=""," ",[1]!i_pq_pctchange($C1117,K$6,$N$1))</f>
        <v xml:space="preserve"> </v>
      </c>
      <c r="L1117" s="28" t="str">
        <f>IF(C1117=""," ",[1]!s_wq_pctchange($C1117,$N$1))</f>
        <v xml:space="preserve"> </v>
      </c>
      <c r="M1117" s="28" t="str">
        <f>IF(C1117=""," ",[1]!s_mq_pctchange($C1117,$N$1))</f>
        <v xml:space="preserve"> </v>
      </c>
      <c r="N1117" s="28" t="str">
        <f>IF(C1117=""," ",[1]!s_yq_pctchange($C1117,$N$1))</f>
        <v xml:space="preserve"> </v>
      </c>
      <c r="O1117" s="11"/>
      <c r="P1117" s="7"/>
    </row>
    <row r="1118" spans="1:16" x14ac:dyDescent="0.35">
      <c r="A1118" s="7"/>
      <c r="C1118" s="31" t="str">
        <f>IF(指数列表!B1115="","",指数列表!B1115)</f>
        <v/>
      </c>
      <c r="D1118" s="36" t="str">
        <f>IF(C1118="","",[1]!s_info_name(C1118))</f>
        <v/>
      </c>
      <c r="E1118" s="25" t="str">
        <f>IF(C1118="","",[1]!s_dq_close(C1118,$N$1))</f>
        <v/>
      </c>
      <c r="F1118" s="28" t="str">
        <f>IF($C1118=""," ",[1]!i_pq_pctchange($C1118,F$6,$N$1))</f>
        <v xml:space="preserve"> </v>
      </c>
      <c r="G1118" s="28" t="str">
        <f>IF($C1118=""," ",[1]!i_pq_pctchange($C1118,G$6,$N$1))</f>
        <v xml:space="preserve"> </v>
      </c>
      <c r="H1118" s="28" t="str">
        <f>IF($C1118=""," ",[1]!i_pq_pctchange($C1118,H$6,$N$1))</f>
        <v xml:space="preserve"> </v>
      </c>
      <c r="I1118" s="28" t="str">
        <f>IF($C1118=""," ",[1]!i_pq_pctchange($C1118,I$6,$N$1))</f>
        <v xml:space="preserve"> </v>
      </c>
      <c r="J1118" s="28" t="str">
        <f>IF($C1118=""," ",[1]!i_pq_pctchange($C1118,J$6,$N$1))</f>
        <v xml:space="preserve"> </v>
      </c>
      <c r="K1118" s="28" t="str">
        <f>IF($C1118=""," ",[1]!i_pq_pctchange($C1118,K$6,$N$1))</f>
        <v xml:space="preserve"> </v>
      </c>
      <c r="L1118" s="28" t="str">
        <f>IF(C1118=""," ",[1]!s_wq_pctchange($C1118,$N$1))</f>
        <v xml:space="preserve"> </v>
      </c>
      <c r="M1118" s="28" t="str">
        <f>IF(C1118=""," ",[1]!s_mq_pctchange($C1118,$N$1))</f>
        <v xml:space="preserve"> </v>
      </c>
      <c r="N1118" s="28" t="str">
        <f>IF(C1118=""," ",[1]!s_yq_pctchange($C1118,$N$1))</f>
        <v xml:space="preserve"> </v>
      </c>
      <c r="O1118" s="11"/>
      <c r="P1118" s="7"/>
    </row>
    <row r="1119" spans="1:16" x14ac:dyDescent="0.35">
      <c r="A1119" s="7"/>
      <c r="C1119" s="30" t="str">
        <f>IF(指数列表!B1116="","",指数列表!B1116)</f>
        <v/>
      </c>
      <c r="D1119" s="35" t="str">
        <f>IF(C1119="","",[1]!s_info_name(C1119))</f>
        <v/>
      </c>
      <c r="E1119" s="24" t="str">
        <f>IF(C1119="","",[1]!s_dq_close(C1119,$N$1))</f>
        <v/>
      </c>
      <c r="F1119" s="28" t="str">
        <f>IF($C1119=""," ",[1]!i_pq_pctchange($C1119,F$6,$N$1))</f>
        <v xml:space="preserve"> </v>
      </c>
      <c r="G1119" s="28" t="str">
        <f>IF($C1119=""," ",[1]!i_pq_pctchange($C1119,G$6,$N$1))</f>
        <v xml:space="preserve"> </v>
      </c>
      <c r="H1119" s="28" t="str">
        <f>IF($C1119=""," ",[1]!i_pq_pctchange($C1119,H$6,$N$1))</f>
        <v xml:space="preserve"> </v>
      </c>
      <c r="I1119" s="28" t="str">
        <f>IF($C1119=""," ",[1]!i_pq_pctchange($C1119,I$6,$N$1))</f>
        <v xml:space="preserve"> </v>
      </c>
      <c r="J1119" s="28" t="str">
        <f>IF($C1119=""," ",[1]!i_pq_pctchange($C1119,J$6,$N$1))</f>
        <v xml:space="preserve"> </v>
      </c>
      <c r="K1119" s="28" t="str">
        <f>IF($C1119=""," ",[1]!i_pq_pctchange($C1119,K$6,$N$1))</f>
        <v xml:space="preserve"> </v>
      </c>
      <c r="L1119" s="28" t="str">
        <f>IF(C1119=""," ",[1]!s_wq_pctchange($C1119,$N$1))</f>
        <v xml:space="preserve"> </v>
      </c>
      <c r="M1119" s="28" t="str">
        <f>IF(C1119=""," ",[1]!s_mq_pctchange($C1119,$N$1))</f>
        <v xml:space="preserve"> </v>
      </c>
      <c r="N1119" s="28" t="str">
        <f>IF(C1119=""," ",[1]!s_yq_pctchange($C1119,$N$1))</f>
        <v xml:space="preserve"> </v>
      </c>
      <c r="O1119" s="11"/>
      <c r="P1119" s="7"/>
    </row>
    <row r="1120" spans="1:16" x14ac:dyDescent="0.35">
      <c r="A1120" s="7"/>
      <c r="C1120" s="31" t="str">
        <f>IF(指数列表!B1117="","",指数列表!B1117)</f>
        <v/>
      </c>
      <c r="D1120" s="36" t="str">
        <f>IF(C1120="","",[1]!s_info_name(C1120))</f>
        <v/>
      </c>
      <c r="E1120" s="25" t="str">
        <f>IF(C1120="","",[1]!s_dq_close(C1120,$N$1))</f>
        <v/>
      </c>
      <c r="F1120" s="28" t="str">
        <f>IF($C1120=""," ",[1]!i_pq_pctchange($C1120,F$6,$N$1))</f>
        <v xml:space="preserve"> </v>
      </c>
      <c r="G1120" s="28" t="str">
        <f>IF($C1120=""," ",[1]!i_pq_pctchange($C1120,G$6,$N$1))</f>
        <v xml:space="preserve"> </v>
      </c>
      <c r="H1120" s="28" t="str">
        <f>IF($C1120=""," ",[1]!i_pq_pctchange($C1120,H$6,$N$1))</f>
        <v xml:space="preserve"> </v>
      </c>
      <c r="I1120" s="28" t="str">
        <f>IF($C1120=""," ",[1]!i_pq_pctchange($C1120,I$6,$N$1))</f>
        <v xml:space="preserve"> </v>
      </c>
      <c r="J1120" s="28" t="str">
        <f>IF($C1120=""," ",[1]!i_pq_pctchange($C1120,J$6,$N$1))</f>
        <v xml:space="preserve"> </v>
      </c>
      <c r="K1120" s="28" t="str">
        <f>IF($C1120=""," ",[1]!i_pq_pctchange($C1120,K$6,$N$1))</f>
        <v xml:space="preserve"> </v>
      </c>
      <c r="L1120" s="28" t="str">
        <f>IF(C1120=""," ",[1]!s_wq_pctchange($C1120,$N$1))</f>
        <v xml:space="preserve"> </v>
      </c>
      <c r="M1120" s="28" t="str">
        <f>IF(C1120=""," ",[1]!s_mq_pctchange($C1120,$N$1))</f>
        <v xml:space="preserve"> </v>
      </c>
      <c r="N1120" s="28" t="str">
        <f>IF(C1120=""," ",[1]!s_yq_pctchange($C1120,$N$1))</f>
        <v xml:space="preserve"> </v>
      </c>
      <c r="O1120" s="11"/>
      <c r="P1120" s="7"/>
    </row>
    <row r="1121" spans="1:16" x14ac:dyDescent="0.35">
      <c r="A1121" s="7"/>
      <c r="C1121" s="30" t="str">
        <f>IF(指数列表!B1118="","",指数列表!B1118)</f>
        <v/>
      </c>
      <c r="D1121" s="35" t="str">
        <f>IF(C1121="","",[1]!s_info_name(C1121))</f>
        <v/>
      </c>
      <c r="E1121" s="24" t="str">
        <f>IF(C1121="","",[1]!s_dq_close(C1121,$N$1))</f>
        <v/>
      </c>
      <c r="F1121" s="28" t="str">
        <f>IF($C1121=""," ",[1]!i_pq_pctchange($C1121,F$6,$N$1))</f>
        <v xml:space="preserve"> </v>
      </c>
      <c r="G1121" s="28" t="str">
        <f>IF($C1121=""," ",[1]!i_pq_pctchange($C1121,G$6,$N$1))</f>
        <v xml:space="preserve"> </v>
      </c>
      <c r="H1121" s="28" t="str">
        <f>IF($C1121=""," ",[1]!i_pq_pctchange($C1121,H$6,$N$1))</f>
        <v xml:space="preserve"> </v>
      </c>
      <c r="I1121" s="28" t="str">
        <f>IF($C1121=""," ",[1]!i_pq_pctchange($C1121,I$6,$N$1))</f>
        <v xml:space="preserve"> </v>
      </c>
      <c r="J1121" s="28" t="str">
        <f>IF($C1121=""," ",[1]!i_pq_pctchange($C1121,J$6,$N$1))</f>
        <v xml:space="preserve"> </v>
      </c>
      <c r="K1121" s="28" t="str">
        <f>IF($C1121=""," ",[1]!i_pq_pctchange($C1121,K$6,$N$1))</f>
        <v xml:space="preserve"> </v>
      </c>
      <c r="L1121" s="28" t="str">
        <f>IF(C1121=""," ",[1]!s_wq_pctchange($C1121,$N$1))</f>
        <v xml:space="preserve"> </v>
      </c>
      <c r="M1121" s="28" t="str">
        <f>IF(C1121=""," ",[1]!s_mq_pctchange($C1121,$N$1))</f>
        <v xml:space="preserve"> </v>
      </c>
      <c r="N1121" s="28" t="str">
        <f>IF(C1121=""," ",[1]!s_yq_pctchange($C1121,$N$1))</f>
        <v xml:space="preserve"> </v>
      </c>
      <c r="O1121" s="11"/>
      <c r="P1121" s="7"/>
    </row>
    <row r="1122" spans="1:16" x14ac:dyDescent="0.35">
      <c r="A1122" s="7"/>
      <c r="C1122" s="31" t="str">
        <f>IF(指数列表!B1119="","",指数列表!B1119)</f>
        <v/>
      </c>
      <c r="D1122" s="36" t="str">
        <f>IF(C1122="","",[1]!s_info_name(C1122))</f>
        <v/>
      </c>
      <c r="E1122" s="25" t="str">
        <f>IF(C1122="","",[1]!s_dq_close(C1122,$N$1))</f>
        <v/>
      </c>
      <c r="F1122" s="28" t="str">
        <f>IF($C1122=""," ",[1]!i_pq_pctchange($C1122,F$6,$N$1))</f>
        <v xml:space="preserve"> </v>
      </c>
      <c r="G1122" s="28" t="str">
        <f>IF($C1122=""," ",[1]!i_pq_pctchange($C1122,G$6,$N$1))</f>
        <v xml:space="preserve"> </v>
      </c>
      <c r="H1122" s="28" t="str">
        <f>IF($C1122=""," ",[1]!i_pq_pctchange($C1122,H$6,$N$1))</f>
        <v xml:space="preserve"> </v>
      </c>
      <c r="I1122" s="28" t="str">
        <f>IF($C1122=""," ",[1]!i_pq_pctchange($C1122,I$6,$N$1))</f>
        <v xml:space="preserve"> </v>
      </c>
      <c r="J1122" s="28" t="str">
        <f>IF($C1122=""," ",[1]!i_pq_pctchange($C1122,J$6,$N$1))</f>
        <v xml:space="preserve"> </v>
      </c>
      <c r="K1122" s="28" t="str">
        <f>IF($C1122=""," ",[1]!i_pq_pctchange($C1122,K$6,$N$1))</f>
        <v xml:space="preserve"> </v>
      </c>
      <c r="L1122" s="28" t="str">
        <f>IF(C1122=""," ",[1]!s_wq_pctchange($C1122,$N$1))</f>
        <v xml:space="preserve"> </v>
      </c>
      <c r="M1122" s="28" t="str">
        <f>IF(C1122=""," ",[1]!s_mq_pctchange($C1122,$N$1))</f>
        <v xml:space="preserve"> </v>
      </c>
      <c r="N1122" s="28" t="str">
        <f>IF(C1122=""," ",[1]!s_yq_pctchange($C1122,$N$1))</f>
        <v xml:space="preserve"> </v>
      </c>
      <c r="O1122" s="11"/>
      <c r="P1122" s="7"/>
    </row>
    <row r="1123" spans="1:16" x14ac:dyDescent="0.35">
      <c r="A1123" s="7"/>
      <c r="C1123" s="30" t="str">
        <f>IF(指数列表!B1120="","",指数列表!B1120)</f>
        <v/>
      </c>
      <c r="D1123" s="35" t="str">
        <f>IF(C1123="","",[1]!s_info_name(C1123))</f>
        <v/>
      </c>
      <c r="E1123" s="24" t="str">
        <f>IF(C1123="","",[1]!s_dq_close(C1123,$N$1))</f>
        <v/>
      </c>
      <c r="F1123" s="28" t="str">
        <f>IF($C1123=""," ",[1]!i_pq_pctchange($C1123,F$6,$N$1))</f>
        <v xml:space="preserve"> </v>
      </c>
      <c r="G1123" s="28" t="str">
        <f>IF($C1123=""," ",[1]!i_pq_pctchange($C1123,G$6,$N$1))</f>
        <v xml:space="preserve"> </v>
      </c>
      <c r="H1123" s="28" t="str">
        <f>IF($C1123=""," ",[1]!i_pq_pctchange($C1123,H$6,$N$1))</f>
        <v xml:space="preserve"> </v>
      </c>
      <c r="I1123" s="28" t="str">
        <f>IF($C1123=""," ",[1]!i_pq_pctchange($C1123,I$6,$N$1))</f>
        <v xml:space="preserve"> </v>
      </c>
      <c r="J1123" s="28" t="str">
        <f>IF($C1123=""," ",[1]!i_pq_pctchange($C1123,J$6,$N$1))</f>
        <v xml:space="preserve"> </v>
      </c>
      <c r="K1123" s="28" t="str">
        <f>IF($C1123=""," ",[1]!i_pq_pctchange($C1123,K$6,$N$1))</f>
        <v xml:space="preserve"> </v>
      </c>
      <c r="L1123" s="28" t="str">
        <f>IF(C1123=""," ",[1]!s_wq_pctchange($C1123,$N$1))</f>
        <v xml:space="preserve"> </v>
      </c>
      <c r="M1123" s="28" t="str">
        <f>IF(C1123=""," ",[1]!s_mq_pctchange($C1123,$N$1))</f>
        <v xml:space="preserve"> </v>
      </c>
      <c r="N1123" s="28" t="str">
        <f>IF(C1123=""," ",[1]!s_yq_pctchange($C1123,$N$1))</f>
        <v xml:space="preserve"> </v>
      </c>
      <c r="O1123" s="11"/>
      <c r="P1123" s="7"/>
    </row>
    <row r="1124" spans="1:16" x14ac:dyDescent="0.35">
      <c r="A1124" s="7"/>
      <c r="C1124" s="31" t="str">
        <f>IF(指数列表!B1121="","",指数列表!B1121)</f>
        <v/>
      </c>
      <c r="D1124" s="36" t="str">
        <f>IF(C1124="","",[1]!s_info_name(C1124))</f>
        <v/>
      </c>
      <c r="E1124" s="25" t="str">
        <f>IF(C1124="","",[1]!s_dq_close(C1124,$N$1))</f>
        <v/>
      </c>
      <c r="F1124" s="28" t="str">
        <f>IF($C1124=""," ",[1]!i_pq_pctchange($C1124,F$6,$N$1))</f>
        <v xml:space="preserve"> </v>
      </c>
      <c r="G1124" s="28" t="str">
        <f>IF($C1124=""," ",[1]!i_pq_pctchange($C1124,G$6,$N$1))</f>
        <v xml:space="preserve"> </v>
      </c>
      <c r="H1124" s="28" t="str">
        <f>IF($C1124=""," ",[1]!i_pq_pctchange($C1124,H$6,$N$1))</f>
        <v xml:space="preserve"> </v>
      </c>
      <c r="I1124" s="28" t="str">
        <f>IF($C1124=""," ",[1]!i_pq_pctchange($C1124,I$6,$N$1))</f>
        <v xml:space="preserve"> </v>
      </c>
      <c r="J1124" s="28" t="str">
        <f>IF($C1124=""," ",[1]!i_pq_pctchange($C1124,J$6,$N$1))</f>
        <v xml:space="preserve"> </v>
      </c>
      <c r="K1124" s="28" t="str">
        <f>IF($C1124=""," ",[1]!i_pq_pctchange($C1124,K$6,$N$1))</f>
        <v xml:space="preserve"> </v>
      </c>
      <c r="L1124" s="28" t="str">
        <f>IF(C1124=""," ",[1]!s_wq_pctchange($C1124,$N$1))</f>
        <v xml:space="preserve"> </v>
      </c>
      <c r="M1124" s="28" t="str">
        <f>IF(C1124=""," ",[1]!s_mq_pctchange($C1124,$N$1))</f>
        <v xml:space="preserve"> </v>
      </c>
      <c r="N1124" s="28" t="str">
        <f>IF(C1124=""," ",[1]!s_yq_pctchange($C1124,$N$1))</f>
        <v xml:space="preserve"> </v>
      </c>
      <c r="O1124" s="11"/>
      <c r="P1124" s="7"/>
    </row>
    <row r="1125" spans="1:16" x14ac:dyDescent="0.35">
      <c r="A1125" s="7"/>
      <c r="C1125" s="30" t="str">
        <f>IF(指数列表!B1122="","",指数列表!B1122)</f>
        <v/>
      </c>
      <c r="D1125" s="35" t="str">
        <f>IF(C1125="","",[1]!s_info_name(C1125))</f>
        <v/>
      </c>
      <c r="E1125" s="24" t="str">
        <f>IF(C1125="","",[1]!s_dq_close(C1125,$N$1))</f>
        <v/>
      </c>
      <c r="F1125" s="28" t="str">
        <f>IF($C1125=""," ",[1]!i_pq_pctchange($C1125,F$6,$N$1))</f>
        <v xml:space="preserve"> </v>
      </c>
      <c r="G1125" s="28" t="str">
        <f>IF($C1125=""," ",[1]!i_pq_pctchange($C1125,G$6,$N$1))</f>
        <v xml:space="preserve"> </v>
      </c>
      <c r="H1125" s="28" t="str">
        <f>IF($C1125=""," ",[1]!i_pq_pctchange($C1125,H$6,$N$1))</f>
        <v xml:space="preserve"> </v>
      </c>
      <c r="I1125" s="28" t="str">
        <f>IF($C1125=""," ",[1]!i_pq_pctchange($C1125,I$6,$N$1))</f>
        <v xml:space="preserve"> </v>
      </c>
      <c r="J1125" s="28" t="str">
        <f>IF($C1125=""," ",[1]!i_pq_pctchange($C1125,J$6,$N$1))</f>
        <v xml:space="preserve"> </v>
      </c>
      <c r="K1125" s="28" t="str">
        <f>IF($C1125=""," ",[1]!i_pq_pctchange($C1125,K$6,$N$1))</f>
        <v xml:space="preserve"> </v>
      </c>
      <c r="L1125" s="28" t="str">
        <f>IF(C1125=""," ",[1]!s_wq_pctchange($C1125,$N$1))</f>
        <v xml:space="preserve"> </v>
      </c>
      <c r="M1125" s="28" t="str">
        <f>IF(C1125=""," ",[1]!s_mq_pctchange($C1125,$N$1))</f>
        <v xml:space="preserve"> </v>
      </c>
      <c r="N1125" s="28" t="str">
        <f>IF(C1125=""," ",[1]!s_yq_pctchange($C1125,$N$1))</f>
        <v xml:space="preserve"> </v>
      </c>
      <c r="O1125" s="11"/>
      <c r="P1125" s="7"/>
    </row>
    <row r="1126" spans="1:16" x14ac:dyDescent="0.35">
      <c r="A1126" s="7"/>
      <c r="C1126" s="31" t="str">
        <f>IF(指数列表!B1123="","",指数列表!B1123)</f>
        <v/>
      </c>
      <c r="D1126" s="36" t="str">
        <f>IF(C1126="","",[1]!s_info_name(C1126))</f>
        <v/>
      </c>
      <c r="E1126" s="25" t="str">
        <f>IF(C1126="","",[1]!s_dq_close(C1126,$N$1))</f>
        <v/>
      </c>
      <c r="F1126" s="28" t="str">
        <f>IF($C1126=""," ",[1]!i_pq_pctchange($C1126,F$6,$N$1))</f>
        <v xml:space="preserve"> </v>
      </c>
      <c r="G1126" s="28" t="str">
        <f>IF($C1126=""," ",[1]!i_pq_pctchange($C1126,G$6,$N$1))</f>
        <v xml:space="preserve"> </v>
      </c>
      <c r="H1126" s="28" t="str">
        <f>IF($C1126=""," ",[1]!i_pq_pctchange($C1126,H$6,$N$1))</f>
        <v xml:space="preserve"> </v>
      </c>
      <c r="I1126" s="28" t="str">
        <f>IF($C1126=""," ",[1]!i_pq_pctchange($C1126,I$6,$N$1))</f>
        <v xml:space="preserve"> </v>
      </c>
      <c r="J1126" s="28" t="str">
        <f>IF($C1126=""," ",[1]!i_pq_pctchange($C1126,J$6,$N$1))</f>
        <v xml:space="preserve"> </v>
      </c>
      <c r="K1126" s="28" t="str">
        <f>IF($C1126=""," ",[1]!i_pq_pctchange($C1126,K$6,$N$1))</f>
        <v xml:space="preserve"> </v>
      </c>
      <c r="L1126" s="28" t="str">
        <f>IF(C1126=""," ",[1]!s_wq_pctchange($C1126,$N$1))</f>
        <v xml:space="preserve"> </v>
      </c>
      <c r="M1126" s="28" t="str">
        <f>IF(C1126=""," ",[1]!s_mq_pctchange($C1126,$N$1))</f>
        <v xml:space="preserve"> </v>
      </c>
      <c r="N1126" s="28" t="str">
        <f>IF(C1126=""," ",[1]!s_yq_pctchange($C1126,$N$1))</f>
        <v xml:space="preserve"> </v>
      </c>
      <c r="O1126" s="11"/>
      <c r="P1126" s="7"/>
    </row>
    <row r="1127" spans="1:16" x14ac:dyDescent="0.35">
      <c r="A1127" s="7"/>
      <c r="C1127" s="30" t="str">
        <f>IF(指数列表!B1124="","",指数列表!B1124)</f>
        <v/>
      </c>
      <c r="D1127" s="35" t="str">
        <f>IF(C1127="","",[1]!s_info_name(C1127))</f>
        <v/>
      </c>
      <c r="E1127" s="24" t="str">
        <f>IF(C1127="","",[1]!s_dq_close(C1127,$N$1))</f>
        <v/>
      </c>
      <c r="F1127" s="28" t="str">
        <f>IF($C1127=""," ",[1]!i_pq_pctchange($C1127,F$6,$N$1))</f>
        <v xml:space="preserve"> </v>
      </c>
      <c r="G1127" s="28" t="str">
        <f>IF($C1127=""," ",[1]!i_pq_pctchange($C1127,G$6,$N$1))</f>
        <v xml:space="preserve"> </v>
      </c>
      <c r="H1127" s="28" t="str">
        <f>IF($C1127=""," ",[1]!i_pq_pctchange($C1127,H$6,$N$1))</f>
        <v xml:space="preserve"> </v>
      </c>
      <c r="I1127" s="28" t="str">
        <f>IF($C1127=""," ",[1]!i_pq_pctchange($C1127,I$6,$N$1))</f>
        <v xml:space="preserve"> </v>
      </c>
      <c r="J1127" s="28" t="str">
        <f>IF($C1127=""," ",[1]!i_pq_pctchange($C1127,J$6,$N$1))</f>
        <v xml:space="preserve"> </v>
      </c>
      <c r="K1127" s="28" t="str">
        <f>IF($C1127=""," ",[1]!i_pq_pctchange($C1127,K$6,$N$1))</f>
        <v xml:space="preserve"> </v>
      </c>
      <c r="L1127" s="28" t="str">
        <f>IF(C1127=""," ",[1]!s_wq_pctchange($C1127,$N$1))</f>
        <v xml:space="preserve"> </v>
      </c>
      <c r="M1127" s="28" t="str">
        <f>IF(C1127=""," ",[1]!s_mq_pctchange($C1127,$N$1))</f>
        <v xml:space="preserve"> </v>
      </c>
      <c r="N1127" s="28" t="str">
        <f>IF(C1127=""," ",[1]!s_yq_pctchange($C1127,$N$1))</f>
        <v xml:space="preserve"> </v>
      </c>
      <c r="O1127" s="11"/>
      <c r="P1127" s="7"/>
    </row>
    <row r="1128" spans="1:16" x14ac:dyDescent="0.35">
      <c r="A1128" s="7"/>
      <c r="C1128" s="31" t="str">
        <f>IF(指数列表!B1125="","",指数列表!B1125)</f>
        <v/>
      </c>
      <c r="D1128" s="36" t="str">
        <f>IF(C1128="","",[1]!s_info_name(C1128))</f>
        <v/>
      </c>
      <c r="E1128" s="25" t="str">
        <f>IF(C1128="","",[1]!s_dq_close(C1128,$N$1))</f>
        <v/>
      </c>
      <c r="F1128" s="28" t="str">
        <f>IF($C1128=""," ",[1]!i_pq_pctchange($C1128,F$6,$N$1))</f>
        <v xml:space="preserve"> </v>
      </c>
      <c r="G1128" s="28" t="str">
        <f>IF($C1128=""," ",[1]!i_pq_pctchange($C1128,G$6,$N$1))</f>
        <v xml:space="preserve"> </v>
      </c>
      <c r="H1128" s="28" t="str">
        <f>IF($C1128=""," ",[1]!i_pq_pctchange($C1128,H$6,$N$1))</f>
        <v xml:space="preserve"> </v>
      </c>
      <c r="I1128" s="28" t="str">
        <f>IF($C1128=""," ",[1]!i_pq_pctchange($C1128,I$6,$N$1))</f>
        <v xml:space="preserve"> </v>
      </c>
      <c r="J1128" s="28" t="str">
        <f>IF($C1128=""," ",[1]!i_pq_pctchange($C1128,J$6,$N$1))</f>
        <v xml:space="preserve"> </v>
      </c>
      <c r="K1128" s="28" t="str">
        <f>IF($C1128=""," ",[1]!i_pq_pctchange($C1128,K$6,$N$1))</f>
        <v xml:space="preserve"> </v>
      </c>
      <c r="L1128" s="28" t="str">
        <f>IF(C1128=""," ",[1]!s_wq_pctchange($C1128,$N$1))</f>
        <v xml:space="preserve"> </v>
      </c>
      <c r="M1128" s="28" t="str">
        <f>IF(C1128=""," ",[1]!s_mq_pctchange($C1128,$N$1))</f>
        <v xml:space="preserve"> </v>
      </c>
      <c r="N1128" s="28" t="str">
        <f>IF(C1128=""," ",[1]!s_yq_pctchange($C1128,$N$1))</f>
        <v xml:space="preserve"> </v>
      </c>
      <c r="O1128" s="11"/>
      <c r="P1128" s="7"/>
    </row>
    <row r="1129" spans="1:16" x14ac:dyDescent="0.35">
      <c r="A1129" s="7"/>
      <c r="C1129" s="30" t="str">
        <f>IF(指数列表!B1126="","",指数列表!B1126)</f>
        <v/>
      </c>
      <c r="D1129" s="35" t="str">
        <f>IF(C1129="","",[1]!s_info_name(C1129))</f>
        <v/>
      </c>
      <c r="E1129" s="24" t="str">
        <f>IF(C1129="","",[1]!s_dq_close(C1129,$N$1))</f>
        <v/>
      </c>
      <c r="F1129" s="28" t="str">
        <f>IF($C1129=""," ",[1]!i_pq_pctchange($C1129,F$6,$N$1))</f>
        <v xml:space="preserve"> </v>
      </c>
      <c r="G1129" s="28" t="str">
        <f>IF($C1129=""," ",[1]!i_pq_pctchange($C1129,G$6,$N$1))</f>
        <v xml:space="preserve"> </v>
      </c>
      <c r="H1129" s="28" t="str">
        <f>IF($C1129=""," ",[1]!i_pq_pctchange($C1129,H$6,$N$1))</f>
        <v xml:space="preserve"> </v>
      </c>
      <c r="I1129" s="28" t="str">
        <f>IF($C1129=""," ",[1]!i_pq_pctchange($C1129,I$6,$N$1))</f>
        <v xml:space="preserve"> </v>
      </c>
      <c r="J1129" s="28" t="str">
        <f>IF($C1129=""," ",[1]!i_pq_pctchange($C1129,J$6,$N$1))</f>
        <v xml:space="preserve"> </v>
      </c>
      <c r="K1129" s="28" t="str">
        <f>IF($C1129=""," ",[1]!i_pq_pctchange($C1129,K$6,$N$1))</f>
        <v xml:space="preserve"> </v>
      </c>
      <c r="L1129" s="28" t="str">
        <f>IF(C1129=""," ",[1]!s_wq_pctchange($C1129,$N$1))</f>
        <v xml:space="preserve"> </v>
      </c>
      <c r="M1129" s="28" t="str">
        <f>IF(C1129=""," ",[1]!s_mq_pctchange($C1129,$N$1))</f>
        <v xml:space="preserve"> </v>
      </c>
      <c r="N1129" s="28" t="str">
        <f>IF(C1129=""," ",[1]!s_yq_pctchange($C1129,$N$1))</f>
        <v xml:space="preserve"> </v>
      </c>
      <c r="O1129" s="11"/>
      <c r="P1129" s="7"/>
    </row>
    <row r="1130" spans="1:16" x14ac:dyDescent="0.35">
      <c r="A1130" s="7"/>
      <c r="C1130" s="31" t="str">
        <f>IF(指数列表!B1127="","",指数列表!B1127)</f>
        <v/>
      </c>
      <c r="D1130" s="36" t="str">
        <f>IF(C1130="","",[1]!s_info_name(C1130))</f>
        <v/>
      </c>
      <c r="E1130" s="25" t="str">
        <f>IF(C1130="","",[1]!s_dq_close(C1130,$N$1))</f>
        <v/>
      </c>
      <c r="F1130" s="28" t="str">
        <f>IF($C1130=""," ",[1]!i_pq_pctchange($C1130,F$6,$N$1))</f>
        <v xml:space="preserve"> </v>
      </c>
      <c r="G1130" s="28" t="str">
        <f>IF($C1130=""," ",[1]!i_pq_pctchange($C1130,G$6,$N$1))</f>
        <v xml:space="preserve"> </v>
      </c>
      <c r="H1130" s="28" t="str">
        <f>IF($C1130=""," ",[1]!i_pq_pctchange($C1130,H$6,$N$1))</f>
        <v xml:space="preserve"> </v>
      </c>
      <c r="I1130" s="28" t="str">
        <f>IF($C1130=""," ",[1]!i_pq_pctchange($C1130,I$6,$N$1))</f>
        <v xml:space="preserve"> </v>
      </c>
      <c r="J1130" s="28" t="str">
        <f>IF($C1130=""," ",[1]!i_pq_pctchange($C1130,J$6,$N$1))</f>
        <v xml:space="preserve"> </v>
      </c>
      <c r="K1130" s="28" t="str">
        <f>IF($C1130=""," ",[1]!i_pq_pctchange($C1130,K$6,$N$1))</f>
        <v xml:space="preserve"> </v>
      </c>
      <c r="L1130" s="28" t="str">
        <f>IF(C1130=""," ",[1]!s_wq_pctchange($C1130,$N$1))</f>
        <v xml:space="preserve"> </v>
      </c>
      <c r="M1130" s="28" t="str">
        <f>IF(C1130=""," ",[1]!s_mq_pctchange($C1130,$N$1))</f>
        <v xml:space="preserve"> </v>
      </c>
      <c r="N1130" s="28" t="str">
        <f>IF(C1130=""," ",[1]!s_yq_pctchange($C1130,$N$1))</f>
        <v xml:space="preserve"> </v>
      </c>
      <c r="O1130" s="11"/>
      <c r="P1130" s="7"/>
    </row>
    <row r="1131" spans="1:16" x14ac:dyDescent="0.35">
      <c r="A1131" s="7"/>
      <c r="C1131" s="30" t="str">
        <f>IF(指数列表!B1128="","",指数列表!B1128)</f>
        <v/>
      </c>
      <c r="D1131" s="35" t="str">
        <f>IF(C1131="","",[1]!s_info_name(C1131))</f>
        <v/>
      </c>
      <c r="E1131" s="24" t="str">
        <f>IF(C1131="","",[1]!s_dq_close(C1131,$N$1))</f>
        <v/>
      </c>
      <c r="F1131" s="28" t="str">
        <f>IF($C1131=""," ",[1]!i_pq_pctchange($C1131,F$6,$N$1))</f>
        <v xml:space="preserve"> </v>
      </c>
      <c r="G1131" s="28" t="str">
        <f>IF($C1131=""," ",[1]!i_pq_pctchange($C1131,G$6,$N$1))</f>
        <v xml:space="preserve"> </v>
      </c>
      <c r="H1131" s="28" t="str">
        <f>IF($C1131=""," ",[1]!i_pq_pctchange($C1131,H$6,$N$1))</f>
        <v xml:space="preserve"> </v>
      </c>
      <c r="I1131" s="28" t="str">
        <f>IF($C1131=""," ",[1]!i_pq_pctchange($C1131,I$6,$N$1))</f>
        <v xml:space="preserve"> </v>
      </c>
      <c r="J1131" s="28" t="str">
        <f>IF($C1131=""," ",[1]!i_pq_pctchange($C1131,J$6,$N$1))</f>
        <v xml:space="preserve"> </v>
      </c>
      <c r="K1131" s="28" t="str">
        <f>IF($C1131=""," ",[1]!i_pq_pctchange($C1131,K$6,$N$1))</f>
        <v xml:space="preserve"> </v>
      </c>
      <c r="L1131" s="28" t="str">
        <f>IF(C1131=""," ",[1]!s_wq_pctchange($C1131,$N$1))</f>
        <v xml:space="preserve"> </v>
      </c>
      <c r="M1131" s="28" t="str">
        <f>IF(C1131=""," ",[1]!s_mq_pctchange($C1131,$N$1))</f>
        <v xml:space="preserve"> </v>
      </c>
      <c r="N1131" s="28" t="str">
        <f>IF(C1131=""," ",[1]!s_yq_pctchange($C1131,$N$1))</f>
        <v xml:space="preserve"> </v>
      </c>
      <c r="O1131" s="11"/>
      <c r="P1131" s="7"/>
    </row>
    <row r="1132" spans="1:16" x14ac:dyDescent="0.35">
      <c r="A1132" s="7"/>
      <c r="C1132" s="31" t="str">
        <f>IF(指数列表!B1129="","",指数列表!B1129)</f>
        <v/>
      </c>
      <c r="D1132" s="36" t="str">
        <f>IF(C1132="","",[1]!s_info_name(C1132))</f>
        <v/>
      </c>
      <c r="E1132" s="25" t="str">
        <f>IF(C1132="","",[1]!s_dq_close(C1132,$N$1))</f>
        <v/>
      </c>
      <c r="F1132" s="28" t="str">
        <f>IF($C1132=""," ",[1]!i_pq_pctchange($C1132,F$6,$N$1))</f>
        <v xml:space="preserve"> </v>
      </c>
      <c r="G1132" s="28" t="str">
        <f>IF($C1132=""," ",[1]!i_pq_pctchange($C1132,G$6,$N$1))</f>
        <v xml:space="preserve"> </v>
      </c>
      <c r="H1132" s="28" t="str">
        <f>IF($C1132=""," ",[1]!i_pq_pctchange($C1132,H$6,$N$1))</f>
        <v xml:space="preserve"> </v>
      </c>
      <c r="I1132" s="28" t="str">
        <f>IF($C1132=""," ",[1]!i_pq_pctchange($C1132,I$6,$N$1))</f>
        <v xml:space="preserve"> </v>
      </c>
      <c r="J1132" s="28" t="str">
        <f>IF($C1132=""," ",[1]!i_pq_pctchange($C1132,J$6,$N$1))</f>
        <v xml:space="preserve"> </v>
      </c>
      <c r="K1132" s="28" t="str">
        <f>IF($C1132=""," ",[1]!i_pq_pctchange($C1132,K$6,$N$1))</f>
        <v xml:space="preserve"> </v>
      </c>
      <c r="L1132" s="28" t="str">
        <f>IF(C1132=""," ",[1]!s_wq_pctchange($C1132,$N$1))</f>
        <v xml:space="preserve"> </v>
      </c>
      <c r="M1132" s="28" t="str">
        <f>IF(C1132=""," ",[1]!s_mq_pctchange($C1132,$N$1))</f>
        <v xml:space="preserve"> </v>
      </c>
      <c r="N1132" s="28" t="str">
        <f>IF(C1132=""," ",[1]!s_yq_pctchange($C1132,$N$1))</f>
        <v xml:space="preserve"> </v>
      </c>
      <c r="O1132" s="11"/>
      <c r="P1132" s="7"/>
    </row>
    <row r="1133" spans="1:16" x14ac:dyDescent="0.35">
      <c r="A1133" s="7"/>
      <c r="C1133" s="30" t="str">
        <f>IF(指数列表!B1130="","",指数列表!B1130)</f>
        <v/>
      </c>
      <c r="D1133" s="35" t="str">
        <f>IF(C1133="","",[1]!s_info_name(C1133))</f>
        <v/>
      </c>
      <c r="E1133" s="24" t="str">
        <f>IF(C1133="","",[1]!s_dq_close(C1133,$N$1))</f>
        <v/>
      </c>
      <c r="F1133" s="28" t="str">
        <f>IF($C1133=""," ",[1]!i_pq_pctchange($C1133,F$6,$N$1))</f>
        <v xml:space="preserve"> </v>
      </c>
      <c r="G1133" s="28" t="str">
        <f>IF($C1133=""," ",[1]!i_pq_pctchange($C1133,G$6,$N$1))</f>
        <v xml:space="preserve"> </v>
      </c>
      <c r="H1133" s="28" t="str">
        <f>IF($C1133=""," ",[1]!i_pq_pctchange($C1133,H$6,$N$1))</f>
        <v xml:space="preserve"> </v>
      </c>
      <c r="I1133" s="28" t="str">
        <f>IF($C1133=""," ",[1]!i_pq_pctchange($C1133,I$6,$N$1))</f>
        <v xml:space="preserve"> </v>
      </c>
      <c r="J1133" s="28" t="str">
        <f>IF($C1133=""," ",[1]!i_pq_pctchange($C1133,J$6,$N$1))</f>
        <v xml:space="preserve"> </v>
      </c>
      <c r="K1133" s="28" t="str">
        <f>IF($C1133=""," ",[1]!i_pq_pctchange($C1133,K$6,$N$1))</f>
        <v xml:space="preserve"> </v>
      </c>
      <c r="L1133" s="28" t="str">
        <f>IF(C1133=""," ",[1]!s_wq_pctchange($C1133,$N$1))</f>
        <v xml:space="preserve"> </v>
      </c>
      <c r="M1133" s="28" t="str">
        <f>IF(C1133=""," ",[1]!s_mq_pctchange($C1133,$N$1))</f>
        <v xml:space="preserve"> </v>
      </c>
      <c r="N1133" s="28" t="str">
        <f>IF(C1133=""," ",[1]!s_yq_pctchange($C1133,$N$1))</f>
        <v xml:space="preserve"> </v>
      </c>
      <c r="O1133" s="11"/>
      <c r="P1133" s="7"/>
    </row>
    <row r="1134" spans="1:16" x14ac:dyDescent="0.35">
      <c r="A1134" s="7"/>
      <c r="C1134" s="31" t="str">
        <f>IF(指数列表!B1131="","",指数列表!B1131)</f>
        <v/>
      </c>
      <c r="D1134" s="36" t="str">
        <f>IF(C1134="","",[1]!s_info_name(C1134))</f>
        <v/>
      </c>
      <c r="E1134" s="25" t="str">
        <f>IF(C1134="","",[1]!s_dq_close(C1134,$N$1))</f>
        <v/>
      </c>
      <c r="F1134" s="28" t="str">
        <f>IF($C1134=""," ",[1]!i_pq_pctchange($C1134,F$6,$N$1))</f>
        <v xml:space="preserve"> </v>
      </c>
      <c r="G1134" s="28" t="str">
        <f>IF($C1134=""," ",[1]!i_pq_pctchange($C1134,G$6,$N$1))</f>
        <v xml:space="preserve"> </v>
      </c>
      <c r="H1134" s="28" t="str">
        <f>IF($C1134=""," ",[1]!i_pq_pctchange($C1134,H$6,$N$1))</f>
        <v xml:space="preserve"> </v>
      </c>
      <c r="I1134" s="28" t="str">
        <f>IF($C1134=""," ",[1]!i_pq_pctchange($C1134,I$6,$N$1))</f>
        <v xml:space="preserve"> </v>
      </c>
      <c r="J1134" s="28" t="str">
        <f>IF($C1134=""," ",[1]!i_pq_pctchange($C1134,J$6,$N$1))</f>
        <v xml:space="preserve"> </v>
      </c>
      <c r="K1134" s="28" t="str">
        <f>IF($C1134=""," ",[1]!i_pq_pctchange($C1134,K$6,$N$1))</f>
        <v xml:space="preserve"> </v>
      </c>
      <c r="L1134" s="28" t="str">
        <f>IF(C1134=""," ",[1]!s_wq_pctchange($C1134,$N$1))</f>
        <v xml:space="preserve"> </v>
      </c>
      <c r="M1134" s="28" t="str">
        <f>IF(C1134=""," ",[1]!s_mq_pctchange($C1134,$N$1))</f>
        <v xml:space="preserve"> </v>
      </c>
      <c r="N1134" s="28" t="str">
        <f>IF(C1134=""," ",[1]!s_yq_pctchange($C1134,$N$1))</f>
        <v xml:space="preserve"> </v>
      </c>
      <c r="O1134" s="11"/>
      <c r="P1134" s="7"/>
    </row>
    <row r="1135" spans="1:16" x14ac:dyDescent="0.35">
      <c r="A1135" s="7"/>
      <c r="C1135" s="30" t="str">
        <f>IF(指数列表!B1132="","",指数列表!B1132)</f>
        <v/>
      </c>
      <c r="D1135" s="35" t="str">
        <f>IF(C1135="","",[1]!s_info_name(C1135))</f>
        <v/>
      </c>
      <c r="E1135" s="24" t="str">
        <f>IF(C1135="","",[1]!s_dq_close(C1135,$N$1))</f>
        <v/>
      </c>
      <c r="F1135" s="28" t="str">
        <f>IF($C1135=""," ",[1]!i_pq_pctchange($C1135,F$6,$N$1))</f>
        <v xml:space="preserve"> </v>
      </c>
      <c r="G1135" s="28" t="str">
        <f>IF($C1135=""," ",[1]!i_pq_pctchange($C1135,G$6,$N$1))</f>
        <v xml:space="preserve"> </v>
      </c>
      <c r="H1135" s="28" t="str">
        <f>IF($C1135=""," ",[1]!i_pq_pctchange($C1135,H$6,$N$1))</f>
        <v xml:space="preserve"> </v>
      </c>
      <c r="I1135" s="28" t="str">
        <f>IF($C1135=""," ",[1]!i_pq_pctchange($C1135,I$6,$N$1))</f>
        <v xml:space="preserve"> </v>
      </c>
      <c r="J1135" s="28" t="str">
        <f>IF($C1135=""," ",[1]!i_pq_pctchange($C1135,J$6,$N$1))</f>
        <v xml:space="preserve"> </v>
      </c>
      <c r="K1135" s="28" t="str">
        <f>IF($C1135=""," ",[1]!i_pq_pctchange($C1135,K$6,$N$1))</f>
        <v xml:space="preserve"> </v>
      </c>
      <c r="L1135" s="28" t="str">
        <f>IF(C1135=""," ",[1]!s_wq_pctchange($C1135,$N$1))</f>
        <v xml:space="preserve"> </v>
      </c>
      <c r="M1135" s="28" t="str">
        <f>IF(C1135=""," ",[1]!s_mq_pctchange($C1135,$N$1))</f>
        <v xml:space="preserve"> </v>
      </c>
      <c r="N1135" s="28" t="str">
        <f>IF(C1135=""," ",[1]!s_yq_pctchange($C1135,$N$1))</f>
        <v xml:space="preserve"> </v>
      </c>
      <c r="O1135" s="11"/>
      <c r="P1135" s="7"/>
    </row>
    <row r="1136" spans="1:16" x14ac:dyDescent="0.35">
      <c r="A1136" s="7"/>
      <c r="C1136" s="31" t="str">
        <f>IF(指数列表!B1133="","",指数列表!B1133)</f>
        <v/>
      </c>
      <c r="D1136" s="36" t="str">
        <f>IF(C1136="","",[1]!s_info_name(C1136))</f>
        <v/>
      </c>
      <c r="E1136" s="25" t="str">
        <f>IF(C1136="","",[1]!s_dq_close(C1136,$N$1))</f>
        <v/>
      </c>
      <c r="F1136" s="28" t="str">
        <f>IF($C1136=""," ",[1]!i_pq_pctchange($C1136,F$6,$N$1))</f>
        <v xml:space="preserve"> </v>
      </c>
      <c r="G1136" s="28" t="str">
        <f>IF($C1136=""," ",[1]!i_pq_pctchange($C1136,G$6,$N$1))</f>
        <v xml:space="preserve"> </v>
      </c>
      <c r="H1136" s="28" t="str">
        <f>IF($C1136=""," ",[1]!i_pq_pctchange($C1136,H$6,$N$1))</f>
        <v xml:space="preserve"> </v>
      </c>
      <c r="I1136" s="28" t="str">
        <f>IF($C1136=""," ",[1]!i_pq_pctchange($C1136,I$6,$N$1))</f>
        <v xml:space="preserve"> </v>
      </c>
      <c r="J1136" s="28" t="str">
        <f>IF($C1136=""," ",[1]!i_pq_pctchange($C1136,J$6,$N$1))</f>
        <v xml:space="preserve"> </v>
      </c>
      <c r="K1136" s="28" t="str">
        <f>IF($C1136=""," ",[1]!i_pq_pctchange($C1136,K$6,$N$1))</f>
        <v xml:space="preserve"> </v>
      </c>
      <c r="L1136" s="28" t="str">
        <f>IF(C1136=""," ",[1]!s_wq_pctchange($C1136,$N$1))</f>
        <v xml:space="preserve"> </v>
      </c>
      <c r="M1136" s="28" t="str">
        <f>IF(C1136=""," ",[1]!s_mq_pctchange($C1136,$N$1))</f>
        <v xml:space="preserve"> </v>
      </c>
      <c r="N1136" s="28" t="str">
        <f>IF(C1136=""," ",[1]!s_yq_pctchange($C1136,$N$1))</f>
        <v xml:space="preserve"> </v>
      </c>
      <c r="O1136" s="11"/>
      <c r="P1136" s="7"/>
    </row>
    <row r="1137" spans="1:16" x14ac:dyDescent="0.35">
      <c r="A1137" s="7"/>
      <c r="C1137" s="30" t="str">
        <f>IF(指数列表!B1134="","",指数列表!B1134)</f>
        <v/>
      </c>
      <c r="D1137" s="35" t="str">
        <f>IF(C1137="","",[1]!s_info_name(C1137))</f>
        <v/>
      </c>
      <c r="E1137" s="24" t="str">
        <f>IF(C1137="","",[1]!s_dq_close(C1137,$N$1))</f>
        <v/>
      </c>
      <c r="F1137" s="28" t="str">
        <f>IF($C1137=""," ",[1]!i_pq_pctchange($C1137,F$6,$N$1))</f>
        <v xml:space="preserve"> </v>
      </c>
      <c r="G1137" s="28" t="str">
        <f>IF($C1137=""," ",[1]!i_pq_pctchange($C1137,G$6,$N$1))</f>
        <v xml:space="preserve"> </v>
      </c>
      <c r="H1137" s="28" t="str">
        <f>IF($C1137=""," ",[1]!i_pq_pctchange($C1137,H$6,$N$1))</f>
        <v xml:space="preserve"> </v>
      </c>
      <c r="I1137" s="28" t="str">
        <f>IF($C1137=""," ",[1]!i_pq_pctchange($C1137,I$6,$N$1))</f>
        <v xml:space="preserve"> </v>
      </c>
      <c r="J1137" s="28" t="str">
        <f>IF($C1137=""," ",[1]!i_pq_pctchange($C1137,J$6,$N$1))</f>
        <v xml:space="preserve"> </v>
      </c>
      <c r="K1137" s="28" t="str">
        <f>IF($C1137=""," ",[1]!i_pq_pctchange($C1137,K$6,$N$1))</f>
        <v xml:space="preserve"> </v>
      </c>
      <c r="L1137" s="28" t="str">
        <f>IF(C1137=""," ",[1]!s_wq_pctchange($C1137,$N$1))</f>
        <v xml:space="preserve"> </v>
      </c>
      <c r="M1137" s="28" t="str">
        <f>IF(C1137=""," ",[1]!s_mq_pctchange($C1137,$N$1))</f>
        <v xml:space="preserve"> </v>
      </c>
      <c r="N1137" s="28" t="str">
        <f>IF(C1137=""," ",[1]!s_yq_pctchange($C1137,$N$1))</f>
        <v xml:space="preserve"> </v>
      </c>
      <c r="O1137" s="11"/>
      <c r="P1137" s="7"/>
    </row>
    <row r="1138" spans="1:16" x14ac:dyDescent="0.35">
      <c r="A1138" s="7"/>
      <c r="C1138" s="31" t="str">
        <f>IF(指数列表!B1135="","",指数列表!B1135)</f>
        <v/>
      </c>
      <c r="D1138" s="36" t="str">
        <f>IF(C1138="","",[1]!s_info_name(C1138))</f>
        <v/>
      </c>
      <c r="E1138" s="25" t="str">
        <f>IF(C1138="","",[1]!s_dq_close(C1138,$N$1))</f>
        <v/>
      </c>
      <c r="F1138" s="28" t="str">
        <f>IF($C1138=""," ",[1]!i_pq_pctchange($C1138,F$6,$N$1))</f>
        <v xml:space="preserve"> </v>
      </c>
      <c r="G1138" s="28" t="str">
        <f>IF($C1138=""," ",[1]!i_pq_pctchange($C1138,G$6,$N$1))</f>
        <v xml:space="preserve"> </v>
      </c>
      <c r="H1138" s="28" t="str">
        <f>IF($C1138=""," ",[1]!i_pq_pctchange($C1138,H$6,$N$1))</f>
        <v xml:space="preserve"> </v>
      </c>
      <c r="I1138" s="28" t="str">
        <f>IF($C1138=""," ",[1]!i_pq_pctchange($C1138,I$6,$N$1))</f>
        <v xml:space="preserve"> </v>
      </c>
      <c r="J1138" s="28" t="str">
        <f>IF($C1138=""," ",[1]!i_pq_pctchange($C1138,J$6,$N$1))</f>
        <v xml:space="preserve"> </v>
      </c>
      <c r="K1138" s="28" t="str">
        <f>IF($C1138=""," ",[1]!i_pq_pctchange($C1138,K$6,$N$1))</f>
        <v xml:space="preserve"> </v>
      </c>
      <c r="L1138" s="28" t="str">
        <f>IF(C1138=""," ",[1]!s_wq_pctchange($C1138,$N$1))</f>
        <v xml:space="preserve"> </v>
      </c>
      <c r="M1138" s="28" t="str">
        <f>IF(C1138=""," ",[1]!s_mq_pctchange($C1138,$N$1))</f>
        <v xml:space="preserve"> </v>
      </c>
      <c r="N1138" s="28" t="str">
        <f>IF(C1138=""," ",[1]!s_yq_pctchange($C1138,$N$1))</f>
        <v xml:space="preserve"> </v>
      </c>
      <c r="O1138" s="11"/>
      <c r="P1138" s="7"/>
    </row>
    <row r="1139" spans="1:16" x14ac:dyDescent="0.35">
      <c r="A1139" s="7"/>
      <c r="C1139" s="30" t="str">
        <f>IF(指数列表!B1136="","",指数列表!B1136)</f>
        <v/>
      </c>
      <c r="D1139" s="35" t="str">
        <f>IF(C1139="","",[1]!s_info_name(C1139))</f>
        <v/>
      </c>
      <c r="E1139" s="24" t="str">
        <f>IF(C1139="","",[1]!s_dq_close(C1139,$N$1))</f>
        <v/>
      </c>
      <c r="F1139" s="28" t="str">
        <f>IF($C1139=""," ",[1]!i_pq_pctchange($C1139,F$6,$N$1))</f>
        <v xml:space="preserve"> </v>
      </c>
      <c r="G1139" s="28" t="str">
        <f>IF($C1139=""," ",[1]!i_pq_pctchange($C1139,G$6,$N$1))</f>
        <v xml:space="preserve"> </v>
      </c>
      <c r="H1139" s="28" t="str">
        <f>IF($C1139=""," ",[1]!i_pq_pctchange($C1139,H$6,$N$1))</f>
        <v xml:space="preserve"> </v>
      </c>
      <c r="I1139" s="28" t="str">
        <f>IF($C1139=""," ",[1]!i_pq_pctchange($C1139,I$6,$N$1))</f>
        <v xml:space="preserve"> </v>
      </c>
      <c r="J1139" s="28" t="str">
        <f>IF($C1139=""," ",[1]!i_pq_pctchange($C1139,J$6,$N$1))</f>
        <v xml:space="preserve"> </v>
      </c>
      <c r="K1139" s="28" t="str">
        <f>IF($C1139=""," ",[1]!i_pq_pctchange($C1139,K$6,$N$1))</f>
        <v xml:space="preserve"> </v>
      </c>
      <c r="L1139" s="28" t="str">
        <f>IF(C1139=""," ",[1]!s_wq_pctchange($C1139,$N$1))</f>
        <v xml:space="preserve"> </v>
      </c>
      <c r="M1139" s="28" t="str">
        <f>IF(C1139=""," ",[1]!s_mq_pctchange($C1139,$N$1))</f>
        <v xml:space="preserve"> </v>
      </c>
      <c r="N1139" s="28" t="str">
        <f>IF(C1139=""," ",[1]!s_yq_pctchange($C1139,$N$1))</f>
        <v xml:space="preserve"> </v>
      </c>
      <c r="O1139" s="11"/>
      <c r="P1139" s="7"/>
    </row>
    <row r="1140" spans="1:16" x14ac:dyDescent="0.35">
      <c r="A1140" s="7"/>
      <c r="C1140" s="31" t="str">
        <f>IF(指数列表!B1137="","",指数列表!B1137)</f>
        <v/>
      </c>
      <c r="D1140" s="36" t="str">
        <f>IF(C1140="","",[1]!s_info_name(C1140))</f>
        <v/>
      </c>
      <c r="E1140" s="25" t="str">
        <f>IF(C1140="","",[1]!s_dq_close(C1140,$N$1))</f>
        <v/>
      </c>
      <c r="F1140" s="28" t="str">
        <f>IF($C1140=""," ",[1]!i_pq_pctchange($C1140,F$6,$N$1))</f>
        <v xml:space="preserve"> </v>
      </c>
      <c r="G1140" s="28" t="str">
        <f>IF($C1140=""," ",[1]!i_pq_pctchange($C1140,G$6,$N$1))</f>
        <v xml:space="preserve"> </v>
      </c>
      <c r="H1140" s="28" t="str">
        <f>IF($C1140=""," ",[1]!i_pq_pctchange($C1140,H$6,$N$1))</f>
        <v xml:space="preserve"> </v>
      </c>
      <c r="I1140" s="28" t="str">
        <f>IF($C1140=""," ",[1]!i_pq_pctchange($C1140,I$6,$N$1))</f>
        <v xml:space="preserve"> </v>
      </c>
      <c r="J1140" s="28" t="str">
        <f>IF($C1140=""," ",[1]!i_pq_pctchange($C1140,J$6,$N$1))</f>
        <v xml:space="preserve"> </v>
      </c>
      <c r="K1140" s="28" t="str">
        <f>IF($C1140=""," ",[1]!i_pq_pctchange($C1140,K$6,$N$1))</f>
        <v xml:space="preserve"> </v>
      </c>
      <c r="L1140" s="28" t="str">
        <f>IF(C1140=""," ",[1]!s_wq_pctchange($C1140,$N$1))</f>
        <v xml:space="preserve"> </v>
      </c>
      <c r="M1140" s="28" t="str">
        <f>IF(C1140=""," ",[1]!s_mq_pctchange($C1140,$N$1))</f>
        <v xml:space="preserve"> </v>
      </c>
      <c r="N1140" s="28" t="str">
        <f>IF(C1140=""," ",[1]!s_yq_pctchange($C1140,$N$1))</f>
        <v xml:space="preserve"> </v>
      </c>
      <c r="O1140" s="11"/>
      <c r="P1140" s="7"/>
    </row>
    <row r="1141" spans="1:16" x14ac:dyDescent="0.35">
      <c r="A1141" s="7"/>
      <c r="C1141" s="30" t="str">
        <f>IF(指数列表!B1138="","",指数列表!B1138)</f>
        <v/>
      </c>
      <c r="D1141" s="35" t="str">
        <f>IF(C1141="","",[1]!s_info_name(C1141))</f>
        <v/>
      </c>
      <c r="E1141" s="24" t="str">
        <f>IF(C1141="","",[1]!s_dq_close(C1141,$N$1))</f>
        <v/>
      </c>
      <c r="F1141" s="28" t="str">
        <f>IF($C1141=""," ",[1]!i_pq_pctchange($C1141,F$6,$N$1))</f>
        <v xml:space="preserve"> </v>
      </c>
      <c r="G1141" s="28" t="str">
        <f>IF($C1141=""," ",[1]!i_pq_pctchange($C1141,G$6,$N$1))</f>
        <v xml:space="preserve"> </v>
      </c>
      <c r="H1141" s="28" t="str">
        <f>IF($C1141=""," ",[1]!i_pq_pctchange($C1141,H$6,$N$1))</f>
        <v xml:space="preserve"> </v>
      </c>
      <c r="I1141" s="28" t="str">
        <f>IF($C1141=""," ",[1]!i_pq_pctchange($C1141,I$6,$N$1))</f>
        <v xml:space="preserve"> </v>
      </c>
      <c r="J1141" s="28" t="str">
        <f>IF($C1141=""," ",[1]!i_pq_pctchange($C1141,J$6,$N$1))</f>
        <v xml:space="preserve"> </v>
      </c>
      <c r="K1141" s="28" t="str">
        <f>IF($C1141=""," ",[1]!i_pq_pctchange($C1141,K$6,$N$1))</f>
        <v xml:space="preserve"> </v>
      </c>
      <c r="L1141" s="28" t="str">
        <f>IF(C1141=""," ",[1]!s_wq_pctchange($C1141,$N$1))</f>
        <v xml:space="preserve"> </v>
      </c>
      <c r="M1141" s="28" t="str">
        <f>IF(C1141=""," ",[1]!s_mq_pctchange($C1141,$N$1))</f>
        <v xml:space="preserve"> </v>
      </c>
      <c r="N1141" s="28" t="str">
        <f>IF(C1141=""," ",[1]!s_yq_pctchange($C1141,$N$1))</f>
        <v xml:space="preserve"> </v>
      </c>
      <c r="O1141" s="11"/>
      <c r="P1141" s="7"/>
    </row>
    <row r="1142" spans="1:16" x14ac:dyDescent="0.35">
      <c r="A1142" s="7"/>
      <c r="C1142" s="31" t="str">
        <f>IF(指数列表!B1139="","",指数列表!B1139)</f>
        <v/>
      </c>
      <c r="D1142" s="36" t="str">
        <f>IF(C1142="","",[1]!s_info_name(C1142))</f>
        <v/>
      </c>
      <c r="E1142" s="25" t="str">
        <f>IF(C1142="","",[1]!s_dq_close(C1142,$N$1))</f>
        <v/>
      </c>
      <c r="F1142" s="28" t="str">
        <f>IF($C1142=""," ",[1]!i_pq_pctchange($C1142,F$6,$N$1))</f>
        <v xml:space="preserve"> </v>
      </c>
      <c r="G1142" s="28" t="str">
        <f>IF($C1142=""," ",[1]!i_pq_pctchange($C1142,G$6,$N$1))</f>
        <v xml:space="preserve"> </v>
      </c>
      <c r="H1142" s="28" t="str">
        <f>IF($C1142=""," ",[1]!i_pq_pctchange($C1142,H$6,$N$1))</f>
        <v xml:space="preserve"> </v>
      </c>
      <c r="I1142" s="28" t="str">
        <f>IF($C1142=""," ",[1]!i_pq_pctchange($C1142,I$6,$N$1))</f>
        <v xml:space="preserve"> </v>
      </c>
      <c r="J1142" s="28" t="str">
        <f>IF($C1142=""," ",[1]!i_pq_pctchange($C1142,J$6,$N$1))</f>
        <v xml:space="preserve"> </v>
      </c>
      <c r="K1142" s="28" t="str">
        <f>IF($C1142=""," ",[1]!i_pq_pctchange($C1142,K$6,$N$1))</f>
        <v xml:space="preserve"> </v>
      </c>
      <c r="L1142" s="28" t="str">
        <f>IF(C1142=""," ",[1]!s_wq_pctchange($C1142,$N$1))</f>
        <v xml:space="preserve"> </v>
      </c>
      <c r="M1142" s="28" t="str">
        <f>IF(C1142=""," ",[1]!s_mq_pctchange($C1142,$N$1))</f>
        <v xml:space="preserve"> </v>
      </c>
      <c r="N1142" s="28" t="str">
        <f>IF(C1142=""," ",[1]!s_yq_pctchange($C1142,$N$1))</f>
        <v xml:space="preserve"> </v>
      </c>
      <c r="O1142" s="11"/>
      <c r="P1142" s="7"/>
    </row>
    <row r="1143" spans="1:16" x14ac:dyDescent="0.35">
      <c r="A1143" s="7"/>
      <c r="C1143" s="30" t="str">
        <f>IF(指数列表!B1140="","",指数列表!B1140)</f>
        <v/>
      </c>
      <c r="D1143" s="35" t="str">
        <f>IF(C1143="","",[1]!s_info_name(C1143))</f>
        <v/>
      </c>
      <c r="E1143" s="24" t="str">
        <f>IF(C1143="","",[1]!s_dq_close(C1143,$N$1))</f>
        <v/>
      </c>
      <c r="F1143" s="28" t="str">
        <f>IF($C1143=""," ",[1]!i_pq_pctchange($C1143,F$6,$N$1))</f>
        <v xml:space="preserve"> </v>
      </c>
      <c r="G1143" s="28" t="str">
        <f>IF($C1143=""," ",[1]!i_pq_pctchange($C1143,G$6,$N$1))</f>
        <v xml:space="preserve"> </v>
      </c>
      <c r="H1143" s="28" t="str">
        <f>IF($C1143=""," ",[1]!i_pq_pctchange($C1143,H$6,$N$1))</f>
        <v xml:space="preserve"> </v>
      </c>
      <c r="I1143" s="28" t="str">
        <f>IF($C1143=""," ",[1]!i_pq_pctchange($C1143,I$6,$N$1))</f>
        <v xml:space="preserve"> </v>
      </c>
      <c r="J1143" s="28" t="str">
        <f>IF($C1143=""," ",[1]!i_pq_pctchange($C1143,J$6,$N$1))</f>
        <v xml:space="preserve"> </v>
      </c>
      <c r="K1143" s="28" t="str">
        <f>IF($C1143=""," ",[1]!i_pq_pctchange($C1143,K$6,$N$1))</f>
        <v xml:space="preserve"> </v>
      </c>
      <c r="L1143" s="28" t="str">
        <f>IF(C1143=""," ",[1]!s_wq_pctchange($C1143,$N$1))</f>
        <v xml:space="preserve"> </v>
      </c>
      <c r="M1143" s="28" t="str">
        <f>IF(C1143=""," ",[1]!s_mq_pctchange($C1143,$N$1))</f>
        <v xml:space="preserve"> </v>
      </c>
      <c r="N1143" s="28" t="str">
        <f>IF(C1143=""," ",[1]!s_yq_pctchange($C1143,$N$1))</f>
        <v xml:space="preserve"> </v>
      </c>
      <c r="O1143" s="11"/>
      <c r="P1143" s="7"/>
    </row>
    <row r="1144" spans="1:16" x14ac:dyDescent="0.35">
      <c r="A1144" s="7"/>
      <c r="C1144" s="31" t="str">
        <f>IF(指数列表!B1141="","",指数列表!B1141)</f>
        <v/>
      </c>
      <c r="D1144" s="36" t="str">
        <f>IF(C1144="","",[1]!s_info_name(C1144))</f>
        <v/>
      </c>
      <c r="E1144" s="25" t="str">
        <f>IF(C1144="","",[1]!s_dq_close(C1144,$N$1))</f>
        <v/>
      </c>
      <c r="F1144" s="28" t="str">
        <f>IF($C1144=""," ",[1]!i_pq_pctchange($C1144,F$6,$N$1))</f>
        <v xml:space="preserve"> </v>
      </c>
      <c r="G1144" s="28" t="str">
        <f>IF($C1144=""," ",[1]!i_pq_pctchange($C1144,G$6,$N$1))</f>
        <v xml:space="preserve"> </v>
      </c>
      <c r="H1144" s="28" t="str">
        <f>IF($C1144=""," ",[1]!i_pq_pctchange($C1144,H$6,$N$1))</f>
        <v xml:space="preserve"> </v>
      </c>
      <c r="I1144" s="28" t="str">
        <f>IF($C1144=""," ",[1]!i_pq_pctchange($C1144,I$6,$N$1))</f>
        <v xml:space="preserve"> </v>
      </c>
      <c r="J1144" s="28" t="str">
        <f>IF($C1144=""," ",[1]!i_pq_pctchange($C1144,J$6,$N$1))</f>
        <v xml:space="preserve"> </v>
      </c>
      <c r="K1144" s="28" t="str">
        <f>IF($C1144=""," ",[1]!i_pq_pctchange($C1144,K$6,$N$1))</f>
        <v xml:space="preserve"> </v>
      </c>
      <c r="L1144" s="28" t="str">
        <f>IF(C1144=""," ",[1]!s_wq_pctchange($C1144,$N$1))</f>
        <v xml:space="preserve"> </v>
      </c>
      <c r="M1144" s="28" t="str">
        <f>IF(C1144=""," ",[1]!s_mq_pctchange($C1144,$N$1))</f>
        <v xml:space="preserve"> </v>
      </c>
      <c r="N1144" s="28" t="str">
        <f>IF(C1144=""," ",[1]!s_yq_pctchange($C1144,$N$1))</f>
        <v xml:space="preserve"> </v>
      </c>
      <c r="O1144" s="11"/>
      <c r="P1144" s="7"/>
    </row>
    <row r="1145" spans="1:16" x14ac:dyDescent="0.35">
      <c r="A1145" s="7"/>
      <c r="C1145" s="30" t="str">
        <f>IF(指数列表!B1142="","",指数列表!B1142)</f>
        <v/>
      </c>
      <c r="D1145" s="35" t="str">
        <f>IF(C1145="","",[1]!s_info_name(C1145))</f>
        <v/>
      </c>
      <c r="E1145" s="24" t="str">
        <f>IF(C1145="","",[1]!s_dq_close(C1145,$N$1))</f>
        <v/>
      </c>
      <c r="F1145" s="28" t="str">
        <f>IF($C1145=""," ",[1]!i_pq_pctchange($C1145,F$6,$N$1))</f>
        <v xml:space="preserve"> </v>
      </c>
      <c r="G1145" s="28" t="str">
        <f>IF($C1145=""," ",[1]!i_pq_pctchange($C1145,G$6,$N$1))</f>
        <v xml:space="preserve"> </v>
      </c>
      <c r="H1145" s="28" t="str">
        <f>IF($C1145=""," ",[1]!i_pq_pctchange($C1145,H$6,$N$1))</f>
        <v xml:space="preserve"> </v>
      </c>
      <c r="I1145" s="28" t="str">
        <f>IF($C1145=""," ",[1]!i_pq_pctchange($C1145,I$6,$N$1))</f>
        <v xml:space="preserve"> </v>
      </c>
      <c r="J1145" s="28" t="str">
        <f>IF($C1145=""," ",[1]!i_pq_pctchange($C1145,J$6,$N$1))</f>
        <v xml:space="preserve"> </v>
      </c>
      <c r="K1145" s="28" t="str">
        <f>IF($C1145=""," ",[1]!i_pq_pctchange($C1145,K$6,$N$1))</f>
        <v xml:space="preserve"> </v>
      </c>
      <c r="L1145" s="28" t="str">
        <f>IF(C1145=""," ",[1]!s_wq_pctchange($C1145,$N$1))</f>
        <v xml:space="preserve"> </v>
      </c>
      <c r="M1145" s="28" t="str">
        <f>IF(C1145=""," ",[1]!s_mq_pctchange($C1145,$N$1))</f>
        <v xml:space="preserve"> </v>
      </c>
      <c r="N1145" s="28" t="str">
        <f>IF(C1145=""," ",[1]!s_yq_pctchange($C1145,$N$1))</f>
        <v xml:space="preserve"> </v>
      </c>
      <c r="O1145" s="11"/>
      <c r="P1145" s="7"/>
    </row>
    <row r="1146" spans="1:16" x14ac:dyDescent="0.35">
      <c r="A1146" s="7"/>
      <c r="C1146" s="31" t="str">
        <f>IF(指数列表!B1143="","",指数列表!B1143)</f>
        <v/>
      </c>
      <c r="D1146" s="36" t="str">
        <f>IF(C1146="","",[1]!s_info_name(C1146))</f>
        <v/>
      </c>
      <c r="E1146" s="25" t="str">
        <f>IF(C1146="","",[1]!s_dq_close(C1146,$N$1))</f>
        <v/>
      </c>
      <c r="F1146" s="28" t="str">
        <f>IF($C1146=""," ",[1]!i_pq_pctchange($C1146,F$6,$N$1))</f>
        <v xml:space="preserve"> </v>
      </c>
      <c r="G1146" s="28" t="str">
        <f>IF($C1146=""," ",[1]!i_pq_pctchange($C1146,G$6,$N$1))</f>
        <v xml:space="preserve"> </v>
      </c>
      <c r="H1146" s="28" t="str">
        <f>IF($C1146=""," ",[1]!i_pq_pctchange($C1146,H$6,$N$1))</f>
        <v xml:space="preserve"> </v>
      </c>
      <c r="I1146" s="28" t="str">
        <f>IF($C1146=""," ",[1]!i_pq_pctchange($C1146,I$6,$N$1))</f>
        <v xml:space="preserve"> </v>
      </c>
      <c r="J1146" s="28" t="str">
        <f>IF($C1146=""," ",[1]!i_pq_pctchange($C1146,J$6,$N$1))</f>
        <v xml:space="preserve"> </v>
      </c>
      <c r="K1146" s="28" t="str">
        <f>IF($C1146=""," ",[1]!i_pq_pctchange($C1146,K$6,$N$1))</f>
        <v xml:space="preserve"> </v>
      </c>
      <c r="L1146" s="28" t="str">
        <f>IF(C1146=""," ",[1]!s_wq_pctchange($C1146,$N$1))</f>
        <v xml:space="preserve"> </v>
      </c>
      <c r="M1146" s="28" t="str">
        <f>IF(C1146=""," ",[1]!s_mq_pctchange($C1146,$N$1))</f>
        <v xml:space="preserve"> </v>
      </c>
      <c r="N1146" s="28" t="str">
        <f>IF(C1146=""," ",[1]!s_yq_pctchange($C1146,$N$1))</f>
        <v xml:space="preserve"> </v>
      </c>
      <c r="O1146" s="11"/>
      <c r="P1146" s="7"/>
    </row>
    <row r="1147" spans="1:16" x14ac:dyDescent="0.35">
      <c r="A1147" s="7"/>
      <c r="C1147" s="30" t="str">
        <f>IF(指数列表!B1144="","",指数列表!B1144)</f>
        <v/>
      </c>
      <c r="D1147" s="35" t="str">
        <f>IF(C1147="","",[1]!s_info_name(C1147))</f>
        <v/>
      </c>
      <c r="E1147" s="24" t="str">
        <f>IF(C1147="","",[1]!s_dq_close(C1147,$N$1))</f>
        <v/>
      </c>
      <c r="F1147" s="28" t="str">
        <f>IF($C1147=""," ",[1]!i_pq_pctchange($C1147,F$6,$N$1))</f>
        <v xml:space="preserve"> </v>
      </c>
      <c r="G1147" s="28" t="str">
        <f>IF($C1147=""," ",[1]!i_pq_pctchange($C1147,G$6,$N$1))</f>
        <v xml:space="preserve"> </v>
      </c>
      <c r="H1147" s="28" t="str">
        <f>IF($C1147=""," ",[1]!i_pq_pctchange($C1147,H$6,$N$1))</f>
        <v xml:space="preserve"> </v>
      </c>
      <c r="I1147" s="28" t="str">
        <f>IF($C1147=""," ",[1]!i_pq_pctchange($C1147,I$6,$N$1))</f>
        <v xml:space="preserve"> </v>
      </c>
      <c r="J1147" s="28" t="str">
        <f>IF($C1147=""," ",[1]!i_pq_pctchange($C1147,J$6,$N$1))</f>
        <v xml:space="preserve"> </v>
      </c>
      <c r="K1147" s="28" t="str">
        <f>IF($C1147=""," ",[1]!i_pq_pctchange($C1147,K$6,$N$1))</f>
        <v xml:space="preserve"> </v>
      </c>
      <c r="L1147" s="28" t="str">
        <f>IF(C1147=""," ",[1]!s_wq_pctchange($C1147,$N$1))</f>
        <v xml:space="preserve"> </v>
      </c>
      <c r="M1147" s="28" t="str">
        <f>IF(C1147=""," ",[1]!s_mq_pctchange($C1147,$N$1))</f>
        <v xml:space="preserve"> </v>
      </c>
      <c r="N1147" s="28" t="str">
        <f>IF(C1147=""," ",[1]!s_yq_pctchange($C1147,$N$1))</f>
        <v xml:space="preserve"> </v>
      </c>
      <c r="O1147" s="11"/>
      <c r="P1147" s="7"/>
    </row>
    <row r="1148" spans="1:16" x14ac:dyDescent="0.35">
      <c r="A1148" s="7"/>
      <c r="C1148" s="31" t="str">
        <f>IF(指数列表!B1145="","",指数列表!B1145)</f>
        <v/>
      </c>
      <c r="D1148" s="36" t="str">
        <f>IF(C1148="","",[1]!s_info_name(C1148))</f>
        <v/>
      </c>
      <c r="E1148" s="25" t="str">
        <f>IF(C1148="","",[1]!s_dq_close(C1148,$N$1))</f>
        <v/>
      </c>
      <c r="F1148" s="28" t="str">
        <f>IF($C1148=""," ",[1]!i_pq_pctchange($C1148,F$6,$N$1))</f>
        <v xml:space="preserve"> </v>
      </c>
      <c r="G1148" s="28" t="str">
        <f>IF($C1148=""," ",[1]!i_pq_pctchange($C1148,G$6,$N$1))</f>
        <v xml:space="preserve"> </v>
      </c>
      <c r="H1148" s="28" t="str">
        <f>IF($C1148=""," ",[1]!i_pq_pctchange($C1148,H$6,$N$1))</f>
        <v xml:space="preserve"> </v>
      </c>
      <c r="I1148" s="28" t="str">
        <f>IF($C1148=""," ",[1]!i_pq_pctchange($C1148,I$6,$N$1))</f>
        <v xml:space="preserve"> </v>
      </c>
      <c r="J1148" s="28" t="str">
        <f>IF($C1148=""," ",[1]!i_pq_pctchange($C1148,J$6,$N$1))</f>
        <v xml:space="preserve"> </v>
      </c>
      <c r="K1148" s="28" t="str">
        <f>IF($C1148=""," ",[1]!i_pq_pctchange($C1148,K$6,$N$1))</f>
        <v xml:space="preserve"> </v>
      </c>
      <c r="L1148" s="28" t="str">
        <f>IF(C1148=""," ",[1]!s_wq_pctchange($C1148,$N$1))</f>
        <v xml:space="preserve"> </v>
      </c>
      <c r="M1148" s="28" t="str">
        <f>IF(C1148=""," ",[1]!s_mq_pctchange($C1148,$N$1))</f>
        <v xml:space="preserve"> </v>
      </c>
      <c r="N1148" s="28" t="str">
        <f>IF(C1148=""," ",[1]!s_yq_pctchange($C1148,$N$1))</f>
        <v xml:space="preserve"> </v>
      </c>
      <c r="O1148" s="11"/>
      <c r="P1148" s="7"/>
    </row>
    <row r="1149" spans="1:16" x14ac:dyDescent="0.35">
      <c r="A1149" s="7"/>
      <c r="C1149" s="30" t="str">
        <f>IF(指数列表!B1146="","",指数列表!B1146)</f>
        <v/>
      </c>
      <c r="D1149" s="35" t="str">
        <f>IF(C1149="","",[1]!s_info_name(C1149))</f>
        <v/>
      </c>
      <c r="E1149" s="24" t="str">
        <f>IF(C1149="","",[1]!s_dq_close(C1149,$N$1))</f>
        <v/>
      </c>
      <c r="F1149" s="28" t="str">
        <f>IF($C1149=""," ",[1]!i_pq_pctchange($C1149,F$6,$N$1))</f>
        <v xml:space="preserve"> </v>
      </c>
      <c r="G1149" s="28" t="str">
        <f>IF($C1149=""," ",[1]!i_pq_pctchange($C1149,G$6,$N$1))</f>
        <v xml:space="preserve"> </v>
      </c>
      <c r="H1149" s="28" t="str">
        <f>IF($C1149=""," ",[1]!i_pq_pctchange($C1149,H$6,$N$1))</f>
        <v xml:space="preserve"> </v>
      </c>
      <c r="I1149" s="28" t="str">
        <f>IF($C1149=""," ",[1]!i_pq_pctchange($C1149,I$6,$N$1))</f>
        <v xml:space="preserve"> </v>
      </c>
      <c r="J1149" s="28" t="str">
        <f>IF($C1149=""," ",[1]!i_pq_pctchange($C1149,J$6,$N$1))</f>
        <v xml:space="preserve"> </v>
      </c>
      <c r="K1149" s="28" t="str">
        <f>IF($C1149=""," ",[1]!i_pq_pctchange($C1149,K$6,$N$1))</f>
        <v xml:space="preserve"> </v>
      </c>
      <c r="L1149" s="28" t="str">
        <f>IF(C1149=""," ",[1]!s_wq_pctchange($C1149,$N$1))</f>
        <v xml:space="preserve"> </v>
      </c>
      <c r="M1149" s="28" t="str">
        <f>IF(C1149=""," ",[1]!s_mq_pctchange($C1149,$N$1))</f>
        <v xml:space="preserve"> </v>
      </c>
      <c r="N1149" s="28" t="str">
        <f>IF(C1149=""," ",[1]!s_yq_pctchange($C1149,$N$1))</f>
        <v xml:space="preserve"> </v>
      </c>
      <c r="O1149" s="11"/>
      <c r="P1149" s="7"/>
    </row>
    <row r="1150" spans="1:16" x14ac:dyDescent="0.35">
      <c r="A1150" s="7"/>
      <c r="C1150" s="31" t="str">
        <f>IF(指数列表!B1147="","",指数列表!B1147)</f>
        <v/>
      </c>
      <c r="D1150" s="36" t="str">
        <f>IF(C1150="","",[1]!s_info_name(C1150))</f>
        <v/>
      </c>
      <c r="E1150" s="25" t="str">
        <f>IF(C1150="","",[1]!s_dq_close(C1150,$N$1))</f>
        <v/>
      </c>
      <c r="F1150" s="28" t="str">
        <f>IF($C1150=""," ",[1]!i_pq_pctchange($C1150,F$6,$N$1))</f>
        <v xml:space="preserve"> </v>
      </c>
      <c r="G1150" s="28" t="str">
        <f>IF($C1150=""," ",[1]!i_pq_pctchange($C1150,G$6,$N$1))</f>
        <v xml:space="preserve"> </v>
      </c>
      <c r="H1150" s="28" t="str">
        <f>IF($C1150=""," ",[1]!i_pq_pctchange($C1150,H$6,$N$1))</f>
        <v xml:space="preserve"> </v>
      </c>
      <c r="I1150" s="28" t="str">
        <f>IF($C1150=""," ",[1]!i_pq_pctchange($C1150,I$6,$N$1))</f>
        <v xml:space="preserve"> </v>
      </c>
      <c r="J1150" s="28" t="str">
        <f>IF($C1150=""," ",[1]!i_pq_pctchange($C1150,J$6,$N$1))</f>
        <v xml:space="preserve"> </v>
      </c>
      <c r="K1150" s="28" t="str">
        <f>IF($C1150=""," ",[1]!i_pq_pctchange($C1150,K$6,$N$1))</f>
        <v xml:space="preserve"> </v>
      </c>
      <c r="L1150" s="28" t="str">
        <f>IF(C1150=""," ",[1]!s_wq_pctchange($C1150,$N$1))</f>
        <v xml:space="preserve"> </v>
      </c>
      <c r="M1150" s="28" t="str">
        <f>IF(C1150=""," ",[1]!s_mq_pctchange($C1150,$N$1))</f>
        <v xml:space="preserve"> </v>
      </c>
      <c r="N1150" s="28" t="str">
        <f>IF(C1150=""," ",[1]!s_yq_pctchange($C1150,$N$1))</f>
        <v xml:space="preserve"> </v>
      </c>
      <c r="O1150" s="11"/>
      <c r="P1150" s="7"/>
    </row>
    <row r="1151" spans="1:16" x14ac:dyDescent="0.35">
      <c r="A1151" s="7"/>
      <c r="C1151" s="30" t="str">
        <f>IF(指数列表!B1148="","",指数列表!B1148)</f>
        <v/>
      </c>
      <c r="D1151" s="35" t="str">
        <f>IF(C1151="","",[1]!s_info_name(C1151))</f>
        <v/>
      </c>
      <c r="E1151" s="24" t="str">
        <f>IF(C1151="","",[1]!s_dq_close(C1151,$N$1))</f>
        <v/>
      </c>
      <c r="F1151" s="28" t="str">
        <f>IF($C1151=""," ",[1]!i_pq_pctchange($C1151,F$6,$N$1))</f>
        <v xml:space="preserve"> </v>
      </c>
      <c r="G1151" s="28" t="str">
        <f>IF($C1151=""," ",[1]!i_pq_pctchange($C1151,G$6,$N$1))</f>
        <v xml:space="preserve"> </v>
      </c>
      <c r="H1151" s="28" t="str">
        <f>IF($C1151=""," ",[1]!i_pq_pctchange($C1151,H$6,$N$1))</f>
        <v xml:space="preserve"> </v>
      </c>
      <c r="I1151" s="28" t="str">
        <f>IF($C1151=""," ",[1]!i_pq_pctchange($C1151,I$6,$N$1))</f>
        <v xml:space="preserve"> </v>
      </c>
      <c r="J1151" s="28" t="str">
        <f>IF($C1151=""," ",[1]!i_pq_pctchange($C1151,J$6,$N$1))</f>
        <v xml:space="preserve"> </v>
      </c>
      <c r="K1151" s="28" t="str">
        <f>IF($C1151=""," ",[1]!i_pq_pctchange($C1151,K$6,$N$1))</f>
        <v xml:space="preserve"> </v>
      </c>
      <c r="L1151" s="28" t="str">
        <f>IF(C1151=""," ",[1]!s_wq_pctchange($C1151,$N$1))</f>
        <v xml:space="preserve"> </v>
      </c>
      <c r="M1151" s="28" t="str">
        <f>IF(C1151=""," ",[1]!s_mq_pctchange($C1151,$N$1))</f>
        <v xml:space="preserve"> </v>
      </c>
      <c r="N1151" s="28" t="str">
        <f>IF(C1151=""," ",[1]!s_yq_pctchange($C1151,$N$1))</f>
        <v xml:space="preserve"> </v>
      </c>
      <c r="O1151" s="11"/>
      <c r="P1151" s="7"/>
    </row>
    <row r="1152" spans="1:16" x14ac:dyDescent="0.35">
      <c r="A1152" s="7"/>
      <c r="C1152" s="31" t="str">
        <f>IF(指数列表!B1149="","",指数列表!B1149)</f>
        <v/>
      </c>
      <c r="D1152" s="36" t="str">
        <f>IF(C1152="","",[1]!s_info_name(C1152))</f>
        <v/>
      </c>
      <c r="E1152" s="25" t="str">
        <f>IF(C1152="","",[1]!s_dq_close(C1152,$N$1))</f>
        <v/>
      </c>
      <c r="F1152" s="28" t="str">
        <f>IF($C1152=""," ",[1]!i_pq_pctchange($C1152,F$6,$N$1))</f>
        <v xml:space="preserve"> </v>
      </c>
      <c r="G1152" s="28" t="str">
        <f>IF($C1152=""," ",[1]!i_pq_pctchange($C1152,G$6,$N$1))</f>
        <v xml:space="preserve"> </v>
      </c>
      <c r="H1152" s="28" t="str">
        <f>IF($C1152=""," ",[1]!i_pq_pctchange($C1152,H$6,$N$1))</f>
        <v xml:space="preserve"> </v>
      </c>
      <c r="I1152" s="28" t="str">
        <f>IF($C1152=""," ",[1]!i_pq_pctchange($C1152,I$6,$N$1))</f>
        <v xml:space="preserve"> </v>
      </c>
      <c r="J1152" s="28" t="str">
        <f>IF($C1152=""," ",[1]!i_pq_pctchange($C1152,J$6,$N$1))</f>
        <v xml:space="preserve"> </v>
      </c>
      <c r="K1152" s="28" t="str">
        <f>IF($C1152=""," ",[1]!i_pq_pctchange($C1152,K$6,$N$1))</f>
        <v xml:space="preserve"> </v>
      </c>
      <c r="L1152" s="28" t="str">
        <f>IF(C1152=""," ",[1]!s_wq_pctchange($C1152,$N$1))</f>
        <v xml:space="preserve"> </v>
      </c>
      <c r="M1152" s="28" t="str">
        <f>IF(C1152=""," ",[1]!s_mq_pctchange($C1152,$N$1))</f>
        <v xml:space="preserve"> </v>
      </c>
      <c r="N1152" s="28" t="str">
        <f>IF(C1152=""," ",[1]!s_yq_pctchange($C1152,$N$1))</f>
        <v xml:space="preserve"> </v>
      </c>
      <c r="O1152" s="11"/>
      <c r="P1152" s="7"/>
    </row>
    <row r="1153" spans="1:16" x14ac:dyDescent="0.35">
      <c r="A1153" s="7"/>
      <c r="C1153" s="30" t="str">
        <f>IF(指数列表!B1150="","",指数列表!B1150)</f>
        <v/>
      </c>
      <c r="D1153" s="35" t="str">
        <f>IF(C1153="","",[1]!s_info_name(C1153))</f>
        <v/>
      </c>
      <c r="E1153" s="24" t="str">
        <f>IF(C1153="","",[1]!s_dq_close(C1153,$N$1))</f>
        <v/>
      </c>
      <c r="F1153" s="28" t="str">
        <f>IF($C1153=""," ",[1]!i_pq_pctchange($C1153,F$6,$N$1))</f>
        <v xml:space="preserve"> </v>
      </c>
      <c r="G1153" s="28" t="str">
        <f>IF($C1153=""," ",[1]!i_pq_pctchange($C1153,G$6,$N$1))</f>
        <v xml:space="preserve"> </v>
      </c>
      <c r="H1153" s="28" t="str">
        <f>IF($C1153=""," ",[1]!i_pq_pctchange($C1153,H$6,$N$1))</f>
        <v xml:space="preserve"> </v>
      </c>
      <c r="I1153" s="28" t="str">
        <f>IF($C1153=""," ",[1]!i_pq_pctchange($C1153,I$6,$N$1))</f>
        <v xml:space="preserve"> </v>
      </c>
      <c r="J1153" s="28" t="str">
        <f>IF($C1153=""," ",[1]!i_pq_pctchange($C1153,J$6,$N$1))</f>
        <v xml:space="preserve"> </v>
      </c>
      <c r="K1153" s="28" t="str">
        <f>IF($C1153=""," ",[1]!i_pq_pctchange($C1153,K$6,$N$1))</f>
        <v xml:space="preserve"> </v>
      </c>
      <c r="L1153" s="28" t="str">
        <f>IF(C1153=""," ",[1]!s_wq_pctchange($C1153,$N$1))</f>
        <v xml:space="preserve"> </v>
      </c>
      <c r="M1153" s="28" t="str">
        <f>IF(C1153=""," ",[1]!s_mq_pctchange($C1153,$N$1))</f>
        <v xml:space="preserve"> </v>
      </c>
      <c r="N1153" s="28" t="str">
        <f>IF(C1153=""," ",[1]!s_yq_pctchange($C1153,$N$1))</f>
        <v xml:space="preserve"> </v>
      </c>
      <c r="O1153" s="11"/>
      <c r="P1153" s="7"/>
    </row>
    <row r="1154" spans="1:16" x14ac:dyDescent="0.35">
      <c r="A1154" s="7"/>
      <c r="C1154" s="31" t="str">
        <f>IF(指数列表!B1151="","",指数列表!B1151)</f>
        <v/>
      </c>
      <c r="D1154" s="36" t="str">
        <f>IF(C1154="","",[1]!s_info_name(C1154))</f>
        <v/>
      </c>
      <c r="E1154" s="25" t="str">
        <f>IF(C1154="","",[1]!s_dq_close(C1154,$N$1))</f>
        <v/>
      </c>
      <c r="F1154" s="28" t="str">
        <f>IF($C1154=""," ",[1]!i_pq_pctchange($C1154,F$6,$N$1))</f>
        <v xml:space="preserve"> </v>
      </c>
      <c r="G1154" s="28" t="str">
        <f>IF($C1154=""," ",[1]!i_pq_pctchange($C1154,G$6,$N$1))</f>
        <v xml:space="preserve"> </v>
      </c>
      <c r="H1154" s="28" t="str">
        <f>IF($C1154=""," ",[1]!i_pq_pctchange($C1154,H$6,$N$1))</f>
        <v xml:space="preserve"> </v>
      </c>
      <c r="I1154" s="28" t="str">
        <f>IF($C1154=""," ",[1]!i_pq_pctchange($C1154,I$6,$N$1))</f>
        <v xml:space="preserve"> </v>
      </c>
      <c r="J1154" s="28" t="str">
        <f>IF($C1154=""," ",[1]!i_pq_pctchange($C1154,J$6,$N$1))</f>
        <v xml:space="preserve"> </v>
      </c>
      <c r="K1154" s="28" t="str">
        <f>IF($C1154=""," ",[1]!i_pq_pctchange($C1154,K$6,$N$1))</f>
        <v xml:space="preserve"> </v>
      </c>
      <c r="L1154" s="28" t="str">
        <f>IF(C1154=""," ",[1]!s_wq_pctchange($C1154,$N$1))</f>
        <v xml:space="preserve"> </v>
      </c>
      <c r="M1154" s="28" t="str">
        <f>IF(C1154=""," ",[1]!s_mq_pctchange($C1154,$N$1))</f>
        <v xml:space="preserve"> </v>
      </c>
      <c r="N1154" s="28" t="str">
        <f>IF(C1154=""," ",[1]!s_yq_pctchange($C1154,$N$1))</f>
        <v xml:space="preserve"> </v>
      </c>
      <c r="O1154" s="11"/>
      <c r="P1154" s="7"/>
    </row>
    <row r="1155" spans="1:16" x14ac:dyDescent="0.35">
      <c r="A1155" s="7"/>
      <c r="C1155" s="30" t="str">
        <f>IF(指数列表!B1152="","",指数列表!B1152)</f>
        <v/>
      </c>
      <c r="D1155" s="35" t="str">
        <f>IF(C1155="","",[1]!s_info_name(C1155))</f>
        <v/>
      </c>
      <c r="E1155" s="24" t="str">
        <f>IF(C1155="","",[1]!s_dq_close(C1155,$N$1))</f>
        <v/>
      </c>
      <c r="F1155" s="28" t="str">
        <f>IF($C1155=""," ",[1]!i_pq_pctchange($C1155,F$6,$N$1))</f>
        <v xml:space="preserve"> </v>
      </c>
      <c r="G1155" s="28" t="str">
        <f>IF($C1155=""," ",[1]!i_pq_pctchange($C1155,G$6,$N$1))</f>
        <v xml:space="preserve"> </v>
      </c>
      <c r="H1155" s="28" t="str">
        <f>IF($C1155=""," ",[1]!i_pq_pctchange($C1155,H$6,$N$1))</f>
        <v xml:space="preserve"> </v>
      </c>
      <c r="I1155" s="28" t="str">
        <f>IF($C1155=""," ",[1]!i_pq_pctchange($C1155,I$6,$N$1))</f>
        <v xml:space="preserve"> </v>
      </c>
      <c r="J1155" s="28" t="str">
        <f>IF($C1155=""," ",[1]!i_pq_pctchange($C1155,J$6,$N$1))</f>
        <v xml:space="preserve"> </v>
      </c>
      <c r="K1155" s="28" t="str">
        <f>IF($C1155=""," ",[1]!i_pq_pctchange($C1155,K$6,$N$1))</f>
        <v xml:space="preserve"> </v>
      </c>
      <c r="L1155" s="28" t="str">
        <f>IF(C1155=""," ",[1]!s_wq_pctchange($C1155,$N$1))</f>
        <v xml:space="preserve"> </v>
      </c>
      <c r="M1155" s="28" t="str">
        <f>IF(C1155=""," ",[1]!s_mq_pctchange($C1155,$N$1))</f>
        <v xml:space="preserve"> </v>
      </c>
      <c r="N1155" s="28" t="str">
        <f>IF(C1155=""," ",[1]!s_yq_pctchange($C1155,$N$1))</f>
        <v xml:space="preserve"> </v>
      </c>
      <c r="O1155" s="11"/>
      <c r="P1155" s="7"/>
    </row>
    <row r="1156" spans="1:16" x14ac:dyDescent="0.35">
      <c r="A1156" s="7"/>
      <c r="C1156" s="31" t="str">
        <f>IF(指数列表!B1153="","",指数列表!B1153)</f>
        <v/>
      </c>
      <c r="D1156" s="36" t="str">
        <f>IF(C1156="","",[1]!s_info_name(C1156))</f>
        <v/>
      </c>
      <c r="E1156" s="25" t="str">
        <f>IF(C1156="","",[1]!s_dq_close(C1156,$N$1))</f>
        <v/>
      </c>
      <c r="F1156" s="28" t="str">
        <f>IF($C1156=""," ",[1]!i_pq_pctchange($C1156,F$6,$N$1))</f>
        <v xml:space="preserve"> </v>
      </c>
      <c r="G1156" s="28" t="str">
        <f>IF($C1156=""," ",[1]!i_pq_pctchange($C1156,G$6,$N$1))</f>
        <v xml:space="preserve"> </v>
      </c>
      <c r="H1156" s="28" t="str">
        <f>IF($C1156=""," ",[1]!i_pq_pctchange($C1156,H$6,$N$1))</f>
        <v xml:space="preserve"> </v>
      </c>
      <c r="I1156" s="28" t="str">
        <f>IF($C1156=""," ",[1]!i_pq_pctchange($C1156,I$6,$N$1))</f>
        <v xml:space="preserve"> </v>
      </c>
      <c r="J1156" s="28" t="str">
        <f>IF($C1156=""," ",[1]!i_pq_pctchange($C1156,J$6,$N$1))</f>
        <v xml:space="preserve"> </v>
      </c>
      <c r="K1156" s="28" t="str">
        <f>IF($C1156=""," ",[1]!i_pq_pctchange($C1156,K$6,$N$1))</f>
        <v xml:space="preserve"> </v>
      </c>
      <c r="L1156" s="28" t="str">
        <f>IF(C1156=""," ",[1]!s_wq_pctchange($C1156,$N$1))</f>
        <v xml:space="preserve"> </v>
      </c>
      <c r="M1156" s="28" t="str">
        <f>IF(C1156=""," ",[1]!s_mq_pctchange($C1156,$N$1))</f>
        <v xml:space="preserve"> </v>
      </c>
      <c r="N1156" s="28" t="str">
        <f>IF(C1156=""," ",[1]!s_yq_pctchange($C1156,$N$1))</f>
        <v xml:space="preserve"> </v>
      </c>
      <c r="O1156" s="11"/>
      <c r="P1156" s="7"/>
    </row>
    <row r="1157" spans="1:16" x14ac:dyDescent="0.35">
      <c r="A1157" s="7"/>
      <c r="C1157" s="30" t="str">
        <f>IF(指数列表!B1154="","",指数列表!B1154)</f>
        <v/>
      </c>
      <c r="D1157" s="35" t="str">
        <f>IF(C1157="","",[1]!s_info_name(C1157))</f>
        <v/>
      </c>
      <c r="E1157" s="24" t="str">
        <f>IF(C1157="","",[1]!s_dq_close(C1157,$N$1))</f>
        <v/>
      </c>
      <c r="F1157" s="28" t="str">
        <f>IF($C1157=""," ",[1]!i_pq_pctchange($C1157,F$6,$N$1))</f>
        <v xml:space="preserve"> </v>
      </c>
      <c r="G1157" s="28" t="str">
        <f>IF($C1157=""," ",[1]!i_pq_pctchange($C1157,G$6,$N$1))</f>
        <v xml:space="preserve"> </v>
      </c>
      <c r="H1157" s="28" t="str">
        <f>IF($C1157=""," ",[1]!i_pq_pctchange($C1157,H$6,$N$1))</f>
        <v xml:space="preserve"> </v>
      </c>
      <c r="I1157" s="28" t="str">
        <f>IF($C1157=""," ",[1]!i_pq_pctchange($C1157,I$6,$N$1))</f>
        <v xml:space="preserve"> </v>
      </c>
      <c r="J1157" s="28" t="str">
        <f>IF($C1157=""," ",[1]!i_pq_pctchange($C1157,J$6,$N$1))</f>
        <v xml:space="preserve"> </v>
      </c>
      <c r="K1157" s="28" t="str">
        <f>IF($C1157=""," ",[1]!i_pq_pctchange($C1157,K$6,$N$1))</f>
        <v xml:space="preserve"> </v>
      </c>
      <c r="L1157" s="28" t="str">
        <f>IF(C1157=""," ",[1]!s_wq_pctchange($C1157,$N$1))</f>
        <v xml:space="preserve"> </v>
      </c>
      <c r="M1157" s="28" t="str">
        <f>IF(C1157=""," ",[1]!s_mq_pctchange($C1157,$N$1))</f>
        <v xml:space="preserve"> </v>
      </c>
      <c r="N1157" s="28" t="str">
        <f>IF(C1157=""," ",[1]!s_yq_pctchange($C1157,$N$1))</f>
        <v xml:space="preserve"> </v>
      </c>
      <c r="O1157" s="11"/>
      <c r="P1157" s="7"/>
    </row>
    <row r="1158" spans="1:16" x14ac:dyDescent="0.35">
      <c r="A1158" s="7"/>
      <c r="C1158" s="31" t="str">
        <f>IF(指数列表!B1155="","",指数列表!B1155)</f>
        <v/>
      </c>
      <c r="D1158" s="36" t="str">
        <f>IF(C1158="","",[1]!s_info_name(C1158))</f>
        <v/>
      </c>
      <c r="E1158" s="25" t="str">
        <f>IF(C1158="","",[1]!s_dq_close(C1158,$N$1))</f>
        <v/>
      </c>
      <c r="F1158" s="28" t="str">
        <f>IF($C1158=""," ",[1]!i_pq_pctchange($C1158,F$6,$N$1))</f>
        <v xml:space="preserve"> </v>
      </c>
      <c r="G1158" s="28" t="str">
        <f>IF($C1158=""," ",[1]!i_pq_pctchange($C1158,G$6,$N$1))</f>
        <v xml:space="preserve"> </v>
      </c>
      <c r="H1158" s="28" t="str">
        <f>IF($C1158=""," ",[1]!i_pq_pctchange($C1158,H$6,$N$1))</f>
        <v xml:space="preserve"> </v>
      </c>
      <c r="I1158" s="28" t="str">
        <f>IF($C1158=""," ",[1]!i_pq_pctchange($C1158,I$6,$N$1))</f>
        <v xml:space="preserve"> </v>
      </c>
      <c r="J1158" s="28" t="str">
        <f>IF($C1158=""," ",[1]!i_pq_pctchange($C1158,J$6,$N$1))</f>
        <v xml:space="preserve"> </v>
      </c>
      <c r="K1158" s="28" t="str">
        <f>IF($C1158=""," ",[1]!i_pq_pctchange($C1158,K$6,$N$1))</f>
        <v xml:space="preserve"> </v>
      </c>
      <c r="L1158" s="28" t="str">
        <f>IF(C1158=""," ",[1]!s_wq_pctchange($C1158,$N$1))</f>
        <v xml:space="preserve"> </v>
      </c>
      <c r="M1158" s="28" t="str">
        <f>IF(C1158=""," ",[1]!s_mq_pctchange($C1158,$N$1))</f>
        <v xml:space="preserve"> </v>
      </c>
      <c r="N1158" s="28" t="str">
        <f>IF(C1158=""," ",[1]!s_yq_pctchange($C1158,$N$1))</f>
        <v xml:space="preserve"> </v>
      </c>
      <c r="O1158" s="11"/>
      <c r="P1158" s="7"/>
    </row>
    <row r="1159" spans="1:16" x14ac:dyDescent="0.35">
      <c r="A1159" s="7"/>
      <c r="C1159" s="30" t="str">
        <f>IF(指数列表!B1156="","",指数列表!B1156)</f>
        <v/>
      </c>
      <c r="D1159" s="35" t="str">
        <f>IF(C1159="","",[1]!s_info_name(C1159))</f>
        <v/>
      </c>
      <c r="E1159" s="24" t="str">
        <f>IF(C1159="","",[1]!s_dq_close(C1159,$N$1))</f>
        <v/>
      </c>
      <c r="F1159" s="28" t="str">
        <f>IF($C1159=""," ",[1]!i_pq_pctchange($C1159,F$6,$N$1))</f>
        <v xml:space="preserve"> </v>
      </c>
      <c r="G1159" s="28" t="str">
        <f>IF($C1159=""," ",[1]!i_pq_pctchange($C1159,G$6,$N$1))</f>
        <v xml:space="preserve"> </v>
      </c>
      <c r="H1159" s="28" t="str">
        <f>IF($C1159=""," ",[1]!i_pq_pctchange($C1159,H$6,$N$1))</f>
        <v xml:space="preserve"> </v>
      </c>
      <c r="I1159" s="28" t="str">
        <f>IF($C1159=""," ",[1]!i_pq_pctchange($C1159,I$6,$N$1))</f>
        <v xml:space="preserve"> </v>
      </c>
      <c r="J1159" s="28" t="str">
        <f>IF($C1159=""," ",[1]!i_pq_pctchange($C1159,J$6,$N$1))</f>
        <v xml:space="preserve"> </v>
      </c>
      <c r="K1159" s="28" t="str">
        <f>IF($C1159=""," ",[1]!i_pq_pctchange($C1159,K$6,$N$1))</f>
        <v xml:space="preserve"> </v>
      </c>
      <c r="L1159" s="28" t="str">
        <f>IF(C1159=""," ",[1]!s_wq_pctchange($C1159,$N$1))</f>
        <v xml:space="preserve"> </v>
      </c>
      <c r="M1159" s="28" t="str">
        <f>IF(C1159=""," ",[1]!s_mq_pctchange($C1159,$N$1))</f>
        <v xml:space="preserve"> </v>
      </c>
      <c r="N1159" s="28" t="str">
        <f>IF(C1159=""," ",[1]!s_yq_pctchange($C1159,$N$1))</f>
        <v xml:space="preserve"> </v>
      </c>
      <c r="O1159" s="11"/>
      <c r="P1159" s="7"/>
    </row>
    <row r="1160" spans="1:16" x14ac:dyDescent="0.35">
      <c r="A1160" s="7"/>
      <c r="C1160" s="31" t="str">
        <f>IF(指数列表!B1157="","",指数列表!B1157)</f>
        <v/>
      </c>
      <c r="D1160" s="36" t="str">
        <f>IF(C1160="","",[1]!s_info_name(C1160))</f>
        <v/>
      </c>
      <c r="E1160" s="25" t="str">
        <f>IF(C1160="","",[1]!s_dq_close(C1160,$N$1))</f>
        <v/>
      </c>
      <c r="F1160" s="28" t="str">
        <f>IF($C1160=""," ",[1]!i_pq_pctchange($C1160,F$6,$N$1))</f>
        <v xml:space="preserve"> </v>
      </c>
      <c r="G1160" s="28" t="str">
        <f>IF($C1160=""," ",[1]!i_pq_pctchange($C1160,G$6,$N$1))</f>
        <v xml:space="preserve"> </v>
      </c>
      <c r="H1160" s="28" t="str">
        <f>IF($C1160=""," ",[1]!i_pq_pctchange($C1160,H$6,$N$1))</f>
        <v xml:space="preserve"> </v>
      </c>
      <c r="I1160" s="28" t="str">
        <f>IF($C1160=""," ",[1]!i_pq_pctchange($C1160,I$6,$N$1))</f>
        <v xml:space="preserve"> </v>
      </c>
      <c r="J1160" s="28" t="str">
        <f>IF($C1160=""," ",[1]!i_pq_pctchange($C1160,J$6,$N$1))</f>
        <v xml:space="preserve"> </v>
      </c>
      <c r="K1160" s="28" t="str">
        <f>IF($C1160=""," ",[1]!i_pq_pctchange($C1160,K$6,$N$1))</f>
        <v xml:space="preserve"> </v>
      </c>
      <c r="L1160" s="28" t="str">
        <f>IF(C1160=""," ",[1]!s_wq_pctchange($C1160,$N$1))</f>
        <v xml:space="preserve"> </v>
      </c>
      <c r="M1160" s="28" t="str">
        <f>IF(C1160=""," ",[1]!s_mq_pctchange($C1160,$N$1))</f>
        <v xml:space="preserve"> </v>
      </c>
      <c r="N1160" s="28" t="str">
        <f>IF(C1160=""," ",[1]!s_yq_pctchange($C1160,$N$1))</f>
        <v xml:space="preserve"> </v>
      </c>
      <c r="O1160" s="11"/>
      <c r="P1160" s="7"/>
    </row>
    <row r="1161" spans="1:16" x14ac:dyDescent="0.35">
      <c r="A1161" s="7"/>
      <c r="C1161" s="30" t="str">
        <f>IF(指数列表!B1158="","",指数列表!B1158)</f>
        <v/>
      </c>
      <c r="D1161" s="35" t="str">
        <f>IF(C1161="","",[1]!s_info_name(C1161))</f>
        <v/>
      </c>
      <c r="E1161" s="24" t="str">
        <f>IF(C1161="","",[1]!s_dq_close(C1161,$N$1))</f>
        <v/>
      </c>
      <c r="F1161" s="28" t="str">
        <f>IF($C1161=""," ",[1]!i_pq_pctchange($C1161,F$6,$N$1))</f>
        <v xml:space="preserve"> </v>
      </c>
      <c r="G1161" s="28" t="str">
        <f>IF($C1161=""," ",[1]!i_pq_pctchange($C1161,G$6,$N$1))</f>
        <v xml:space="preserve"> </v>
      </c>
      <c r="H1161" s="28" t="str">
        <f>IF($C1161=""," ",[1]!i_pq_pctchange($C1161,H$6,$N$1))</f>
        <v xml:space="preserve"> </v>
      </c>
      <c r="I1161" s="28" t="str">
        <f>IF($C1161=""," ",[1]!i_pq_pctchange($C1161,I$6,$N$1))</f>
        <v xml:space="preserve"> </v>
      </c>
      <c r="J1161" s="28" t="str">
        <f>IF($C1161=""," ",[1]!i_pq_pctchange($C1161,J$6,$N$1))</f>
        <v xml:space="preserve"> </v>
      </c>
      <c r="K1161" s="28" t="str">
        <f>IF($C1161=""," ",[1]!i_pq_pctchange($C1161,K$6,$N$1))</f>
        <v xml:space="preserve"> </v>
      </c>
      <c r="L1161" s="28" t="str">
        <f>IF(C1161=""," ",[1]!s_wq_pctchange($C1161,$N$1))</f>
        <v xml:space="preserve"> </v>
      </c>
      <c r="M1161" s="28" t="str">
        <f>IF(C1161=""," ",[1]!s_mq_pctchange($C1161,$N$1))</f>
        <v xml:space="preserve"> </v>
      </c>
      <c r="N1161" s="28" t="str">
        <f>IF(C1161=""," ",[1]!s_yq_pctchange($C1161,$N$1))</f>
        <v xml:space="preserve"> </v>
      </c>
      <c r="O1161" s="11"/>
      <c r="P1161" s="7"/>
    </row>
    <row r="1162" spans="1:16" x14ac:dyDescent="0.35">
      <c r="A1162" s="7"/>
      <c r="C1162" s="31" t="str">
        <f>IF(指数列表!B1159="","",指数列表!B1159)</f>
        <v/>
      </c>
      <c r="D1162" s="36" t="str">
        <f>IF(C1162="","",[1]!s_info_name(C1162))</f>
        <v/>
      </c>
      <c r="E1162" s="25" t="str">
        <f>IF(C1162="","",[1]!s_dq_close(C1162,$N$1))</f>
        <v/>
      </c>
      <c r="F1162" s="28" t="str">
        <f>IF($C1162=""," ",[1]!i_pq_pctchange($C1162,F$6,$N$1))</f>
        <v xml:space="preserve"> </v>
      </c>
      <c r="G1162" s="28" t="str">
        <f>IF($C1162=""," ",[1]!i_pq_pctchange($C1162,G$6,$N$1))</f>
        <v xml:space="preserve"> </v>
      </c>
      <c r="H1162" s="28" t="str">
        <f>IF($C1162=""," ",[1]!i_pq_pctchange($C1162,H$6,$N$1))</f>
        <v xml:space="preserve"> </v>
      </c>
      <c r="I1162" s="28" t="str">
        <f>IF($C1162=""," ",[1]!i_pq_pctchange($C1162,I$6,$N$1))</f>
        <v xml:space="preserve"> </v>
      </c>
      <c r="J1162" s="28" t="str">
        <f>IF($C1162=""," ",[1]!i_pq_pctchange($C1162,J$6,$N$1))</f>
        <v xml:space="preserve"> </v>
      </c>
      <c r="K1162" s="28" t="str">
        <f>IF($C1162=""," ",[1]!i_pq_pctchange($C1162,K$6,$N$1))</f>
        <v xml:space="preserve"> </v>
      </c>
      <c r="L1162" s="28" t="str">
        <f>IF(C1162=""," ",[1]!s_wq_pctchange($C1162,$N$1))</f>
        <v xml:space="preserve"> </v>
      </c>
      <c r="M1162" s="28" t="str">
        <f>IF(C1162=""," ",[1]!s_mq_pctchange($C1162,$N$1))</f>
        <v xml:space="preserve"> </v>
      </c>
      <c r="N1162" s="28" t="str">
        <f>IF(C1162=""," ",[1]!s_yq_pctchange($C1162,$N$1))</f>
        <v xml:space="preserve"> </v>
      </c>
      <c r="O1162" s="11"/>
      <c r="P1162" s="7"/>
    </row>
    <row r="1163" spans="1:16" x14ac:dyDescent="0.35">
      <c r="A1163" s="7"/>
      <c r="C1163" s="30" t="str">
        <f>IF(指数列表!B1160="","",指数列表!B1160)</f>
        <v/>
      </c>
      <c r="D1163" s="35" t="str">
        <f>IF(C1163="","",[1]!s_info_name(C1163))</f>
        <v/>
      </c>
      <c r="E1163" s="24" t="str">
        <f>IF(C1163="","",[1]!s_dq_close(C1163,$N$1))</f>
        <v/>
      </c>
      <c r="F1163" s="28" t="str">
        <f>IF($C1163=""," ",[1]!i_pq_pctchange($C1163,F$6,$N$1))</f>
        <v xml:space="preserve"> </v>
      </c>
      <c r="G1163" s="28" t="str">
        <f>IF($C1163=""," ",[1]!i_pq_pctchange($C1163,G$6,$N$1))</f>
        <v xml:space="preserve"> </v>
      </c>
      <c r="H1163" s="28" t="str">
        <f>IF($C1163=""," ",[1]!i_pq_pctchange($C1163,H$6,$N$1))</f>
        <v xml:space="preserve"> </v>
      </c>
      <c r="I1163" s="28" t="str">
        <f>IF($C1163=""," ",[1]!i_pq_pctchange($C1163,I$6,$N$1))</f>
        <v xml:space="preserve"> </v>
      </c>
      <c r="J1163" s="28" t="str">
        <f>IF($C1163=""," ",[1]!i_pq_pctchange($C1163,J$6,$N$1))</f>
        <v xml:space="preserve"> </v>
      </c>
      <c r="K1163" s="28" t="str">
        <f>IF($C1163=""," ",[1]!i_pq_pctchange($C1163,K$6,$N$1))</f>
        <v xml:space="preserve"> </v>
      </c>
      <c r="L1163" s="28" t="str">
        <f>IF(C1163=""," ",[1]!s_wq_pctchange($C1163,$N$1))</f>
        <v xml:space="preserve"> </v>
      </c>
      <c r="M1163" s="28" t="str">
        <f>IF(C1163=""," ",[1]!s_mq_pctchange($C1163,$N$1))</f>
        <v xml:space="preserve"> </v>
      </c>
      <c r="N1163" s="28" t="str">
        <f>IF(C1163=""," ",[1]!s_yq_pctchange($C1163,$N$1))</f>
        <v xml:space="preserve"> </v>
      </c>
      <c r="O1163" s="11"/>
      <c r="P1163" s="7"/>
    </row>
    <row r="1164" spans="1:16" x14ac:dyDescent="0.35">
      <c r="A1164" s="7"/>
      <c r="C1164" s="31" t="str">
        <f>IF(指数列表!B1161="","",指数列表!B1161)</f>
        <v/>
      </c>
      <c r="D1164" s="36" t="str">
        <f>IF(C1164="","",[1]!s_info_name(C1164))</f>
        <v/>
      </c>
      <c r="E1164" s="25" t="str">
        <f>IF(C1164="","",[1]!s_dq_close(C1164,$N$1))</f>
        <v/>
      </c>
      <c r="F1164" s="28" t="str">
        <f>IF($C1164=""," ",[1]!i_pq_pctchange($C1164,F$6,$N$1))</f>
        <v xml:space="preserve"> </v>
      </c>
      <c r="G1164" s="28" t="str">
        <f>IF($C1164=""," ",[1]!i_pq_pctchange($C1164,G$6,$N$1))</f>
        <v xml:space="preserve"> </v>
      </c>
      <c r="H1164" s="28" t="str">
        <f>IF($C1164=""," ",[1]!i_pq_pctchange($C1164,H$6,$N$1))</f>
        <v xml:space="preserve"> </v>
      </c>
      <c r="I1164" s="28" t="str">
        <f>IF($C1164=""," ",[1]!i_pq_pctchange($C1164,I$6,$N$1))</f>
        <v xml:space="preserve"> </v>
      </c>
      <c r="J1164" s="28" t="str">
        <f>IF($C1164=""," ",[1]!i_pq_pctchange($C1164,J$6,$N$1))</f>
        <v xml:space="preserve"> </v>
      </c>
      <c r="K1164" s="28" t="str">
        <f>IF($C1164=""," ",[1]!i_pq_pctchange($C1164,K$6,$N$1))</f>
        <v xml:space="preserve"> </v>
      </c>
      <c r="L1164" s="28" t="str">
        <f>IF(C1164=""," ",[1]!s_wq_pctchange($C1164,$N$1))</f>
        <v xml:space="preserve"> </v>
      </c>
      <c r="M1164" s="28" t="str">
        <f>IF(C1164=""," ",[1]!s_mq_pctchange($C1164,$N$1))</f>
        <v xml:space="preserve"> </v>
      </c>
      <c r="N1164" s="28" t="str">
        <f>IF(C1164=""," ",[1]!s_yq_pctchange($C1164,$N$1))</f>
        <v xml:space="preserve"> </v>
      </c>
      <c r="O1164" s="11"/>
      <c r="P1164" s="7"/>
    </row>
    <row r="1165" spans="1:16" x14ac:dyDescent="0.35">
      <c r="A1165" s="7"/>
      <c r="C1165" s="30" t="str">
        <f>IF(指数列表!B1162="","",指数列表!B1162)</f>
        <v/>
      </c>
      <c r="D1165" s="35" t="str">
        <f>IF(C1165="","",[1]!s_info_name(C1165))</f>
        <v/>
      </c>
      <c r="E1165" s="24" t="str">
        <f>IF(C1165="","",[1]!s_dq_close(C1165,$N$1))</f>
        <v/>
      </c>
      <c r="F1165" s="28" t="str">
        <f>IF($C1165=""," ",[1]!i_pq_pctchange($C1165,F$6,$N$1))</f>
        <v xml:space="preserve"> </v>
      </c>
      <c r="G1165" s="28" t="str">
        <f>IF($C1165=""," ",[1]!i_pq_pctchange($C1165,G$6,$N$1))</f>
        <v xml:space="preserve"> </v>
      </c>
      <c r="H1165" s="28" t="str">
        <f>IF($C1165=""," ",[1]!i_pq_pctchange($C1165,H$6,$N$1))</f>
        <v xml:space="preserve"> </v>
      </c>
      <c r="I1165" s="28" t="str">
        <f>IF($C1165=""," ",[1]!i_pq_pctchange($C1165,I$6,$N$1))</f>
        <v xml:space="preserve"> </v>
      </c>
      <c r="J1165" s="28" t="str">
        <f>IF($C1165=""," ",[1]!i_pq_pctchange($C1165,J$6,$N$1))</f>
        <v xml:space="preserve"> </v>
      </c>
      <c r="K1165" s="28" t="str">
        <f>IF($C1165=""," ",[1]!i_pq_pctchange($C1165,K$6,$N$1))</f>
        <v xml:space="preserve"> </v>
      </c>
      <c r="L1165" s="28" t="str">
        <f>IF(C1165=""," ",[1]!s_wq_pctchange($C1165,$N$1))</f>
        <v xml:space="preserve"> </v>
      </c>
      <c r="M1165" s="28" t="str">
        <f>IF(C1165=""," ",[1]!s_mq_pctchange($C1165,$N$1))</f>
        <v xml:space="preserve"> </v>
      </c>
      <c r="N1165" s="28" t="str">
        <f>IF(C1165=""," ",[1]!s_yq_pctchange($C1165,$N$1))</f>
        <v xml:space="preserve"> </v>
      </c>
      <c r="O1165" s="11"/>
      <c r="P1165" s="7"/>
    </row>
    <row r="1166" spans="1:16" x14ac:dyDescent="0.35">
      <c r="A1166" s="7"/>
      <c r="C1166" s="31" t="str">
        <f>IF(指数列表!B1163="","",指数列表!B1163)</f>
        <v/>
      </c>
      <c r="D1166" s="36" t="str">
        <f>IF(C1166="","",[1]!s_info_name(C1166))</f>
        <v/>
      </c>
      <c r="E1166" s="25" t="str">
        <f>IF(C1166="","",[1]!s_dq_close(C1166,$N$1))</f>
        <v/>
      </c>
      <c r="F1166" s="28" t="str">
        <f>IF($C1166=""," ",[1]!i_pq_pctchange($C1166,F$6,$N$1))</f>
        <v xml:space="preserve"> </v>
      </c>
      <c r="G1166" s="28" t="str">
        <f>IF($C1166=""," ",[1]!i_pq_pctchange($C1166,G$6,$N$1))</f>
        <v xml:space="preserve"> </v>
      </c>
      <c r="H1166" s="28" t="str">
        <f>IF($C1166=""," ",[1]!i_pq_pctchange($C1166,H$6,$N$1))</f>
        <v xml:space="preserve"> </v>
      </c>
      <c r="I1166" s="28" t="str">
        <f>IF($C1166=""," ",[1]!i_pq_pctchange($C1166,I$6,$N$1))</f>
        <v xml:space="preserve"> </v>
      </c>
      <c r="J1166" s="28" t="str">
        <f>IF($C1166=""," ",[1]!i_pq_pctchange($C1166,J$6,$N$1))</f>
        <v xml:space="preserve"> </v>
      </c>
      <c r="K1166" s="28" t="str">
        <f>IF($C1166=""," ",[1]!i_pq_pctchange($C1166,K$6,$N$1))</f>
        <v xml:space="preserve"> </v>
      </c>
      <c r="L1166" s="28" t="str">
        <f>IF(C1166=""," ",[1]!s_wq_pctchange($C1166,$N$1))</f>
        <v xml:space="preserve"> </v>
      </c>
      <c r="M1166" s="28" t="str">
        <f>IF(C1166=""," ",[1]!s_mq_pctchange($C1166,$N$1))</f>
        <v xml:space="preserve"> </v>
      </c>
      <c r="N1166" s="28" t="str">
        <f>IF(C1166=""," ",[1]!s_yq_pctchange($C1166,$N$1))</f>
        <v xml:space="preserve"> </v>
      </c>
      <c r="O1166" s="11"/>
      <c r="P1166" s="7"/>
    </row>
    <row r="1167" spans="1:16" x14ac:dyDescent="0.35">
      <c r="A1167" s="7"/>
      <c r="C1167" s="30" t="str">
        <f>IF(指数列表!B1164="","",指数列表!B1164)</f>
        <v/>
      </c>
      <c r="D1167" s="35" t="str">
        <f>IF(C1167="","",[1]!s_info_name(C1167))</f>
        <v/>
      </c>
      <c r="E1167" s="24" t="str">
        <f>IF(C1167="","",[1]!s_dq_close(C1167,$N$1))</f>
        <v/>
      </c>
      <c r="F1167" s="28" t="str">
        <f>IF($C1167=""," ",[1]!i_pq_pctchange($C1167,F$6,$N$1))</f>
        <v xml:space="preserve"> </v>
      </c>
      <c r="G1167" s="28" t="str">
        <f>IF($C1167=""," ",[1]!i_pq_pctchange($C1167,G$6,$N$1))</f>
        <v xml:space="preserve"> </v>
      </c>
      <c r="H1167" s="28" t="str">
        <f>IF($C1167=""," ",[1]!i_pq_pctchange($C1167,H$6,$N$1))</f>
        <v xml:space="preserve"> </v>
      </c>
      <c r="I1167" s="28" t="str">
        <f>IF($C1167=""," ",[1]!i_pq_pctchange($C1167,I$6,$N$1))</f>
        <v xml:space="preserve"> </v>
      </c>
      <c r="J1167" s="28" t="str">
        <f>IF($C1167=""," ",[1]!i_pq_pctchange($C1167,J$6,$N$1))</f>
        <v xml:space="preserve"> </v>
      </c>
      <c r="K1167" s="28" t="str">
        <f>IF($C1167=""," ",[1]!i_pq_pctchange($C1167,K$6,$N$1))</f>
        <v xml:space="preserve"> </v>
      </c>
      <c r="L1167" s="28" t="str">
        <f>IF(C1167=""," ",[1]!s_wq_pctchange($C1167,$N$1))</f>
        <v xml:space="preserve"> </v>
      </c>
      <c r="M1167" s="28" t="str">
        <f>IF(C1167=""," ",[1]!s_mq_pctchange($C1167,$N$1))</f>
        <v xml:space="preserve"> </v>
      </c>
      <c r="N1167" s="28" t="str">
        <f>IF(C1167=""," ",[1]!s_yq_pctchange($C1167,$N$1))</f>
        <v xml:space="preserve"> </v>
      </c>
      <c r="O1167" s="11"/>
      <c r="P1167" s="7"/>
    </row>
    <row r="1168" spans="1:16" x14ac:dyDescent="0.35">
      <c r="A1168" s="7"/>
      <c r="C1168" s="31" t="str">
        <f>IF(指数列表!B1165="","",指数列表!B1165)</f>
        <v/>
      </c>
      <c r="D1168" s="36" t="str">
        <f>IF(C1168="","",[1]!s_info_name(C1168))</f>
        <v/>
      </c>
      <c r="E1168" s="25" t="str">
        <f>IF(C1168="","",[1]!s_dq_close(C1168,$N$1))</f>
        <v/>
      </c>
      <c r="F1168" s="28" t="str">
        <f>IF($C1168=""," ",[1]!i_pq_pctchange($C1168,F$6,$N$1))</f>
        <v xml:space="preserve"> </v>
      </c>
      <c r="G1168" s="28" t="str">
        <f>IF($C1168=""," ",[1]!i_pq_pctchange($C1168,G$6,$N$1))</f>
        <v xml:space="preserve"> </v>
      </c>
      <c r="H1168" s="28" t="str">
        <f>IF($C1168=""," ",[1]!i_pq_pctchange($C1168,H$6,$N$1))</f>
        <v xml:space="preserve"> </v>
      </c>
      <c r="I1168" s="28" t="str">
        <f>IF($C1168=""," ",[1]!i_pq_pctchange($C1168,I$6,$N$1))</f>
        <v xml:space="preserve"> </v>
      </c>
      <c r="J1168" s="28" t="str">
        <f>IF($C1168=""," ",[1]!i_pq_pctchange($C1168,J$6,$N$1))</f>
        <v xml:space="preserve"> </v>
      </c>
      <c r="K1168" s="28" t="str">
        <f>IF($C1168=""," ",[1]!i_pq_pctchange($C1168,K$6,$N$1))</f>
        <v xml:space="preserve"> </v>
      </c>
      <c r="L1168" s="28" t="str">
        <f>IF(C1168=""," ",[1]!s_wq_pctchange($C1168,$N$1))</f>
        <v xml:space="preserve"> </v>
      </c>
      <c r="M1168" s="28" t="str">
        <f>IF(C1168=""," ",[1]!s_mq_pctchange($C1168,$N$1))</f>
        <v xml:space="preserve"> </v>
      </c>
      <c r="N1168" s="28" t="str">
        <f>IF(C1168=""," ",[1]!s_yq_pctchange($C1168,$N$1))</f>
        <v xml:space="preserve"> </v>
      </c>
      <c r="O1168" s="11"/>
      <c r="P1168" s="7"/>
    </row>
    <row r="1169" spans="1:16" x14ac:dyDescent="0.35">
      <c r="A1169" s="7"/>
      <c r="C1169" s="30" t="str">
        <f>IF(指数列表!B1166="","",指数列表!B1166)</f>
        <v/>
      </c>
      <c r="D1169" s="35" t="str">
        <f>IF(C1169="","",[1]!s_info_name(C1169))</f>
        <v/>
      </c>
      <c r="E1169" s="24" t="str">
        <f>IF(C1169="","",[1]!s_dq_close(C1169,$N$1))</f>
        <v/>
      </c>
      <c r="F1169" s="28" t="str">
        <f>IF($C1169=""," ",[1]!i_pq_pctchange($C1169,F$6,$N$1))</f>
        <v xml:space="preserve"> </v>
      </c>
      <c r="G1169" s="28" t="str">
        <f>IF($C1169=""," ",[1]!i_pq_pctchange($C1169,G$6,$N$1))</f>
        <v xml:space="preserve"> </v>
      </c>
      <c r="H1169" s="28" t="str">
        <f>IF($C1169=""," ",[1]!i_pq_pctchange($C1169,H$6,$N$1))</f>
        <v xml:space="preserve"> </v>
      </c>
      <c r="I1169" s="28" t="str">
        <f>IF($C1169=""," ",[1]!i_pq_pctchange($C1169,I$6,$N$1))</f>
        <v xml:space="preserve"> </v>
      </c>
      <c r="J1169" s="28" t="str">
        <f>IF($C1169=""," ",[1]!i_pq_pctchange($C1169,J$6,$N$1))</f>
        <v xml:space="preserve"> </v>
      </c>
      <c r="K1169" s="28" t="str">
        <f>IF($C1169=""," ",[1]!i_pq_pctchange($C1169,K$6,$N$1))</f>
        <v xml:space="preserve"> </v>
      </c>
      <c r="L1169" s="28" t="str">
        <f>IF(C1169=""," ",[1]!s_wq_pctchange($C1169,$N$1))</f>
        <v xml:space="preserve"> </v>
      </c>
      <c r="M1169" s="28" t="str">
        <f>IF(C1169=""," ",[1]!s_mq_pctchange($C1169,$N$1))</f>
        <v xml:space="preserve"> </v>
      </c>
      <c r="N1169" s="28" t="str">
        <f>IF(C1169=""," ",[1]!s_yq_pctchange($C1169,$N$1))</f>
        <v xml:space="preserve"> </v>
      </c>
      <c r="O1169" s="11"/>
      <c r="P1169" s="7"/>
    </row>
    <row r="1170" spans="1:16" x14ac:dyDescent="0.35">
      <c r="A1170" s="7"/>
      <c r="C1170" s="31" t="str">
        <f>IF(指数列表!B1167="","",指数列表!B1167)</f>
        <v/>
      </c>
      <c r="D1170" s="36" t="str">
        <f>IF(C1170="","",[1]!s_info_name(C1170))</f>
        <v/>
      </c>
      <c r="E1170" s="25" t="str">
        <f>IF(C1170="","",[1]!s_dq_close(C1170,$N$1))</f>
        <v/>
      </c>
      <c r="F1170" s="28" t="str">
        <f>IF($C1170=""," ",[1]!i_pq_pctchange($C1170,F$6,$N$1))</f>
        <v xml:space="preserve"> </v>
      </c>
      <c r="G1170" s="28" t="str">
        <f>IF($C1170=""," ",[1]!i_pq_pctchange($C1170,G$6,$N$1))</f>
        <v xml:space="preserve"> </v>
      </c>
      <c r="H1170" s="28" t="str">
        <f>IF($C1170=""," ",[1]!i_pq_pctchange($C1170,H$6,$N$1))</f>
        <v xml:space="preserve"> </v>
      </c>
      <c r="I1170" s="28" t="str">
        <f>IF($C1170=""," ",[1]!i_pq_pctchange($C1170,I$6,$N$1))</f>
        <v xml:space="preserve"> </v>
      </c>
      <c r="J1170" s="28" t="str">
        <f>IF($C1170=""," ",[1]!i_pq_pctchange($C1170,J$6,$N$1))</f>
        <v xml:space="preserve"> </v>
      </c>
      <c r="K1170" s="28" t="str">
        <f>IF($C1170=""," ",[1]!i_pq_pctchange($C1170,K$6,$N$1))</f>
        <v xml:space="preserve"> </v>
      </c>
      <c r="L1170" s="28" t="str">
        <f>IF(C1170=""," ",[1]!s_wq_pctchange($C1170,$N$1))</f>
        <v xml:space="preserve"> </v>
      </c>
      <c r="M1170" s="28" t="str">
        <f>IF(C1170=""," ",[1]!s_mq_pctchange($C1170,$N$1))</f>
        <v xml:space="preserve"> </v>
      </c>
      <c r="N1170" s="28" t="str">
        <f>IF(C1170=""," ",[1]!s_yq_pctchange($C1170,$N$1))</f>
        <v xml:space="preserve"> </v>
      </c>
      <c r="O1170" s="11"/>
      <c r="P1170" s="7"/>
    </row>
    <row r="1171" spans="1:16" x14ac:dyDescent="0.35">
      <c r="A1171" s="7"/>
      <c r="C1171" s="30" t="str">
        <f>IF(指数列表!B1168="","",指数列表!B1168)</f>
        <v/>
      </c>
      <c r="D1171" s="35" t="str">
        <f>IF(C1171="","",[1]!s_info_name(C1171))</f>
        <v/>
      </c>
      <c r="E1171" s="24" t="str">
        <f>IF(C1171="","",[1]!s_dq_close(C1171,$N$1))</f>
        <v/>
      </c>
      <c r="F1171" s="28" t="str">
        <f>IF($C1171=""," ",[1]!i_pq_pctchange($C1171,F$6,$N$1))</f>
        <v xml:space="preserve"> </v>
      </c>
      <c r="G1171" s="28" t="str">
        <f>IF($C1171=""," ",[1]!i_pq_pctchange($C1171,G$6,$N$1))</f>
        <v xml:space="preserve"> </v>
      </c>
      <c r="H1171" s="28" t="str">
        <f>IF($C1171=""," ",[1]!i_pq_pctchange($C1171,H$6,$N$1))</f>
        <v xml:space="preserve"> </v>
      </c>
      <c r="I1171" s="28" t="str">
        <f>IF($C1171=""," ",[1]!i_pq_pctchange($C1171,I$6,$N$1))</f>
        <v xml:space="preserve"> </v>
      </c>
      <c r="J1171" s="28" t="str">
        <f>IF($C1171=""," ",[1]!i_pq_pctchange($C1171,J$6,$N$1))</f>
        <v xml:space="preserve"> </v>
      </c>
      <c r="K1171" s="28" t="str">
        <f>IF($C1171=""," ",[1]!i_pq_pctchange($C1171,K$6,$N$1))</f>
        <v xml:space="preserve"> </v>
      </c>
      <c r="L1171" s="28" t="str">
        <f>IF(C1171=""," ",[1]!s_wq_pctchange($C1171,$N$1))</f>
        <v xml:space="preserve"> </v>
      </c>
      <c r="M1171" s="28" t="str">
        <f>IF(C1171=""," ",[1]!s_mq_pctchange($C1171,$N$1))</f>
        <v xml:space="preserve"> </v>
      </c>
      <c r="N1171" s="28" t="str">
        <f>IF(C1171=""," ",[1]!s_yq_pctchange($C1171,$N$1))</f>
        <v xml:space="preserve"> </v>
      </c>
      <c r="O1171" s="11"/>
      <c r="P1171" s="7"/>
    </row>
    <row r="1172" spans="1:16" x14ac:dyDescent="0.35">
      <c r="A1172" s="7"/>
      <c r="C1172" s="31" t="str">
        <f>IF(指数列表!B1169="","",指数列表!B1169)</f>
        <v/>
      </c>
      <c r="D1172" s="36" t="str">
        <f>IF(C1172="","",[1]!s_info_name(C1172))</f>
        <v/>
      </c>
      <c r="E1172" s="25" t="str">
        <f>IF(C1172="","",[1]!s_dq_close(C1172,$N$1))</f>
        <v/>
      </c>
      <c r="F1172" s="28" t="str">
        <f>IF($C1172=""," ",[1]!i_pq_pctchange($C1172,F$6,$N$1))</f>
        <v xml:space="preserve"> </v>
      </c>
      <c r="G1172" s="28" t="str">
        <f>IF($C1172=""," ",[1]!i_pq_pctchange($C1172,G$6,$N$1))</f>
        <v xml:space="preserve"> </v>
      </c>
      <c r="H1172" s="28" t="str">
        <f>IF($C1172=""," ",[1]!i_pq_pctchange($C1172,H$6,$N$1))</f>
        <v xml:space="preserve"> </v>
      </c>
      <c r="I1172" s="28" t="str">
        <f>IF($C1172=""," ",[1]!i_pq_pctchange($C1172,I$6,$N$1))</f>
        <v xml:space="preserve"> </v>
      </c>
      <c r="J1172" s="28" t="str">
        <f>IF($C1172=""," ",[1]!i_pq_pctchange($C1172,J$6,$N$1))</f>
        <v xml:space="preserve"> </v>
      </c>
      <c r="K1172" s="28" t="str">
        <f>IF($C1172=""," ",[1]!i_pq_pctchange($C1172,K$6,$N$1))</f>
        <v xml:space="preserve"> </v>
      </c>
      <c r="L1172" s="28" t="str">
        <f>IF(C1172=""," ",[1]!s_wq_pctchange($C1172,$N$1))</f>
        <v xml:space="preserve"> </v>
      </c>
      <c r="M1172" s="28" t="str">
        <f>IF(C1172=""," ",[1]!s_mq_pctchange($C1172,$N$1))</f>
        <v xml:space="preserve"> </v>
      </c>
      <c r="N1172" s="28" t="str">
        <f>IF(C1172=""," ",[1]!s_yq_pctchange($C1172,$N$1))</f>
        <v xml:space="preserve"> </v>
      </c>
      <c r="O1172" s="11"/>
      <c r="P1172" s="7"/>
    </row>
    <row r="1173" spans="1:16" x14ac:dyDescent="0.35">
      <c r="A1173" s="7"/>
      <c r="C1173" s="30" t="str">
        <f>IF(指数列表!B1170="","",指数列表!B1170)</f>
        <v/>
      </c>
      <c r="D1173" s="35" t="str">
        <f>IF(C1173="","",[1]!s_info_name(C1173))</f>
        <v/>
      </c>
      <c r="E1173" s="24" t="str">
        <f>IF(C1173="","",[1]!s_dq_close(C1173,$N$1))</f>
        <v/>
      </c>
      <c r="F1173" s="28" t="str">
        <f>IF($C1173=""," ",[1]!i_pq_pctchange($C1173,F$6,$N$1))</f>
        <v xml:space="preserve"> </v>
      </c>
      <c r="G1173" s="28" t="str">
        <f>IF($C1173=""," ",[1]!i_pq_pctchange($C1173,G$6,$N$1))</f>
        <v xml:space="preserve"> </v>
      </c>
      <c r="H1173" s="28" t="str">
        <f>IF($C1173=""," ",[1]!i_pq_pctchange($C1173,H$6,$N$1))</f>
        <v xml:space="preserve"> </v>
      </c>
      <c r="I1173" s="28" t="str">
        <f>IF($C1173=""," ",[1]!i_pq_pctchange($C1173,I$6,$N$1))</f>
        <v xml:space="preserve"> </v>
      </c>
      <c r="J1173" s="28" t="str">
        <f>IF($C1173=""," ",[1]!i_pq_pctchange($C1173,J$6,$N$1))</f>
        <v xml:space="preserve"> </v>
      </c>
      <c r="K1173" s="28" t="str">
        <f>IF($C1173=""," ",[1]!i_pq_pctchange($C1173,K$6,$N$1))</f>
        <v xml:space="preserve"> </v>
      </c>
      <c r="L1173" s="28" t="str">
        <f>IF(C1173=""," ",[1]!s_wq_pctchange($C1173,$N$1))</f>
        <v xml:space="preserve"> </v>
      </c>
      <c r="M1173" s="28" t="str">
        <f>IF(C1173=""," ",[1]!s_mq_pctchange($C1173,$N$1))</f>
        <v xml:space="preserve"> </v>
      </c>
      <c r="N1173" s="28" t="str">
        <f>IF(C1173=""," ",[1]!s_yq_pctchange($C1173,$N$1))</f>
        <v xml:space="preserve"> </v>
      </c>
      <c r="O1173" s="11"/>
      <c r="P1173" s="7"/>
    </row>
    <row r="1174" spans="1:16" x14ac:dyDescent="0.35">
      <c r="A1174" s="7"/>
      <c r="C1174" s="31" t="str">
        <f>IF(指数列表!B1171="","",指数列表!B1171)</f>
        <v/>
      </c>
      <c r="D1174" s="36" t="str">
        <f>IF(C1174="","",[1]!s_info_name(C1174))</f>
        <v/>
      </c>
      <c r="E1174" s="25" t="str">
        <f>IF(C1174="","",[1]!s_dq_close(C1174,$N$1))</f>
        <v/>
      </c>
      <c r="F1174" s="28" t="str">
        <f>IF($C1174=""," ",[1]!i_pq_pctchange($C1174,F$6,$N$1))</f>
        <v xml:space="preserve"> </v>
      </c>
      <c r="G1174" s="28" t="str">
        <f>IF($C1174=""," ",[1]!i_pq_pctchange($C1174,G$6,$N$1))</f>
        <v xml:space="preserve"> </v>
      </c>
      <c r="H1174" s="28" t="str">
        <f>IF($C1174=""," ",[1]!i_pq_pctchange($C1174,H$6,$N$1))</f>
        <v xml:space="preserve"> </v>
      </c>
      <c r="I1174" s="28" t="str">
        <f>IF($C1174=""," ",[1]!i_pq_pctchange($C1174,I$6,$N$1))</f>
        <v xml:space="preserve"> </v>
      </c>
      <c r="J1174" s="28" t="str">
        <f>IF($C1174=""," ",[1]!i_pq_pctchange($C1174,J$6,$N$1))</f>
        <v xml:space="preserve"> </v>
      </c>
      <c r="K1174" s="28" t="str">
        <f>IF($C1174=""," ",[1]!i_pq_pctchange($C1174,K$6,$N$1))</f>
        <v xml:space="preserve"> </v>
      </c>
      <c r="L1174" s="28" t="str">
        <f>IF(C1174=""," ",[1]!s_wq_pctchange($C1174,$N$1))</f>
        <v xml:space="preserve"> </v>
      </c>
      <c r="M1174" s="28" t="str">
        <f>IF(C1174=""," ",[1]!s_mq_pctchange($C1174,$N$1))</f>
        <v xml:space="preserve"> </v>
      </c>
      <c r="N1174" s="28" t="str">
        <f>IF(C1174=""," ",[1]!s_yq_pctchange($C1174,$N$1))</f>
        <v xml:space="preserve"> </v>
      </c>
      <c r="O1174" s="11"/>
      <c r="P1174" s="7"/>
    </row>
    <row r="1175" spans="1:16" x14ac:dyDescent="0.35">
      <c r="A1175" s="7"/>
      <c r="C1175" s="30" t="str">
        <f>IF(指数列表!B1172="","",指数列表!B1172)</f>
        <v/>
      </c>
      <c r="D1175" s="35" t="str">
        <f>IF(C1175="","",[1]!s_info_name(C1175))</f>
        <v/>
      </c>
      <c r="E1175" s="24" t="str">
        <f>IF(C1175="","",[1]!s_dq_close(C1175,$N$1))</f>
        <v/>
      </c>
      <c r="F1175" s="28" t="str">
        <f>IF($C1175=""," ",[1]!i_pq_pctchange($C1175,F$6,$N$1))</f>
        <v xml:space="preserve"> </v>
      </c>
      <c r="G1175" s="28" t="str">
        <f>IF($C1175=""," ",[1]!i_pq_pctchange($C1175,G$6,$N$1))</f>
        <v xml:space="preserve"> </v>
      </c>
      <c r="H1175" s="28" t="str">
        <f>IF($C1175=""," ",[1]!i_pq_pctchange($C1175,H$6,$N$1))</f>
        <v xml:space="preserve"> </v>
      </c>
      <c r="I1175" s="28" t="str">
        <f>IF($C1175=""," ",[1]!i_pq_pctchange($C1175,I$6,$N$1))</f>
        <v xml:space="preserve"> </v>
      </c>
      <c r="J1175" s="28" t="str">
        <f>IF($C1175=""," ",[1]!i_pq_pctchange($C1175,J$6,$N$1))</f>
        <v xml:space="preserve"> </v>
      </c>
      <c r="K1175" s="28" t="str">
        <f>IF($C1175=""," ",[1]!i_pq_pctchange($C1175,K$6,$N$1))</f>
        <v xml:space="preserve"> </v>
      </c>
      <c r="L1175" s="28" t="str">
        <f>IF(C1175=""," ",[1]!s_wq_pctchange($C1175,$N$1))</f>
        <v xml:space="preserve"> </v>
      </c>
      <c r="M1175" s="28" t="str">
        <f>IF(C1175=""," ",[1]!s_mq_pctchange($C1175,$N$1))</f>
        <v xml:space="preserve"> </v>
      </c>
      <c r="N1175" s="28" t="str">
        <f>IF(C1175=""," ",[1]!s_yq_pctchange($C1175,$N$1))</f>
        <v xml:space="preserve"> </v>
      </c>
      <c r="O1175" s="11"/>
      <c r="P1175" s="7"/>
    </row>
    <row r="1176" spans="1:16" x14ac:dyDescent="0.35">
      <c r="A1176" s="7"/>
      <c r="C1176" s="31" t="str">
        <f>IF(指数列表!B1173="","",指数列表!B1173)</f>
        <v/>
      </c>
      <c r="D1176" s="36" t="str">
        <f>IF(C1176="","",[1]!s_info_name(C1176))</f>
        <v/>
      </c>
      <c r="E1176" s="25" t="str">
        <f>IF(C1176="","",[1]!s_dq_close(C1176,$N$1))</f>
        <v/>
      </c>
      <c r="F1176" s="28" t="str">
        <f>IF($C1176=""," ",[1]!i_pq_pctchange($C1176,F$6,$N$1))</f>
        <v xml:space="preserve"> </v>
      </c>
      <c r="G1176" s="28" t="str">
        <f>IF($C1176=""," ",[1]!i_pq_pctchange($C1176,G$6,$N$1))</f>
        <v xml:space="preserve"> </v>
      </c>
      <c r="H1176" s="28" t="str">
        <f>IF($C1176=""," ",[1]!i_pq_pctchange($C1176,H$6,$N$1))</f>
        <v xml:space="preserve"> </v>
      </c>
      <c r="I1176" s="28" t="str">
        <f>IF($C1176=""," ",[1]!i_pq_pctchange($C1176,I$6,$N$1))</f>
        <v xml:space="preserve"> </v>
      </c>
      <c r="J1176" s="28" t="str">
        <f>IF($C1176=""," ",[1]!i_pq_pctchange($C1176,J$6,$N$1))</f>
        <v xml:space="preserve"> </v>
      </c>
      <c r="K1176" s="28" t="str">
        <f>IF($C1176=""," ",[1]!i_pq_pctchange($C1176,K$6,$N$1))</f>
        <v xml:space="preserve"> </v>
      </c>
      <c r="L1176" s="28" t="str">
        <f>IF(C1176=""," ",[1]!s_wq_pctchange($C1176,$N$1))</f>
        <v xml:space="preserve"> </v>
      </c>
      <c r="M1176" s="28" t="str">
        <f>IF(C1176=""," ",[1]!s_mq_pctchange($C1176,$N$1))</f>
        <v xml:space="preserve"> </v>
      </c>
      <c r="N1176" s="28" t="str">
        <f>IF(C1176=""," ",[1]!s_yq_pctchange($C1176,$N$1))</f>
        <v xml:space="preserve"> </v>
      </c>
      <c r="O1176" s="11"/>
      <c r="P1176" s="7"/>
    </row>
    <row r="1177" spans="1:16" x14ac:dyDescent="0.35">
      <c r="A1177" s="7"/>
      <c r="C1177" s="30" t="str">
        <f>IF(指数列表!B1174="","",指数列表!B1174)</f>
        <v/>
      </c>
      <c r="D1177" s="35" t="str">
        <f>IF(C1177="","",[1]!s_info_name(C1177))</f>
        <v/>
      </c>
      <c r="E1177" s="24" t="str">
        <f>IF(C1177="","",[1]!s_dq_close(C1177,$N$1))</f>
        <v/>
      </c>
      <c r="F1177" s="28" t="str">
        <f>IF($C1177=""," ",[1]!i_pq_pctchange($C1177,F$6,$N$1))</f>
        <v xml:space="preserve"> </v>
      </c>
      <c r="G1177" s="28" t="str">
        <f>IF($C1177=""," ",[1]!i_pq_pctchange($C1177,G$6,$N$1))</f>
        <v xml:space="preserve"> </v>
      </c>
      <c r="H1177" s="28" t="str">
        <f>IF($C1177=""," ",[1]!i_pq_pctchange($C1177,H$6,$N$1))</f>
        <v xml:space="preserve"> </v>
      </c>
      <c r="I1177" s="28" t="str">
        <f>IF($C1177=""," ",[1]!i_pq_pctchange($C1177,I$6,$N$1))</f>
        <v xml:space="preserve"> </v>
      </c>
      <c r="J1177" s="28" t="str">
        <f>IF($C1177=""," ",[1]!i_pq_pctchange($C1177,J$6,$N$1))</f>
        <v xml:space="preserve"> </v>
      </c>
      <c r="K1177" s="28" t="str">
        <f>IF($C1177=""," ",[1]!i_pq_pctchange($C1177,K$6,$N$1))</f>
        <v xml:space="preserve"> </v>
      </c>
      <c r="L1177" s="28" t="str">
        <f>IF(C1177=""," ",[1]!s_wq_pctchange($C1177,$N$1))</f>
        <v xml:space="preserve"> </v>
      </c>
      <c r="M1177" s="28" t="str">
        <f>IF(C1177=""," ",[1]!s_mq_pctchange($C1177,$N$1))</f>
        <v xml:space="preserve"> </v>
      </c>
      <c r="N1177" s="28" t="str">
        <f>IF(C1177=""," ",[1]!s_yq_pctchange($C1177,$N$1))</f>
        <v xml:space="preserve"> </v>
      </c>
      <c r="O1177" s="11"/>
      <c r="P1177" s="7"/>
    </row>
    <row r="1178" spans="1:16" x14ac:dyDescent="0.35">
      <c r="A1178" s="7"/>
      <c r="C1178" s="31" t="str">
        <f>IF(指数列表!B1175="","",指数列表!B1175)</f>
        <v/>
      </c>
      <c r="D1178" s="36" t="str">
        <f>IF(C1178="","",[1]!s_info_name(C1178))</f>
        <v/>
      </c>
      <c r="E1178" s="25" t="str">
        <f>IF(C1178="","",[1]!s_dq_close(C1178,$N$1))</f>
        <v/>
      </c>
      <c r="F1178" s="28" t="str">
        <f>IF($C1178=""," ",[1]!i_pq_pctchange($C1178,F$6,$N$1))</f>
        <v xml:space="preserve"> </v>
      </c>
      <c r="G1178" s="28" t="str">
        <f>IF($C1178=""," ",[1]!i_pq_pctchange($C1178,G$6,$N$1))</f>
        <v xml:space="preserve"> </v>
      </c>
      <c r="H1178" s="28" t="str">
        <f>IF($C1178=""," ",[1]!i_pq_pctchange($C1178,H$6,$N$1))</f>
        <v xml:space="preserve"> </v>
      </c>
      <c r="I1178" s="28" t="str">
        <f>IF($C1178=""," ",[1]!i_pq_pctchange($C1178,I$6,$N$1))</f>
        <v xml:space="preserve"> </v>
      </c>
      <c r="J1178" s="28" t="str">
        <f>IF($C1178=""," ",[1]!i_pq_pctchange($C1178,J$6,$N$1))</f>
        <v xml:space="preserve"> </v>
      </c>
      <c r="K1178" s="28" t="str">
        <f>IF($C1178=""," ",[1]!i_pq_pctchange($C1178,K$6,$N$1))</f>
        <v xml:space="preserve"> </v>
      </c>
      <c r="L1178" s="28" t="str">
        <f>IF(C1178=""," ",[1]!s_wq_pctchange($C1178,$N$1))</f>
        <v xml:space="preserve"> </v>
      </c>
      <c r="M1178" s="28" t="str">
        <f>IF(C1178=""," ",[1]!s_mq_pctchange($C1178,$N$1))</f>
        <v xml:space="preserve"> </v>
      </c>
      <c r="N1178" s="28" t="str">
        <f>IF(C1178=""," ",[1]!s_yq_pctchange($C1178,$N$1))</f>
        <v xml:space="preserve"> </v>
      </c>
      <c r="O1178" s="11"/>
      <c r="P1178" s="7"/>
    </row>
    <row r="1179" spans="1:16" x14ac:dyDescent="0.35">
      <c r="A1179" s="7"/>
      <c r="C1179" s="30" t="str">
        <f>IF(指数列表!B1176="","",指数列表!B1176)</f>
        <v/>
      </c>
      <c r="D1179" s="35" t="str">
        <f>IF(C1179="","",[1]!s_info_name(C1179))</f>
        <v/>
      </c>
      <c r="E1179" s="24" t="str">
        <f>IF(C1179="","",[1]!s_dq_close(C1179,$N$1))</f>
        <v/>
      </c>
      <c r="F1179" s="28" t="str">
        <f>IF($C1179=""," ",[1]!i_pq_pctchange($C1179,F$6,$N$1))</f>
        <v xml:space="preserve"> </v>
      </c>
      <c r="G1179" s="28" t="str">
        <f>IF($C1179=""," ",[1]!i_pq_pctchange($C1179,G$6,$N$1))</f>
        <v xml:space="preserve"> </v>
      </c>
      <c r="H1179" s="28" t="str">
        <f>IF($C1179=""," ",[1]!i_pq_pctchange($C1179,H$6,$N$1))</f>
        <v xml:space="preserve"> </v>
      </c>
      <c r="I1179" s="28" t="str">
        <f>IF($C1179=""," ",[1]!i_pq_pctchange($C1179,I$6,$N$1))</f>
        <v xml:space="preserve"> </v>
      </c>
      <c r="J1179" s="28" t="str">
        <f>IF($C1179=""," ",[1]!i_pq_pctchange($C1179,J$6,$N$1))</f>
        <v xml:space="preserve"> </v>
      </c>
      <c r="K1179" s="28" t="str">
        <f>IF($C1179=""," ",[1]!i_pq_pctchange($C1179,K$6,$N$1))</f>
        <v xml:space="preserve"> </v>
      </c>
      <c r="L1179" s="28" t="str">
        <f>IF(C1179=""," ",[1]!s_wq_pctchange($C1179,$N$1))</f>
        <v xml:space="preserve"> </v>
      </c>
      <c r="M1179" s="28" t="str">
        <f>IF(C1179=""," ",[1]!s_mq_pctchange($C1179,$N$1))</f>
        <v xml:space="preserve"> </v>
      </c>
      <c r="N1179" s="28" t="str">
        <f>IF(C1179=""," ",[1]!s_yq_pctchange($C1179,$N$1))</f>
        <v xml:space="preserve"> </v>
      </c>
      <c r="O1179" s="11"/>
      <c r="P1179" s="7"/>
    </row>
    <row r="1180" spans="1:16" x14ac:dyDescent="0.35">
      <c r="A1180" s="7"/>
      <c r="C1180" s="31" t="str">
        <f>IF(指数列表!B1177="","",指数列表!B1177)</f>
        <v/>
      </c>
      <c r="D1180" s="36" t="str">
        <f>IF(C1180="","",[1]!s_info_name(C1180))</f>
        <v/>
      </c>
      <c r="E1180" s="25" t="str">
        <f>IF(C1180="","",[1]!s_dq_close(C1180,$N$1))</f>
        <v/>
      </c>
      <c r="F1180" s="28" t="str">
        <f>IF($C1180=""," ",[1]!i_pq_pctchange($C1180,F$6,$N$1))</f>
        <v xml:space="preserve"> </v>
      </c>
      <c r="G1180" s="28" t="str">
        <f>IF($C1180=""," ",[1]!i_pq_pctchange($C1180,G$6,$N$1))</f>
        <v xml:space="preserve"> </v>
      </c>
      <c r="H1180" s="28" t="str">
        <f>IF($C1180=""," ",[1]!i_pq_pctchange($C1180,H$6,$N$1))</f>
        <v xml:space="preserve"> </v>
      </c>
      <c r="I1180" s="28" t="str">
        <f>IF($C1180=""," ",[1]!i_pq_pctchange($C1180,I$6,$N$1))</f>
        <v xml:space="preserve"> </v>
      </c>
      <c r="J1180" s="28" t="str">
        <f>IF($C1180=""," ",[1]!i_pq_pctchange($C1180,J$6,$N$1))</f>
        <v xml:space="preserve"> </v>
      </c>
      <c r="K1180" s="28" t="str">
        <f>IF($C1180=""," ",[1]!i_pq_pctchange($C1180,K$6,$N$1))</f>
        <v xml:space="preserve"> </v>
      </c>
      <c r="L1180" s="28" t="str">
        <f>IF(C1180=""," ",[1]!s_wq_pctchange($C1180,$N$1))</f>
        <v xml:space="preserve"> </v>
      </c>
      <c r="M1180" s="28" t="str">
        <f>IF(C1180=""," ",[1]!s_mq_pctchange($C1180,$N$1))</f>
        <v xml:space="preserve"> </v>
      </c>
      <c r="N1180" s="28" t="str">
        <f>IF(C1180=""," ",[1]!s_yq_pctchange($C1180,$N$1))</f>
        <v xml:space="preserve"> </v>
      </c>
      <c r="O1180" s="11"/>
      <c r="P1180" s="7"/>
    </row>
    <row r="1181" spans="1:16" x14ac:dyDescent="0.35">
      <c r="A1181" s="7"/>
      <c r="C1181" s="30" t="str">
        <f>IF(指数列表!B1178="","",指数列表!B1178)</f>
        <v/>
      </c>
      <c r="D1181" s="35" t="str">
        <f>IF(C1181="","",[1]!s_info_name(C1181))</f>
        <v/>
      </c>
      <c r="E1181" s="24" t="str">
        <f>IF(C1181="","",[1]!s_dq_close(C1181,$N$1))</f>
        <v/>
      </c>
      <c r="F1181" s="28" t="str">
        <f>IF($C1181=""," ",[1]!i_pq_pctchange($C1181,F$6,$N$1))</f>
        <v xml:space="preserve"> </v>
      </c>
      <c r="G1181" s="28" t="str">
        <f>IF($C1181=""," ",[1]!i_pq_pctchange($C1181,G$6,$N$1))</f>
        <v xml:space="preserve"> </v>
      </c>
      <c r="H1181" s="28" t="str">
        <f>IF($C1181=""," ",[1]!i_pq_pctchange($C1181,H$6,$N$1))</f>
        <v xml:space="preserve"> </v>
      </c>
      <c r="I1181" s="28" t="str">
        <f>IF($C1181=""," ",[1]!i_pq_pctchange($C1181,I$6,$N$1))</f>
        <v xml:space="preserve"> </v>
      </c>
      <c r="J1181" s="28" t="str">
        <f>IF($C1181=""," ",[1]!i_pq_pctchange($C1181,J$6,$N$1))</f>
        <v xml:space="preserve"> </v>
      </c>
      <c r="K1181" s="28" t="str">
        <f>IF($C1181=""," ",[1]!i_pq_pctchange($C1181,K$6,$N$1))</f>
        <v xml:space="preserve"> </v>
      </c>
      <c r="L1181" s="28" t="str">
        <f>IF(C1181=""," ",[1]!s_wq_pctchange($C1181,$N$1))</f>
        <v xml:space="preserve"> </v>
      </c>
      <c r="M1181" s="28" t="str">
        <f>IF(C1181=""," ",[1]!s_mq_pctchange($C1181,$N$1))</f>
        <v xml:space="preserve"> </v>
      </c>
      <c r="N1181" s="28" t="str">
        <f>IF(C1181=""," ",[1]!s_yq_pctchange($C1181,$N$1))</f>
        <v xml:space="preserve"> </v>
      </c>
      <c r="O1181" s="11"/>
      <c r="P1181" s="7"/>
    </row>
    <row r="1182" spans="1:16" x14ac:dyDescent="0.35">
      <c r="A1182" s="7"/>
      <c r="C1182" s="31" t="str">
        <f>IF(指数列表!B1179="","",指数列表!B1179)</f>
        <v/>
      </c>
      <c r="D1182" s="36" t="str">
        <f>IF(C1182="","",[1]!s_info_name(C1182))</f>
        <v/>
      </c>
      <c r="E1182" s="25" t="str">
        <f>IF(C1182="","",[1]!s_dq_close(C1182,$N$1))</f>
        <v/>
      </c>
      <c r="F1182" s="28" t="str">
        <f>IF($C1182=""," ",[1]!i_pq_pctchange($C1182,F$6,$N$1))</f>
        <v xml:space="preserve"> </v>
      </c>
      <c r="G1182" s="28" t="str">
        <f>IF($C1182=""," ",[1]!i_pq_pctchange($C1182,G$6,$N$1))</f>
        <v xml:space="preserve"> </v>
      </c>
      <c r="H1182" s="28" t="str">
        <f>IF($C1182=""," ",[1]!i_pq_pctchange($C1182,H$6,$N$1))</f>
        <v xml:space="preserve"> </v>
      </c>
      <c r="I1182" s="28" t="str">
        <f>IF($C1182=""," ",[1]!i_pq_pctchange($C1182,I$6,$N$1))</f>
        <v xml:space="preserve"> </v>
      </c>
      <c r="J1182" s="28" t="str">
        <f>IF($C1182=""," ",[1]!i_pq_pctchange($C1182,J$6,$N$1))</f>
        <v xml:space="preserve"> </v>
      </c>
      <c r="K1182" s="28" t="str">
        <f>IF($C1182=""," ",[1]!i_pq_pctchange($C1182,K$6,$N$1))</f>
        <v xml:space="preserve"> </v>
      </c>
      <c r="L1182" s="28" t="str">
        <f>IF(C1182=""," ",[1]!s_wq_pctchange($C1182,$N$1))</f>
        <v xml:space="preserve"> </v>
      </c>
      <c r="M1182" s="28" t="str">
        <f>IF(C1182=""," ",[1]!s_mq_pctchange($C1182,$N$1))</f>
        <v xml:space="preserve"> </v>
      </c>
      <c r="N1182" s="28" t="str">
        <f>IF(C1182=""," ",[1]!s_yq_pctchange($C1182,$N$1))</f>
        <v xml:space="preserve"> </v>
      </c>
      <c r="O1182" s="11"/>
      <c r="P1182" s="7"/>
    </row>
    <row r="1183" spans="1:16" x14ac:dyDescent="0.35">
      <c r="A1183" s="7"/>
      <c r="C1183" s="30" t="str">
        <f>IF(指数列表!B1180="","",指数列表!B1180)</f>
        <v/>
      </c>
      <c r="D1183" s="35" t="str">
        <f>IF(C1183="","",[1]!s_info_name(C1183))</f>
        <v/>
      </c>
      <c r="E1183" s="24" t="str">
        <f>IF(C1183="","",[1]!s_dq_close(C1183,$N$1))</f>
        <v/>
      </c>
      <c r="F1183" s="28" t="str">
        <f>IF($C1183=""," ",[1]!i_pq_pctchange($C1183,F$6,$N$1))</f>
        <v xml:space="preserve"> </v>
      </c>
      <c r="G1183" s="28" t="str">
        <f>IF($C1183=""," ",[1]!i_pq_pctchange($C1183,G$6,$N$1))</f>
        <v xml:space="preserve"> </v>
      </c>
      <c r="H1183" s="28" t="str">
        <f>IF($C1183=""," ",[1]!i_pq_pctchange($C1183,H$6,$N$1))</f>
        <v xml:space="preserve"> </v>
      </c>
      <c r="I1183" s="28" t="str">
        <f>IF($C1183=""," ",[1]!i_pq_pctchange($C1183,I$6,$N$1))</f>
        <v xml:space="preserve"> </v>
      </c>
      <c r="J1183" s="28" t="str">
        <f>IF($C1183=""," ",[1]!i_pq_pctchange($C1183,J$6,$N$1))</f>
        <v xml:space="preserve"> </v>
      </c>
      <c r="K1183" s="28" t="str">
        <f>IF($C1183=""," ",[1]!i_pq_pctchange($C1183,K$6,$N$1))</f>
        <v xml:space="preserve"> </v>
      </c>
      <c r="L1183" s="28" t="str">
        <f>IF(C1183=""," ",[1]!s_wq_pctchange($C1183,$N$1))</f>
        <v xml:space="preserve"> </v>
      </c>
      <c r="M1183" s="28" t="str">
        <f>IF(C1183=""," ",[1]!s_mq_pctchange($C1183,$N$1))</f>
        <v xml:space="preserve"> </v>
      </c>
      <c r="N1183" s="28" t="str">
        <f>IF(C1183=""," ",[1]!s_yq_pctchange($C1183,$N$1))</f>
        <v xml:space="preserve"> </v>
      </c>
      <c r="O1183" s="11"/>
      <c r="P1183" s="7"/>
    </row>
    <row r="1184" spans="1:16" x14ac:dyDescent="0.35">
      <c r="A1184" s="7"/>
      <c r="C1184" s="31" t="str">
        <f>IF(指数列表!B1181="","",指数列表!B1181)</f>
        <v/>
      </c>
      <c r="D1184" s="36" t="str">
        <f>IF(C1184="","",[1]!s_info_name(C1184))</f>
        <v/>
      </c>
      <c r="E1184" s="25" t="str">
        <f>IF(C1184="","",[1]!s_dq_close(C1184,$N$1))</f>
        <v/>
      </c>
      <c r="F1184" s="28" t="str">
        <f>IF($C1184=""," ",[1]!i_pq_pctchange($C1184,F$6,$N$1))</f>
        <v xml:space="preserve"> </v>
      </c>
      <c r="G1184" s="28" t="str">
        <f>IF($C1184=""," ",[1]!i_pq_pctchange($C1184,G$6,$N$1))</f>
        <v xml:space="preserve"> </v>
      </c>
      <c r="H1184" s="28" t="str">
        <f>IF($C1184=""," ",[1]!i_pq_pctchange($C1184,H$6,$N$1))</f>
        <v xml:space="preserve"> </v>
      </c>
      <c r="I1184" s="28" t="str">
        <f>IF($C1184=""," ",[1]!i_pq_pctchange($C1184,I$6,$N$1))</f>
        <v xml:space="preserve"> </v>
      </c>
      <c r="J1184" s="28" t="str">
        <f>IF($C1184=""," ",[1]!i_pq_pctchange($C1184,J$6,$N$1))</f>
        <v xml:space="preserve"> </v>
      </c>
      <c r="K1184" s="28" t="str">
        <f>IF($C1184=""," ",[1]!i_pq_pctchange($C1184,K$6,$N$1))</f>
        <v xml:space="preserve"> </v>
      </c>
      <c r="L1184" s="28" t="str">
        <f>IF(C1184=""," ",[1]!s_wq_pctchange($C1184,$N$1))</f>
        <v xml:space="preserve"> </v>
      </c>
      <c r="M1184" s="28" t="str">
        <f>IF(C1184=""," ",[1]!s_mq_pctchange($C1184,$N$1))</f>
        <v xml:space="preserve"> </v>
      </c>
      <c r="N1184" s="28" t="str">
        <f>IF(C1184=""," ",[1]!s_yq_pctchange($C1184,$N$1))</f>
        <v xml:space="preserve"> </v>
      </c>
      <c r="O1184" s="11"/>
      <c r="P1184" s="7"/>
    </row>
    <row r="1185" spans="1:16" x14ac:dyDescent="0.35">
      <c r="A1185" s="7"/>
      <c r="C1185" s="30" t="str">
        <f>IF(指数列表!B1182="","",指数列表!B1182)</f>
        <v/>
      </c>
      <c r="D1185" s="35" t="str">
        <f>IF(C1185="","",[1]!s_info_name(C1185))</f>
        <v/>
      </c>
      <c r="E1185" s="24" t="str">
        <f>IF(C1185="","",[1]!s_dq_close(C1185,$N$1))</f>
        <v/>
      </c>
      <c r="F1185" s="28" t="str">
        <f>IF($C1185=""," ",[1]!i_pq_pctchange($C1185,F$6,$N$1))</f>
        <v xml:space="preserve"> </v>
      </c>
      <c r="G1185" s="28" t="str">
        <f>IF($C1185=""," ",[1]!i_pq_pctchange($C1185,G$6,$N$1))</f>
        <v xml:space="preserve"> </v>
      </c>
      <c r="H1185" s="28" t="str">
        <f>IF($C1185=""," ",[1]!i_pq_pctchange($C1185,H$6,$N$1))</f>
        <v xml:space="preserve"> </v>
      </c>
      <c r="I1185" s="28" t="str">
        <f>IF($C1185=""," ",[1]!i_pq_pctchange($C1185,I$6,$N$1))</f>
        <v xml:space="preserve"> </v>
      </c>
      <c r="J1185" s="28" t="str">
        <f>IF($C1185=""," ",[1]!i_pq_pctchange($C1185,J$6,$N$1))</f>
        <v xml:space="preserve"> </v>
      </c>
      <c r="K1185" s="28" t="str">
        <f>IF($C1185=""," ",[1]!i_pq_pctchange($C1185,K$6,$N$1))</f>
        <v xml:space="preserve"> </v>
      </c>
      <c r="L1185" s="28" t="str">
        <f>IF(C1185=""," ",[1]!s_wq_pctchange($C1185,$N$1))</f>
        <v xml:space="preserve"> </v>
      </c>
      <c r="M1185" s="28" t="str">
        <f>IF(C1185=""," ",[1]!s_mq_pctchange($C1185,$N$1))</f>
        <v xml:space="preserve"> </v>
      </c>
      <c r="N1185" s="28" t="str">
        <f>IF(C1185=""," ",[1]!s_yq_pctchange($C1185,$N$1))</f>
        <v xml:space="preserve"> </v>
      </c>
      <c r="O1185" s="11"/>
      <c r="P1185" s="7"/>
    </row>
    <row r="1186" spans="1:16" x14ac:dyDescent="0.35">
      <c r="A1186" s="7"/>
      <c r="C1186" s="31" t="str">
        <f>IF(指数列表!B1183="","",指数列表!B1183)</f>
        <v/>
      </c>
      <c r="D1186" s="36" t="str">
        <f>IF(C1186="","",[1]!s_info_name(C1186))</f>
        <v/>
      </c>
      <c r="E1186" s="25" t="str">
        <f>IF(C1186="","",[1]!s_dq_close(C1186,$N$1))</f>
        <v/>
      </c>
      <c r="F1186" s="28" t="str">
        <f>IF($C1186=""," ",[1]!i_pq_pctchange($C1186,F$6,$N$1))</f>
        <v xml:space="preserve"> </v>
      </c>
      <c r="G1186" s="28" t="str">
        <f>IF($C1186=""," ",[1]!i_pq_pctchange($C1186,G$6,$N$1))</f>
        <v xml:space="preserve"> </v>
      </c>
      <c r="H1186" s="28" t="str">
        <f>IF($C1186=""," ",[1]!i_pq_pctchange($C1186,H$6,$N$1))</f>
        <v xml:space="preserve"> </v>
      </c>
      <c r="I1186" s="28" t="str">
        <f>IF($C1186=""," ",[1]!i_pq_pctchange($C1186,I$6,$N$1))</f>
        <v xml:space="preserve"> </v>
      </c>
      <c r="J1186" s="28" t="str">
        <f>IF($C1186=""," ",[1]!i_pq_pctchange($C1186,J$6,$N$1))</f>
        <v xml:space="preserve"> </v>
      </c>
      <c r="K1186" s="28" t="str">
        <f>IF($C1186=""," ",[1]!i_pq_pctchange($C1186,K$6,$N$1))</f>
        <v xml:space="preserve"> </v>
      </c>
      <c r="L1186" s="28" t="str">
        <f>IF(C1186=""," ",[1]!s_wq_pctchange($C1186,$N$1))</f>
        <v xml:space="preserve"> </v>
      </c>
      <c r="M1186" s="28" t="str">
        <f>IF(C1186=""," ",[1]!s_mq_pctchange($C1186,$N$1))</f>
        <v xml:space="preserve"> </v>
      </c>
      <c r="N1186" s="28" t="str">
        <f>IF(C1186=""," ",[1]!s_yq_pctchange($C1186,$N$1))</f>
        <v xml:space="preserve"> </v>
      </c>
      <c r="O1186" s="11"/>
      <c r="P1186" s="7"/>
    </row>
    <row r="1187" spans="1:16" x14ac:dyDescent="0.35">
      <c r="A1187" s="7"/>
      <c r="C1187" s="30" t="str">
        <f>IF(指数列表!B1184="","",指数列表!B1184)</f>
        <v/>
      </c>
      <c r="D1187" s="35" t="str">
        <f>IF(C1187="","",[1]!s_info_name(C1187))</f>
        <v/>
      </c>
      <c r="E1187" s="24" t="str">
        <f>IF(C1187="","",[1]!s_dq_close(C1187,$N$1))</f>
        <v/>
      </c>
      <c r="F1187" s="28" t="str">
        <f>IF($C1187=""," ",[1]!i_pq_pctchange($C1187,F$6,$N$1))</f>
        <v xml:space="preserve"> </v>
      </c>
      <c r="G1187" s="28" t="str">
        <f>IF($C1187=""," ",[1]!i_pq_pctchange($C1187,G$6,$N$1))</f>
        <v xml:space="preserve"> </v>
      </c>
      <c r="H1187" s="28" t="str">
        <f>IF($C1187=""," ",[1]!i_pq_pctchange($C1187,H$6,$N$1))</f>
        <v xml:space="preserve"> </v>
      </c>
      <c r="I1187" s="28" t="str">
        <f>IF($C1187=""," ",[1]!i_pq_pctchange($C1187,I$6,$N$1))</f>
        <v xml:space="preserve"> </v>
      </c>
      <c r="J1187" s="28" t="str">
        <f>IF($C1187=""," ",[1]!i_pq_pctchange($C1187,J$6,$N$1))</f>
        <v xml:space="preserve"> </v>
      </c>
      <c r="K1187" s="28" t="str">
        <f>IF($C1187=""," ",[1]!i_pq_pctchange($C1187,K$6,$N$1))</f>
        <v xml:space="preserve"> </v>
      </c>
      <c r="L1187" s="28" t="str">
        <f>IF(C1187=""," ",[1]!s_wq_pctchange($C1187,$N$1))</f>
        <v xml:space="preserve"> </v>
      </c>
      <c r="M1187" s="28" t="str">
        <f>IF(C1187=""," ",[1]!s_mq_pctchange($C1187,$N$1))</f>
        <v xml:space="preserve"> </v>
      </c>
      <c r="N1187" s="28" t="str">
        <f>IF(C1187=""," ",[1]!s_yq_pctchange($C1187,$N$1))</f>
        <v xml:space="preserve"> </v>
      </c>
      <c r="O1187" s="11"/>
      <c r="P1187" s="7"/>
    </row>
    <row r="1188" spans="1:16" x14ac:dyDescent="0.35">
      <c r="A1188" s="7"/>
      <c r="C1188" s="31" t="str">
        <f>IF(指数列表!B1185="","",指数列表!B1185)</f>
        <v/>
      </c>
      <c r="D1188" s="36" t="str">
        <f>IF(C1188="","",[1]!s_info_name(C1188))</f>
        <v/>
      </c>
      <c r="E1188" s="25" t="str">
        <f>IF(C1188="","",[1]!s_dq_close(C1188,$N$1))</f>
        <v/>
      </c>
      <c r="F1188" s="28" t="str">
        <f>IF($C1188=""," ",[1]!i_pq_pctchange($C1188,F$6,$N$1))</f>
        <v xml:space="preserve"> </v>
      </c>
      <c r="G1188" s="28" t="str">
        <f>IF($C1188=""," ",[1]!i_pq_pctchange($C1188,G$6,$N$1))</f>
        <v xml:space="preserve"> </v>
      </c>
      <c r="H1188" s="28" t="str">
        <f>IF($C1188=""," ",[1]!i_pq_pctchange($C1188,H$6,$N$1))</f>
        <v xml:space="preserve"> </v>
      </c>
      <c r="I1188" s="28" t="str">
        <f>IF($C1188=""," ",[1]!i_pq_pctchange($C1188,I$6,$N$1))</f>
        <v xml:space="preserve"> </v>
      </c>
      <c r="J1188" s="28" t="str">
        <f>IF($C1188=""," ",[1]!i_pq_pctchange($C1188,J$6,$N$1))</f>
        <v xml:space="preserve"> </v>
      </c>
      <c r="K1188" s="28" t="str">
        <f>IF($C1188=""," ",[1]!i_pq_pctchange($C1188,K$6,$N$1))</f>
        <v xml:space="preserve"> </v>
      </c>
      <c r="L1188" s="28" t="str">
        <f>IF(C1188=""," ",[1]!s_wq_pctchange($C1188,$N$1))</f>
        <v xml:space="preserve"> </v>
      </c>
      <c r="M1188" s="28" t="str">
        <f>IF(C1188=""," ",[1]!s_mq_pctchange($C1188,$N$1))</f>
        <v xml:space="preserve"> </v>
      </c>
      <c r="N1188" s="28" t="str">
        <f>IF(C1188=""," ",[1]!s_yq_pctchange($C1188,$N$1))</f>
        <v xml:space="preserve"> </v>
      </c>
      <c r="O1188" s="11"/>
      <c r="P1188" s="7"/>
    </row>
    <row r="1189" spans="1:16" x14ac:dyDescent="0.35">
      <c r="A1189" s="7"/>
      <c r="C1189" s="30" t="str">
        <f>IF(指数列表!B1186="","",指数列表!B1186)</f>
        <v/>
      </c>
      <c r="D1189" s="35" t="str">
        <f>IF(C1189="","",[1]!s_info_name(C1189))</f>
        <v/>
      </c>
      <c r="E1189" s="24" t="str">
        <f>IF(C1189="","",[1]!s_dq_close(C1189,$N$1))</f>
        <v/>
      </c>
      <c r="F1189" s="28" t="str">
        <f>IF($C1189=""," ",[1]!i_pq_pctchange($C1189,F$6,$N$1))</f>
        <v xml:space="preserve"> </v>
      </c>
      <c r="G1189" s="28" t="str">
        <f>IF($C1189=""," ",[1]!i_pq_pctchange($C1189,G$6,$N$1))</f>
        <v xml:space="preserve"> </v>
      </c>
      <c r="H1189" s="28" t="str">
        <f>IF($C1189=""," ",[1]!i_pq_pctchange($C1189,H$6,$N$1))</f>
        <v xml:space="preserve"> </v>
      </c>
      <c r="I1189" s="28" t="str">
        <f>IF($C1189=""," ",[1]!i_pq_pctchange($C1189,I$6,$N$1))</f>
        <v xml:space="preserve"> </v>
      </c>
      <c r="J1189" s="28" t="str">
        <f>IF($C1189=""," ",[1]!i_pq_pctchange($C1189,J$6,$N$1))</f>
        <v xml:space="preserve"> </v>
      </c>
      <c r="K1189" s="28" t="str">
        <f>IF($C1189=""," ",[1]!i_pq_pctchange($C1189,K$6,$N$1))</f>
        <v xml:space="preserve"> </v>
      </c>
      <c r="L1189" s="28" t="str">
        <f>IF(C1189=""," ",[1]!s_wq_pctchange($C1189,$N$1))</f>
        <v xml:space="preserve"> </v>
      </c>
      <c r="M1189" s="28" t="str">
        <f>IF(C1189=""," ",[1]!s_mq_pctchange($C1189,$N$1))</f>
        <v xml:space="preserve"> </v>
      </c>
      <c r="N1189" s="28" t="str">
        <f>IF(C1189=""," ",[1]!s_yq_pctchange($C1189,$N$1))</f>
        <v xml:space="preserve"> </v>
      </c>
      <c r="O1189" s="11"/>
      <c r="P1189" s="7"/>
    </row>
    <row r="1190" spans="1:16" x14ac:dyDescent="0.35">
      <c r="A1190" s="7"/>
      <c r="C1190" s="31" t="str">
        <f>IF(指数列表!B1187="","",指数列表!B1187)</f>
        <v/>
      </c>
      <c r="D1190" s="36" t="str">
        <f>IF(C1190="","",[1]!s_info_name(C1190))</f>
        <v/>
      </c>
      <c r="E1190" s="25" t="str">
        <f>IF(C1190="","",[1]!s_dq_close(C1190,$N$1))</f>
        <v/>
      </c>
      <c r="F1190" s="28" t="str">
        <f>IF($C1190=""," ",[1]!i_pq_pctchange($C1190,F$6,$N$1))</f>
        <v xml:space="preserve"> </v>
      </c>
      <c r="G1190" s="28" t="str">
        <f>IF($C1190=""," ",[1]!i_pq_pctchange($C1190,G$6,$N$1))</f>
        <v xml:space="preserve"> </v>
      </c>
      <c r="H1190" s="28" t="str">
        <f>IF($C1190=""," ",[1]!i_pq_pctchange($C1190,H$6,$N$1))</f>
        <v xml:space="preserve"> </v>
      </c>
      <c r="I1190" s="28" t="str">
        <f>IF($C1190=""," ",[1]!i_pq_pctchange($C1190,I$6,$N$1))</f>
        <v xml:space="preserve"> </v>
      </c>
      <c r="J1190" s="28" t="str">
        <f>IF($C1190=""," ",[1]!i_pq_pctchange($C1190,J$6,$N$1))</f>
        <v xml:space="preserve"> </v>
      </c>
      <c r="K1190" s="28" t="str">
        <f>IF($C1190=""," ",[1]!i_pq_pctchange($C1190,K$6,$N$1))</f>
        <v xml:space="preserve"> </v>
      </c>
      <c r="L1190" s="28" t="str">
        <f>IF(C1190=""," ",[1]!s_wq_pctchange($C1190,$N$1))</f>
        <v xml:space="preserve"> </v>
      </c>
      <c r="M1190" s="28" t="str">
        <f>IF(C1190=""," ",[1]!s_mq_pctchange($C1190,$N$1))</f>
        <v xml:space="preserve"> </v>
      </c>
      <c r="N1190" s="28" t="str">
        <f>IF(C1190=""," ",[1]!s_yq_pctchange($C1190,$N$1))</f>
        <v xml:space="preserve"> </v>
      </c>
      <c r="O1190" s="11"/>
      <c r="P1190" s="7"/>
    </row>
    <row r="1191" spans="1:16" x14ac:dyDescent="0.35">
      <c r="A1191" s="7"/>
      <c r="C1191" s="30" t="str">
        <f>IF(指数列表!B1188="","",指数列表!B1188)</f>
        <v/>
      </c>
      <c r="D1191" s="35" t="str">
        <f>IF(C1191="","",[1]!s_info_name(C1191))</f>
        <v/>
      </c>
      <c r="E1191" s="24" t="str">
        <f>IF(C1191="","",[1]!s_dq_close(C1191,$N$1))</f>
        <v/>
      </c>
      <c r="F1191" s="28" t="str">
        <f>IF($C1191=""," ",[1]!i_pq_pctchange($C1191,F$6,$N$1))</f>
        <v xml:space="preserve"> </v>
      </c>
      <c r="G1191" s="28" t="str">
        <f>IF($C1191=""," ",[1]!i_pq_pctchange($C1191,G$6,$N$1))</f>
        <v xml:space="preserve"> </v>
      </c>
      <c r="H1191" s="28" t="str">
        <f>IF($C1191=""," ",[1]!i_pq_pctchange($C1191,H$6,$N$1))</f>
        <v xml:space="preserve"> </v>
      </c>
      <c r="I1191" s="28" t="str">
        <f>IF($C1191=""," ",[1]!i_pq_pctchange($C1191,I$6,$N$1))</f>
        <v xml:space="preserve"> </v>
      </c>
      <c r="J1191" s="28" t="str">
        <f>IF($C1191=""," ",[1]!i_pq_pctchange($C1191,J$6,$N$1))</f>
        <v xml:space="preserve"> </v>
      </c>
      <c r="K1191" s="28" t="str">
        <f>IF($C1191=""," ",[1]!i_pq_pctchange($C1191,K$6,$N$1))</f>
        <v xml:space="preserve"> </v>
      </c>
      <c r="L1191" s="28" t="str">
        <f>IF(C1191=""," ",[1]!s_wq_pctchange($C1191,$N$1))</f>
        <v xml:space="preserve"> </v>
      </c>
      <c r="M1191" s="28" t="str">
        <f>IF(C1191=""," ",[1]!s_mq_pctchange($C1191,$N$1))</f>
        <v xml:space="preserve"> </v>
      </c>
      <c r="N1191" s="28" t="str">
        <f>IF(C1191=""," ",[1]!s_yq_pctchange($C1191,$N$1))</f>
        <v xml:space="preserve"> </v>
      </c>
      <c r="O1191" s="11"/>
      <c r="P1191" s="7"/>
    </row>
    <row r="1192" spans="1:16" x14ac:dyDescent="0.35">
      <c r="A1192" s="7"/>
      <c r="C1192" s="31" t="str">
        <f>IF(指数列表!B1189="","",指数列表!B1189)</f>
        <v/>
      </c>
      <c r="D1192" s="36" t="str">
        <f>IF(C1192="","",[1]!s_info_name(C1192))</f>
        <v/>
      </c>
      <c r="E1192" s="25" t="str">
        <f>IF(C1192="","",[1]!s_dq_close(C1192,$N$1))</f>
        <v/>
      </c>
      <c r="F1192" s="28" t="str">
        <f>IF($C1192=""," ",[1]!i_pq_pctchange($C1192,F$6,$N$1))</f>
        <v xml:space="preserve"> </v>
      </c>
      <c r="G1192" s="28" t="str">
        <f>IF($C1192=""," ",[1]!i_pq_pctchange($C1192,G$6,$N$1))</f>
        <v xml:space="preserve"> </v>
      </c>
      <c r="H1192" s="28" t="str">
        <f>IF($C1192=""," ",[1]!i_pq_pctchange($C1192,H$6,$N$1))</f>
        <v xml:space="preserve"> </v>
      </c>
      <c r="I1192" s="28" t="str">
        <f>IF($C1192=""," ",[1]!i_pq_pctchange($C1192,I$6,$N$1))</f>
        <v xml:space="preserve"> </v>
      </c>
      <c r="J1192" s="28" t="str">
        <f>IF($C1192=""," ",[1]!i_pq_pctchange($C1192,J$6,$N$1))</f>
        <v xml:space="preserve"> </v>
      </c>
      <c r="K1192" s="28" t="str">
        <f>IF($C1192=""," ",[1]!i_pq_pctchange($C1192,K$6,$N$1))</f>
        <v xml:space="preserve"> </v>
      </c>
      <c r="L1192" s="28" t="str">
        <f>IF(C1192=""," ",[1]!s_wq_pctchange($C1192,$N$1))</f>
        <v xml:space="preserve"> </v>
      </c>
      <c r="M1192" s="28" t="str">
        <f>IF(C1192=""," ",[1]!s_mq_pctchange($C1192,$N$1))</f>
        <v xml:space="preserve"> </v>
      </c>
      <c r="N1192" s="28" t="str">
        <f>IF(C1192=""," ",[1]!s_yq_pctchange($C1192,$N$1))</f>
        <v xml:space="preserve"> </v>
      </c>
      <c r="O1192" s="11"/>
      <c r="P1192" s="7"/>
    </row>
    <row r="1193" spans="1:16" x14ac:dyDescent="0.35">
      <c r="A1193" s="7"/>
      <c r="C1193" s="30" t="str">
        <f>IF(指数列表!B1190="","",指数列表!B1190)</f>
        <v/>
      </c>
      <c r="D1193" s="35" t="str">
        <f>IF(C1193="","",[1]!s_info_name(C1193))</f>
        <v/>
      </c>
      <c r="E1193" s="24" t="str">
        <f>IF(C1193="","",[1]!s_dq_close(C1193,$N$1))</f>
        <v/>
      </c>
      <c r="F1193" s="28" t="str">
        <f>IF($C1193=""," ",[1]!i_pq_pctchange($C1193,F$6,$N$1))</f>
        <v xml:space="preserve"> </v>
      </c>
      <c r="G1193" s="28" t="str">
        <f>IF($C1193=""," ",[1]!i_pq_pctchange($C1193,G$6,$N$1))</f>
        <v xml:space="preserve"> </v>
      </c>
      <c r="H1193" s="28" t="str">
        <f>IF($C1193=""," ",[1]!i_pq_pctchange($C1193,H$6,$N$1))</f>
        <v xml:space="preserve"> </v>
      </c>
      <c r="I1193" s="28" t="str">
        <f>IF($C1193=""," ",[1]!i_pq_pctchange($C1193,I$6,$N$1))</f>
        <v xml:space="preserve"> </v>
      </c>
      <c r="J1193" s="28" t="str">
        <f>IF($C1193=""," ",[1]!i_pq_pctchange($C1193,J$6,$N$1))</f>
        <v xml:space="preserve"> </v>
      </c>
      <c r="K1193" s="28" t="str">
        <f>IF($C1193=""," ",[1]!i_pq_pctchange($C1193,K$6,$N$1))</f>
        <v xml:space="preserve"> </v>
      </c>
      <c r="L1193" s="28" t="str">
        <f>IF(C1193=""," ",[1]!s_wq_pctchange($C1193,$N$1))</f>
        <v xml:space="preserve"> </v>
      </c>
      <c r="M1193" s="28" t="str">
        <f>IF(C1193=""," ",[1]!s_mq_pctchange($C1193,$N$1))</f>
        <v xml:space="preserve"> </v>
      </c>
      <c r="N1193" s="28" t="str">
        <f>IF(C1193=""," ",[1]!s_yq_pctchange($C1193,$N$1))</f>
        <v xml:space="preserve"> </v>
      </c>
      <c r="O1193" s="11"/>
      <c r="P1193" s="7"/>
    </row>
    <row r="1194" spans="1:16" x14ac:dyDescent="0.35">
      <c r="A1194" s="7"/>
      <c r="C1194" s="31" t="str">
        <f>IF(指数列表!B1191="","",指数列表!B1191)</f>
        <v/>
      </c>
      <c r="D1194" s="36" t="str">
        <f>IF(C1194="","",[1]!s_info_name(C1194))</f>
        <v/>
      </c>
      <c r="E1194" s="25" t="str">
        <f>IF(C1194="","",[1]!s_dq_close(C1194,$N$1))</f>
        <v/>
      </c>
      <c r="F1194" s="28" t="str">
        <f>IF($C1194=""," ",[1]!i_pq_pctchange($C1194,F$6,$N$1))</f>
        <v xml:space="preserve"> </v>
      </c>
      <c r="G1194" s="28" t="str">
        <f>IF($C1194=""," ",[1]!i_pq_pctchange($C1194,G$6,$N$1))</f>
        <v xml:space="preserve"> </v>
      </c>
      <c r="H1194" s="28" t="str">
        <f>IF($C1194=""," ",[1]!i_pq_pctchange($C1194,H$6,$N$1))</f>
        <v xml:space="preserve"> </v>
      </c>
      <c r="I1194" s="28" t="str">
        <f>IF($C1194=""," ",[1]!i_pq_pctchange($C1194,I$6,$N$1))</f>
        <v xml:space="preserve"> </v>
      </c>
      <c r="J1194" s="28" t="str">
        <f>IF($C1194=""," ",[1]!i_pq_pctchange($C1194,J$6,$N$1))</f>
        <v xml:space="preserve"> </v>
      </c>
      <c r="K1194" s="28" t="str">
        <f>IF($C1194=""," ",[1]!i_pq_pctchange($C1194,K$6,$N$1))</f>
        <v xml:space="preserve"> </v>
      </c>
      <c r="L1194" s="28" t="str">
        <f>IF(C1194=""," ",[1]!s_wq_pctchange($C1194,$N$1))</f>
        <v xml:space="preserve"> </v>
      </c>
      <c r="M1194" s="28" t="str">
        <f>IF(C1194=""," ",[1]!s_mq_pctchange($C1194,$N$1))</f>
        <v xml:space="preserve"> </v>
      </c>
      <c r="N1194" s="28" t="str">
        <f>IF(C1194=""," ",[1]!s_yq_pctchange($C1194,$N$1))</f>
        <v xml:space="preserve"> </v>
      </c>
      <c r="O1194" s="11"/>
      <c r="P1194" s="7"/>
    </row>
    <row r="1195" spans="1:16" x14ac:dyDescent="0.35">
      <c r="A1195" s="7"/>
      <c r="C1195" s="30" t="str">
        <f>IF(指数列表!B1192="","",指数列表!B1192)</f>
        <v/>
      </c>
      <c r="D1195" s="35" t="str">
        <f>IF(C1195="","",[1]!s_info_name(C1195))</f>
        <v/>
      </c>
      <c r="E1195" s="24" t="str">
        <f>IF(C1195="","",[1]!s_dq_close(C1195,$N$1))</f>
        <v/>
      </c>
      <c r="F1195" s="28" t="str">
        <f>IF($C1195=""," ",[1]!i_pq_pctchange($C1195,F$6,$N$1))</f>
        <v xml:space="preserve"> </v>
      </c>
      <c r="G1195" s="28" t="str">
        <f>IF($C1195=""," ",[1]!i_pq_pctchange($C1195,G$6,$N$1))</f>
        <v xml:space="preserve"> </v>
      </c>
      <c r="H1195" s="28" t="str">
        <f>IF($C1195=""," ",[1]!i_pq_pctchange($C1195,H$6,$N$1))</f>
        <v xml:space="preserve"> </v>
      </c>
      <c r="I1195" s="28" t="str">
        <f>IF($C1195=""," ",[1]!i_pq_pctchange($C1195,I$6,$N$1))</f>
        <v xml:space="preserve"> </v>
      </c>
      <c r="J1195" s="28" t="str">
        <f>IF($C1195=""," ",[1]!i_pq_pctchange($C1195,J$6,$N$1))</f>
        <v xml:space="preserve"> </v>
      </c>
      <c r="K1195" s="28" t="str">
        <f>IF($C1195=""," ",[1]!i_pq_pctchange($C1195,K$6,$N$1))</f>
        <v xml:space="preserve"> </v>
      </c>
      <c r="L1195" s="28" t="str">
        <f>IF(C1195=""," ",[1]!s_wq_pctchange($C1195,$N$1))</f>
        <v xml:space="preserve"> </v>
      </c>
      <c r="M1195" s="28" t="str">
        <f>IF(C1195=""," ",[1]!s_mq_pctchange($C1195,$N$1))</f>
        <v xml:space="preserve"> </v>
      </c>
      <c r="N1195" s="28" t="str">
        <f>IF(C1195=""," ",[1]!s_yq_pctchange($C1195,$N$1))</f>
        <v xml:space="preserve"> </v>
      </c>
      <c r="O1195" s="11"/>
      <c r="P1195" s="7"/>
    </row>
    <row r="1196" spans="1:16" x14ac:dyDescent="0.35">
      <c r="A1196" s="7"/>
      <c r="C1196" s="31" t="str">
        <f>IF(指数列表!B1193="","",指数列表!B1193)</f>
        <v/>
      </c>
      <c r="D1196" s="36" t="str">
        <f>IF(C1196="","",[1]!s_info_name(C1196))</f>
        <v/>
      </c>
      <c r="E1196" s="25" t="str">
        <f>IF(C1196="","",[1]!s_dq_close(C1196,$N$1))</f>
        <v/>
      </c>
      <c r="F1196" s="28" t="str">
        <f>IF($C1196=""," ",[1]!i_pq_pctchange($C1196,F$6,$N$1))</f>
        <v xml:space="preserve"> </v>
      </c>
      <c r="G1196" s="28" t="str">
        <f>IF($C1196=""," ",[1]!i_pq_pctchange($C1196,G$6,$N$1))</f>
        <v xml:space="preserve"> </v>
      </c>
      <c r="H1196" s="28" t="str">
        <f>IF($C1196=""," ",[1]!i_pq_pctchange($C1196,H$6,$N$1))</f>
        <v xml:space="preserve"> </v>
      </c>
      <c r="I1196" s="28" t="str">
        <f>IF($C1196=""," ",[1]!i_pq_pctchange($C1196,I$6,$N$1))</f>
        <v xml:space="preserve"> </v>
      </c>
      <c r="J1196" s="28" t="str">
        <f>IF($C1196=""," ",[1]!i_pq_pctchange($C1196,J$6,$N$1))</f>
        <v xml:space="preserve"> </v>
      </c>
      <c r="K1196" s="28" t="str">
        <f>IF($C1196=""," ",[1]!i_pq_pctchange($C1196,K$6,$N$1))</f>
        <v xml:space="preserve"> </v>
      </c>
      <c r="L1196" s="28" t="str">
        <f>IF(C1196=""," ",[1]!s_wq_pctchange($C1196,$N$1))</f>
        <v xml:space="preserve"> </v>
      </c>
      <c r="M1196" s="28" t="str">
        <f>IF(C1196=""," ",[1]!s_mq_pctchange($C1196,$N$1))</f>
        <v xml:space="preserve"> </v>
      </c>
      <c r="N1196" s="28" t="str">
        <f>IF(C1196=""," ",[1]!s_yq_pctchange($C1196,$N$1))</f>
        <v xml:space="preserve"> </v>
      </c>
      <c r="O1196" s="11"/>
      <c r="P1196" s="7"/>
    </row>
    <row r="1197" spans="1:16" x14ac:dyDescent="0.35">
      <c r="A1197" s="7"/>
      <c r="C1197" s="30" t="str">
        <f>IF(指数列表!B1194="","",指数列表!B1194)</f>
        <v/>
      </c>
      <c r="D1197" s="35" t="str">
        <f>IF(C1197="","",[1]!s_info_name(C1197))</f>
        <v/>
      </c>
      <c r="E1197" s="24" t="str">
        <f>IF(C1197="","",[1]!s_dq_close(C1197,$N$1))</f>
        <v/>
      </c>
      <c r="F1197" s="28" t="str">
        <f>IF($C1197=""," ",[1]!i_pq_pctchange($C1197,F$6,$N$1))</f>
        <v xml:space="preserve"> </v>
      </c>
      <c r="G1197" s="28" t="str">
        <f>IF($C1197=""," ",[1]!i_pq_pctchange($C1197,G$6,$N$1))</f>
        <v xml:space="preserve"> </v>
      </c>
      <c r="H1197" s="28" t="str">
        <f>IF($C1197=""," ",[1]!i_pq_pctchange($C1197,H$6,$N$1))</f>
        <v xml:space="preserve"> </v>
      </c>
      <c r="I1197" s="28" t="str">
        <f>IF($C1197=""," ",[1]!i_pq_pctchange($C1197,I$6,$N$1))</f>
        <v xml:space="preserve"> </v>
      </c>
      <c r="J1197" s="28" t="str">
        <f>IF($C1197=""," ",[1]!i_pq_pctchange($C1197,J$6,$N$1))</f>
        <v xml:space="preserve"> </v>
      </c>
      <c r="K1197" s="28" t="str">
        <f>IF($C1197=""," ",[1]!i_pq_pctchange($C1197,K$6,$N$1))</f>
        <v xml:space="preserve"> </v>
      </c>
      <c r="L1197" s="28" t="str">
        <f>IF(C1197=""," ",[1]!s_wq_pctchange($C1197,$N$1))</f>
        <v xml:space="preserve"> </v>
      </c>
      <c r="M1197" s="28" t="str">
        <f>IF(C1197=""," ",[1]!s_mq_pctchange($C1197,$N$1))</f>
        <v xml:space="preserve"> </v>
      </c>
      <c r="N1197" s="28" t="str">
        <f>IF(C1197=""," ",[1]!s_yq_pctchange($C1197,$N$1))</f>
        <v xml:space="preserve"> </v>
      </c>
      <c r="O1197" s="11"/>
      <c r="P1197" s="7"/>
    </row>
    <row r="1198" spans="1:16" x14ac:dyDescent="0.35">
      <c r="A1198" s="7"/>
      <c r="C1198" s="31" t="str">
        <f>IF(指数列表!B1195="","",指数列表!B1195)</f>
        <v/>
      </c>
      <c r="D1198" s="36" t="str">
        <f>IF(C1198="","",[1]!s_info_name(C1198))</f>
        <v/>
      </c>
      <c r="E1198" s="25" t="str">
        <f>IF(C1198="","",[1]!s_dq_close(C1198,$N$1))</f>
        <v/>
      </c>
      <c r="F1198" s="28" t="str">
        <f>IF($C1198=""," ",[1]!i_pq_pctchange($C1198,F$6,$N$1))</f>
        <v xml:space="preserve"> </v>
      </c>
      <c r="G1198" s="28" t="str">
        <f>IF($C1198=""," ",[1]!i_pq_pctchange($C1198,G$6,$N$1))</f>
        <v xml:space="preserve"> </v>
      </c>
      <c r="H1198" s="28" t="str">
        <f>IF($C1198=""," ",[1]!i_pq_pctchange($C1198,H$6,$N$1))</f>
        <v xml:space="preserve"> </v>
      </c>
      <c r="I1198" s="28" t="str">
        <f>IF($C1198=""," ",[1]!i_pq_pctchange($C1198,I$6,$N$1))</f>
        <v xml:space="preserve"> </v>
      </c>
      <c r="J1198" s="28" t="str">
        <f>IF($C1198=""," ",[1]!i_pq_pctchange($C1198,J$6,$N$1))</f>
        <v xml:space="preserve"> </v>
      </c>
      <c r="K1198" s="28" t="str">
        <f>IF($C1198=""," ",[1]!i_pq_pctchange($C1198,K$6,$N$1))</f>
        <v xml:space="preserve"> </v>
      </c>
      <c r="L1198" s="28" t="str">
        <f>IF(C1198=""," ",[1]!s_wq_pctchange($C1198,$N$1))</f>
        <v xml:space="preserve"> </v>
      </c>
      <c r="M1198" s="28" t="str">
        <f>IF(C1198=""," ",[1]!s_mq_pctchange($C1198,$N$1))</f>
        <v xml:space="preserve"> </v>
      </c>
      <c r="N1198" s="28" t="str">
        <f>IF(C1198=""," ",[1]!s_yq_pctchange($C1198,$N$1))</f>
        <v xml:space="preserve"> </v>
      </c>
      <c r="O1198" s="11"/>
      <c r="P1198" s="7"/>
    </row>
    <row r="1199" spans="1:16" x14ac:dyDescent="0.35">
      <c r="A1199" s="7"/>
      <c r="C1199" s="30" t="str">
        <f>IF(指数列表!B1196="","",指数列表!B1196)</f>
        <v/>
      </c>
      <c r="D1199" s="35" t="str">
        <f>IF(C1199="","",[1]!s_info_name(C1199))</f>
        <v/>
      </c>
      <c r="E1199" s="24" t="str">
        <f>IF(C1199="","",[1]!s_dq_close(C1199,$N$1))</f>
        <v/>
      </c>
      <c r="F1199" s="28" t="str">
        <f>IF($C1199=""," ",[1]!i_pq_pctchange($C1199,F$6,$N$1))</f>
        <v xml:space="preserve"> </v>
      </c>
      <c r="G1199" s="28" t="str">
        <f>IF($C1199=""," ",[1]!i_pq_pctchange($C1199,G$6,$N$1))</f>
        <v xml:space="preserve"> </v>
      </c>
      <c r="H1199" s="28" t="str">
        <f>IF($C1199=""," ",[1]!i_pq_pctchange($C1199,H$6,$N$1))</f>
        <v xml:space="preserve"> </v>
      </c>
      <c r="I1199" s="28" t="str">
        <f>IF($C1199=""," ",[1]!i_pq_pctchange($C1199,I$6,$N$1))</f>
        <v xml:space="preserve"> </v>
      </c>
      <c r="J1199" s="28" t="str">
        <f>IF($C1199=""," ",[1]!i_pq_pctchange($C1199,J$6,$N$1))</f>
        <v xml:space="preserve"> </v>
      </c>
      <c r="K1199" s="28" t="str">
        <f>IF($C1199=""," ",[1]!i_pq_pctchange($C1199,K$6,$N$1))</f>
        <v xml:space="preserve"> </v>
      </c>
      <c r="L1199" s="28" t="str">
        <f>IF(C1199=""," ",[1]!s_wq_pctchange($C1199,$N$1))</f>
        <v xml:space="preserve"> </v>
      </c>
      <c r="M1199" s="28" t="str">
        <f>IF(C1199=""," ",[1]!s_mq_pctchange($C1199,$N$1))</f>
        <v xml:space="preserve"> </v>
      </c>
      <c r="N1199" s="28" t="str">
        <f>IF(C1199=""," ",[1]!s_yq_pctchange($C1199,$N$1))</f>
        <v xml:space="preserve"> </v>
      </c>
      <c r="O1199" s="11"/>
      <c r="P1199" s="7"/>
    </row>
    <row r="1200" spans="1:16" x14ac:dyDescent="0.35">
      <c r="A1200" s="7"/>
      <c r="C1200" s="31" t="str">
        <f>IF(指数列表!B1197="","",指数列表!B1197)</f>
        <v/>
      </c>
      <c r="D1200" s="36" t="str">
        <f>IF(C1200="","",[1]!s_info_name(C1200))</f>
        <v/>
      </c>
      <c r="E1200" s="25" t="str">
        <f>IF(C1200="","",[1]!s_dq_close(C1200,$N$1))</f>
        <v/>
      </c>
      <c r="F1200" s="28" t="str">
        <f>IF($C1200=""," ",[1]!i_pq_pctchange($C1200,F$6,$N$1))</f>
        <v xml:space="preserve"> </v>
      </c>
      <c r="G1200" s="28" t="str">
        <f>IF($C1200=""," ",[1]!i_pq_pctchange($C1200,G$6,$N$1))</f>
        <v xml:space="preserve"> </v>
      </c>
      <c r="H1200" s="28" t="str">
        <f>IF($C1200=""," ",[1]!i_pq_pctchange($C1200,H$6,$N$1))</f>
        <v xml:space="preserve"> </v>
      </c>
      <c r="I1200" s="28" t="str">
        <f>IF($C1200=""," ",[1]!i_pq_pctchange($C1200,I$6,$N$1))</f>
        <v xml:space="preserve"> </v>
      </c>
      <c r="J1200" s="28" t="str">
        <f>IF($C1200=""," ",[1]!i_pq_pctchange($C1200,J$6,$N$1))</f>
        <v xml:space="preserve"> </v>
      </c>
      <c r="K1200" s="28" t="str">
        <f>IF($C1200=""," ",[1]!i_pq_pctchange($C1200,K$6,$N$1))</f>
        <v xml:space="preserve"> </v>
      </c>
      <c r="L1200" s="28" t="str">
        <f>IF(C1200=""," ",[1]!s_wq_pctchange($C1200,$N$1))</f>
        <v xml:space="preserve"> </v>
      </c>
      <c r="M1200" s="28" t="str">
        <f>IF(C1200=""," ",[1]!s_mq_pctchange($C1200,$N$1))</f>
        <v xml:space="preserve"> </v>
      </c>
      <c r="N1200" s="28" t="str">
        <f>IF(C1200=""," ",[1]!s_yq_pctchange($C1200,$N$1))</f>
        <v xml:space="preserve"> </v>
      </c>
      <c r="O1200" s="11"/>
      <c r="P1200" s="7"/>
    </row>
    <row r="1201" spans="1:16" x14ac:dyDescent="0.35">
      <c r="A1201" s="7"/>
      <c r="C1201" s="30" t="str">
        <f>IF(指数列表!B1198="","",指数列表!B1198)</f>
        <v/>
      </c>
      <c r="D1201" s="35" t="str">
        <f>IF(C1201="","",[1]!s_info_name(C1201))</f>
        <v/>
      </c>
      <c r="E1201" s="24" t="str">
        <f>IF(C1201="","",[1]!s_dq_close(C1201,$N$1))</f>
        <v/>
      </c>
      <c r="F1201" s="28" t="str">
        <f>IF($C1201=""," ",[1]!i_pq_pctchange($C1201,F$6,$N$1))</f>
        <v xml:space="preserve"> </v>
      </c>
      <c r="G1201" s="28" t="str">
        <f>IF($C1201=""," ",[1]!i_pq_pctchange($C1201,G$6,$N$1))</f>
        <v xml:space="preserve"> </v>
      </c>
      <c r="H1201" s="28" t="str">
        <f>IF($C1201=""," ",[1]!i_pq_pctchange($C1201,H$6,$N$1))</f>
        <v xml:space="preserve"> </v>
      </c>
      <c r="I1201" s="28" t="str">
        <f>IF($C1201=""," ",[1]!i_pq_pctchange($C1201,I$6,$N$1))</f>
        <v xml:space="preserve"> </v>
      </c>
      <c r="J1201" s="28" t="str">
        <f>IF($C1201=""," ",[1]!i_pq_pctchange($C1201,J$6,$N$1))</f>
        <v xml:space="preserve"> </v>
      </c>
      <c r="K1201" s="28" t="str">
        <f>IF($C1201=""," ",[1]!i_pq_pctchange($C1201,K$6,$N$1))</f>
        <v xml:space="preserve"> </v>
      </c>
      <c r="L1201" s="28" t="str">
        <f>IF(C1201=""," ",[1]!s_wq_pctchange($C1201,$N$1))</f>
        <v xml:space="preserve"> </v>
      </c>
      <c r="M1201" s="28" t="str">
        <f>IF(C1201=""," ",[1]!s_mq_pctchange($C1201,$N$1))</f>
        <v xml:space="preserve"> </v>
      </c>
      <c r="N1201" s="28" t="str">
        <f>IF(C1201=""," ",[1]!s_yq_pctchange($C1201,$N$1))</f>
        <v xml:space="preserve"> </v>
      </c>
      <c r="O1201" s="11"/>
      <c r="P1201" s="7"/>
    </row>
    <row r="1202" spans="1:16" x14ac:dyDescent="0.35">
      <c r="A1202" s="7"/>
      <c r="C1202" s="31" t="str">
        <f>IF(指数列表!B1199="","",指数列表!B1199)</f>
        <v/>
      </c>
      <c r="D1202" s="36" t="str">
        <f>IF(C1202="","",[1]!s_info_name(C1202))</f>
        <v/>
      </c>
      <c r="E1202" s="25" t="str">
        <f>IF(C1202="","",[1]!s_dq_close(C1202,$N$1))</f>
        <v/>
      </c>
      <c r="F1202" s="28" t="str">
        <f>IF($C1202=""," ",[1]!i_pq_pctchange($C1202,F$6,$N$1))</f>
        <v xml:space="preserve"> </v>
      </c>
      <c r="G1202" s="28" t="str">
        <f>IF($C1202=""," ",[1]!i_pq_pctchange($C1202,G$6,$N$1))</f>
        <v xml:space="preserve"> </v>
      </c>
      <c r="H1202" s="28" t="str">
        <f>IF($C1202=""," ",[1]!i_pq_pctchange($C1202,H$6,$N$1))</f>
        <v xml:space="preserve"> </v>
      </c>
      <c r="I1202" s="28" t="str">
        <f>IF($C1202=""," ",[1]!i_pq_pctchange($C1202,I$6,$N$1))</f>
        <v xml:space="preserve"> </v>
      </c>
      <c r="J1202" s="28" t="str">
        <f>IF($C1202=""," ",[1]!i_pq_pctchange($C1202,J$6,$N$1))</f>
        <v xml:space="preserve"> </v>
      </c>
      <c r="K1202" s="28" t="str">
        <f>IF($C1202=""," ",[1]!i_pq_pctchange($C1202,K$6,$N$1))</f>
        <v xml:space="preserve"> </v>
      </c>
      <c r="L1202" s="28" t="str">
        <f>IF(C1202=""," ",[1]!s_wq_pctchange($C1202,$N$1))</f>
        <v xml:space="preserve"> </v>
      </c>
      <c r="M1202" s="28" t="str">
        <f>IF(C1202=""," ",[1]!s_mq_pctchange($C1202,$N$1))</f>
        <v xml:space="preserve"> </v>
      </c>
      <c r="N1202" s="28" t="str">
        <f>IF(C1202=""," ",[1]!s_yq_pctchange($C1202,$N$1))</f>
        <v xml:space="preserve"> </v>
      </c>
      <c r="O1202" s="11"/>
      <c r="P1202" s="7"/>
    </row>
    <row r="1203" spans="1:16" x14ac:dyDescent="0.35">
      <c r="A1203" s="7"/>
      <c r="C1203" s="30" t="str">
        <f>IF(指数列表!B1200="","",指数列表!B1200)</f>
        <v/>
      </c>
      <c r="D1203" s="35" t="str">
        <f>IF(C1203="","",[1]!s_info_name(C1203))</f>
        <v/>
      </c>
      <c r="E1203" s="24" t="str">
        <f>IF(C1203="","",[1]!s_dq_close(C1203,$N$1))</f>
        <v/>
      </c>
      <c r="F1203" s="28" t="str">
        <f>IF($C1203=""," ",[1]!i_pq_pctchange($C1203,F$6,$N$1))</f>
        <v xml:space="preserve"> </v>
      </c>
      <c r="G1203" s="28" t="str">
        <f>IF($C1203=""," ",[1]!i_pq_pctchange($C1203,G$6,$N$1))</f>
        <v xml:space="preserve"> </v>
      </c>
      <c r="H1203" s="28" t="str">
        <f>IF($C1203=""," ",[1]!i_pq_pctchange($C1203,H$6,$N$1))</f>
        <v xml:space="preserve"> </v>
      </c>
      <c r="I1203" s="28" t="str">
        <f>IF($C1203=""," ",[1]!i_pq_pctchange($C1203,I$6,$N$1))</f>
        <v xml:space="preserve"> </v>
      </c>
      <c r="J1203" s="28" t="str">
        <f>IF($C1203=""," ",[1]!i_pq_pctchange($C1203,J$6,$N$1))</f>
        <v xml:space="preserve"> </v>
      </c>
      <c r="K1203" s="28" t="str">
        <f>IF($C1203=""," ",[1]!i_pq_pctchange($C1203,K$6,$N$1))</f>
        <v xml:space="preserve"> </v>
      </c>
      <c r="L1203" s="28" t="str">
        <f>IF(C1203=""," ",[1]!s_wq_pctchange($C1203,$N$1))</f>
        <v xml:space="preserve"> </v>
      </c>
      <c r="M1203" s="28" t="str">
        <f>IF(C1203=""," ",[1]!s_mq_pctchange($C1203,$N$1))</f>
        <v xml:space="preserve"> </v>
      </c>
      <c r="N1203" s="28" t="str">
        <f>IF(C1203=""," ",[1]!s_yq_pctchange($C1203,$N$1))</f>
        <v xml:space="preserve"> </v>
      </c>
      <c r="O1203" s="11"/>
      <c r="P1203" s="7"/>
    </row>
    <row r="1204" spans="1:16" x14ac:dyDescent="0.35">
      <c r="A1204" s="7"/>
      <c r="C1204" s="31" t="str">
        <f>IF(指数列表!B1201="","",指数列表!B1201)</f>
        <v/>
      </c>
      <c r="D1204" s="36" t="str">
        <f>IF(C1204="","",[1]!s_info_name(C1204))</f>
        <v/>
      </c>
      <c r="E1204" s="25" t="str">
        <f>IF(C1204="","",[1]!s_dq_close(C1204,$N$1))</f>
        <v/>
      </c>
      <c r="F1204" s="28" t="str">
        <f>IF($C1204=""," ",[1]!i_pq_pctchange($C1204,F$6,$N$1))</f>
        <v xml:space="preserve"> </v>
      </c>
      <c r="G1204" s="28" t="str">
        <f>IF($C1204=""," ",[1]!i_pq_pctchange($C1204,G$6,$N$1))</f>
        <v xml:space="preserve"> </v>
      </c>
      <c r="H1204" s="28" t="str">
        <f>IF($C1204=""," ",[1]!i_pq_pctchange($C1204,H$6,$N$1))</f>
        <v xml:space="preserve"> </v>
      </c>
      <c r="I1204" s="28" t="str">
        <f>IF($C1204=""," ",[1]!i_pq_pctchange($C1204,I$6,$N$1))</f>
        <v xml:space="preserve"> </v>
      </c>
      <c r="J1204" s="28" t="str">
        <f>IF($C1204=""," ",[1]!i_pq_pctchange($C1204,J$6,$N$1))</f>
        <v xml:space="preserve"> </v>
      </c>
      <c r="K1204" s="28" t="str">
        <f>IF($C1204=""," ",[1]!i_pq_pctchange($C1204,K$6,$N$1))</f>
        <v xml:space="preserve"> </v>
      </c>
      <c r="L1204" s="28" t="str">
        <f>IF(C1204=""," ",[1]!s_wq_pctchange($C1204,$N$1))</f>
        <v xml:space="preserve"> </v>
      </c>
      <c r="M1204" s="28" t="str">
        <f>IF(C1204=""," ",[1]!s_mq_pctchange($C1204,$N$1))</f>
        <v xml:space="preserve"> </v>
      </c>
      <c r="N1204" s="28" t="str">
        <f>IF(C1204=""," ",[1]!s_yq_pctchange($C1204,$N$1))</f>
        <v xml:space="preserve"> </v>
      </c>
      <c r="O1204" s="11"/>
      <c r="P1204" s="7"/>
    </row>
    <row r="1205" spans="1:16" x14ac:dyDescent="0.35">
      <c r="A1205" s="7"/>
      <c r="C1205" s="30" t="str">
        <f>IF(指数列表!B1202="","",指数列表!B1202)</f>
        <v/>
      </c>
      <c r="D1205" s="35" t="str">
        <f>IF(C1205="","",[1]!s_info_name(C1205))</f>
        <v/>
      </c>
      <c r="E1205" s="24" t="str">
        <f>IF(C1205="","",[1]!s_dq_close(C1205,$N$1))</f>
        <v/>
      </c>
      <c r="F1205" s="28" t="str">
        <f>IF($C1205=""," ",[1]!i_pq_pctchange($C1205,F$6,$N$1))</f>
        <v xml:space="preserve"> </v>
      </c>
      <c r="G1205" s="28" t="str">
        <f>IF($C1205=""," ",[1]!i_pq_pctchange($C1205,G$6,$N$1))</f>
        <v xml:space="preserve"> </v>
      </c>
      <c r="H1205" s="28" t="str">
        <f>IF($C1205=""," ",[1]!i_pq_pctchange($C1205,H$6,$N$1))</f>
        <v xml:space="preserve"> </v>
      </c>
      <c r="I1205" s="28" t="str">
        <f>IF($C1205=""," ",[1]!i_pq_pctchange($C1205,I$6,$N$1))</f>
        <v xml:space="preserve"> </v>
      </c>
      <c r="J1205" s="28" t="str">
        <f>IF($C1205=""," ",[1]!i_pq_pctchange($C1205,J$6,$N$1))</f>
        <v xml:space="preserve"> </v>
      </c>
      <c r="K1205" s="28" t="str">
        <f>IF($C1205=""," ",[1]!i_pq_pctchange($C1205,K$6,$N$1))</f>
        <v xml:space="preserve"> </v>
      </c>
      <c r="L1205" s="28" t="str">
        <f>IF(C1205=""," ",[1]!s_wq_pctchange($C1205,$N$1))</f>
        <v xml:space="preserve"> </v>
      </c>
      <c r="M1205" s="28" t="str">
        <f>IF(C1205=""," ",[1]!s_mq_pctchange($C1205,$N$1))</f>
        <v xml:space="preserve"> </v>
      </c>
      <c r="N1205" s="28" t="str">
        <f>IF(C1205=""," ",[1]!s_yq_pctchange($C1205,$N$1))</f>
        <v xml:space="preserve"> </v>
      </c>
      <c r="O1205" s="11"/>
      <c r="P1205" s="7"/>
    </row>
    <row r="1206" spans="1:16" x14ac:dyDescent="0.35">
      <c r="A1206" s="7"/>
      <c r="C1206" s="31" t="str">
        <f>IF(指数列表!B1203="","",指数列表!B1203)</f>
        <v/>
      </c>
      <c r="D1206" s="36" t="str">
        <f>IF(C1206="","",[1]!s_info_name(C1206))</f>
        <v/>
      </c>
      <c r="E1206" s="25" t="str">
        <f>IF(C1206="","",[1]!s_dq_close(C1206,$N$1))</f>
        <v/>
      </c>
      <c r="F1206" s="28" t="str">
        <f>IF($C1206=""," ",[1]!i_pq_pctchange($C1206,F$6,$N$1))</f>
        <v xml:space="preserve"> </v>
      </c>
      <c r="G1206" s="28" t="str">
        <f>IF($C1206=""," ",[1]!i_pq_pctchange($C1206,G$6,$N$1))</f>
        <v xml:space="preserve"> </v>
      </c>
      <c r="H1206" s="28" t="str">
        <f>IF($C1206=""," ",[1]!i_pq_pctchange($C1206,H$6,$N$1))</f>
        <v xml:space="preserve"> </v>
      </c>
      <c r="I1206" s="28" t="str">
        <f>IF($C1206=""," ",[1]!i_pq_pctchange($C1206,I$6,$N$1))</f>
        <v xml:space="preserve"> </v>
      </c>
      <c r="J1206" s="28" t="str">
        <f>IF($C1206=""," ",[1]!i_pq_pctchange($C1206,J$6,$N$1))</f>
        <v xml:space="preserve"> </v>
      </c>
      <c r="K1206" s="28" t="str">
        <f>IF($C1206=""," ",[1]!i_pq_pctchange($C1206,K$6,$N$1))</f>
        <v xml:space="preserve"> </v>
      </c>
      <c r="L1206" s="28" t="str">
        <f>IF(C1206=""," ",[1]!s_wq_pctchange($C1206,$N$1))</f>
        <v xml:space="preserve"> </v>
      </c>
      <c r="M1206" s="28" t="str">
        <f>IF(C1206=""," ",[1]!s_mq_pctchange($C1206,$N$1))</f>
        <v xml:space="preserve"> </v>
      </c>
      <c r="N1206" s="28" t="str">
        <f>IF(C1206=""," ",[1]!s_yq_pctchange($C1206,$N$1))</f>
        <v xml:space="preserve"> </v>
      </c>
      <c r="O1206" s="11"/>
      <c r="P1206" s="7"/>
    </row>
    <row r="1207" spans="1:16" x14ac:dyDescent="0.35">
      <c r="A1207" s="7"/>
      <c r="C1207" s="30" t="str">
        <f>IF(指数列表!B1204="","",指数列表!B1204)</f>
        <v/>
      </c>
      <c r="D1207" s="35" t="str">
        <f>IF(C1207="","",[1]!s_info_name(C1207))</f>
        <v/>
      </c>
      <c r="E1207" s="24" t="str">
        <f>IF(C1207="","",[1]!s_dq_close(C1207,$N$1))</f>
        <v/>
      </c>
      <c r="F1207" s="28" t="str">
        <f>IF($C1207=""," ",[1]!i_pq_pctchange($C1207,F$6,$N$1))</f>
        <v xml:space="preserve"> </v>
      </c>
      <c r="G1207" s="28" t="str">
        <f>IF($C1207=""," ",[1]!i_pq_pctchange($C1207,G$6,$N$1))</f>
        <v xml:space="preserve"> </v>
      </c>
      <c r="H1207" s="28" t="str">
        <f>IF($C1207=""," ",[1]!i_pq_pctchange($C1207,H$6,$N$1))</f>
        <v xml:space="preserve"> </v>
      </c>
      <c r="I1207" s="28" t="str">
        <f>IF($C1207=""," ",[1]!i_pq_pctchange($C1207,I$6,$N$1))</f>
        <v xml:space="preserve"> </v>
      </c>
      <c r="J1207" s="28" t="str">
        <f>IF($C1207=""," ",[1]!i_pq_pctchange($C1207,J$6,$N$1))</f>
        <v xml:space="preserve"> </v>
      </c>
      <c r="K1207" s="28" t="str">
        <f>IF($C1207=""," ",[1]!i_pq_pctchange($C1207,K$6,$N$1))</f>
        <v xml:space="preserve"> </v>
      </c>
      <c r="L1207" s="28" t="str">
        <f>IF(C1207=""," ",[1]!s_wq_pctchange($C1207,$N$1))</f>
        <v xml:space="preserve"> </v>
      </c>
      <c r="M1207" s="28" t="str">
        <f>IF(C1207=""," ",[1]!s_mq_pctchange($C1207,$N$1))</f>
        <v xml:space="preserve"> </v>
      </c>
      <c r="N1207" s="28" t="str">
        <f>IF(C1207=""," ",[1]!s_yq_pctchange($C1207,$N$1))</f>
        <v xml:space="preserve"> </v>
      </c>
      <c r="O1207" s="11"/>
      <c r="P1207" s="7"/>
    </row>
    <row r="1208" spans="1:16" x14ac:dyDescent="0.35">
      <c r="A1208" s="7"/>
      <c r="C1208" s="31" t="str">
        <f>IF(指数列表!B1205="","",指数列表!B1205)</f>
        <v/>
      </c>
      <c r="D1208" s="36" t="str">
        <f>IF(C1208="","",[1]!s_info_name(C1208))</f>
        <v/>
      </c>
      <c r="E1208" s="25" t="str">
        <f>IF(C1208="","",[1]!s_dq_close(C1208,$N$1))</f>
        <v/>
      </c>
      <c r="F1208" s="28" t="str">
        <f>IF($C1208=""," ",[1]!i_pq_pctchange($C1208,F$6,$N$1))</f>
        <v xml:space="preserve"> </v>
      </c>
      <c r="G1208" s="28" t="str">
        <f>IF($C1208=""," ",[1]!i_pq_pctchange($C1208,G$6,$N$1))</f>
        <v xml:space="preserve"> </v>
      </c>
      <c r="H1208" s="28" t="str">
        <f>IF($C1208=""," ",[1]!i_pq_pctchange($C1208,H$6,$N$1))</f>
        <v xml:space="preserve"> </v>
      </c>
      <c r="I1208" s="28" t="str">
        <f>IF($C1208=""," ",[1]!i_pq_pctchange($C1208,I$6,$N$1))</f>
        <v xml:space="preserve"> </v>
      </c>
      <c r="J1208" s="28" t="str">
        <f>IF($C1208=""," ",[1]!i_pq_pctchange($C1208,J$6,$N$1))</f>
        <v xml:space="preserve"> </v>
      </c>
      <c r="K1208" s="28" t="str">
        <f>IF($C1208=""," ",[1]!i_pq_pctchange($C1208,K$6,$N$1))</f>
        <v xml:space="preserve"> </v>
      </c>
      <c r="L1208" s="28" t="str">
        <f>IF(C1208=""," ",[1]!s_wq_pctchange($C1208,$N$1))</f>
        <v xml:space="preserve"> </v>
      </c>
      <c r="M1208" s="28" t="str">
        <f>IF(C1208=""," ",[1]!s_mq_pctchange($C1208,$N$1))</f>
        <v xml:space="preserve"> </v>
      </c>
      <c r="N1208" s="28" t="str">
        <f>IF(C1208=""," ",[1]!s_yq_pctchange($C1208,$N$1))</f>
        <v xml:space="preserve"> </v>
      </c>
      <c r="O1208" s="11"/>
      <c r="P1208" s="7"/>
    </row>
    <row r="1209" spans="1:16" x14ac:dyDescent="0.35">
      <c r="A1209" s="7"/>
      <c r="C1209" s="30" t="str">
        <f>IF(指数列表!B1206="","",指数列表!B1206)</f>
        <v/>
      </c>
      <c r="D1209" s="35" t="str">
        <f>IF(C1209="","",[1]!s_info_name(C1209))</f>
        <v/>
      </c>
      <c r="E1209" s="24" t="str">
        <f>IF(C1209="","",[1]!s_dq_close(C1209,$N$1))</f>
        <v/>
      </c>
      <c r="F1209" s="28" t="str">
        <f>IF($C1209=""," ",[1]!i_pq_pctchange($C1209,F$6,$N$1))</f>
        <v xml:space="preserve"> </v>
      </c>
      <c r="G1209" s="28" t="str">
        <f>IF($C1209=""," ",[1]!i_pq_pctchange($C1209,G$6,$N$1))</f>
        <v xml:space="preserve"> </v>
      </c>
      <c r="H1209" s="28" t="str">
        <f>IF($C1209=""," ",[1]!i_pq_pctchange($C1209,H$6,$N$1))</f>
        <v xml:space="preserve"> </v>
      </c>
      <c r="I1209" s="28" t="str">
        <f>IF($C1209=""," ",[1]!i_pq_pctchange($C1209,I$6,$N$1))</f>
        <v xml:space="preserve"> </v>
      </c>
      <c r="J1209" s="28" t="str">
        <f>IF($C1209=""," ",[1]!i_pq_pctchange($C1209,J$6,$N$1))</f>
        <v xml:space="preserve"> </v>
      </c>
      <c r="K1209" s="28" t="str">
        <f>IF($C1209=""," ",[1]!i_pq_pctchange($C1209,K$6,$N$1))</f>
        <v xml:space="preserve"> </v>
      </c>
      <c r="L1209" s="28" t="str">
        <f>IF(C1209=""," ",[1]!s_wq_pctchange($C1209,$N$1))</f>
        <v xml:space="preserve"> </v>
      </c>
      <c r="M1209" s="28" t="str">
        <f>IF(C1209=""," ",[1]!s_mq_pctchange($C1209,$N$1))</f>
        <v xml:space="preserve"> </v>
      </c>
      <c r="N1209" s="28" t="str">
        <f>IF(C1209=""," ",[1]!s_yq_pctchange($C1209,$N$1))</f>
        <v xml:space="preserve"> </v>
      </c>
      <c r="O1209" s="11"/>
      <c r="P1209" s="7"/>
    </row>
    <row r="1210" spans="1:16" x14ac:dyDescent="0.35">
      <c r="A1210" s="7"/>
      <c r="C1210" s="31" t="str">
        <f>IF(指数列表!B1207="","",指数列表!B1207)</f>
        <v/>
      </c>
      <c r="D1210" s="36" t="str">
        <f>IF(C1210="","",[1]!s_info_name(C1210))</f>
        <v/>
      </c>
      <c r="E1210" s="25" t="str">
        <f>IF(C1210="","",[1]!s_dq_close(C1210,$N$1))</f>
        <v/>
      </c>
      <c r="F1210" s="28" t="str">
        <f>IF($C1210=""," ",[1]!i_pq_pctchange($C1210,F$6,$N$1))</f>
        <v xml:space="preserve"> </v>
      </c>
      <c r="G1210" s="28" t="str">
        <f>IF($C1210=""," ",[1]!i_pq_pctchange($C1210,G$6,$N$1))</f>
        <v xml:space="preserve"> </v>
      </c>
      <c r="H1210" s="28" t="str">
        <f>IF($C1210=""," ",[1]!i_pq_pctchange($C1210,H$6,$N$1))</f>
        <v xml:space="preserve"> </v>
      </c>
      <c r="I1210" s="28" t="str">
        <f>IF($C1210=""," ",[1]!i_pq_pctchange($C1210,I$6,$N$1))</f>
        <v xml:space="preserve"> </v>
      </c>
      <c r="J1210" s="28" t="str">
        <f>IF($C1210=""," ",[1]!i_pq_pctchange($C1210,J$6,$N$1))</f>
        <v xml:space="preserve"> </v>
      </c>
      <c r="K1210" s="28" t="str">
        <f>IF($C1210=""," ",[1]!i_pq_pctchange($C1210,K$6,$N$1))</f>
        <v xml:space="preserve"> </v>
      </c>
      <c r="L1210" s="28" t="str">
        <f>IF(C1210=""," ",[1]!s_wq_pctchange($C1210,$N$1))</f>
        <v xml:space="preserve"> </v>
      </c>
      <c r="M1210" s="28" t="str">
        <f>IF(C1210=""," ",[1]!s_mq_pctchange($C1210,$N$1))</f>
        <v xml:space="preserve"> </v>
      </c>
      <c r="N1210" s="28" t="str">
        <f>IF(C1210=""," ",[1]!s_yq_pctchange($C1210,$N$1))</f>
        <v xml:space="preserve"> </v>
      </c>
      <c r="O1210" s="11"/>
      <c r="P1210" s="7"/>
    </row>
    <row r="1211" spans="1:16" x14ac:dyDescent="0.35">
      <c r="A1211" s="7"/>
      <c r="C1211" s="30" t="str">
        <f>IF(指数列表!B1208="","",指数列表!B1208)</f>
        <v/>
      </c>
      <c r="D1211" s="35" t="str">
        <f>IF(C1211="","",[1]!s_info_name(C1211))</f>
        <v/>
      </c>
      <c r="E1211" s="24" t="str">
        <f>IF(C1211="","",[1]!s_dq_close(C1211,$N$1))</f>
        <v/>
      </c>
      <c r="F1211" s="28" t="str">
        <f>IF($C1211=""," ",[1]!i_pq_pctchange($C1211,F$6,$N$1))</f>
        <v xml:space="preserve"> </v>
      </c>
      <c r="G1211" s="28" t="str">
        <f>IF($C1211=""," ",[1]!i_pq_pctchange($C1211,G$6,$N$1))</f>
        <v xml:space="preserve"> </v>
      </c>
      <c r="H1211" s="28" t="str">
        <f>IF($C1211=""," ",[1]!i_pq_pctchange($C1211,H$6,$N$1))</f>
        <v xml:space="preserve"> </v>
      </c>
      <c r="I1211" s="28" t="str">
        <f>IF($C1211=""," ",[1]!i_pq_pctchange($C1211,I$6,$N$1))</f>
        <v xml:space="preserve"> </v>
      </c>
      <c r="J1211" s="28" t="str">
        <f>IF($C1211=""," ",[1]!i_pq_pctchange($C1211,J$6,$N$1))</f>
        <v xml:space="preserve"> </v>
      </c>
      <c r="K1211" s="28" t="str">
        <f>IF($C1211=""," ",[1]!i_pq_pctchange($C1211,K$6,$N$1))</f>
        <v xml:space="preserve"> </v>
      </c>
      <c r="L1211" s="28" t="str">
        <f>IF(C1211=""," ",[1]!s_wq_pctchange($C1211,$N$1))</f>
        <v xml:space="preserve"> </v>
      </c>
      <c r="M1211" s="28" t="str">
        <f>IF(C1211=""," ",[1]!s_mq_pctchange($C1211,$N$1))</f>
        <v xml:space="preserve"> </v>
      </c>
      <c r="N1211" s="28" t="str">
        <f>IF(C1211=""," ",[1]!s_yq_pctchange($C1211,$N$1))</f>
        <v xml:space="preserve"> </v>
      </c>
      <c r="O1211" s="11"/>
      <c r="P1211" s="7"/>
    </row>
    <row r="1212" spans="1:16" x14ac:dyDescent="0.35">
      <c r="A1212" s="7"/>
      <c r="C1212" s="31" t="str">
        <f>IF(指数列表!B1209="","",指数列表!B1209)</f>
        <v/>
      </c>
      <c r="D1212" s="36" t="str">
        <f>IF(C1212="","",[1]!s_info_name(C1212))</f>
        <v/>
      </c>
      <c r="E1212" s="25" t="str">
        <f>IF(C1212="","",[1]!s_dq_close(C1212,$N$1))</f>
        <v/>
      </c>
      <c r="F1212" s="28" t="str">
        <f>IF($C1212=""," ",[1]!i_pq_pctchange($C1212,F$6,$N$1))</f>
        <v xml:space="preserve"> </v>
      </c>
      <c r="G1212" s="28" t="str">
        <f>IF($C1212=""," ",[1]!i_pq_pctchange($C1212,G$6,$N$1))</f>
        <v xml:space="preserve"> </v>
      </c>
      <c r="H1212" s="28" t="str">
        <f>IF($C1212=""," ",[1]!i_pq_pctchange($C1212,H$6,$N$1))</f>
        <v xml:space="preserve"> </v>
      </c>
      <c r="I1212" s="28" t="str">
        <f>IF($C1212=""," ",[1]!i_pq_pctchange($C1212,I$6,$N$1))</f>
        <v xml:space="preserve"> </v>
      </c>
      <c r="J1212" s="28" t="str">
        <f>IF($C1212=""," ",[1]!i_pq_pctchange($C1212,J$6,$N$1))</f>
        <v xml:space="preserve"> </v>
      </c>
      <c r="K1212" s="28" t="str">
        <f>IF($C1212=""," ",[1]!i_pq_pctchange($C1212,K$6,$N$1))</f>
        <v xml:space="preserve"> </v>
      </c>
      <c r="L1212" s="28" t="str">
        <f>IF(C1212=""," ",[1]!s_wq_pctchange($C1212,$N$1))</f>
        <v xml:space="preserve"> </v>
      </c>
      <c r="M1212" s="28" t="str">
        <f>IF(C1212=""," ",[1]!s_mq_pctchange($C1212,$N$1))</f>
        <v xml:space="preserve"> </v>
      </c>
      <c r="N1212" s="28" t="str">
        <f>IF(C1212=""," ",[1]!s_yq_pctchange($C1212,$N$1))</f>
        <v xml:space="preserve"> </v>
      </c>
      <c r="O1212" s="11"/>
      <c r="P1212" s="7"/>
    </row>
    <row r="1213" spans="1:16" x14ac:dyDescent="0.35">
      <c r="A1213" s="7"/>
      <c r="C1213" s="30" t="str">
        <f>IF(指数列表!B1210="","",指数列表!B1210)</f>
        <v/>
      </c>
      <c r="D1213" s="35" t="str">
        <f>IF(C1213="","",[1]!s_info_name(C1213))</f>
        <v/>
      </c>
      <c r="E1213" s="24" t="str">
        <f>IF(C1213="","",[1]!s_dq_close(C1213,$N$1))</f>
        <v/>
      </c>
      <c r="F1213" s="28" t="str">
        <f>IF($C1213=""," ",[1]!i_pq_pctchange($C1213,F$6,$N$1))</f>
        <v xml:space="preserve"> </v>
      </c>
      <c r="G1213" s="28" t="str">
        <f>IF($C1213=""," ",[1]!i_pq_pctchange($C1213,G$6,$N$1))</f>
        <v xml:space="preserve"> </v>
      </c>
      <c r="H1213" s="28" t="str">
        <f>IF($C1213=""," ",[1]!i_pq_pctchange($C1213,H$6,$N$1))</f>
        <v xml:space="preserve"> </v>
      </c>
      <c r="I1213" s="28" t="str">
        <f>IF($C1213=""," ",[1]!i_pq_pctchange($C1213,I$6,$N$1))</f>
        <v xml:space="preserve"> </v>
      </c>
      <c r="J1213" s="28" t="str">
        <f>IF($C1213=""," ",[1]!i_pq_pctchange($C1213,J$6,$N$1))</f>
        <v xml:space="preserve"> </v>
      </c>
      <c r="K1213" s="28" t="str">
        <f>IF($C1213=""," ",[1]!i_pq_pctchange($C1213,K$6,$N$1))</f>
        <v xml:space="preserve"> </v>
      </c>
      <c r="L1213" s="28" t="str">
        <f>IF(C1213=""," ",[1]!s_wq_pctchange($C1213,$N$1))</f>
        <v xml:space="preserve"> </v>
      </c>
      <c r="M1213" s="28" t="str">
        <f>IF(C1213=""," ",[1]!s_mq_pctchange($C1213,$N$1))</f>
        <v xml:space="preserve"> </v>
      </c>
      <c r="N1213" s="28" t="str">
        <f>IF(C1213=""," ",[1]!s_yq_pctchange($C1213,$N$1))</f>
        <v xml:space="preserve"> </v>
      </c>
      <c r="O1213" s="11"/>
      <c r="P1213" s="7"/>
    </row>
    <row r="1214" spans="1:16" x14ac:dyDescent="0.35">
      <c r="A1214" s="7"/>
      <c r="C1214" s="31" t="str">
        <f>IF(指数列表!B1211="","",指数列表!B1211)</f>
        <v/>
      </c>
      <c r="D1214" s="36" t="str">
        <f>IF(C1214="","",[1]!s_info_name(C1214))</f>
        <v/>
      </c>
      <c r="E1214" s="25" t="str">
        <f>IF(C1214="","",[1]!s_dq_close(C1214,$N$1))</f>
        <v/>
      </c>
      <c r="F1214" s="28" t="str">
        <f>IF($C1214=""," ",[1]!i_pq_pctchange($C1214,F$6,$N$1))</f>
        <v xml:space="preserve"> </v>
      </c>
      <c r="G1214" s="28" t="str">
        <f>IF($C1214=""," ",[1]!i_pq_pctchange($C1214,G$6,$N$1))</f>
        <v xml:space="preserve"> </v>
      </c>
      <c r="H1214" s="28" t="str">
        <f>IF($C1214=""," ",[1]!i_pq_pctchange($C1214,H$6,$N$1))</f>
        <v xml:space="preserve"> </v>
      </c>
      <c r="I1214" s="28" t="str">
        <f>IF($C1214=""," ",[1]!i_pq_pctchange($C1214,I$6,$N$1))</f>
        <v xml:space="preserve"> </v>
      </c>
      <c r="J1214" s="28" t="str">
        <f>IF($C1214=""," ",[1]!i_pq_pctchange($C1214,J$6,$N$1))</f>
        <v xml:space="preserve"> </v>
      </c>
      <c r="K1214" s="28" t="str">
        <f>IF($C1214=""," ",[1]!i_pq_pctchange($C1214,K$6,$N$1))</f>
        <v xml:space="preserve"> </v>
      </c>
      <c r="L1214" s="28" t="str">
        <f>IF(C1214=""," ",[1]!s_wq_pctchange($C1214,$N$1))</f>
        <v xml:space="preserve"> </v>
      </c>
      <c r="M1214" s="28" t="str">
        <f>IF(C1214=""," ",[1]!s_mq_pctchange($C1214,$N$1))</f>
        <v xml:space="preserve"> </v>
      </c>
      <c r="N1214" s="28" t="str">
        <f>IF(C1214=""," ",[1]!s_yq_pctchange($C1214,$N$1))</f>
        <v xml:space="preserve"> </v>
      </c>
      <c r="O1214" s="11"/>
      <c r="P1214" s="7"/>
    </row>
    <row r="1215" spans="1:16" x14ac:dyDescent="0.35">
      <c r="A1215" s="7"/>
      <c r="C1215" s="30" t="str">
        <f>IF(指数列表!B1212="","",指数列表!B1212)</f>
        <v/>
      </c>
      <c r="D1215" s="35" t="str">
        <f>IF(C1215="","",[1]!s_info_name(C1215))</f>
        <v/>
      </c>
      <c r="E1215" s="24" t="str">
        <f>IF(C1215="","",[1]!s_dq_close(C1215,$N$1))</f>
        <v/>
      </c>
      <c r="F1215" s="28" t="str">
        <f>IF($C1215=""," ",[1]!i_pq_pctchange($C1215,F$6,$N$1))</f>
        <v xml:space="preserve"> </v>
      </c>
      <c r="G1215" s="28" t="str">
        <f>IF($C1215=""," ",[1]!i_pq_pctchange($C1215,G$6,$N$1))</f>
        <v xml:space="preserve"> </v>
      </c>
      <c r="H1215" s="28" t="str">
        <f>IF($C1215=""," ",[1]!i_pq_pctchange($C1215,H$6,$N$1))</f>
        <v xml:space="preserve"> </v>
      </c>
      <c r="I1215" s="28" t="str">
        <f>IF($C1215=""," ",[1]!i_pq_pctchange($C1215,I$6,$N$1))</f>
        <v xml:space="preserve"> </v>
      </c>
      <c r="J1215" s="28" t="str">
        <f>IF($C1215=""," ",[1]!i_pq_pctchange($C1215,J$6,$N$1))</f>
        <v xml:space="preserve"> </v>
      </c>
      <c r="K1215" s="28" t="str">
        <f>IF($C1215=""," ",[1]!i_pq_pctchange($C1215,K$6,$N$1))</f>
        <v xml:space="preserve"> </v>
      </c>
      <c r="L1215" s="28" t="str">
        <f>IF(C1215=""," ",[1]!s_wq_pctchange($C1215,$N$1))</f>
        <v xml:space="preserve"> </v>
      </c>
      <c r="M1215" s="28" t="str">
        <f>IF(C1215=""," ",[1]!s_mq_pctchange($C1215,$N$1))</f>
        <v xml:space="preserve"> </v>
      </c>
      <c r="N1215" s="28" t="str">
        <f>IF(C1215=""," ",[1]!s_yq_pctchange($C1215,$N$1))</f>
        <v xml:space="preserve"> </v>
      </c>
      <c r="O1215" s="11"/>
      <c r="P1215" s="7"/>
    </row>
    <row r="1216" spans="1:16" x14ac:dyDescent="0.35">
      <c r="A1216" s="7"/>
      <c r="C1216" s="31" t="str">
        <f>IF(指数列表!B1213="","",指数列表!B1213)</f>
        <v/>
      </c>
      <c r="D1216" s="36" t="str">
        <f>IF(C1216="","",[1]!s_info_name(C1216))</f>
        <v/>
      </c>
      <c r="E1216" s="25" t="str">
        <f>IF(C1216="","",[1]!s_dq_close(C1216,$N$1))</f>
        <v/>
      </c>
      <c r="F1216" s="28" t="str">
        <f>IF($C1216=""," ",[1]!i_pq_pctchange($C1216,F$6,$N$1))</f>
        <v xml:space="preserve"> </v>
      </c>
      <c r="G1216" s="28" t="str">
        <f>IF($C1216=""," ",[1]!i_pq_pctchange($C1216,G$6,$N$1))</f>
        <v xml:space="preserve"> </v>
      </c>
      <c r="H1216" s="28" t="str">
        <f>IF($C1216=""," ",[1]!i_pq_pctchange($C1216,H$6,$N$1))</f>
        <v xml:space="preserve"> </v>
      </c>
      <c r="I1216" s="28" t="str">
        <f>IF($C1216=""," ",[1]!i_pq_pctchange($C1216,I$6,$N$1))</f>
        <v xml:space="preserve"> </v>
      </c>
      <c r="J1216" s="28" t="str">
        <f>IF($C1216=""," ",[1]!i_pq_pctchange($C1216,J$6,$N$1))</f>
        <v xml:space="preserve"> </v>
      </c>
      <c r="K1216" s="28" t="str">
        <f>IF($C1216=""," ",[1]!i_pq_pctchange($C1216,K$6,$N$1))</f>
        <v xml:space="preserve"> </v>
      </c>
      <c r="L1216" s="28" t="str">
        <f>IF(C1216=""," ",[1]!s_wq_pctchange($C1216,$N$1))</f>
        <v xml:space="preserve"> </v>
      </c>
      <c r="M1216" s="28" t="str">
        <f>IF(C1216=""," ",[1]!s_mq_pctchange($C1216,$N$1))</f>
        <v xml:space="preserve"> </v>
      </c>
      <c r="N1216" s="28" t="str">
        <f>IF(C1216=""," ",[1]!s_yq_pctchange($C1216,$N$1))</f>
        <v xml:space="preserve"> </v>
      </c>
      <c r="O1216" s="11"/>
      <c r="P1216" s="7"/>
    </row>
    <row r="1217" spans="1:16" x14ac:dyDescent="0.35">
      <c r="A1217" s="7"/>
      <c r="C1217" s="30" t="str">
        <f>IF(指数列表!B1214="","",指数列表!B1214)</f>
        <v/>
      </c>
      <c r="D1217" s="35" t="str">
        <f>IF(C1217="","",[1]!s_info_name(C1217))</f>
        <v/>
      </c>
      <c r="E1217" s="24" t="str">
        <f>IF(C1217="","",[1]!s_dq_close(C1217,$N$1))</f>
        <v/>
      </c>
      <c r="F1217" s="28" t="str">
        <f>IF($C1217=""," ",[1]!i_pq_pctchange($C1217,F$6,$N$1))</f>
        <v xml:space="preserve"> </v>
      </c>
      <c r="G1217" s="28" t="str">
        <f>IF($C1217=""," ",[1]!i_pq_pctchange($C1217,G$6,$N$1))</f>
        <v xml:space="preserve"> </v>
      </c>
      <c r="H1217" s="28" t="str">
        <f>IF($C1217=""," ",[1]!i_pq_pctchange($C1217,H$6,$N$1))</f>
        <v xml:space="preserve"> </v>
      </c>
      <c r="I1217" s="28" t="str">
        <f>IF($C1217=""," ",[1]!i_pq_pctchange($C1217,I$6,$N$1))</f>
        <v xml:space="preserve"> </v>
      </c>
      <c r="J1217" s="28" t="str">
        <f>IF($C1217=""," ",[1]!i_pq_pctchange($C1217,J$6,$N$1))</f>
        <v xml:space="preserve"> </v>
      </c>
      <c r="K1217" s="28" t="str">
        <f>IF($C1217=""," ",[1]!i_pq_pctchange($C1217,K$6,$N$1))</f>
        <v xml:space="preserve"> </v>
      </c>
      <c r="L1217" s="28" t="str">
        <f>IF(C1217=""," ",[1]!s_wq_pctchange($C1217,$N$1))</f>
        <v xml:space="preserve"> </v>
      </c>
      <c r="M1217" s="28" t="str">
        <f>IF(C1217=""," ",[1]!s_mq_pctchange($C1217,$N$1))</f>
        <v xml:space="preserve"> </v>
      </c>
      <c r="N1217" s="28" t="str">
        <f>IF(C1217=""," ",[1]!s_yq_pctchange($C1217,$N$1))</f>
        <v xml:space="preserve"> </v>
      </c>
      <c r="O1217" s="11"/>
      <c r="P1217" s="7"/>
    </row>
    <row r="1218" spans="1:16" x14ac:dyDescent="0.35">
      <c r="A1218" s="7"/>
      <c r="C1218" s="31" t="str">
        <f>IF(指数列表!B1215="","",指数列表!B1215)</f>
        <v/>
      </c>
      <c r="D1218" s="36" t="str">
        <f>IF(C1218="","",[1]!s_info_name(C1218))</f>
        <v/>
      </c>
      <c r="E1218" s="25" t="str">
        <f>IF(C1218="","",[1]!s_dq_close(C1218,$N$1))</f>
        <v/>
      </c>
      <c r="F1218" s="28" t="str">
        <f>IF($C1218=""," ",[1]!i_pq_pctchange($C1218,F$6,$N$1))</f>
        <v xml:space="preserve"> </v>
      </c>
      <c r="G1218" s="28" t="str">
        <f>IF($C1218=""," ",[1]!i_pq_pctchange($C1218,G$6,$N$1))</f>
        <v xml:space="preserve"> </v>
      </c>
      <c r="H1218" s="28" t="str">
        <f>IF($C1218=""," ",[1]!i_pq_pctchange($C1218,H$6,$N$1))</f>
        <v xml:space="preserve"> </v>
      </c>
      <c r="I1218" s="28" t="str">
        <f>IF($C1218=""," ",[1]!i_pq_pctchange($C1218,I$6,$N$1))</f>
        <v xml:space="preserve"> </v>
      </c>
      <c r="J1218" s="28" t="str">
        <f>IF($C1218=""," ",[1]!i_pq_pctchange($C1218,J$6,$N$1))</f>
        <v xml:space="preserve"> </v>
      </c>
      <c r="K1218" s="28" t="str">
        <f>IF($C1218=""," ",[1]!i_pq_pctchange($C1218,K$6,$N$1))</f>
        <v xml:space="preserve"> </v>
      </c>
      <c r="L1218" s="28" t="str">
        <f>IF(C1218=""," ",[1]!s_wq_pctchange($C1218,$N$1))</f>
        <v xml:space="preserve"> </v>
      </c>
      <c r="M1218" s="28" t="str">
        <f>IF(C1218=""," ",[1]!s_mq_pctchange($C1218,$N$1))</f>
        <v xml:space="preserve"> </v>
      </c>
      <c r="N1218" s="28" t="str">
        <f>IF(C1218=""," ",[1]!s_yq_pctchange($C1218,$N$1))</f>
        <v xml:space="preserve"> </v>
      </c>
      <c r="O1218" s="11"/>
      <c r="P1218" s="7"/>
    </row>
    <row r="1219" spans="1:16" x14ac:dyDescent="0.35">
      <c r="A1219" s="7"/>
      <c r="C1219" s="30" t="str">
        <f>IF(指数列表!B1216="","",指数列表!B1216)</f>
        <v/>
      </c>
      <c r="D1219" s="35" t="str">
        <f>IF(C1219="","",[1]!s_info_name(C1219))</f>
        <v/>
      </c>
      <c r="E1219" s="24" t="str">
        <f>IF(C1219="","",[1]!s_dq_close(C1219,$N$1))</f>
        <v/>
      </c>
      <c r="F1219" s="28" t="str">
        <f>IF($C1219=""," ",[1]!i_pq_pctchange($C1219,F$6,$N$1))</f>
        <v xml:space="preserve"> </v>
      </c>
      <c r="G1219" s="28" t="str">
        <f>IF($C1219=""," ",[1]!i_pq_pctchange($C1219,G$6,$N$1))</f>
        <v xml:space="preserve"> </v>
      </c>
      <c r="H1219" s="28" t="str">
        <f>IF($C1219=""," ",[1]!i_pq_pctchange($C1219,H$6,$N$1))</f>
        <v xml:space="preserve"> </v>
      </c>
      <c r="I1219" s="28" t="str">
        <f>IF($C1219=""," ",[1]!i_pq_pctchange($C1219,I$6,$N$1))</f>
        <v xml:space="preserve"> </v>
      </c>
      <c r="J1219" s="28" t="str">
        <f>IF($C1219=""," ",[1]!i_pq_pctchange($C1219,J$6,$N$1))</f>
        <v xml:space="preserve"> </v>
      </c>
      <c r="K1219" s="28" t="str">
        <f>IF($C1219=""," ",[1]!i_pq_pctchange($C1219,K$6,$N$1))</f>
        <v xml:space="preserve"> </v>
      </c>
      <c r="L1219" s="28" t="str">
        <f>IF(C1219=""," ",[1]!s_wq_pctchange($C1219,$N$1))</f>
        <v xml:space="preserve"> </v>
      </c>
      <c r="M1219" s="28" t="str">
        <f>IF(C1219=""," ",[1]!s_mq_pctchange($C1219,$N$1))</f>
        <v xml:space="preserve"> </v>
      </c>
      <c r="N1219" s="28" t="str">
        <f>IF(C1219=""," ",[1]!s_yq_pctchange($C1219,$N$1))</f>
        <v xml:space="preserve"> </v>
      </c>
      <c r="O1219" s="11"/>
      <c r="P1219" s="7"/>
    </row>
    <row r="1220" spans="1:16" x14ac:dyDescent="0.35">
      <c r="A1220" s="7"/>
      <c r="C1220" s="31" t="str">
        <f>IF(指数列表!B1217="","",指数列表!B1217)</f>
        <v/>
      </c>
      <c r="D1220" s="36" t="str">
        <f>IF(C1220="","",[1]!s_info_name(C1220))</f>
        <v/>
      </c>
      <c r="E1220" s="25" t="str">
        <f>IF(C1220="","",[1]!s_dq_close(C1220,$N$1))</f>
        <v/>
      </c>
      <c r="F1220" s="28" t="str">
        <f>IF($C1220=""," ",[1]!i_pq_pctchange($C1220,F$6,$N$1))</f>
        <v xml:space="preserve"> </v>
      </c>
      <c r="G1220" s="28" t="str">
        <f>IF($C1220=""," ",[1]!i_pq_pctchange($C1220,G$6,$N$1))</f>
        <v xml:space="preserve"> </v>
      </c>
      <c r="H1220" s="28" t="str">
        <f>IF($C1220=""," ",[1]!i_pq_pctchange($C1220,H$6,$N$1))</f>
        <v xml:space="preserve"> </v>
      </c>
      <c r="I1220" s="28" t="str">
        <f>IF($C1220=""," ",[1]!i_pq_pctchange($C1220,I$6,$N$1))</f>
        <v xml:space="preserve"> </v>
      </c>
      <c r="J1220" s="28" t="str">
        <f>IF($C1220=""," ",[1]!i_pq_pctchange($C1220,J$6,$N$1))</f>
        <v xml:space="preserve"> </v>
      </c>
      <c r="K1220" s="28" t="str">
        <f>IF($C1220=""," ",[1]!i_pq_pctchange($C1220,K$6,$N$1))</f>
        <v xml:space="preserve"> </v>
      </c>
      <c r="L1220" s="28" t="str">
        <f>IF(C1220=""," ",[1]!s_wq_pctchange($C1220,$N$1))</f>
        <v xml:space="preserve"> </v>
      </c>
      <c r="M1220" s="28" t="str">
        <f>IF(C1220=""," ",[1]!s_mq_pctchange($C1220,$N$1))</f>
        <v xml:space="preserve"> </v>
      </c>
      <c r="N1220" s="28" t="str">
        <f>IF(C1220=""," ",[1]!s_yq_pctchange($C1220,$N$1))</f>
        <v xml:space="preserve"> </v>
      </c>
      <c r="O1220" s="11"/>
      <c r="P1220" s="7"/>
    </row>
    <row r="1221" spans="1:16" x14ac:dyDescent="0.35">
      <c r="A1221" s="7"/>
      <c r="C1221" s="30" t="str">
        <f>IF(指数列表!B1218="","",指数列表!B1218)</f>
        <v/>
      </c>
      <c r="D1221" s="35" t="str">
        <f>IF(C1221="","",[1]!s_info_name(C1221))</f>
        <v/>
      </c>
      <c r="E1221" s="24" t="str">
        <f>IF(C1221="","",[1]!s_dq_close(C1221,$N$1))</f>
        <v/>
      </c>
      <c r="F1221" s="28" t="str">
        <f>IF($C1221=""," ",[1]!i_pq_pctchange($C1221,F$6,$N$1))</f>
        <v xml:space="preserve"> </v>
      </c>
      <c r="G1221" s="28" t="str">
        <f>IF($C1221=""," ",[1]!i_pq_pctchange($C1221,G$6,$N$1))</f>
        <v xml:space="preserve"> </v>
      </c>
      <c r="H1221" s="28" t="str">
        <f>IF($C1221=""," ",[1]!i_pq_pctchange($C1221,H$6,$N$1))</f>
        <v xml:space="preserve"> </v>
      </c>
      <c r="I1221" s="28" t="str">
        <f>IF($C1221=""," ",[1]!i_pq_pctchange($C1221,I$6,$N$1))</f>
        <v xml:space="preserve"> </v>
      </c>
      <c r="J1221" s="28" t="str">
        <f>IF($C1221=""," ",[1]!i_pq_pctchange($C1221,J$6,$N$1))</f>
        <v xml:space="preserve"> </v>
      </c>
      <c r="K1221" s="28" t="str">
        <f>IF($C1221=""," ",[1]!i_pq_pctchange($C1221,K$6,$N$1))</f>
        <v xml:space="preserve"> </v>
      </c>
      <c r="L1221" s="28" t="str">
        <f>IF(C1221=""," ",[1]!s_wq_pctchange($C1221,$N$1))</f>
        <v xml:space="preserve"> </v>
      </c>
      <c r="M1221" s="28" t="str">
        <f>IF(C1221=""," ",[1]!s_mq_pctchange($C1221,$N$1))</f>
        <v xml:space="preserve"> </v>
      </c>
      <c r="N1221" s="28" t="str">
        <f>IF(C1221=""," ",[1]!s_yq_pctchange($C1221,$N$1))</f>
        <v xml:space="preserve"> </v>
      </c>
      <c r="O1221" s="11"/>
      <c r="P1221" s="7"/>
    </row>
    <row r="1222" spans="1:16" x14ac:dyDescent="0.35">
      <c r="A1222" s="7"/>
      <c r="C1222" s="31" t="str">
        <f>IF(指数列表!B1219="","",指数列表!B1219)</f>
        <v/>
      </c>
      <c r="D1222" s="36" t="str">
        <f>IF(C1222="","",[1]!s_info_name(C1222))</f>
        <v/>
      </c>
      <c r="E1222" s="25" t="str">
        <f>IF(C1222="","",[1]!s_dq_close(C1222,$N$1))</f>
        <v/>
      </c>
      <c r="F1222" s="28" t="str">
        <f>IF($C1222=""," ",[1]!i_pq_pctchange($C1222,F$6,$N$1))</f>
        <v xml:space="preserve"> </v>
      </c>
      <c r="G1222" s="28" t="str">
        <f>IF($C1222=""," ",[1]!i_pq_pctchange($C1222,G$6,$N$1))</f>
        <v xml:space="preserve"> </v>
      </c>
      <c r="H1222" s="28" t="str">
        <f>IF($C1222=""," ",[1]!i_pq_pctchange($C1222,H$6,$N$1))</f>
        <v xml:space="preserve"> </v>
      </c>
      <c r="I1222" s="28" t="str">
        <f>IF($C1222=""," ",[1]!i_pq_pctchange($C1222,I$6,$N$1))</f>
        <v xml:space="preserve"> </v>
      </c>
      <c r="J1222" s="28" t="str">
        <f>IF($C1222=""," ",[1]!i_pq_pctchange($C1222,J$6,$N$1))</f>
        <v xml:space="preserve"> </v>
      </c>
      <c r="K1222" s="28" t="str">
        <f>IF($C1222=""," ",[1]!i_pq_pctchange($C1222,K$6,$N$1))</f>
        <v xml:space="preserve"> </v>
      </c>
      <c r="L1222" s="28" t="str">
        <f>IF(C1222=""," ",[1]!s_wq_pctchange($C1222,$N$1))</f>
        <v xml:space="preserve"> </v>
      </c>
      <c r="M1222" s="28" t="str">
        <f>IF(C1222=""," ",[1]!s_mq_pctchange($C1222,$N$1))</f>
        <v xml:space="preserve"> </v>
      </c>
      <c r="N1222" s="28" t="str">
        <f>IF(C1222=""," ",[1]!s_yq_pctchange($C1222,$N$1))</f>
        <v xml:space="preserve"> </v>
      </c>
      <c r="O1222" s="11"/>
      <c r="P1222" s="7"/>
    </row>
    <row r="1223" spans="1:16" x14ac:dyDescent="0.35">
      <c r="A1223" s="7"/>
      <c r="C1223" s="30" t="str">
        <f>IF(指数列表!B1220="","",指数列表!B1220)</f>
        <v/>
      </c>
      <c r="D1223" s="35" t="str">
        <f>IF(C1223="","",[1]!s_info_name(C1223))</f>
        <v/>
      </c>
      <c r="E1223" s="24" t="str">
        <f>IF(C1223="","",[1]!s_dq_close(C1223,$N$1))</f>
        <v/>
      </c>
      <c r="F1223" s="28" t="str">
        <f>IF($C1223=""," ",[1]!i_pq_pctchange($C1223,F$6,$N$1))</f>
        <v xml:space="preserve"> </v>
      </c>
      <c r="G1223" s="28" t="str">
        <f>IF($C1223=""," ",[1]!i_pq_pctchange($C1223,G$6,$N$1))</f>
        <v xml:space="preserve"> </v>
      </c>
      <c r="H1223" s="28" t="str">
        <f>IF($C1223=""," ",[1]!i_pq_pctchange($C1223,H$6,$N$1))</f>
        <v xml:space="preserve"> </v>
      </c>
      <c r="I1223" s="28" t="str">
        <f>IF($C1223=""," ",[1]!i_pq_pctchange($C1223,I$6,$N$1))</f>
        <v xml:space="preserve"> </v>
      </c>
      <c r="J1223" s="28" t="str">
        <f>IF($C1223=""," ",[1]!i_pq_pctchange($C1223,J$6,$N$1))</f>
        <v xml:space="preserve"> </v>
      </c>
      <c r="K1223" s="28" t="str">
        <f>IF($C1223=""," ",[1]!i_pq_pctchange($C1223,K$6,$N$1))</f>
        <v xml:space="preserve"> </v>
      </c>
      <c r="L1223" s="28" t="str">
        <f>IF(C1223=""," ",[1]!s_wq_pctchange($C1223,$N$1))</f>
        <v xml:space="preserve"> </v>
      </c>
      <c r="M1223" s="28" t="str">
        <f>IF(C1223=""," ",[1]!s_mq_pctchange($C1223,$N$1))</f>
        <v xml:space="preserve"> </v>
      </c>
      <c r="N1223" s="28" t="str">
        <f>IF(C1223=""," ",[1]!s_yq_pctchange($C1223,$N$1))</f>
        <v xml:space="preserve"> </v>
      </c>
      <c r="O1223" s="11"/>
      <c r="P1223" s="7"/>
    </row>
    <row r="1224" spans="1:16" x14ac:dyDescent="0.35">
      <c r="A1224" s="7"/>
      <c r="C1224" s="31" t="str">
        <f>IF(指数列表!B1221="","",指数列表!B1221)</f>
        <v/>
      </c>
      <c r="D1224" s="36" t="str">
        <f>IF(C1224="","",[1]!s_info_name(C1224))</f>
        <v/>
      </c>
      <c r="E1224" s="25" t="str">
        <f>IF(C1224="","",[1]!s_dq_close(C1224,$N$1))</f>
        <v/>
      </c>
      <c r="F1224" s="28" t="str">
        <f>IF($C1224=""," ",[1]!i_pq_pctchange($C1224,F$6,$N$1))</f>
        <v xml:space="preserve"> </v>
      </c>
      <c r="G1224" s="28" t="str">
        <f>IF($C1224=""," ",[1]!i_pq_pctchange($C1224,G$6,$N$1))</f>
        <v xml:space="preserve"> </v>
      </c>
      <c r="H1224" s="28" t="str">
        <f>IF($C1224=""," ",[1]!i_pq_pctchange($C1224,H$6,$N$1))</f>
        <v xml:space="preserve"> </v>
      </c>
      <c r="I1224" s="28" t="str">
        <f>IF($C1224=""," ",[1]!i_pq_pctchange($C1224,I$6,$N$1))</f>
        <v xml:space="preserve"> </v>
      </c>
      <c r="J1224" s="28" t="str">
        <f>IF($C1224=""," ",[1]!i_pq_pctchange($C1224,J$6,$N$1))</f>
        <v xml:space="preserve"> </v>
      </c>
      <c r="K1224" s="28" t="str">
        <f>IF($C1224=""," ",[1]!i_pq_pctchange($C1224,K$6,$N$1))</f>
        <v xml:space="preserve"> </v>
      </c>
      <c r="L1224" s="28" t="str">
        <f>IF(C1224=""," ",[1]!s_wq_pctchange($C1224,$N$1))</f>
        <v xml:space="preserve"> </v>
      </c>
      <c r="M1224" s="28" t="str">
        <f>IF(C1224=""," ",[1]!s_mq_pctchange($C1224,$N$1))</f>
        <v xml:space="preserve"> </v>
      </c>
      <c r="N1224" s="28" t="str">
        <f>IF(C1224=""," ",[1]!s_yq_pctchange($C1224,$N$1))</f>
        <v xml:space="preserve"> </v>
      </c>
      <c r="O1224" s="11"/>
      <c r="P1224" s="7"/>
    </row>
    <row r="1225" spans="1:16" x14ac:dyDescent="0.35">
      <c r="A1225" s="7"/>
      <c r="C1225" s="30" t="str">
        <f>IF(指数列表!B1222="","",指数列表!B1222)</f>
        <v/>
      </c>
      <c r="D1225" s="35" t="str">
        <f>IF(C1225="","",[1]!s_info_name(C1225))</f>
        <v/>
      </c>
      <c r="E1225" s="24" t="str">
        <f>IF(C1225="","",[1]!s_dq_close(C1225,$N$1))</f>
        <v/>
      </c>
      <c r="F1225" s="28" t="str">
        <f>IF($C1225=""," ",[1]!i_pq_pctchange($C1225,F$6,$N$1))</f>
        <v xml:space="preserve"> </v>
      </c>
      <c r="G1225" s="28" t="str">
        <f>IF($C1225=""," ",[1]!i_pq_pctchange($C1225,G$6,$N$1))</f>
        <v xml:space="preserve"> </v>
      </c>
      <c r="H1225" s="28" t="str">
        <f>IF($C1225=""," ",[1]!i_pq_pctchange($C1225,H$6,$N$1))</f>
        <v xml:space="preserve"> </v>
      </c>
      <c r="I1225" s="28" t="str">
        <f>IF($C1225=""," ",[1]!i_pq_pctchange($C1225,I$6,$N$1))</f>
        <v xml:space="preserve"> </v>
      </c>
      <c r="J1225" s="28" t="str">
        <f>IF($C1225=""," ",[1]!i_pq_pctchange($C1225,J$6,$N$1))</f>
        <v xml:space="preserve"> </v>
      </c>
      <c r="K1225" s="28" t="str">
        <f>IF($C1225=""," ",[1]!i_pq_pctchange($C1225,K$6,$N$1))</f>
        <v xml:space="preserve"> </v>
      </c>
      <c r="L1225" s="28" t="str">
        <f>IF(C1225=""," ",[1]!s_wq_pctchange($C1225,$N$1))</f>
        <v xml:space="preserve"> </v>
      </c>
      <c r="M1225" s="28" t="str">
        <f>IF(C1225=""," ",[1]!s_mq_pctchange($C1225,$N$1))</f>
        <v xml:space="preserve"> </v>
      </c>
      <c r="N1225" s="28" t="str">
        <f>IF(C1225=""," ",[1]!s_yq_pctchange($C1225,$N$1))</f>
        <v xml:space="preserve"> </v>
      </c>
      <c r="O1225" s="11"/>
      <c r="P1225" s="7"/>
    </row>
    <row r="1226" spans="1:16" x14ac:dyDescent="0.35">
      <c r="A1226" s="7"/>
      <c r="C1226" s="31" t="str">
        <f>IF(指数列表!B1223="","",指数列表!B1223)</f>
        <v/>
      </c>
      <c r="D1226" s="36" t="str">
        <f>IF(C1226="","",[1]!s_info_name(C1226))</f>
        <v/>
      </c>
      <c r="E1226" s="25" t="str">
        <f>IF(C1226="","",[1]!s_dq_close(C1226,$N$1))</f>
        <v/>
      </c>
      <c r="F1226" s="28" t="str">
        <f>IF($C1226=""," ",[1]!i_pq_pctchange($C1226,F$6,$N$1))</f>
        <v xml:space="preserve"> </v>
      </c>
      <c r="G1226" s="28" t="str">
        <f>IF($C1226=""," ",[1]!i_pq_pctchange($C1226,G$6,$N$1))</f>
        <v xml:space="preserve"> </v>
      </c>
      <c r="H1226" s="28" t="str">
        <f>IF($C1226=""," ",[1]!i_pq_pctchange($C1226,H$6,$N$1))</f>
        <v xml:space="preserve"> </v>
      </c>
      <c r="I1226" s="28" t="str">
        <f>IF($C1226=""," ",[1]!i_pq_pctchange($C1226,I$6,$N$1))</f>
        <v xml:space="preserve"> </v>
      </c>
      <c r="J1226" s="28" t="str">
        <f>IF($C1226=""," ",[1]!i_pq_pctchange($C1226,J$6,$N$1))</f>
        <v xml:space="preserve"> </v>
      </c>
      <c r="K1226" s="28" t="str">
        <f>IF($C1226=""," ",[1]!i_pq_pctchange($C1226,K$6,$N$1))</f>
        <v xml:space="preserve"> </v>
      </c>
      <c r="L1226" s="28" t="str">
        <f>IF(C1226=""," ",[1]!s_wq_pctchange($C1226,$N$1))</f>
        <v xml:space="preserve"> </v>
      </c>
      <c r="M1226" s="28" t="str">
        <f>IF(C1226=""," ",[1]!s_mq_pctchange($C1226,$N$1))</f>
        <v xml:space="preserve"> </v>
      </c>
      <c r="N1226" s="28" t="str">
        <f>IF(C1226=""," ",[1]!s_yq_pctchange($C1226,$N$1))</f>
        <v xml:space="preserve"> </v>
      </c>
      <c r="O1226" s="11"/>
      <c r="P1226" s="7"/>
    </row>
    <row r="1227" spans="1:16" x14ac:dyDescent="0.35">
      <c r="A1227" s="7"/>
      <c r="C1227" s="30" t="str">
        <f>IF(指数列表!B1224="","",指数列表!B1224)</f>
        <v/>
      </c>
      <c r="D1227" s="35" t="str">
        <f>IF(C1227="","",[1]!s_info_name(C1227))</f>
        <v/>
      </c>
      <c r="E1227" s="24" t="str">
        <f>IF(C1227="","",[1]!s_dq_close(C1227,$N$1))</f>
        <v/>
      </c>
      <c r="F1227" s="28" t="str">
        <f>IF($C1227=""," ",[1]!i_pq_pctchange($C1227,F$6,$N$1))</f>
        <v xml:space="preserve"> </v>
      </c>
      <c r="G1227" s="28" t="str">
        <f>IF($C1227=""," ",[1]!i_pq_pctchange($C1227,G$6,$N$1))</f>
        <v xml:space="preserve"> </v>
      </c>
      <c r="H1227" s="28" t="str">
        <f>IF($C1227=""," ",[1]!i_pq_pctchange($C1227,H$6,$N$1))</f>
        <v xml:space="preserve"> </v>
      </c>
      <c r="I1227" s="28" t="str">
        <f>IF($C1227=""," ",[1]!i_pq_pctchange($C1227,I$6,$N$1))</f>
        <v xml:space="preserve"> </v>
      </c>
      <c r="J1227" s="28" t="str">
        <f>IF($C1227=""," ",[1]!i_pq_pctchange($C1227,J$6,$N$1))</f>
        <v xml:space="preserve"> </v>
      </c>
      <c r="K1227" s="28" t="str">
        <f>IF($C1227=""," ",[1]!i_pq_pctchange($C1227,K$6,$N$1))</f>
        <v xml:space="preserve"> </v>
      </c>
      <c r="L1227" s="28" t="str">
        <f>IF(C1227=""," ",[1]!s_wq_pctchange($C1227,$N$1))</f>
        <v xml:space="preserve"> </v>
      </c>
      <c r="M1227" s="28" t="str">
        <f>IF(C1227=""," ",[1]!s_mq_pctchange($C1227,$N$1))</f>
        <v xml:space="preserve"> </v>
      </c>
      <c r="N1227" s="28" t="str">
        <f>IF(C1227=""," ",[1]!s_yq_pctchange($C1227,$N$1))</f>
        <v xml:space="preserve"> </v>
      </c>
      <c r="O1227" s="11"/>
      <c r="P1227" s="7"/>
    </row>
    <row r="1228" spans="1:16" x14ac:dyDescent="0.35">
      <c r="A1228" s="7"/>
      <c r="C1228" s="31" t="str">
        <f>IF(指数列表!B1225="","",指数列表!B1225)</f>
        <v/>
      </c>
      <c r="D1228" s="36" t="str">
        <f>IF(C1228="","",[1]!s_info_name(C1228))</f>
        <v/>
      </c>
      <c r="E1228" s="25" t="str">
        <f>IF(C1228="","",[1]!s_dq_close(C1228,$N$1))</f>
        <v/>
      </c>
      <c r="F1228" s="28" t="str">
        <f>IF($C1228=""," ",[1]!i_pq_pctchange($C1228,F$6,$N$1))</f>
        <v xml:space="preserve"> </v>
      </c>
      <c r="G1228" s="28" t="str">
        <f>IF($C1228=""," ",[1]!i_pq_pctchange($C1228,G$6,$N$1))</f>
        <v xml:space="preserve"> </v>
      </c>
      <c r="H1228" s="28" t="str">
        <f>IF($C1228=""," ",[1]!i_pq_pctchange($C1228,H$6,$N$1))</f>
        <v xml:space="preserve"> </v>
      </c>
      <c r="I1228" s="28" t="str">
        <f>IF($C1228=""," ",[1]!i_pq_pctchange($C1228,I$6,$N$1))</f>
        <v xml:space="preserve"> </v>
      </c>
      <c r="J1228" s="28" t="str">
        <f>IF($C1228=""," ",[1]!i_pq_pctchange($C1228,J$6,$N$1))</f>
        <v xml:space="preserve"> </v>
      </c>
      <c r="K1228" s="28" t="str">
        <f>IF($C1228=""," ",[1]!i_pq_pctchange($C1228,K$6,$N$1))</f>
        <v xml:space="preserve"> </v>
      </c>
      <c r="L1228" s="28" t="str">
        <f>IF(C1228=""," ",[1]!s_wq_pctchange($C1228,$N$1))</f>
        <v xml:space="preserve"> </v>
      </c>
      <c r="M1228" s="28" t="str">
        <f>IF(C1228=""," ",[1]!s_mq_pctchange($C1228,$N$1))</f>
        <v xml:space="preserve"> </v>
      </c>
      <c r="N1228" s="28" t="str">
        <f>IF(C1228=""," ",[1]!s_yq_pctchange($C1228,$N$1))</f>
        <v xml:space="preserve"> </v>
      </c>
      <c r="O1228" s="11"/>
      <c r="P1228" s="7"/>
    </row>
    <row r="1229" spans="1:16" x14ac:dyDescent="0.35">
      <c r="A1229" s="7"/>
      <c r="C1229" s="30" t="str">
        <f>IF(指数列表!B1226="","",指数列表!B1226)</f>
        <v/>
      </c>
      <c r="D1229" s="35" t="str">
        <f>IF(C1229="","",[1]!s_info_name(C1229))</f>
        <v/>
      </c>
      <c r="E1229" s="24" t="str">
        <f>IF(C1229="","",[1]!s_dq_close(C1229,$N$1))</f>
        <v/>
      </c>
      <c r="F1229" s="28" t="str">
        <f>IF($C1229=""," ",[1]!i_pq_pctchange($C1229,F$6,$N$1))</f>
        <v xml:space="preserve"> </v>
      </c>
      <c r="G1229" s="28" t="str">
        <f>IF($C1229=""," ",[1]!i_pq_pctchange($C1229,G$6,$N$1))</f>
        <v xml:space="preserve"> </v>
      </c>
      <c r="H1229" s="28" t="str">
        <f>IF($C1229=""," ",[1]!i_pq_pctchange($C1229,H$6,$N$1))</f>
        <v xml:space="preserve"> </v>
      </c>
      <c r="I1229" s="28" t="str">
        <f>IF($C1229=""," ",[1]!i_pq_pctchange($C1229,I$6,$N$1))</f>
        <v xml:space="preserve"> </v>
      </c>
      <c r="J1229" s="28" t="str">
        <f>IF($C1229=""," ",[1]!i_pq_pctchange($C1229,J$6,$N$1))</f>
        <v xml:space="preserve"> </v>
      </c>
      <c r="K1229" s="28" t="str">
        <f>IF($C1229=""," ",[1]!i_pq_pctchange($C1229,K$6,$N$1))</f>
        <v xml:space="preserve"> </v>
      </c>
      <c r="L1229" s="28" t="str">
        <f>IF(C1229=""," ",[1]!s_wq_pctchange($C1229,$N$1))</f>
        <v xml:space="preserve"> </v>
      </c>
      <c r="M1229" s="28" t="str">
        <f>IF(C1229=""," ",[1]!s_mq_pctchange($C1229,$N$1))</f>
        <v xml:space="preserve"> </v>
      </c>
      <c r="N1229" s="28" t="str">
        <f>IF(C1229=""," ",[1]!s_yq_pctchange($C1229,$N$1))</f>
        <v xml:space="preserve"> </v>
      </c>
      <c r="O1229" s="11"/>
      <c r="P1229" s="7"/>
    </row>
    <row r="1230" spans="1:16" x14ac:dyDescent="0.35">
      <c r="A1230" s="7"/>
      <c r="C1230" s="31" t="str">
        <f>IF(指数列表!B1227="","",指数列表!B1227)</f>
        <v/>
      </c>
      <c r="D1230" s="36" t="str">
        <f>IF(C1230="","",[1]!s_info_name(C1230))</f>
        <v/>
      </c>
      <c r="E1230" s="25" t="str">
        <f>IF(C1230="","",[1]!s_dq_close(C1230,$N$1))</f>
        <v/>
      </c>
      <c r="F1230" s="28" t="str">
        <f>IF($C1230=""," ",[1]!i_pq_pctchange($C1230,F$6,$N$1))</f>
        <v xml:space="preserve"> </v>
      </c>
      <c r="G1230" s="28" t="str">
        <f>IF($C1230=""," ",[1]!i_pq_pctchange($C1230,G$6,$N$1))</f>
        <v xml:space="preserve"> </v>
      </c>
      <c r="H1230" s="28" t="str">
        <f>IF($C1230=""," ",[1]!i_pq_pctchange($C1230,H$6,$N$1))</f>
        <v xml:space="preserve"> </v>
      </c>
      <c r="I1230" s="28" t="str">
        <f>IF($C1230=""," ",[1]!i_pq_pctchange($C1230,I$6,$N$1))</f>
        <v xml:space="preserve"> </v>
      </c>
      <c r="J1230" s="28" t="str">
        <f>IF($C1230=""," ",[1]!i_pq_pctchange($C1230,J$6,$N$1))</f>
        <v xml:space="preserve"> </v>
      </c>
      <c r="K1230" s="28" t="str">
        <f>IF($C1230=""," ",[1]!i_pq_pctchange($C1230,K$6,$N$1))</f>
        <v xml:space="preserve"> </v>
      </c>
      <c r="L1230" s="28" t="str">
        <f>IF(C1230=""," ",[1]!s_wq_pctchange($C1230,$N$1))</f>
        <v xml:space="preserve"> </v>
      </c>
      <c r="M1230" s="28" t="str">
        <f>IF(C1230=""," ",[1]!s_mq_pctchange($C1230,$N$1))</f>
        <v xml:space="preserve"> </v>
      </c>
      <c r="N1230" s="28" t="str">
        <f>IF(C1230=""," ",[1]!s_yq_pctchange($C1230,$N$1))</f>
        <v xml:space="preserve"> </v>
      </c>
      <c r="O1230" s="11"/>
      <c r="P1230" s="7"/>
    </row>
    <row r="1231" spans="1:16" x14ac:dyDescent="0.35">
      <c r="A1231" s="7"/>
      <c r="C1231" s="30" t="str">
        <f>IF(指数列表!B1228="","",指数列表!B1228)</f>
        <v/>
      </c>
      <c r="D1231" s="35" t="str">
        <f>IF(C1231="","",[1]!s_info_name(C1231))</f>
        <v/>
      </c>
      <c r="E1231" s="24" t="str">
        <f>IF(C1231="","",[1]!s_dq_close(C1231,$N$1))</f>
        <v/>
      </c>
      <c r="F1231" s="28" t="str">
        <f>IF($C1231=""," ",[1]!i_pq_pctchange($C1231,F$6,$N$1))</f>
        <v xml:space="preserve"> </v>
      </c>
      <c r="G1231" s="28" t="str">
        <f>IF($C1231=""," ",[1]!i_pq_pctchange($C1231,G$6,$N$1))</f>
        <v xml:space="preserve"> </v>
      </c>
      <c r="H1231" s="28" t="str">
        <f>IF($C1231=""," ",[1]!i_pq_pctchange($C1231,H$6,$N$1))</f>
        <v xml:space="preserve"> </v>
      </c>
      <c r="I1231" s="28" t="str">
        <f>IF($C1231=""," ",[1]!i_pq_pctchange($C1231,I$6,$N$1))</f>
        <v xml:space="preserve"> </v>
      </c>
      <c r="J1231" s="28" t="str">
        <f>IF($C1231=""," ",[1]!i_pq_pctchange($C1231,J$6,$N$1))</f>
        <v xml:space="preserve"> </v>
      </c>
      <c r="K1231" s="28" t="str">
        <f>IF($C1231=""," ",[1]!i_pq_pctchange($C1231,K$6,$N$1))</f>
        <v xml:space="preserve"> </v>
      </c>
      <c r="L1231" s="28" t="str">
        <f>IF(C1231=""," ",[1]!s_wq_pctchange($C1231,$N$1))</f>
        <v xml:space="preserve"> </v>
      </c>
      <c r="M1231" s="28" t="str">
        <f>IF(C1231=""," ",[1]!s_mq_pctchange($C1231,$N$1))</f>
        <v xml:space="preserve"> </v>
      </c>
      <c r="N1231" s="28" t="str">
        <f>IF(C1231=""," ",[1]!s_yq_pctchange($C1231,$N$1))</f>
        <v xml:space="preserve"> </v>
      </c>
      <c r="O1231" s="11"/>
      <c r="P1231" s="7"/>
    </row>
    <row r="1232" spans="1:16" x14ac:dyDescent="0.35">
      <c r="A1232" s="7"/>
      <c r="C1232" s="31" t="str">
        <f>IF(指数列表!B1229="","",指数列表!B1229)</f>
        <v/>
      </c>
      <c r="D1232" s="36" t="str">
        <f>IF(C1232="","",[1]!s_info_name(C1232))</f>
        <v/>
      </c>
      <c r="E1232" s="25" t="str">
        <f>IF(C1232="","",[1]!s_dq_close(C1232,$N$1))</f>
        <v/>
      </c>
      <c r="F1232" s="28" t="str">
        <f>IF($C1232=""," ",[1]!i_pq_pctchange($C1232,F$6,$N$1))</f>
        <v xml:space="preserve"> </v>
      </c>
      <c r="G1232" s="28" t="str">
        <f>IF($C1232=""," ",[1]!i_pq_pctchange($C1232,G$6,$N$1))</f>
        <v xml:space="preserve"> </v>
      </c>
      <c r="H1232" s="28" t="str">
        <f>IF($C1232=""," ",[1]!i_pq_pctchange($C1232,H$6,$N$1))</f>
        <v xml:space="preserve"> </v>
      </c>
      <c r="I1232" s="28" t="str">
        <f>IF($C1232=""," ",[1]!i_pq_pctchange($C1232,I$6,$N$1))</f>
        <v xml:space="preserve"> </v>
      </c>
      <c r="J1232" s="28" t="str">
        <f>IF($C1232=""," ",[1]!i_pq_pctchange($C1232,J$6,$N$1))</f>
        <v xml:space="preserve"> </v>
      </c>
      <c r="K1232" s="28" t="str">
        <f>IF($C1232=""," ",[1]!i_pq_pctchange($C1232,K$6,$N$1))</f>
        <v xml:space="preserve"> </v>
      </c>
      <c r="L1232" s="28" t="str">
        <f>IF(C1232=""," ",[1]!s_wq_pctchange($C1232,$N$1))</f>
        <v xml:space="preserve"> </v>
      </c>
      <c r="M1232" s="28" t="str">
        <f>IF(C1232=""," ",[1]!s_mq_pctchange($C1232,$N$1))</f>
        <v xml:space="preserve"> </v>
      </c>
      <c r="N1232" s="28" t="str">
        <f>IF(C1232=""," ",[1]!s_yq_pctchange($C1232,$N$1))</f>
        <v xml:space="preserve"> </v>
      </c>
      <c r="O1232" s="11"/>
      <c r="P1232" s="7"/>
    </row>
    <row r="1233" spans="1:16" x14ac:dyDescent="0.35">
      <c r="A1233" s="7"/>
      <c r="C1233" s="30" t="str">
        <f>IF(指数列表!B1230="","",指数列表!B1230)</f>
        <v/>
      </c>
      <c r="D1233" s="35" t="str">
        <f>IF(C1233="","",[1]!s_info_name(C1233))</f>
        <v/>
      </c>
      <c r="E1233" s="24" t="str">
        <f>IF(C1233="","",[1]!s_dq_close(C1233,$N$1))</f>
        <v/>
      </c>
      <c r="F1233" s="28" t="str">
        <f>IF($C1233=""," ",[1]!i_pq_pctchange($C1233,F$6,$N$1))</f>
        <v xml:space="preserve"> </v>
      </c>
      <c r="G1233" s="28" t="str">
        <f>IF($C1233=""," ",[1]!i_pq_pctchange($C1233,G$6,$N$1))</f>
        <v xml:space="preserve"> </v>
      </c>
      <c r="H1233" s="28" t="str">
        <f>IF($C1233=""," ",[1]!i_pq_pctchange($C1233,H$6,$N$1))</f>
        <v xml:space="preserve"> </v>
      </c>
      <c r="I1233" s="28" t="str">
        <f>IF($C1233=""," ",[1]!i_pq_pctchange($C1233,I$6,$N$1))</f>
        <v xml:space="preserve"> </v>
      </c>
      <c r="J1233" s="28" t="str">
        <f>IF($C1233=""," ",[1]!i_pq_pctchange($C1233,J$6,$N$1))</f>
        <v xml:space="preserve"> </v>
      </c>
      <c r="K1233" s="28" t="str">
        <f>IF($C1233=""," ",[1]!i_pq_pctchange($C1233,K$6,$N$1))</f>
        <v xml:space="preserve"> </v>
      </c>
      <c r="L1233" s="28" t="str">
        <f>IF(C1233=""," ",[1]!s_wq_pctchange($C1233,$N$1))</f>
        <v xml:space="preserve"> </v>
      </c>
      <c r="M1233" s="28" t="str">
        <f>IF(C1233=""," ",[1]!s_mq_pctchange($C1233,$N$1))</f>
        <v xml:space="preserve"> </v>
      </c>
      <c r="N1233" s="28" t="str">
        <f>IF(C1233=""," ",[1]!s_yq_pctchange($C1233,$N$1))</f>
        <v xml:space="preserve"> </v>
      </c>
      <c r="O1233" s="11"/>
      <c r="P1233" s="7"/>
    </row>
    <row r="1234" spans="1:16" x14ac:dyDescent="0.35">
      <c r="A1234" s="7"/>
      <c r="C1234" s="31" t="str">
        <f>IF(指数列表!B1231="","",指数列表!B1231)</f>
        <v/>
      </c>
      <c r="D1234" s="36" t="str">
        <f>IF(C1234="","",[1]!s_info_name(C1234))</f>
        <v/>
      </c>
      <c r="E1234" s="25" t="str">
        <f>IF(C1234="","",[1]!s_dq_close(C1234,$N$1))</f>
        <v/>
      </c>
      <c r="F1234" s="28" t="str">
        <f>IF($C1234=""," ",[1]!i_pq_pctchange($C1234,F$6,$N$1))</f>
        <v xml:space="preserve"> </v>
      </c>
      <c r="G1234" s="28" t="str">
        <f>IF($C1234=""," ",[1]!i_pq_pctchange($C1234,G$6,$N$1))</f>
        <v xml:space="preserve"> </v>
      </c>
      <c r="H1234" s="28" t="str">
        <f>IF($C1234=""," ",[1]!i_pq_pctchange($C1234,H$6,$N$1))</f>
        <v xml:space="preserve"> </v>
      </c>
      <c r="I1234" s="28" t="str">
        <f>IF($C1234=""," ",[1]!i_pq_pctchange($C1234,I$6,$N$1))</f>
        <v xml:space="preserve"> </v>
      </c>
      <c r="J1234" s="28" t="str">
        <f>IF($C1234=""," ",[1]!i_pq_pctchange($C1234,J$6,$N$1))</f>
        <v xml:space="preserve"> </v>
      </c>
      <c r="K1234" s="28" t="str">
        <f>IF($C1234=""," ",[1]!i_pq_pctchange($C1234,K$6,$N$1))</f>
        <v xml:space="preserve"> </v>
      </c>
      <c r="L1234" s="28" t="str">
        <f>IF(C1234=""," ",[1]!s_wq_pctchange($C1234,$N$1))</f>
        <v xml:space="preserve"> </v>
      </c>
      <c r="M1234" s="28" t="str">
        <f>IF(C1234=""," ",[1]!s_mq_pctchange($C1234,$N$1))</f>
        <v xml:space="preserve"> </v>
      </c>
      <c r="N1234" s="28" t="str">
        <f>IF(C1234=""," ",[1]!s_yq_pctchange($C1234,$N$1))</f>
        <v xml:space="preserve"> </v>
      </c>
      <c r="O1234" s="11"/>
      <c r="P1234" s="7"/>
    </row>
    <row r="1235" spans="1:16" x14ac:dyDescent="0.35">
      <c r="A1235" s="7"/>
      <c r="C1235" s="30" t="str">
        <f>IF(指数列表!B1232="","",指数列表!B1232)</f>
        <v/>
      </c>
      <c r="D1235" s="35" t="str">
        <f>IF(C1235="","",[1]!s_info_name(C1235))</f>
        <v/>
      </c>
      <c r="E1235" s="24" t="str">
        <f>IF(C1235="","",[1]!s_dq_close(C1235,$N$1))</f>
        <v/>
      </c>
      <c r="F1235" s="28" t="str">
        <f>IF($C1235=""," ",[1]!i_pq_pctchange($C1235,F$6,$N$1))</f>
        <v xml:space="preserve"> </v>
      </c>
      <c r="G1235" s="28" t="str">
        <f>IF($C1235=""," ",[1]!i_pq_pctchange($C1235,G$6,$N$1))</f>
        <v xml:space="preserve"> </v>
      </c>
      <c r="H1235" s="28" t="str">
        <f>IF($C1235=""," ",[1]!i_pq_pctchange($C1235,H$6,$N$1))</f>
        <v xml:space="preserve"> </v>
      </c>
      <c r="I1235" s="28" t="str">
        <f>IF($C1235=""," ",[1]!i_pq_pctchange($C1235,I$6,$N$1))</f>
        <v xml:space="preserve"> </v>
      </c>
      <c r="J1235" s="28" t="str">
        <f>IF($C1235=""," ",[1]!i_pq_pctchange($C1235,J$6,$N$1))</f>
        <v xml:space="preserve"> </v>
      </c>
      <c r="K1235" s="28" t="str">
        <f>IF($C1235=""," ",[1]!i_pq_pctchange($C1235,K$6,$N$1))</f>
        <v xml:space="preserve"> </v>
      </c>
      <c r="L1235" s="28" t="str">
        <f>IF(C1235=""," ",[1]!s_wq_pctchange($C1235,$N$1))</f>
        <v xml:space="preserve"> </v>
      </c>
      <c r="M1235" s="28" t="str">
        <f>IF(C1235=""," ",[1]!s_mq_pctchange($C1235,$N$1))</f>
        <v xml:space="preserve"> </v>
      </c>
      <c r="N1235" s="28" t="str">
        <f>IF(C1235=""," ",[1]!s_yq_pctchange($C1235,$N$1))</f>
        <v xml:space="preserve"> </v>
      </c>
      <c r="O1235" s="11"/>
      <c r="P1235" s="7"/>
    </row>
    <row r="1236" spans="1:16" x14ac:dyDescent="0.35">
      <c r="A1236" s="7"/>
      <c r="C1236" s="31" t="str">
        <f>IF(指数列表!B1233="","",指数列表!B1233)</f>
        <v/>
      </c>
      <c r="D1236" s="36" t="str">
        <f>IF(C1236="","",[1]!s_info_name(C1236))</f>
        <v/>
      </c>
      <c r="E1236" s="25" t="str">
        <f>IF(C1236="","",[1]!s_dq_close(C1236,$N$1))</f>
        <v/>
      </c>
      <c r="F1236" s="28" t="str">
        <f>IF($C1236=""," ",[1]!i_pq_pctchange($C1236,F$6,$N$1))</f>
        <v xml:space="preserve"> </v>
      </c>
      <c r="G1236" s="28" t="str">
        <f>IF($C1236=""," ",[1]!i_pq_pctchange($C1236,G$6,$N$1))</f>
        <v xml:space="preserve"> </v>
      </c>
      <c r="H1236" s="28" t="str">
        <f>IF($C1236=""," ",[1]!i_pq_pctchange($C1236,H$6,$N$1))</f>
        <v xml:space="preserve"> </v>
      </c>
      <c r="I1236" s="28" t="str">
        <f>IF($C1236=""," ",[1]!i_pq_pctchange($C1236,I$6,$N$1))</f>
        <v xml:space="preserve"> </v>
      </c>
      <c r="J1236" s="28" t="str">
        <f>IF($C1236=""," ",[1]!i_pq_pctchange($C1236,J$6,$N$1))</f>
        <v xml:space="preserve"> </v>
      </c>
      <c r="K1236" s="28" t="str">
        <f>IF($C1236=""," ",[1]!i_pq_pctchange($C1236,K$6,$N$1))</f>
        <v xml:space="preserve"> </v>
      </c>
      <c r="L1236" s="28" t="str">
        <f>IF(C1236=""," ",[1]!s_wq_pctchange($C1236,$N$1))</f>
        <v xml:space="preserve"> </v>
      </c>
      <c r="M1236" s="28" t="str">
        <f>IF(C1236=""," ",[1]!s_mq_pctchange($C1236,$N$1))</f>
        <v xml:space="preserve"> </v>
      </c>
      <c r="N1236" s="28" t="str">
        <f>IF(C1236=""," ",[1]!s_yq_pctchange($C1236,$N$1))</f>
        <v xml:space="preserve"> </v>
      </c>
      <c r="O1236" s="11"/>
      <c r="P1236" s="7"/>
    </row>
    <row r="1237" spans="1:16" x14ac:dyDescent="0.35">
      <c r="A1237" s="7"/>
      <c r="C1237" s="30" t="str">
        <f>IF(指数列表!B1234="","",指数列表!B1234)</f>
        <v/>
      </c>
      <c r="D1237" s="35" t="str">
        <f>IF(C1237="","",[1]!s_info_name(C1237))</f>
        <v/>
      </c>
      <c r="E1237" s="24" t="str">
        <f>IF(C1237="","",[1]!s_dq_close(C1237,$N$1))</f>
        <v/>
      </c>
      <c r="F1237" s="28" t="str">
        <f>IF($C1237=""," ",[1]!i_pq_pctchange($C1237,F$6,$N$1))</f>
        <v xml:space="preserve"> </v>
      </c>
      <c r="G1237" s="28" t="str">
        <f>IF($C1237=""," ",[1]!i_pq_pctchange($C1237,G$6,$N$1))</f>
        <v xml:space="preserve"> </v>
      </c>
      <c r="H1237" s="28" t="str">
        <f>IF($C1237=""," ",[1]!i_pq_pctchange($C1237,H$6,$N$1))</f>
        <v xml:space="preserve"> </v>
      </c>
      <c r="I1237" s="28" t="str">
        <f>IF($C1237=""," ",[1]!i_pq_pctchange($C1237,I$6,$N$1))</f>
        <v xml:space="preserve"> </v>
      </c>
      <c r="J1237" s="28" t="str">
        <f>IF($C1237=""," ",[1]!i_pq_pctchange($C1237,J$6,$N$1))</f>
        <v xml:space="preserve"> </v>
      </c>
      <c r="K1237" s="28" t="str">
        <f>IF($C1237=""," ",[1]!i_pq_pctchange($C1237,K$6,$N$1))</f>
        <v xml:space="preserve"> </v>
      </c>
      <c r="L1237" s="28" t="str">
        <f>IF(C1237=""," ",[1]!s_wq_pctchange($C1237,$N$1))</f>
        <v xml:space="preserve"> </v>
      </c>
      <c r="M1237" s="28" t="str">
        <f>IF(C1237=""," ",[1]!s_mq_pctchange($C1237,$N$1))</f>
        <v xml:space="preserve"> </v>
      </c>
      <c r="N1237" s="28" t="str">
        <f>IF(C1237=""," ",[1]!s_yq_pctchange($C1237,$N$1))</f>
        <v xml:space="preserve"> </v>
      </c>
      <c r="O1237" s="11"/>
      <c r="P1237" s="7"/>
    </row>
    <row r="1238" spans="1:16" x14ac:dyDescent="0.35">
      <c r="A1238" s="7"/>
      <c r="C1238" s="31" t="str">
        <f>IF(指数列表!B1235="","",指数列表!B1235)</f>
        <v/>
      </c>
      <c r="D1238" s="36" t="str">
        <f>IF(C1238="","",[1]!s_info_name(C1238))</f>
        <v/>
      </c>
      <c r="E1238" s="25" t="str">
        <f>IF(C1238="","",[1]!s_dq_close(C1238,$N$1))</f>
        <v/>
      </c>
      <c r="F1238" s="28" t="str">
        <f>IF($C1238=""," ",[1]!i_pq_pctchange($C1238,F$6,$N$1))</f>
        <v xml:space="preserve"> </v>
      </c>
      <c r="G1238" s="28" t="str">
        <f>IF($C1238=""," ",[1]!i_pq_pctchange($C1238,G$6,$N$1))</f>
        <v xml:space="preserve"> </v>
      </c>
      <c r="H1238" s="28" t="str">
        <f>IF($C1238=""," ",[1]!i_pq_pctchange($C1238,H$6,$N$1))</f>
        <v xml:space="preserve"> </v>
      </c>
      <c r="I1238" s="28" t="str">
        <f>IF($C1238=""," ",[1]!i_pq_pctchange($C1238,I$6,$N$1))</f>
        <v xml:space="preserve"> </v>
      </c>
      <c r="J1238" s="28" t="str">
        <f>IF($C1238=""," ",[1]!i_pq_pctchange($C1238,J$6,$N$1))</f>
        <v xml:space="preserve"> </v>
      </c>
      <c r="K1238" s="28" t="str">
        <f>IF($C1238=""," ",[1]!i_pq_pctchange($C1238,K$6,$N$1))</f>
        <v xml:space="preserve"> </v>
      </c>
      <c r="L1238" s="28" t="str">
        <f>IF(C1238=""," ",[1]!s_wq_pctchange($C1238,$N$1))</f>
        <v xml:space="preserve"> </v>
      </c>
      <c r="M1238" s="28" t="str">
        <f>IF(C1238=""," ",[1]!s_mq_pctchange($C1238,$N$1))</f>
        <v xml:space="preserve"> </v>
      </c>
      <c r="N1238" s="28" t="str">
        <f>IF(C1238=""," ",[1]!s_yq_pctchange($C1238,$N$1))</f>
        <v xml:space="preserve"> </v>
      </c>
      <c r="O1238" s="11"/>
      <c r="P1238" s="7"/>
    </row>
    <row r="1239" spans="1:16" x14ac:dyDescent="0.35">
      <c r="A1239" s="7"/>
      <c r="C1239" s="30" t="str">
        <f>IF(指数列表!B1236="","",指数列表!B1236)</f>
        <v/>
      </c>
      <c r="D1239" s="35" t="str">
        <f>IF(C1239="","",[1]!s_info_name(C1239))</f>
        <v/>
      </c>
      <c r="E1239" s="24" t="str">
        <f>IF(C1239="","",[1]!s_dq_close(C1239,$N$1))</f>
        <v/>
      </c>
      <c r="F1239" s="28" t="str">
        <f>IF($C1239=""," ",[1]!i_pq_pctchange($C1239,F$6,$N$1))</f>
        <v xml:space="preserve"> </v>
      </c>
      <c r="G1239" s="28" t="str">
        <f>IF($C1239=""," ",[1]!i_pq_pctchange($C1239,G$6,$N$1))</f>
        <v xml:space="preserve"> </v>
      </c>
      <c r="H1239" s="28" t="str">
        <f>IF($C1239=""," ",[1]!i_pq_pctchange($C1239,H$6,$N$1))</f>
        <v xml:space="preserve"> </v>
      </c>
      <c r="I1239" s="28" t="str">
        <f>IF($C1239=""," ",[1]!i_pq_pctchange($C1239,I$6,$N$1))</f>
        <v xml:space="preserve"> </v>
      </c>
      <c r="J1239" s="28" t="str">
        <f>IF($C1239=""," ",[1]!i_pq_pctchange($C1239,J$6,$N$1))</f>
        <v xml:space="preserve"> </v>
      </c>
      <c r="K1239" s="28" t="str">
        <f>IF($C1239=""," ",[1]!i_pq_pctchange($C1239,K$6,$N$1))</f>
        <v xml:space="preserve"> </v>
      </c>
      <c r="L1239" s="28" t="str">
        <f>IF(C1239=""," ",[1]!s_wq_pctchange($C1239,$N$1))</f>
        <v xml:space="preserve"> </v>
      </c>
      <c r="M1239" s="28" t="str">
        <f>IF(C1239=""," ",[1]!s_mq_pctchange($C1239,$N$1))</f>
        <v xml:space="preserve"> </v>
      </c>
      <c r="N1239" s="28" t="str">
        <f>IF(C1239=""," ",[1]!s_yq_pctchange($C1239,$N$1))</f>
        <v xml:space="preserve"> </v>
      </c>
      <c r="O1239" s="11"/>
      <c r="P1239" s="7"/>
    </row>
    <row r="1240" spans="1:16" x14ac:dyDescent="0.35">
      <c r="A1240" s="7"/>
      <c r="C1240" s="31" t="str">
        <f>IF(指数列表!B1237="","",指数列表!B1237)</f>
        <v/>
      </c>
      <c r="D1240" s="36" t="str">
        <f>IF(C1240="","",[1]!s_info_name(C1240))</f>
        <v/>
      </c>
      <c r="E1240" s="25" t="str">
        <f>IF(C1240="","",[1]!s_dq_close(C1240,$N$1))</f>
        <v/>
      </c>
      <c r="F1240" s="28" t="str">
        <f>IF($C1240=""," ",[1]!i_pq_pctchange($C1240,F$6,$N$1))</f>
        <v xml:space="preserve"> </v>
      </c>
      <c r="G1240" s="28" t="str">
        <f>IF($C1240=""," ",[1]!i_pq_pctchange($C1240,G$6,$N$1))</f>
        <v xml:space="preserve"> </v>
      </c>
      <c r="H1240" s="28" t="str">
        <f>IF($C1240=""," ",[1]!i_pq_pctchange($C1240,H$6,$N$1))</f>
        <v xml:space="preserve"> </v>
      </c>
      <c r="I1240" s="28" t="str">
        <f>IF($C1240=""," ",[1]!i_pq_pctchange($C1240,I$6,$N$1))</f>
        <v xml:space="preserve"> </v>
      </c>
      <c r="J1240" s="28" t="str">
        <f>IF($C1240=""," ",[1]!i_pq_pctchange($C1240,J$6,$N$1))</f>
        <v xml:space="preserve"> </v>
      </c>
      <c r="K1240" s="28" t="str">
        <f>IF($C1240=""," ",[1]!i_pq_pctchange($C1240,K$6,$N$1))</f>
        <v xml:space="preserve"> </v>
      </c>
      <c r="L1240" s="28" t="str">
        <f>IF(C1240=""," ",[1]!s_wq_pctchange($C1240,$N$1))</f>
        <v xml:space="preserve"> </v>
      </c>
      <c r="M1240" s="28" t="str">
        <f>IF(C1240=""," ",[1]!s_mq_pctchange($C1240,$N$1))</f>
        <v xml:space="preserve"> </v>
      </c>
      <c r="N1240" s="28" t="str">
        <f>IF(C1240=""," ",[1]!s_yq_pctchange($C1240,$N$1))</f>
        <v xml:space="preserve"> </v>
      </c>
      <c r="O1240" s="11"/>
      <c r="P1240" s="7"/>
    </row>
    <row r="1241" spans="1:16" x14ac:dyDescent="0.35">
      <c r="A1241" s="7"/>
      <c r="C1241" s="30" t="str">
        <f>IF(指数列表!B1238="","",指数列表!B1238)</f>
        <v/>
      </c>
      <c r="D1241" s="35" t="str">
        <f>IF(C1241="","",[1]!s_info_name(C1241))</f>
        <v/>
      </c>
      <c r="E1241" s="24" t="str">
        <f>IF(C1241="","",[1]!s_dq_close(C1241,$N$1))</f>
        <v/>
      </c>
      <c r="F1241" s="28" t="str">
        <f>IF($C1241=""," ",[1]!i_pq_pctchange($C1241,F$6,$N$1))</f>
        <v xml:space="preserve"> </v>
      </c>
      <c r="G1241" s="28" t="str">
        <f>IF($C1241=""," ",[1]!i_pq_pctchange($C1241,G$6,$N$1))</f>
        <v xml:space="preserve"> </v>
      </c>
      <c r="H1241" s="28" t="str">
        <f>IF($C1241=""," ",[1]!i_pq_pctchange($C1241,H$6,$N$1))</f>
        <v xml:space="preserve"> </v>
      </c>
      <c r="I1241" s="28" t="str">
        <f>IF($C1241=""," ",[1]!i_pq_pctchange($C1241,I$6,$N$1))</f>
        <v xml:space="preserve"> </v>
      </c>
      <c r="J1241" s="28" t="str">
        <f>IF($C1241=""," ",[1]!i_pq_pctchange($C1241,J$6,$N$1))</f>
        <v xml:space="preserve"> </v>
      </c>
      <c r="K1241" s="28" t="str">
        <f>IF($C1241=""," ",[1]!i_pq_pctchange($C1241,K$6,$N$1))</f>
        <v xml:space="preserve"> </v>
      </c>
      <c r="L1241" s="28" t="str">
        <f>IF(C1241=""," ",[1]!s_wq_pctchange($C1241,$N$1))</f>
        <v xml:space="preserve"> </v>
      </c>
      <c r="M1241" s="28" t="str">
        <f>IF(C1241=""," ",[1]!s_mq_pctchange($C1241,$N$1))</f>
        <v xml:space="preserve"> </v>
      </c>
      <c r="N1241" s="28" t="str">
        <f>IF(C1241=""," ",[1]!s_yq_pctchange($C1241,$N$1))</f>
        <v xml:space="preserve"> </v>
      </c>
      <c r="O1241" s="11"/>
      <c r="P1241" s="7"/>
    </row>
    <row r="1242" spans="1:16" x14ac:dyDescent="0.35">
      <c r="A1242" s="7"/>
      <c r="C1242" s="31" t="str">
        <f>IF(指数列表!B1239="","",指数列表!B1239)</f>
        <v/>
      </c>
      <c r="D1242" s="36" t="str">
        <f>IF(C1242="","",[1]!s_info_name(C1242))</f>
        <v/>
      </c>
      <c r="E1242" s="25" t="str">
        <f>IF(C1242="","",[1]!s_dq_close(C1242,$N$1))</f>
        <v/>
      </c>
      <c r="F1242" s="28" t="str">
        <f>IF($C1242=""," ",[1]!i_pq_pctchange($C1242,F$6,$N$1))</f>
        <v xml:space="preserve"> </v>
      </c>
      <c r="G1242" s="28" t="str">
        <f>IF($C1242=""," ",[1]!i_pq_pctchange($C1242,G$6,$N$1))</f>
        <v xml:space="preserve"> </v>
      </c>
      <c r="H1242" s="28" t="str">
        <f>IF($C1242=""," ",[1]!i_pq_pctchange($C1242,H$6,$N$1))</f>
        <v xml:space="preserve"> </v>
      </c>
      <c r="I1242" s="28" t="str">
        <f>IF($C1242=""," ",[1]!i_pq_pctchange($C1242,I$6,$N$1))</f>
        <v xml:space="preserve"> </v>
      </c>
      <c r="J1242" s="28" t="str">
        <f>IF($C1242=""," ",[1]!i_pq_pctchange($C1242,J$6,$N$1))</f>
        <v xml:space="preserve"> </v>
      </c>
      <c r="K1242" s="28" t="str">
        <f>IF($C1242=""," ",[1]!i_pq_pctchange($C1242,K$6,$N$1))</f>
        <v xml:space="preserve"> </v>
      </c>
      <c r="L1242" s="28" t="str">
        <f>IF(C1242=""," ",[1]!s_wq_pctchange($C1242,$N$1))</f>
        <v xml:space="preserve"> </v>
      </c>
      <c r="M1242" s="28" t="str">
        <f>IF(C1242=""," ",[1]!s_mq_pctchange($C1242,$N$1))</f>
        <v xml:space="preserve"> </v>
      </c>
      <c r="N1242" s="28" t="str">
        <f>IF(C1242=""," ",[1]!s_yq_pctchange($C1242,$N$1))</f>
        <v xml:space="preserve"> </v>
      </c>
      <c r="O1242" s="11"/>
      <c r="P1242" s="7"/>
    </row>
    <row r="1243" spans="1:16" x14ac:dyDescent="0.35">
      <c r="A1243" s="7"/>
      <c r="C1243" s="30" t="str">
        <f>IF(指数列表!B1240="","",指数列表!B1240)</f>
        <v/>
      </c>
      <c r="D1243" s="35" t="str">
        <f>IF(C1243="","",[1]!s_info_name(C1243))</f>
        <v/>
      </c>
      <c r="E1243" s="24" t="str">
        <f>IF(C1243="","",[1]!s_dq_close(C1243,$N$1))</f>
        <v/>
      </c>
      <c r="F1243" s="28" t="str">
        <f>IF($C1243=""," ",[1]!i_pq_pctchange($C1243,F$6,$N$1))</f>
        <v xml:space="preserve"> </v>
      </c>
      <c r="G1243" s="28" t="str">
        <f>IF($C1243=""," ",[1]!i_pq_pctchange($C1243,G$6,$N$1))</f>
        <v xml:space="preserve"> </v>
      </c>
      <c r="H1243" s="28" t="str">
        <f>IF($C1243=""," ",[1]!i_pq_pctchange($C1243,H$6,$N$1))</f>
        <v xml:space="preserve"> </v>
      </c>
      <c r="I1243" s="28" t="str">
        <f>IF($C1243=""," ",[1]!i_pq_pctchange($C1243,I$6,$N$1))</f>
        <v xml:space="preserve"> </v>
      </c>
      <c r="J1243" s="28" t="str">
        <f>IF($C1243=""," ",[1]!i_pq_pctchange($C1243,J$6,$N$1))</f>
        <v xml:space="preserve"> </v>
      </c>
      <c r="K1243" s="28" t="str">
        <f>IF($C1243=""," ",[1]!i_pq_pctchange($C1243,K$6,$N$1))</f>
        <v xml:space="preserve"> </v>
      </c>
      <c r="L1243" s="28" t="str">
        <f>IF(C1243=""," ",[1]!s_wq_pctchange($C1243,$N$1))</f>
        <v xml:space="preserve"> </v>
      </c>
      <c r="M1243" s="28" t="str">
        <f>IF(C1243=""," ",[1]!s_mq_pctchange($C1243,$N$1))</f>
        <v xml:space="preserve"> </v>
      </c>
      <c r="N1243" s="28" t="str">
        <f>IF(C1243=""," ",[1]!s_yq_pctchange($C1243,$N$1))</f>
        <v xml:space="preserve"> </v>
      </c>
      <c r="O1243" s="11"/>
      <c r="P1243" s="7"/>
    </row>
    <row r="1244" spans="1:16" x14ac:dyDescent="0.35">
      <c r="A1244" s="7"/>
      <c r="C1244" s="31" t="str">
        <f>IF(指数列表!B1241="","",指数列表!B1241)</f>
        <v/>
      </c>
      <c r="D1244" s="36" t="str">
        <f>IF(C1244="","",[1]!s_info_name(C1244))</f>
        <v/>
      </c>
      <c r="E1244" s="25" t="str">
        <f>IF(C1244="","",[1]!s_dq_close(C1244,$N$1))</f>
        <v/>
      </c>
      <c r="F1244" s="28" t="str">
        <f>IF($C1244=""," ",[1]!i_pq_pctchange($C1244,F$6,$N$1))</f>
        <v xml:space="preserve"> </v>
      </c>
      <c r="G1244" s="28" t="str">
        <f>IF($C1244=""," ",[1]!i_pq_pctchange($C1244,G$6,$N$1))</f>
        <v xml:space="preserve"> </v>
      </c>
      <c r="H1244" s="28" t="str">
        <f>IF($C1244=""," ",[1]!i_pq_pctchange($C1244,H$6,$N$1))</f>
        <v xml:space="preserve"> </v>
      </c>
      <c r="I1244" s="28" t="str">
        <f>IF($C1244=""," ",[1]!i_pq_pctchange($C1244,I$6,$N$1))</f>
        <v xml:space="preserve"> </v>
      </c>
      <c r="J1244" s="28" t="str">
        <f>IF($C1244=""," ",[1]!i_pq_pctchange($C1244,J$6,$N$1))</f>
        <v xml:space="preserve"> </v>
      </c>
      <c r="K1244" s="28" t="str">
        <f>IF($C1244=""," ",[1]!i_pq_pctchange($C1244,K$6,$N$1))</f>
        <v xml:space="preserve"> </v>
      </c>
      <c r="L1244" s="28" t="str">
        <f>IF(C1244=""," ",[1]!s_wq_pctchange($C1244,$N$1))</f>
        <v xml:space="preserve"> </v>
      </c>
      <c r="M1244" s="28" t="str">
        <f>IF(C1244=""," ",[1]!s_mq_pctchange($C1244,$N$1))</f>
        <v xml:space="preserve"> </v>
      </c>
      <c r="N1244" s="28" t="str">
        <f>IF(C1244=""," ",[1]!s_yq_pctchange($C1244,$N$1))</f>
        <v xml:space="preserve"> </v>
      </c>
      <c r="O1244" s="11"/>
      <c r="P1244" s="7"/>
    </row>
    <row r="1245" spans="1:16" x14ac:dyDescent="0.35">
      <c r="A1245" s="7"/>
      <c r="C1245" s="30" t="str">
        <f>IF(指数列表!B1242="","",指数列表!B1242)</f>
        <v/>
      </c>
      <c r="D1245" s="35" t="str">
        <f>IF(C1245="","",[1]!s_info_name(C1245))</f>
        <v/>
      </c>
      <c r="E1245" s="24" t="str">
        <f>IF(C1245="","",[1]!s_dq_close(C1245,$N$1))</f>
        <v/>
      </c>
      <c r="F1245" s="28" t="str">
        <f>IF($C1245=""," ",[1]!i_pq_pctchange($C1245,F$6,$N$1))</f>
        <v xml:space="preserve"> </v>
      </c>
      <c r="G1245" s="28" t="str">
        <f>IF($C1245=""," ",[1]!i_pq_pctchange($C1245,G$6,$N$1))</f>
        <v xml:space="preserve"> </v>
      </c>
      <c r="H1245" s="28" t="str">
        <f>IF($C1245=""," ",[1]!i_pq_pctchange($C1245,H$6,$N$1))</f>
        <v xml:space="preserve"> </v>
      </c>
      <c r="I1245" s="28" t="str">
        <f>IF($C1245=""," ",[1]!i_pq_pctchange($C1245,I$6,$N$1))</f>
        <v xml:space="preserve"> </v>
      </c>
      <c r="J1245" s="28" t="str">
        <f>IF($C1245=""," ",[1]!i_pq_pctchange($C1245,J$6,$N$1))</f>
        <v xml:space="preserve"> </v>
      </c>
      <c r="K1245" s="28" t="str">
        <f>IF($C1245=""," ",[1]!i_pq_pctchange($C1245,K$6,$N$1))</f>
        <v xml:space="preserve"> </v>
      </c>
      <c r="L1245" s="28" t="str">
        <f>IF(C1245=""," ",[1]!s_wq_pctchange($C1245,$N$1))</f>
        <v xml:space="preserve"> </v>
      </c>
      <c r="M1245" s="28" t="str">
        <f>IF(C1245=""," ",[1]!s_mq_pctchange($C1245,$N$1))</f>
        <v xml:space="preserve"> </v>
      </c>
      <c r="N1245" s="28" t="str">
        <f>IF(C1245=""," ",[1]!s_yq_pctchange($C1245,$N$1))</f>
        <v xml:space="preserve"> </v>
      </c>
      <c r="O1245" s="11"/>
      <c r="P1245" s="7"/>
    </row>
    <row r="1246" spans="1:16" x14ac:dyDescent="0.35">
      <c r="A1246" s="7"/>
      <c r="C1246" s="31" t="str">
        <f>IF(指数列表!B1243="","",指数列表!B1243)</f>
        <v/>
      </c>
      <c r="D1246" s="36" t="str">
        <f>IF(C1246="","",[1]!s_info_name(C1246))</f>
        <v/>
      </c>
      <c r="E1246" s="25" t="str">
        <f>IF(C1246="","",[1]!s_dq_close(C1246,$N$1))</f>
        <v/>
      </c>
      <c r="F1246" s="28" t="str">
        <f>IF($C1246=""," ",[1]!i_pq_pctchange($C1246,F$6,$N$1))</f>
        <v xml:space="preserve"> </v>
      </c>
      <c r="G1246" s="28" t="str">
        <f>IF($C1246=""," ",[1]!i_pq_pctchange($C1246,G$6,$N$1))</f>
        <v xml:space="preserve"> </v>
      </c>
      <c r="H1246" s="28" t="str">
        <f>IF($C1246=""," ",[1]!i_pq_pctchange($C1246,H$6,$N$1))</f>
        <v xml:space="preserve"> </v>
      </c>
      <c r="I1246" s="28" t="str">
        <f>IF($C1246=""," ",[1]!i_pq_pctchange($C1246,I$6,$N$1))</f>
        <v xml:space="preserve"> </v>
      </c>
      <c r="J1246" s="28" t="str">
        <f>IF($C1246=""," ",[1]!i_pq_pctchange($C1246,J$6,$N$1))</f>
        <v xml:space="preserve"> </v>
      </c>
      <c r="K1246" s="28" t="str">
        <f>IF($C1246=""," ",[1]!i_pq_pctchange($C1246,K$6,$N$1))</f>
        <v xml:space="preserve"> </v>
      </c>
      <c r="L1246" s="28" t="str">
        <f>IF(C1246=""," ",[1]!s_wq_pctchange($C1246,$N$1))</f>
        <v xml:space="preserve"> </v>
      </c>
      <c r="M1246" s="28" t="str">
        <f>IF(C1246=""," ",[1]!s_mq_pctchange($C1246,$N$1))</f>
        <v xml:space="preserve"> </v>
      </c>
      <c r="N1246" s="28" t="str">
        <f>IF(C1246=""," ",[1]!s_yq_pctchange($C1246,$N$1))</f>
        <v xml:space="preserve"> </v>
      </c>
      <c r="O1246" s="11"/>
      <c r="P1246" s="7"/>
    </row>
    <row r="1247" spans="1:16" x14ac:dyDescent="0.35">
      <c r="A1247" s="7"/>
      <c r="C1247" s="30" t="str">
        <f>IF(指数列表!B1244="","",指数列表!B1244)</f>
        <v/>
      </c>
      <c r="D1247" s="35" t="str">
        <f>IF(C1247="","",[1]!s_info_name(C1247))</f>
        <v/>
      </c>
      <c r="E1247" s="24" t="str">
        <f>IF(C1247="","",[1]!s_dq_close(C1247,$N$1))</f>
        <v/>
      </c>
      <c r="F1247" s="28" t="str">
        <f>IF($C1247=""," ",[1]!i_pq_pctchange($C1247,F$6,$N$1))</f>
        <v xml:space="preserve"> </v>
      </c>
      <c r="G1247" s="28" t="str">
        <f>IF($C1247=""," ",[1]!i_pq_pctchange($C1247,G$6,$N$1))</f>
        <v xml:space="preserve"> </v>
      </c>
      <c r="H1247" s="28" t="str">
        <f>IF($C1247=""," ",[1]!i_pq_pctchange($C1247,H$6,$N$1))</f>
        <v xml:space="preserve"> </v>
      </c>
      <c r="I1247" s="28" t="str">
        <f>IF($C1247=""," ",[1]!i_pq_pctchange($C1247,I$6,$N$1))</f>
        <v xml:space="preserve"> </v>
      </c>
      <c r="J1247" s="28" t="str">
        <f>IF($C1247=""," ",[1]!i_pq_pctchange($C1247,J$6,$N$1))</f>
        <v xml:space="preserve"> </v>
      </c>
      <c r="K1247" s="28" t="str">
        <f>IF($C1247=""," ",[1]!i_pq_pctchange($C1247,K$6,$N$1))</f>
        <v xml:space="preserve"> </v>
      </c>
      <c r="L1247" s="28" t="str">
        <f>IF(C1247=""," ",[1]!s_wq_pctchange($C1247,$N$1))</f>
        <v xml:space="preserve"> </v>
      </c>
      <c r="M1247" s="28" t="str">
        <f>IF(C1247=""," ",[1]!s_mq_pctchange($C1247,$N$1))</f>
        <v xml:space="preserve"> </v>
      </c>
      <c r="N1247" s="28" t="str">
        <f>IF(C1247=""," ",[1]!s_yq_pctchange($C1247,$N$1))</f>
        <v xml:space="preserve"> </v>
      </c>
      <c r="O1247" s="11"/>
      <c r="P1247" s="7"/>
    </row>
    <row r="1248" spans="1:16" x14ac:dyDescent="0.35">
      <c r="A1248" s="7"/>
      <c r="C1248" s="31" t="str">
        <f>IF(指数列表!B1245="","",指数列表!B1245)</f>
        <v/>
      </c>
      <c r="D1248" s="36" t="str">
        <f>IF(C1248="","",[1]!s_info_name(C1248))</f>
        <v/>
      </c>
      <c r="E1248" s="25" t="str">
        <f>IF(C1248="","",[1]!s_dq_close(C1248,$N$1))</f>
        <v/>
      </c>
      <c r="F1248" s="28" t="str">
        <f>IF($C1248=""," ",[1]!i_pq_pctchange($C1248,F$6,$N$1))</f>
        <v xml:space="preserve"> </v>
      </c>
      <c r="G1248" s="28" t="str">
        <f>IF($C1248=""," ",[1]!i_pq_pctchange($C1248,G$6,$N$1))</f>
        <v xml:space="preserve"> </v>
      </c>
      <c r="H1248" s="28" t="str">
        <f>IF($C1248=""," ",[1]!i_pq_pctchange($C1248,H$6,$N$1))</f>
        <v xml:space="preserve"> </v>
      </c>
      <c r="I1248" s="28" t="str">
        <f>IF($C1248=""," ",[1]!i_pq_pctchange($C1248,I$6,$N$1))</f>
        <v xml:space="preserve"> </v>
      </c>
      <c r="J1248" s="28" t="str">
        <f>IF($C1248=""," ",[1]!i_pq_pctchange($C1248,J$6,$N$1))</f>
        <v xml:space="preserve"> </v>
      </c>
      <c r="K1248" s="28" t="str">
        <f>IF($C1248=""," ",[1]!i_pq_pctchange($C1248,K$6,$N$1))</f>
        <v xml:space="preserve"> </v>
      </c>
      <c r="L1248" s="28" t="str">
        <f>IF(C1248=""," ",[1]!s_wq_pctchange($C1248,$N$1))</f>
        <v xml:space="preserve"> </v>
      </c>
      <c r="M1248" s="28" t="str">
        <f>IF(C1248=""," ",[1]!s_mq_pctchange($C1248,$N$1))</f>
        <v xml:space="preserve"> </v>
      </c>
      <c r="N1248" s="28" t="str">
        <f>IF(C1248=""," ",[1]!s_yq_pctchange($C1248,$N$1))</f>
        <v xml:space="preserve"> </v>
      </c>
      <c r="O1248" s="11"/>
      <c r="P1248" s="7"/>
    </row>
    <row r="1249" spans="1:16" x14ac:dyDescent="0.35">
      <c r="A1249" s="7"/>
      <c r="C1249" s="30" t="str">
        <f>IF(指数列表!B1246="","",指数列表!B1246)</f>
        <v/>
      </c>
      <c r="D1249" s="35" t="str">
        <f>IF(C1249="","",[1]!s_info_name(C1249))</f>
        <v/>
      </c>
      <c r="E1249" s="24" t="str">
        <f>IF(C1249="","",[1]!s_dq_close(C1249,$N$1))</f>
        <v/>
      </c>
      <c r="F1249" s="28" t="str">
        <f>IF($C1249=""," ",[1]!i_pq_pctchange($C1249,F$6,$N$1))</f>
        <v xml:space="preserve"> </v>
      </c>
      <c r="G1249" s="28" t="str">
        <f>IF($C1249=""," ",[1]!i_pq_pctchange($C1249,G$6,$N$1))</f>
        <v xml:space="preserve"> </v>
      </c>
      <c r="H1249" s="28" t="str">
        <f>IF($C1249=""," ",[1]!i_pq_pctchange($C1249,H$6,$N$1))</f>
        <v xml:space="preserve"> </v>
      </c>
      <c r="I1249" s="28" t="str">
        <f>IF($C1249=""," ",[1]!i_pq_pctchange($C1249,I$6,$N$1))</f>
        <v xml:space="preserve"> </v>
      </c>
      <c r="J1249" s="28" t="str">
        <f>IF($C1249=""," ",[1]!i_pq_pctchange($C1249,J$6,$N$1))</f>
        <v xml:space="preserve"> </v>
      </c>
      <c r="K1249" s="28" t="str">
        <f>IF($C1249=""," ",[1]!i_pq_pctchange($C1249,K$6,$N$1))</f>
        <v xml:space="preserve"> </v>
      </c>
      <c r="L1249" s="28" t="str">
        <f>IF(C1249=""," ",[1]!s_wq_pctchange($C1249,$N$1))</f>
        <v xml:space="preserve"> </v>
      </c>
      <c r="M1249" s="28" t="str">
        <f>IF(C1249=""," ",[1]!s_mq_pctchange($C1249,$N$1))</f>
        <v xml:space="preserve"> </v>
      </c>
      <c r="N1249" s="28" t="str">
        <f>IF(C1249=""," ",[1]!s_yq_pctchange($C1249,$N$1))</f>
        <v xml:space="preserve"> </v>
      </c>
      <c r="O1249" s="11"/>
      <c r="P1249" s="7"/>
    </row>
    <row r="1250" spans="1:16" x14ac:dyDescent="0.35">
      <c r="A1250" s="7"/>
      <c r="C1250" s="31" t="str">
        <f>IF(指数列表!B1247="","",指数列表!B1247)</f>
        <v/>
      </c>
      <c r="D1250" s="36" t="str">
        <f>IF(C1250="","",[1]!s_info_name(C1250))</f>
        <v/>
      </c>
      <c r="E1250" s="25" t="str">
        <f>IF(C1250="","",[1]!s_dq_close(C1250,$N$1))</f>
        <v/>
      </c>
      <c r="F1250" s="28" t="str">
        <f>IF($C1250=""," ",[1]!i_pq_pctchange($C1250,F$6,$N$1))</f>
        <v xml:space="preserve"> </v>
      </c>
      <c r="G1250" s="28" t="str">
        <f>IF($C1250=""," ",[1]!i_pq_pctchange($C1250,G$6,$N$1))</f>
        <v xml:space="preserve"> </v>
      </c>
      <c r="H1250" s="28" t="str">
        <f>IF($C1250=""," ",[1]!i_pq_pctchange($C1250,H$6,$N$1))</f>
        <v xml:space="preserve"> </v>
      </c>
      <c r="I1250" s="28" t="str">
        <f>IF($C1250=""," ",[1]!i_pq_pctchange($C1250,I$6,$N$1))</f>
        <v xml:space="preserve"> </v>
      </c>
      <c r="J1250" s="28" t="str">
        <f>IF($C1250=""," ",[1]!i_pq_pctchange($C1250,J$6,$N$1))</f>
        <v xml:space="preserve"> </v>
      </c>
      <c r="K1250" s="28" t="str">
        <f>IF($C1250=""," ",[1]!i_pq_pctchange($C1250,K$6,$N$1))</f>
        <v xml:space="preserve"> </v>
      </c>
      <c r="L1250" s="28" t="str">
        <f>IF(C1250=""," ",[1]!s_wq_pctchange($C1250,$N$1))</f>
        <v xml:space="preserve"> </v>
      </c>
      <c r="M1250" s="28" t="str">
        <f>IF(C1250=""," ",[1]!s_mq_pctchange($C1250,$N$1))</f>
        <v xml:space="preserve"> </v>
      </c>
      <c r="N1250" s="28" t="str">
        <f>IF(C1250=""," ",[1]!s_yq_pctchange($C1250,$N$1))</f>
        <v xml:space="preserve"> </v>
      </c>
      <c r="O1250" s="11"/>
      <c r="P1250" s="7"/>
    </row>
    <row r="1251" spans="1:16" x14ac:dyDescent="0.35">
      <c r="A1251" s="7"/>
      <c r="C1251" s="30" t="str">
        <f>IF(指数列表!B1248="","",指数列表!B1248)</f>
        <v/>
      </c>
      <c r="D1251" s="35" t="str">
        <f>IF(C1251="","",[1]!s_info_name(C1251))</f>
        <v/>
      </c>
      <c r="E1251" s="24" t="str">
        <f>IF(C1251="","",[1]!s_dq_close(C1251,$N$1))</f>
        <v/>
      </c>
      <c r="F1251" s="28" t="str">
        <f>IF($C1251=""," ",[1]!i_pq_pctchange($C1251,F$6,$N$1))</f>
        <v xml:space="preserve"> </v>
      </c>
      <c r="G1251" s="28" t="str">
        <f>IF($C1251=""," ",[1]!i_pq_pctchange($C1251,G$6,$N$1))</f>
        <v xml:space="preserve"> </v>
      </c>
      <c r="H1251" s="28" t="str">
        <f>IF($C1251=""," ",[1]!i_pq_pctchange($C1251,H$6,$N$1))</f>
        <v xml:space="preserve"> </v>
      </c>
      <c r="I1251" s="28" t="str">
        <f>IF($C1251=""," ",[1]!i_pq_pctchange($C1251,I$6,$N$1))</f>
        <v xml:space="preserve"> </v>
      </c>
      <c r="J1251" s="28" t="str">
        <f>IF($C1251=""," ",[1]!i_pq_pctchange($C1251,J$6,$N$1))</f>
        <v xml:space="preserve"> </v>
      </c>
      <c r="K1251" s="28" t="str">
        <f>IF($C1251=""," ",[1]!i_pq_pctchange($C1251,K$6,$N$1))</f>
        <v xml:space="preserve"> </v>
      </c>
      <c r="L1251" s="28" t="str">
        <f>IF(C1251=""," ",[1]!s_wq_pctchange($C1251,$N$1))</f>
        <v xml:space="preserve"> </v>
      </c>
      <c r="M1251" s="28" t="str">
        <f>IF(C1251=""," ",[1]!s_mq_pctchange($C1251,$N$1))</f>
        <v xml:space="preserve"> </v>
      </c>
      <c r="N1251" s="28" t="str">
        <f>IF(C1251=""," ",[1]!s_yq_pctchange($C1251,$N$1))</f>
        <v xml:space="preserve"> </v>
      </c>
      <c r="O1251" s="11"/>
      <c r="P1251" s="7"/>
    </row>
    <row r="1252" spans="1:16" x14ac:dyDescent="0.35">
      <c r="A1252" s="7"/>
      <c r="C1252" s="31" t="str">
        <f>IF(指数列表!B1249="","",指数列表!B1249)</f>
        <v/>
      </c>
      <c r="D1252" s="36" t="str">
        <f>IF(C1252="","",[1]!s_info_name(C1252))</f>
        <v/>
      </c>
      <c r="E1252" s="25" t="str">
        <f>IF(C1252="","",[1]!s_dq_close(C1252,$N$1))</f>
        <v/>
      </c>
      <c r="F1252" s="28" t="str">
        <f>IF($C1252=""," ",[1]!i_pq_pctchange($C1252,F$6,$N$1))</f>
        <v xml:space="preserve"> </v>
      </c>
      <c r="G1252" s="28" t="str">
        <f>IF($C1252=""," ",[1]!i_pq_pctchange($C1252,G$6,$N$1))</f>
        <v xml:space="preserve"> </v>
      </c>
      <c r="H1252" s="28" t="str">
        <f>IF($C1252=""," ",[1]!i_pq_pctchange($C1252,H$6,$N$1))</f>
        <v xml:space="preserve"> </v>
      </c>
      <c r="I1252" s="28" t="str">
        <f>IF($C1252=""," ",[1]!i_pq_pctchange($C1252,I$6,$N$1))</f>
        <v xml:space="preserve"> </v>
      </c>
      <c r="J1252" s="28" t="str">
        <f>IF($C1252=""," ",[1]!i_pq_pctchange($C1252,J$6,$N$1))</f>
        <v xml:space="preserve"> </v>
      </c>
      <c r="K1252" s="28" t="str">
        <f>IF($C1252=""," ",[1]!i_pq_pctchange($C1252,K$6,$N$1))</f>
        <v xml:space="preserve"> </v>
      </c>
      <c r="L1252" s="28" t="str">
        <f>IF(C1252=""," ",[1]!s_wq_pctchange($C1252,$N$1))</f>
        <v xml:space="preserve"> </v>
      </c>
      <c r="M1252" s="28" t="str">
        <f>IF(C1252=""," ",[1]!s_mq_pctchange($C1252,$N$1))</f>
        <v xml:space="preserve"> </v>
      </c>
      <c r="N1252" s="28" t="str">
        <f>IF(C1252=""," ",[1]!s_yq_pctchange($C1252,$N$1))</f>
        <v xml:space="preserve"> </v>
      </c>
      <c r="O1252" s="11"/>
      <c r="P1252" s="7"/>
    </row>
    <row r="1253" spans="1:16" x14ac:dyDescent="0.35">
      <c r="A1253" s="7"/>
      <c r="C1253" s="30" t="str">
        <f>IF(指数列表!B1250="","",指数列表!B1250)</f>
        <v/>
      </c>
      <c r="D1253" s="35" t="str">
        <f>IF(C1253="","",[1]!s_info_name(C1253))</f>
        <v/>
      </c>
      <c r="E1253" s="24" t="str">
        <f>IF(C1253="","",[1]!s_dq_close(C1253,$N$1))</f>
        <v/>
      </c>
      <c r="F1253" s="28" t="str">
        <f>IF($C1253=""," ",[1]!i_pq_pctchange($C1253,F$6,$N$1))</f>
        <v xml:space="preserve"> </v>
      </c>
      <c r="G1253" s="28" t="str">
        <f>IF($C1253=""," ",[1]!i_pq_pctchange($C1253,G$6,$N$1))</f>
        <v xml:space="preserve"> </v>
      </c>
      <c r="H1253" s="28" t="str">
        <f>IF($C1253=""," ",[1]!i_pq_pctchange($C1253,H$6,$N$1))</f>
        <v xml:space="preserve"> </v>
      </c>
      <c r="I1253" s="28" t="str">
        <f>IF($C1253=""," ",[1]!i_pq_pctchange($C1253,I$6,$N$1))</f>
        <v xml:space="preserve"> </v>
      </c>
      <c r="J1253" s="28" t="str">
        <f>IF($C1253=""," ",[1]!i_pq_pctchange($C1253,J$6,$N$1))</f>
        <v xml:space="preserve"> </v>
      </c>
      <c r="K1253" s="28" t="str">
        <f>IF($C1253=""," ",[1]!i_pq_pctchange($C1253,K$6,$N$1))</f>
        <v xml:space="preserve"> </v>
      </c>
      <c r="L1253" s="28" t="str">
        <f>IF(C1253=""," ",[1]!s_wq_pctchange($C1253,$N$1))</f>
        <v xml:space="preserve"> </v>
      </c>
      <c r="M1253" s="28" t="str">
        <f>IF(C1253=""," ",[1]!s_mq_pctchange($C1253,$N$1))</f>
        <v xml:space="preserve"> </v>
      </c>
      <c r="N1253" s="28" t="str">
        <f>IF(C1253=""," ",[1]!s_yq_pctchange($C1253,$N$1))</f>
        <v xml:space="preserve"> </v>
      </c>
      <c r="O1253" s="11"/>
      <c r="P1253" s="7"/>
    </row>
    <row r="1254" spans="1:16" x14ac:dyDescent="0.35">
      <c r="A1254" s="7"/>
      <c r="C1254" s="31" t="str">
        <f>IF(指数列表!B1251="","",指数列表!B1251)</f>
        <v/>
      </c>
      <c r="D1254" s="36" t="str">
        <f>IF(C1254="","",[1]!s_info_name(C1254))</f>
        <v/>
      </c>
      <c r="E1254" s="25" t="str">
        <f>IF(C1254="","",[1]!s_dq_close(C1254,$N$1))</f>
        <v/>
      </c>
      <c r="F1254" s="28" t="str">
        <f>IF($C1254=""," ",[1]!i_pq_pctchange($C1254,F$6,$N$1))</f>
        <v xml:space="preserve"> </v>
      </c>
      <c r="G1254" s="28" t="str">
        <f>IF($C1254=""," ",[1]!i_pq_pctchange($C1254,G$6,$N$1))</f>
        <v xml:space="preserve"> </v>
      </c>
      <c r="H1254" s="28" t="str">
        <f>IF($C1254=""," ",[1]!i_pq_pctchange($C1254,H$6,$N$1))</f>
        <v xml:space="preserve"> </v>
      </c>
      <c r="I1254" s="28" t="str">
        <f>IF($C1254=""," ",[1]!i_pq_pctchange($C1254,I$6,$N$1))</f>
        <v xml:space="preserve"> </v>
      </c>
      <c r="J1254" s="28" t="str">
        <f>IF($C1254=""," ",[1]!i_pq_pctchange($C1254,J$6,$N$1))</f>
        <v xml:space="preserve"> </v>
      </c>
      <c r="K1254" s="28" t="str">
        <f>IF($C1254=""," ",[1]!i_pq_pctchange($C1254,K$6,$N$1))</f>
        <v xml:space="preserve"> </v>
      </c>
      <c r="L1254" s="28" t="str">
        <f>IF(C1254=""," ",[1]!s_wq_pctchange($C1254,$N$1))</f>
        <v xml:space="preserve"> </v>
      </c>
      <c r="M1254" s="28" t="str">
        <f>IF(C1254=""," ",[1]!s_mq_pctchange($C1254,$N$1))</f>
        <v xml:space="preserve"> </v>
      </c>
      <c r="N1254" s="28" t="str">
        <f>IF(C1254=""," ",[1]!s_yq_pctchange($C1254,$N$1))</f>
        <v xml:space="preserve"> </v>
      </c>
      <c r="O1254" s="11"/>
      <c r="P1254" s="7"/>
    </row>
    <row r="1255" spans="1:16" x14ac:dyDescent="0.35">
      <c r="A1255" s="7"/>
      <c r="C1255" s="30" t="str">
        <f>IF(指数列表!B1252="","",指数列表!B1252)</f>
        <v/>
      </c>
      <c r="D1255" s="35" t="str">
        <f>IF(C1255="","",[1]!s_info_name(C1255))</f>
        <v/>
      </c>
      <c r="E1255" s="24" t="str">
        <f>IF(C1255="","",[1]!s_dq_close(C1255,$N$1))</f>
        <v/>
      </c>
      <c r="F1255" s="28" t="str">
        <f>IF($C1255=""," ",[1]!i_pq_pctchange($C1255,F$6,$N$1))</f>
        <v xml:space="preserve"> </v>
      </c>
      <c r="G1255" s="28" t="str">
        <f>IF($C1255=""," ",[1]!i_pq_pctchange($C1255,G$6,$N$1))</f>
        <v xml:space="preserve"> </v>
      </c>
      <c r="H1255" s="28" t="str">
        <f>IF($C1255=""," ",[1]!i_pq_pctchange($C1255,H$6,$N$1))</f>
        <v xml:space="preserve"> </v>
      </c>
      <c r="I1255" s="28" t="str">
        <f>IF($C1255=""," ",[1]!i_pq_pctchange($C1255,I$6,$N$1))</f>
        <v xml:space="preserve"> </v>
      </c>
      <c r="J1255" s="28" t="str">
        <f>IF($C1255=""," ",[1]!i_pq_pctchange($C1255,J$6,$N$1))</f>
        <v xml:space="preserve"> </v>
      </c>
      <c r="K1255" s="28" t="str">
        <f>IF($C1255=""," ",[1]!i_pq_pctchange($C1255,K$6,$N$1))</f>
        <v xml:space="preserve"> </v>
      </c>
      <c r="L1255" s="28" t="str">
        <f>IF(C1255=""," ",[1]!s_wq_pctchange($C1255,$N$1))</f>
        <v xml:space="preserve"> </v>
      </c>
      <c r="M1255" s="28" t="str">
        <f>IF(C1255=""," ",[1]!s_mq_pctchange($C1255,$N$1))</f>
        <v xml:space="preserve"> </v>
      </c>
      <c r="N1255" s="28" t="str">
        <f>IF(C1255=""," ",[1]!s_yq_pctchange($C1255,$N$1))</f>
        <v xml:space="preserve"> </v>
      </c>
      <c r="O1255" s="11"/>
      <c r="P1255" s="7"/>
    </row>
    <row r="1256" spans="1:16" x14ac:dyDescent="0.35">
      <c r="A1256" s="7"/>
      <c r="C1256" s="31" t="str">
        <f>IF(指数列表!B1253="","",指数列表!B1253)</f>
        <v/>
      </c>
      <c r="D1256" s="36" t="str">
        <f>IF(C1256="","",[1]!s_info_name(C1256))</f>
        <v/>
      </c>
      <c r="E1256" s="25" t="str">
        <f>IF(C1256="","",[1]!s_dq_close(C1256,$N$1))</f>
        <v/>
      </c>
      <c r="F1256" s="28" t="str">
        <f>IF($C1256=""," ",[1]!i_pq_pctchange($C1256,F$6,$N$1))</f>
        <v xml:space="preserve"> </v>
      </c>
      <c r="G1256" s="28" t="str">
        <f>IF($C1256=""," ",[1]!i_pq_pctchange($C1256,G$6,$N$1))</f>
        <v xml:space="preserve"> </v>
      </c>
      <c r="H1256" s="28" t="str">
        <f>IF($C1256=""," ",[1]!i_pq_pctchange($C1256,H$6,$N$1))</f>
        <v xml:space="preserve"> </v>
      </c>
      <c r="I1256" s="28" t="str">
        <f>IF($C1256=""," ",[1]!i_pq_pctchange($C1256,I$6,$N$1))</f>
        <v xml:space="preserve"> </v>
      </c>
      <c r="J1256" s="28" t="str">
        <f>IF($C1256=""," ",[1]!i_pq_pctchange($C1256,J$6,$N$1))</f>
        <v xml:space="preserve"> </v>
      </c>
      <c r="K1256" s="28" t="str">
        <f>IF($C1256=""," ",[1]!i_pq_pctchange($C1256,K$6,$N$1))</f>
        <v xml:space="preserve"> </v>
      </c>
      <c r="L1256" s="28" t="str">
        <f>IF(C1256=""," ",[1]!s_wq_pctchange($C1256,$N$1))</f>
        <v xml:space="preserve"> </v>
      </c>
      <c r="M1256" s="28" t="str">
        <f>IF(C1256=""," ",[1]!s_mq_pctchange($C1256,$N$1))</f>
        <v xml:space="preserve"> </v>
      </c>
      <c r="N1256" s="28" t="str">
        <f>IF(C1256=""," ",[1]!s_yq_pctchange($C1256,$N$1))</f>
        <v xml:space="preserve"> </v>
      </c>
      <c r="O1256" s="11"/>
      <c r="P1256" s="7"/>
    </row>
    <row r="1257" spans="1:16" x14ac:dyDescent="0.35">
      <c r="A1257" s="7"/>
      <c r="C1257" s="30" t="str">
        <f>IF(指数列表!B1254="","",指数列表!B1254)</f>
        <v/>
      </c>
      <c r="D1257" s="35" t="str">
        <f>IF(C1257="","",[1]!s_info_name(C1257))</f>
        <v/>
      </c>
      <c r="E1257" s="24" t="str">
        <f>IF(C1257="","",[1]!s_dq_close(C1257,$N$1))</f>
        <v/>
      </c>
      <c r="F1257" s="28" t="str">
        <f>IF($C1257=""," ",[1]!i_pq_pctchange($C1257,F$6,$N$1))</f>
        <v xml:space="preserve"> </v>
      </c>
      <c r="G1257" s="28" t="str">
        <f>IF($C1257=""," ",[1]!i_pq_pctchange($C1257,G$6,$N$1))</f>
        <v xml:space="preserve"> </v>
      </c>
      <c r="H1257" s="28" t="str">
        <f>IF($C1257=""," ",[1]!i_pq_pctchange($C1257,H$6,$N$1))</f>
        <v xml:space="preserve"> </v>
      </c>
      <c r="I1257" s="28" t="str">
        <f>IF($C1257=""," ",[1]!i_pq_pctchange($C1257,I$6,$N$1))</f>
        <v xml:space="preserve"> </v>
      </c>
      <c r="J1257" s="28" t="str">
        <f>IF($C1257=""," ",[1]!i_pq_pctchange($C1257,J$6,$N$1))</f>
        <v xml:space="preserve"> </v>
      </c>
      <c r="K1257" s="28" t="str">
        <f>IF($C1257=""," ",[1]!i_pq_pctchange($C1257,K$6,$N$1))</f>
        <v xml:space="preserve"> </v>
      </c>
      <c r="L1257" s="28" t="str">
        <f>IF(C1257=""," ",[1]!s_wq_pctchange($C1257,$N$1))</f>
        <v xml:space="preserve"> </v>
      </c>
      <c r="M1257" s="28" t="str">
        <f>IF(C1257=""," ",[1]!s_mq_pctchange($C1257,$N$1))</f>
        <v xml:space="preserve"> </v>
      </c>
      <c r="N1257" s="28" t="str">
        <f>IF(C1257=""," ",[1]!s_yq_pctchange($C1257,$N$1))</f>
        <v xml:space="preserve"> </v>
      </c>
      <c r="O1257" s="11"/>
      <c r="P1257" s="7"/>
    </row>
    <row r="1258" spans="1:16" x14ac:dyDescent="0.35">
      <c r="A1258" s="7"/>
      <c r="C1258" s="31" t="str">
        <f>IF(指数列表!B1255="","",指数列表!B1255)</f>
        <v/>
      </c>
      <c r="D1258" s="36" t="str">
        <f>IF(C1258="","",[1]!s_info_name(C1258))</f>
        <v/>
      </c>
      <c r="E1258" s="25" t="str">
        <f>IF(C1258="","",[1]!s_dq_close(C1258,$N$1))</f>
        <v/>
      </c>
      <c r="F1258" s="28" t="str">
        <f>IF($C1258=""," ",[1]!i_pq_pctchange($C1258,F$6,$N$1))</f>
        <v xml:space="preserve"> </v>
      </c>
      <c r="G1258" s="28" t="str">
        <f>IF($C1258=""," ",[1]!i_pq_pctchange($C1258,G$6,$N$1))</f>
        <v xml:space="preserve"> </v>
      </c>
      <c r="H1258" s="28" t="str">
        <f>IF($C1258=""," ",[1]!i_pq_pctchange($C1258,H$6,$N$1))</f>
        <v xml:space="preserve"> </v>
      </c>
      <c r="I1258" s="28" t="str">
        <f>IF($C1258=""," ",[1]!i_pq_pctchange($C1258,I$6,$N$1))</f>
        <v xml:space="preserve"> </v>
      </c>
      <c r="J1258" s="28" t="str">
        <f>IF($C1258=""," ",[1]!i_pq_pctchange($C1258,J$6,$N$1))</f>
        <v xml:space="preserve"> </v>
      </c>
      <c r="K1258" s="28" t="str">
        <f>IF($C1258=""," ",[1]!i_pq_pctchange($C1258,K$6,$N$1))</f>
        <v xml:space="preserve"> </v>
      </c>
      <c r="L1258" s="28" t="str">
        <f>IF(C1258=""," ",[1]!s_wq_pctchange($C1258,$N$1))</f>
        <v xml:space="preserve"> </v>
      </c>
      <c r="M1258" s="28" t="str">
        <f>IF(C1258=""," ",[1]!s_mq_pctchange($C1258,$N$1))</f>
        <v xml:space="preserve"> </v>
      </c>
      <c r="N1258" s="28" t="str">
        <f>IF(C1258=""," ",[1]!s_yq_pctchange($C1258,$N$1))</f>
        <v xml:space="preserve"> </v>
      </c>
      <c r="O1258" s="11"/>
      <c r="P1258" s="7"/>
    </row>
    <row r="1259" spans="1:16" x14ac:dyDescent="0.35">
      <c r="A1259" s="7"/>
      <c r="C1259" s="30" t="str">
        <f>IF(指数列表!B1256="","",指数列表!B1256)</f>
        <v/>
      </c>
      <c r="D1259" s="35" t="str">
        <f>IF(C1259="","",[1]!s_info_name(C1259))</f>
        <v/>
      </c>
      <c r="E1259" s="24" t="str">
        <f>IF(C1259="","",[1]!s_dq_close(C1259,$N$1))</f>
        <v/>
      </c>
      <c r="F1259" s="28" t="str">
        <f>IF($C1259=""," ",[1]!i_pq_pctchange($C1259,F$6,$N$1))</f>
        <v xml:space="preserve"> </v>
      </c>
      <c r="G1259" s="28" t="str">
        <f>IF($C1259=""," ",[1]!i_pq_pctchange($C1259,G$6,$N$1))</f>
        <v xml:space="preserve"> </v>
      </c>
      <c r="H1259" s="28" t="str">
        <f>IF($C1259=""," ",[1]!i_pq_pctchange($C1259,H$6,$N$1))</f>
        <v xml:space="preserve"> </v>
      </c>
      <c r="I1259" s="28" t="str">
        <f>IF($C1259=""," ",[1]!i_pq_pctchange($C1259,I$6,$N$1))</f>
        <v xml:space="preserve"> </v>
      </c>
      <c r="J1259" s="28" t="str">
        <f>IF($C1259=""," ",[1]!i_pq_pctchange($C1259,J$6,$N$1))</f>
        <v xml:space="preserve"> </v>
      </c>
      <c r="K1259" s="28" t="str">
        <f>IF($C1259=""," ",[1]!i_pq_pctchange($C1259,K$6,$N$1))</f>
        <v xml:space="preserve"> </v>
      </c>
      <c r="L1259" s="28" t="str">
        <f>IF(C1259=""," ",[1]!s_wq_pctchange($C1259,$N$1))</f>
        <v xml:space="preserve"> </v>
      </c>
      <c r="M1259" s="28" t="str">
        <f>IF(C1259=""," ",[1]!s_mq_pctchange($C1259,$N$1))</f>
        <v xml:space="preserve"> </v>
      </c>
      <c r="N1259" s="28" t="str">
        <f>IF(C1259=""," ",[1]!s_yq_pctchange($C1259,$N$1))</f>
        <v xml:space="preserve"> </v>
      </c>
      <c r="O1259" s="11"/>
      <c r="P1259" s="7"/>
    </row>
    <row r="1260" spans="1:16" x14ac:dyDescent="0.35">
      <c r="A1260" s="7"/>
      <c r="C1260" s="31" t="str">
        <f>IF(指数列表!B1257="","",指数列表!B1257)</f>
        <v/>
      </c>
      <c r="D1260" s="36" t="str">
        <f>IF(C1260="","",[1]!s_info_name(C1260))</f>
        <v/>
      </c>
      <c r="E1260" s="25" t="str">
        <f>IF(C1260="","",[1]!s_dq_close(C1260,$N$1))</f>
        <v/>
      </c>
      <c r="F1260" s="28" t="str">
        <f>IF($C1260=""," ",[1]!i_pq_pctchange($C1260,F$6,$N$1))</f>
        <v xml:space="preserve"> </v>
      </c>
      <c r="G1260" s="28" t="str">
        <f>IF($C1260=""," ",[1]!i_pq_pctchange($C1260,G$6,$N$1))</f>
        <v xml:space="preserve"> </v>
      </c>
      <c r="H1260" s="28" t="str">
        <f>IF($C1260=""," ",[1]!i_pq_pctchange($C1260,H$6,$N$1))</f>
        <v xml:space="preserve"> </v>
      </c>
      <c r="I1260" s="28" t="str">
        <f>IF($C1260=""," ",[1]!i_pq_pctchange($C1260,I$6,$N$1))</f>
        <v xml:space="preserve"> </v>
      </c>
      <c r="J1260" s="28" t="str">
        <f>IF($C1260=""," ",[1]!i_pq_pctchange($C1260,J$6,$N$1))</f>
        <v xml:space="preserve"> </v>
      </c>
      <c r="K1260" s="28" t="str">
        <f>IF($C1260=""," ",[1]!i_pq_pctchange($C1260,K$6,$N$1))</f>
        <v xml:space="preserve"> </v>
      </c>
      <c r="L1260" s="28" t="str">
        <f>IF(C1260=""," ",[1]!s_wq_pctchange($C1260,$N$1))</f>
        <v xml:space="preserve"> </v>
      </c>
      <c r="M1260" s="28" t="str">
        <f>IF(C1260=""," ",[1]!s_mq_pctchange($C1260,$N$1))</f>
        <v xml:space="preserve"> </v>
      </c>
      <c r="N1260" s="28" t="str">
        <f>IF(C1260=""," ",[1]!s_yq_pctchange($C1260,$N$1))</f>
        <v xml:space="preserve"> </v>
      </c>
      <c r="O1260" s="11"/>
      <c r="P1260" s="7"/>
    </row>
    <row r="1261" spans="1:16" x14ac:dyDescent="0.35">
      <c r="A1261" s="7"/>
      <c r="C1261" s="30" t="str">
        <f>IF(指数列表!B1258="","",指数列表!B1258)</f>
        <v/>
      </c>
      <c r="D1261" s="35" t="str">
        <f>IF(C1261="","",[1]!s_info_name(C1261))</f>
        <v/>
      </c>
      <c r="E1261" s="24" t="str">
        <f>IF(C1261="","",[1]!s_dq_close(C1261,$N$1))</f>
        <v/>
      </c>
      <c r="F1261" s="28" t="str">
        <f>IF($C1261=""," ",[1]!i_pq_pctchange($C1261,F$6,$N$1))</f>
        <v xml:space="preserve"> </v>
      </c>
      <c r="G1261" s="28" t="str">
        <f>IF($C1261=""," ",[1]!i_pq_pctchange($C1261,G$6,$N$1))</f>
        <v xml:space="preserve"> </v>
      </c>
      <c r="H1261" s="28" t="str">
        <f>IF($C1261=""," ",[1]!i_pq_pctchange($C1261,H$6,$N$1))</f>
        <v xml:space="preserve"> </v>
      </c>
      <c r="I1261" s="28" t="str">
        <f>IF($C1261=""," ",[1]!i_pq_pctchange($C1261,I$6,$N$1))</f>
        <v xml:space="preserve"> </v>
      </c>
      <c r="J1261" s="28" t="str">
        <f>IF($C1261=""," ",[1]!i_pq_pctchange($C1261,J$6,$N$1))</f>
        <v xml:space="preserve"> </v>
      </c>
      <c r="K1261" s="28" t="str">
        <f>IF($C1261=""," ",[1]!i_pq_pctchange($C1261,K$6,$N$1))</f>
        <v xml:space="preserve"> </v>
      </c>
      <c r="L1261" s="28" t="str">
        <f>IF(C1261=""," ",[1]!s_wq_pctchange($C1261,$N$1))</f>
        <v xml:space="preserve"> </v>
      </c>
      <c r="M1261" s="28" t="str">
        <f>IF(C1261=""," ",[1]!s_mq_pctchange($C1261,$N$1))</f>
        <v xml:space="preserve"> </v>
      </c>
      <c r="N1261" s="28" t="str">
        <f>IF(C1261=""," ",[1]!s_yq_pctchange($C1261,$N$1))</f>
        <v xml:space="preserve"> </v>
      </c>
      <c r="O1261" s="11"/>
      <c r="P1261" s="7"/>
    </row>
    <row r="1262" spans="1:16" x14ac:dyDescent="0.35">
      <c r="A1262" s="7"/>
      <c r="C1262" s="31" t="str">
        <f>IF(指数列表!B1259="","",指数列表!B1259)</f>
        <v/>
      </c>
      <c r="D1262" s="36" t="str">
        <f>IF(C1262="","",[1]!s_info_name(C1262))</f>
        <v/>
      </c>
      <c r="E1262" s="25" t="str">
        <f>IF(C1262="","",[1]!s_dq_close(C1262,$N$1))</f>
        <v/>
      </c>
      <c r="F1262" s="28" t="str">
        <f>IF($C1262=""," ",[1]!i_pq_pctchange($C1262,F$6,$N$1))</f>
        <v xml:space="preserve"> </v>
      </c>
      <c r="G1262" s="28" t="str">
        <f>IF($C1262=""," ",[1]!i_pq_pctchange($C1262,G$6,$N$1))</f>
        <v xml:space="preserve"> </v>
      </c>
      <c r="H1262" s="28" t="str">
        <f>IF($C1262=""," ",[1]!i_pq_pctchange($C1262,H$6,$N$1))</f>
        <v xml:space="preserve"> </v>
      </c>
      <c r="I1262" s="28" t="str">
        <f>IF($C1262=""," ",[1]!i_pq_pctchange($C1262,I$6,$N$1))</f>
        <v xml:space="preserve"> </v>
      </c>
      <c r="J1262" s="28" t="str">
        <f>IF($C1262=""," ",[1]!i_pq_pctchange($C1262,J$6,$N$1))</f>
        <v xml:space="preserve"> </v>
      </c>
      <c r="K1262" s="28" t="str">
        <f>IF($C1262=""," ",[1]!i_pq_pctchange($C1262,K$6,$N$1))</f>
        <v xml:space="preserve"> </v>
      </c>
      <c r="L1262" s="28" t="str">
        <f>IF(C1262=""," ",[1]!s_wq_pctchange($C1262,$N$1))</f>
        <v xml:space="preserve"> </v>
      </c>
      <c r="M1262" s="28" t="str">
        <f>IF(C1262=""," ",[1]!s_mq_pctchange($C1262,$N$1))</f>
        <v xml:space="preserve"> </v>
      </c>
      <c r="N1262" s="28" t="str">
        <f>IF(C1262=""," ",[1]!s_yq_pctchange($C1262,$N$1))</f>
        <v xml:space="preserve"> </v>
      </c>
      <c r="O1262" s="11"/>
      <c r="P1262" s="7"/>
    </row>
    <row r="1263" spans="1:16" x14ac:dyDescent="0.35">
      <c r="A1263" s="7"/>
      <c r="C1263" s="30" t="str">
        <f>IF(指数列表!B1260="","",指数列表!B1260)</f>
        <v/>
      </c>
      <c r="D1263" s="35" t="str">
        <f>IF(C1263="","",[1]!s_info_name(C1263))</f>
        <v/>
      </c>
      <c r="E1263" s="24" t="str">
        <f>IF(C1263="","",[1]!s_dq_close(C1263,$N$1))</f>
        <v/>
      </c>
      <c r="F1263" s="28" t="str">
        <f>IF($C1263=""," ",[1]!i_pq_pctchange($C1263,F$6,$N$1))</f>
        <v xml:space="preserve"> </v>
      </c>
      <c r="G1263" s="28" t="str">
        <f>IF($C1263=""," ",[1]!i_pq_pctchange($C1263,G$6,$N$1))</f>
        <v xml:space="preserve"> </v>
      </c>
      <c r="H1263" s="28" t="str">
        <f>IF($C1263=""," ",[1]!i_pq_pctchange($C1263,H$6,$N$1))</f>
        <v xml:space="preserve"> </v>
      </c>
      <c r="I1263" s="28" t="str">
        <f>IF($C1263=""," ",[1]!i_pq_pctchange($C1263,I$6,$N$1))</f>
        <v xml:space="preserve"> </v>
      </c>
      <c r="J1263" s="28" t="str">
        <f>IF($C1263=""," ",[1]!i_pq_pctchange($C1263,J$6,$N$1))</f>
        <v xml:space="preserve"> </v>
      </c>
      <c r="K1263" s="28" t="str">
        <f>IF($C1263=""," ",[1]!i_pq_pctchange($C1263,K$6,$N$1))</f>
        <v xml:space="preserve"> </v>
      </c>
      <c r="L1263" s="28" t="str">
        <f>IF(C1263=""," ",[1]!s_wq_pctchange($C1263,$N$1))</f>
        <v xml:space="preserve"> </v>
      </c>
      <c r="M1263" s="28" t="str">
        <f>IF(C1263=""," ",[1]!s_mq_pctchange($C1263,$N$1))</f>
        <v xml:space="preserve"> </v>
      </c>
      <c r="N1263" s="28" t="str">
        <f>IF(C1263=""," ",[1]!s_yq_pctchange($C1263,$N$1))</f>
        <v xml:space="preserve"> </v>
      </c>
      <c r="O1263" s="11"/>
      <c r="P1263" s="7"/>
    </row>
    <row r="1264" spans="1:16" x14ac:dyDescent="0.35">
      <c r="A1264" s="7"/>
      <c r="C1264" s="31" t="str">
        <f>IF(指数列表!B1261="","",指数列表!B1261)</f>
        <v/>
      </c>
      <c r="D1264" s="36" t="str">
        <f>IF(C1264="","",[1]!s_info_name(C1264))</f>
        <v/>
      </c>
      <c r="E1264" s="25" t="str">
        <f>IF(C1264="","",[1]!s_dq_close(C1264,$N$1))</f>
        <v/>
      </c>
      <c r="F1264" s="28" t="str">
        <f>IF($C1264=""," ",[1]!i_pq_pctchange($C1264,F$6,$N$1))</f>
        <v xml:space="preserve"> </v>
      </c>
      <c r="G1264" s="28" t="str">
        <f>IF($C1264=""," ",[1]!i_pq_pctchange($C1264,G$6,$N$1))</f>
        <v xml:space="preserve"> </v>
      </c>
      <c r="H1264" s="28" t="str">
        <f>IF($C1264=""," ",[1]!i_pq_pctchange($C1264,H$6,$N$1))</f>
        <v xml:space="preserve"> </v>
      </c>
      <c r="I1264" s="28" t="str">
        <f>IF($C1264=""," ",[1]!i_pq_pctchange($C1264,I$6,$N$1))</f>
        <v xml:space="preserve"> </v>
      </c>
      <c r="J1264" s="28" t="str">
        <f>IF($C1264=""," ",[1]!i_pq_pctchange($C1264,J$6,$N$1))</f>
        <v xml:space="preserve"> </v>
      </c>
      <c r="K1264" s="28" t="str">
        <f>IF($C1264=""," ",[1]!i_pq_pctchange($C1264,K$6,$N$1))</f>
        <v xml:space="preserve"> </v>
      </c>
      <c r="L1264" s="28" t="str">
        <f>IF(C1264=""," ",[1]!s_wq_pctchange($C1264,$N$1))</f>
        <v xml:space="preserve"> </v>
      </c>
      <c r="M1264" s="28" t="str">
        <f>IF(C1264=""," ",[1]!s_mq_pctchange($C1264,$N$1))</f>
        <v xml:space="preserve"> </v>
      </c>
      <c r="N1264" s="28" t="str">
        <f>IF(C1264=""," ",[1]!s_yq_pctchange($C1264,$N$1))</f>
        <v xml:space="preserve"> </v>
      </c>
      <c r="O1264" s="11"/>
      <c r="P1264" s="7"/>
    </row>
    <row r="1265" spans="1:16" x14ac:dyDescent="0.35">
      <c r="A1265" s="7"/>
      <c r="C1265" s="30" t="str">
        <f>IF(指数列表!B1262="","",指数列表!B1262)</f>
        <v/>
      </c>
      <c r="D1265" s="35" t="str">
        <f>IF(C1265="","",[1]!s_info_name(C1265))</f>
        <v/>
      </c>
      <c r="E1265" s="24" t="str">
        <f>IF(C1265="","",[1]!s_dq_close(C1265,$N$1))</f>
        <v/>
      </c>
      <c r="F1265" s="28" t="str">
        <f>IF($C1265=""," ",[1]!i_pq_pctchange($C1265,F$6,$N$1))</f>
        <v xml:space="preserve"> </v>
      </c>
      <c r="G1265" s="28" t="str">
        <f>IF($C1265=""," ",[1]!i_pq_pctchange($C1265,G$6,$N$1))</f>
        <v xml:space="preserve"> </v>
      </c>
      <c r="H1265" s="28" t="str">
        <f>IF($C1265=""," ",[1]!i_pq_pctchange($C1265,H$6,$N$1))</f>
        <v xml:space="preserve"> </v>
      </c>
      <c r="I1265" s="28" t="str">
        <f>IF($C1265=""," ",[1]!i_pq_pctchange($C1265,I$6,$N$1))</f>
        <v xml:space="preserve"> </v>
      </c>
      <c r="J1265" s="28" t="str">
        <f>IF($C1265=""," ",[1]!i_pq_pctchange($C1265,J$6,$N$1))</f>
        <v xml:space="preserve"> </v>
      </c>
      <c r="K1265" s="28" t="str">
        <f>IF($C1265=""," ",[1]!i_pq_pctchange($C1265,K$6,$N$1))</f>
        <v xml:space="preserve"> </v>
      </c>
      <c r="L1265" s="28" t="str">
        <f>IF(C1265=""," ",[1]!s_wq_pctchange($C1265,$N$1))</f>
        <v xml:space="preserve"> </v>
      </c>
      <c r="M1265" s="28" t="str">
        <f>IF(C1265=""," ",[1]!s_mq_pctchange($C1265,$N$1))</f>
        <v xml:space="preserve"> </v>
      </c>
      <c r="N1265" s="28" t="str">
        <f>IF(C1265=""," ",[1]!s_yq_pctchange($C1265,$N$1))</f>
        <v xml:space="preserve"> </v>
      </c>
      <c r="O1265" s="11"/>
      <c r="P1265" s="7"/>
    </row>
    <row r="1266" spans="1:16" x14ac:dyDescent="0.35">
      <c r="A1266" s="7"/>
      <c r="C1266" s="31" t="str">
        <f>IF(指数列表!B1263="","",指数列表!B1263)</f>
        <v/>
      </c>
      <c r="D1266" s="36" t="str">
        <f>IF(C1266="","",[1]!s_info_name(C1266))</f>
        <v/>
      </c>
      <c r="E1266" s="25" t="str">
        <f>IF(C1266="","",[1]!s_dq_close(C1266,$N$1))</f>
        <v/>
      </c>
      <c r="F1266" s="28" t="str">
        <f>IF($C1266=""," ",[1]!i_pq_pctchange($C1266,F$6,$N$1))</f>
        <v xml:space="preserve"> </v>
      </c>
      <c r="G1266" s="28" t="str">
        <f>IF($C1266=""," ",[1]!i_pq_pctchange($C1266,G$6,$N$1))</f>
        <v xml:space="preserve"> </v>
      </c>
      <c r="H1266" s="28" t="str">
        <f>IF($C1266=""," ",[1]!i_pq_pctchange($C1266,H$6,$N$1))</f>
        <v xml:space="preserve"> </v>
      </c>
      <c r="I1266" s="28" t="str">
        <f>IF($C1266=""," ",[1]!i_pq_pctchange($C1266,I$6,$N$1))</f>
        <v xml:space="preserve"> </v>
      </c>
      <c r="J1266" s="28" t="str">
        <f>IF($C1266=""," ",[1]!i_pq_pctchange($C1266,J$6,$N$1))</f>
        <v xml:space="preserve"> </v>
      </c>
      <c r="K1266" s="28" t="str">
        <f>IF($C1266=""," ",[1]!i_pq_pctchange($C1266,K$6,$N$1))</f>
        <v xml:space="preserve"> </v>
      </c>
      <c r="L1266" s="28" t="str">
        <f>IF(C1266=""," ",[1]!s_wq_pctchange($C1266,$N$1))</f>
        <v xml:space="preserve"> </v>
      </c>
      <c r="M1266" s="28" t="str">
        <f>IF(C1266=""," ",[1]!s_mq_pctchange($C1266,$N$1))</f>
        <v xml:space="preserve"> </v>
      </c>
      <c r="N1266" s="28" t="str">
        <f>IF(C1266=""," ",[1]!s_yq_pctchange($C1266,$N$1))</f>
        <v xml:space="preserve"> </v>
      </c>
      <c r="O1266" s="11"/>
      <c r="P1266" s="7"/>
    </row>
    <row r="1267" spans="1:16" x14ac:dyDescent="0.35">
      <c r="A1267" s="7"/>
      <c r="C1267" s="30" t="str">
        <f>IF(指数列表!B1264="","",指数列表!B1264)</f>
        <v/>
      </c>
      <c r="D1267" s="35" t="str">
        <f>IF(C1267="","",[1]!s_info_name(C1267))</f>
        <v/>
      </c>
      <c r="E1267" s="24" t="str">
        <f>IF(C1267="","",[1]!s_dq_close(C1267,$N$1))</f>
        <v/>
      </c>
      <c r="F1267" s="28" t="str">
        <f>IF($C1267=""," ",[1]!i_pq_pctchange($C1267,F$6,$N$1))</f>
        <v xml:space="preserve"> </v>
      </c>
      <c r="G1267" s="28" t="str">
        <f>IF($C1267=""," ",[1]!i_pq_pctchange($C1267,G$6,$N$1))</f>
        <v xml:space="preserve"> </v>
      </c>
      <c r="H1267" s="28" t="str">
        <f>IF($C1267=""," ",[1]!i_pq_pctchange($C1267,H$6,$N$1))</f>
        <v xml:space="preserve"> </v>
      </c>
      <c r="I1267" s="28" t="str">
        <f>IF($C1267=""," ",[1]!i_pq_pctchange($C1267,I$6,$N$1))</f>
        <v xml:space="preserve"> </v>
      </c>
      <c r="J1267" s="28" t="str">
        <f>IF($C1267=""," ",[1]!i_pq_pctchange($C1267,J$6,$N$1))</f>
        <v xml:space="preserve"> </v>
      </c>
      <c r="K1267" s="28" t="str">
        <f>IF($C1267=""," ",[1]!i_pq_pctchange($C1267,K$6,$N$1))</f>
        <v xml:space="preserve"> </v>
      </c>
      <c r="L1267" s="28" t="str">
        <f>IF(C1267=""," ",[1]!s_wq_pctchange($C1267,$N$1))</f>
        <v xml:space="preserve"> </v>
      </c>
      <c r="M1267" s="28" t="str">
        <f>IF(C1267=""," ",[1]!s_mq_pctchange($C1267,$N$1))</f>
        <v xml:space="preserve"> </v>
      </c>
      <c r="N1267" s="28" t="str">
        <f>IF(C1267=""," ",[1]!s_yq_pctchange($C1267,$N$1))</f>
        <v xml:space="preserve"> </v>
      </c>
      <c r="O1267" s="11"/>
      <c r="P1267" s="7"/>
    </row>
    <row r="1268" spans="1:16" x14ac:dyDescent="0.35">
      <c r="A1268" s="7"/>
      <c r="C1268" s="31" t="str">
        <f>IF(指数列表!B1265="","",指数列表!B1265)</f>
        <v/>
      </c>
      <c r="D1268" s="36" t="str">
        <f>IF(C1268="","",[1]!s_info_name(C1268))</f>
        <v/>
      </c>
      <c r="E1268" s="25" t="str">
        <f>IF(C1268="","",[1]!s_dq_close(C1268,$N$1))</f>
        <v/>
      </c>
      <c r="F1268" s="28" t="str">
        <f>IF($C1268=""," ",[1]!i_pq_pctchange($C1268,F$6,$N$1))</f>
        <v xml:space="preserve"> </v>
      </c>
      <c r="G1268" s="28" t="str">
        <f>IF($C1268=""," ",[1]!i_pq_pctchange($C1268,G$6,$N$1))</f>
        <v xml:space="preserve"> </v>
      </c>
      <c r="H1268" s="28" t="str">
        <f>IF($C1268=""," ",[1]!i_pq_pctchange($C1268,H$6,$N$1))</f>
        <v xml:space="preserve"> </v>
      </c>
      <c r="I1268" s="28" t="str">
        <f>IF($C1268=""," ",[1]!i_pq_pctchange($C1268,I$6,$N$1))</f>
        <v xml:space="preserve"> </v>
      </c>
      <c r="J1268" s="28" t="str">
        <f>IF($C1268=""," ",[1]!i_pq_pctchange($C1268,J$6,$N$1))</f>
        <v xml:space="preserve"> </v>
      </c>
      <c r="K1268" s="28" t="str">
        <f>IF($C1268=""," ",[1]!i_pq_pctchange($C1268,K$6,$N$1))</f>
        <v xml:space="preserve"> </v>
      </c>
      <c r="L1268" s="28" t="str">
        <f>IF(C1268=""," ",[1]!s_wq_pctchange($C1268,$N$1))</f>
        <v xml:space="preserve"> </v>
      </c>
      <c r="M1268" s="28" t="str">
        <f>IF(C1268=""," ",[1]!s_mq_pctchange($C1268,$N$1))</f>
        <v xml:space="preserve"> </v>
      </c>
      <c r="N1268" s="28" t="str">
        <f>IF(C1268=""," ",[1]!s_yq_pctchange($C1268,$N$1))</f>
        <v xml:space="preserve"> </v>
      </c>
      <c r="O1268" s="11"/>
      <c r="P1268" s="7"/>
    </row>
    <row r="1269" spans="1:16" x14ac:dyDescent="0.35">
      <c r="A1269" s="7"/>
      <c r="C1269" s="30" t="str">
        <f>IF(指数列表!B1266="","",指数列表!B1266)</f>
        <v/>
      </c>
      <c r="D1269" s="35" t="str">
        <f>IF(C1269="","",[1]!s_info_name(C1269))</f>
        <v/>
      </c>
      <c r="E1269" s="24" t="str">
        <f>IF(C1269="","",[1]!s_dq_close(C1269,$N$1))</f>
        <v/>
      </c>
      <c r="F1269" s="28" t="str">
        <f>IF($C1269=""," ",[1]!i_pq_pctchange($C1269,F$6,$N$1))</f>
        <v xml:space="preserve"> </v>
      </c>
      <c r="G1269" s="28" t="str">
        <f>IF($C1269=""," ",[1]!i_pq_pctchange($C1269,G$6,$N$1))</f>
        <v xml:space="preserve"> </v>
      </c>
      <c r="H1269" s="28" t="str">
        <f>IF($C1269=""," ",[1]!i_pq_pctchange($C1269,H$6,$N$1))</f>
        <v xml:space="preserve"> </v>
      </c>
      <c r="I1269" s="28" t="str">
        <f>IF($C1269=""," ",[1]!i_pq_pctchange($C1269,I$6,$N$1))</f>
        <v xml:space="preserve"> </v>
      </c>
      <c r="J1269" s="28" t="str">
        <f>IF($C1269=""," ",[1]!i_pq_pctchange($C1269,J$6,$N$1))</f>
        <v xml:space="preserve"> </v>
      </c>
      <c r="K1269" s="28" t="str">
        <f>IF($C1269=""," ",[1]!i_pq_pctchange($C1269,K$6,$N$1))</f>
        <v xml:space="preserve"> </v>
      </c>
      <c r="L1269" s="28" t="str">
        <f>IF(C1269=""," ",[1]!s_wq_pctchange($C1269,$N$1))</f>
        <v xml:space="preserve"> </v>
      </c>
      <c r="M1269" s="28" t="str">
        <f>IF(C1269=""," ",[1]!s_mq_pctchange($C1269,$N$1))</f>
        <v xml:space="preserve"> </v>
      </c>
      <c r="N1269" s="28" t="str">
        <f>IF(C1269=""," ",[1]!s_yq_pctchange($C1269,$N$1))</f>
        <v xml:space="preserve"> </v>
      </c>
      <c r="O1269" s="11"/>
      <c r="P1269" s="7"/>
    </row>
    <row r="1270" spans="1:16" x14ac:dyDescent="0.35">
      <c r="A1270" s="7"/>
      <c r="C1270" s="31" t="str">
        <f>IF(指数列表!B1267="","",指数列表!B1267)</f>
        <v/>
      </c>
      <c r="D1270" s="36" t="str">
        <f>IF(C1270="","",[1]!s_info_name(C1270))</f>
        <v/>
      </c>
      <c r="E1270" s="25" t="str">
        <f>IF(C1270="","",[1]!s_dq_close(C1270,$N$1))</f>
        <v/>
      </c>
      <c r="F1270" s="28" t="str">
        <f>IF($C1270=""," ",[1]!i_pq_pctchange($C1270,F$6,$N$1))</f>
        <v xml:space="preserve"> </v>
      </c>
      <c r="G1270" s="28" t="str">
        <f>IF($C1270=""," ",[1]!i_pq_pctchange($C1270,G$6,$N$1))</f>
        <v xml:space="preserve"> </v>
      </c>
      <c r="H1270" s="28" t="str">
        <f>IF($C1270=""," ",[1]!i_pq_pctchange($C1270,H$6,$N$1))</f>
        <v xml:space="preserve"> </v>
      </c>
      <c r="I1270" s="28" t="str">
        <f>IF($C1270=""," ",[1]!i_pq_pctchange($C1270,I$6,$N$1))</f>
        <v xml:space="preserve"> </v>
      </c>
      <c r="J1270" s="28" t="str">
        <f>IF($C1270=""," ",[1]!i_pq_pctchange($C1270,J$6,$N$1))</f>
        <v xml:space="preserve"> </v>
      </c>
      <c r="K1270" s="28" t="str">
        <f>IF($C1270=""," ",[1]!i_pq_pctchange($C1270,K$6,$N$1))</f>
        <v xml:space="preserve"> </v>
      </c>
      <c r="L1270" s="28" t="str">
        <f>IF(C1270=""," ",[1]!s_wq_pctchange($C1270,$N$1))</f>
        <v xml:space="preserve"> </v>
      </c>
      <c r="M1270" s="28" t="str">
        <f>IF(C1270=""," ",[1]!s_mq_pctchange($C1270,$N$1))</f>
        <v xml:space="preserve"> </v>
      </c>
      <c r="N1270" s="28" t="str">
        <f>IF(C1270=""," ",[1]!s_yq_pctchange($C1270,$N$1))</f>
        <v xml:space="preserve"> </v>
      </c>
      <c r="O1270" s="11"/>
      <c r="P1270" s="7"/>
    </row>
    <row r="1271" spans="1:16" x14ac:dyDescent="0.35">
      <c r="A1271" s="7"/>
      <c r="C1271" s="30" t="str">
        <f>IF(指数列表!B1268="","",指数列表!B1268)</f>
        <v/>
      </c>
      <c r="D1271" s="35" t="str">
        <f>IF(C1271="","",[1]!s_info_name(C1271))</f>
        <v/>
      </c>
      <c r="E1271" s="24" t="str">
        <f>IF(C1271="","",[1]!s_dq_close(C1271,$N$1))</f>
        <v/>
      </c>
      <c r="F1271" s="28" t="str">
        <f>IF($C1271=""," ",[1]!i_pq_pctchange($C1271,F$6,$N$1))</f>
        <v xml:space="preserve"> </v>
      </c>
      <c r="G1271" s="28" t="str">
        <f>IF($C1271=""," ",[1]!i_pq_pctchange($C1271,G$6,$N$1))</f>
        <v xml:space="preserve"> </v>
      </c>
      <c r="H1271" s="28" t="str">
        <f>IF($C1271=""," ",[1]!i_pq_pctchange($C1271,H$6,$N$1))</f>
        <v xml:space="preserve"> </v>
      </c>
      <c r="I1271" s="28" t="str">
        <f>IF($C1271=""," ",[1]!i_pq_pctchange($C1271,I$6,$N$1))</f>
        <v xml:space="preserve"> </v>
      </c>
      <c r="J1271" s="28" t="str">
        <f>IF($C1271=""," ",[1]!i_pq_pctchange($C1271,J$6,$N$1))</f>
        <v xml:space="preserve"> </v>
      </c>
      <c r="K1271" s="28" t="str">
        <f>IF($C1271=""," ",[1]!i_pq_pctchange($C1271,K$6,$N$1))</f>
        <v xml:space="preserve"> </v>
      </c>
      <c r="L1271" s="28" t="str">
        <f>IF(C1271=""," ",[1]!s_wq_pctchange($C1271,$N$1))</f>
        <v xml:space="preserve"> </v>
      </c>
      <c r="M1271" s="28" t="str">
        <f>IF(C1271=""," ",[1]!s_mq_pctchange($C1271,$N$1))</f>
        <v xml:space="preserve"> </v>
      </c>
      <c r="N1271" s="28" t="str">
        <f>IF(C1271=""," ",[1]!s_yq_pctchange($C1271,$N$1))</f>
        <v xml:space="preserve"> </v>
      </c>
      <c r="O1271" s="11"/>
      <c r="P1271" s="7"/>
    </row>
    <row r="1272" spans="1:16" x14ac:dyDescent="0.35">
      <c r="A1272" s="7"/>
      <c r="C1272" s="31" t="str">
        <f>IF(指数列表!B1269="","",指数列表!B1269)</f>
        <v/>
      </c>
      <c r="D1272" s="36" t="str">
        <f>IF(C1272="","",[1]!s_info_name(C1272))</f>
        <v/>
      </c>
      <c r="E1272" s="25" t="str">
        <f>IF(C1272="","",[1]!s_dq_close(C1272,$N$1))</f>
        <v/>
      </c>
      <c r="F1272" s="28" t="str">
        <f>IF($C1272=""," ",[1]!i_pq_pctchange($C1272,F$6,$N$1))</f>
        <v xml:space="preserve"> </v>
      </c>
      <c r="G1272" s="28" t="str">
        <f>IF($C1272=""," ",[1]!i_pq_pctchange($C1272,G$6,$N$1))</f>
        <v xml:space="preserve"> </v>
      </c>
      <c r="H1272" s="28" t="str">
        <f>IF($C1272=""," ",[1]!i_pq_pctchange($C1272,H$6,$N$1))</f>
        <v xml:space="preserve"> </v>
      </c>
      <c r="I1272" s="28" t="str">
        <f>IF($C1272=""," ",[1]!i_pq_pctchange($C1272,I$6,$N$1))</f>
        <v xml:space="preserve"> </v>
      </c>
      <c r="J1272" s="28" t="str">
        <f>IF($C1272=""," ",[1]!i_pq_pctchange($C1272,J$6,$N$1))</f>
        <v xml:space="preserve"> </v>
      </c>
      <c r="K1272" s="28" t="str">
        <f>IF($C1272=""," ",[1]!i_pq_pctchange($C1272,K$6,$N$1))</f>
        <v xml:space="preserve"> </v>
      </c>
      <c r="L1272" s="28" t="str">
        <f>IF(C1272=""," ",[1]!s_wq_pctchange($C1272,$N$1))</f>
        <v xml:space="preserve"> </v>
      </c>
      <c r="M1272" s="28" t="str">
        <f>IF(C1272=""," ",[1]!s_mq_pctchange($C1272,$N$1))</f>
        <v xml:space="preserve"> </v>
      </c>
      <c r="N1272" s="28" t="str">
        <f>IF(C1272=""," ",[1]!s_yq_pctchange($C1272,$N$1))</f>
        <v xml:space="preserve"> </v>
      </c>
      <c r="O1272" s="11"/>
      <c r="P1272" s="7"/>
    </row>
    <row r="1273" spans="1:16" x14ac:dyDescent="0.35">
      <c r="A1273" s="7"/>
      <c r="C1273" s="30" t="str">
        <f>IF(指数列表!B1270="","",指数列表!B1270)</f>
        <v/>
      </c>
      <c r="D1273" s="35" t="str">
        <f>IF(C1273="","",[1]!s_info_name(C1273))</f>
        <v/>
      </c>
      <c r="E1273" s="24" t="str">
        <f>IF(C1273="","",[1]!s_dq_close(C1273,$N$1))</f>
        <v/>
      </c>
      <c r="F1273" s="28" t="str">
        <f>IF($C1273=""," ",[1]!i_pq_pctchange($C1273,F$6,$N$1))</f>
        <v xml:space="preserve"> </v>
      </c>
      <c r="G1273" s="28" t="str">
        <f>IF($C1273=""," ",[1]!i_pq_pctchange($C1273,G$6,$N$1))</f>
        <v xml:space="preserve"> </v>
      </c>
      <c r="H1273" s="28" t="str">
        <f>IF($C1273=""," ",[1]!i_pq_pctchange($C1273,H$6,$N$1))</f>
        <v xml:space="preserve"> </v>
      </c>
      <c r="I1273" s="28" t="str">
        <f>IF($C1273=""," ",[1]!i_pq_pctchange($C1273,I$6,$N$1))</f>
        <v xml:space="preserve"> </v>
      </c>
      <c r="J1273" s="28" t="str">
        <f>IF($C1273=""," ",[1]!i_pq_pctchange($C1273,J$6,$N$1))</f>
        <v xml:space="preserve"> </v>
      </c>
      <c r="K1273" s="28" t="str">
        <f>IF($C1273=""," ",[1]!i_pq_pctchange($C1273,K$6,$N$1))</f>
        <v xml:space="preserve"> </v>
      </c>
      <c r="L1273" s="28" t="str">
        <f>IF(C1273=""," ",[1]!s_wq_pctchange($C1273,$N$1))</f>
        <v xml:space="preserve"> </v>
      </c>
      <c r="M1273" s="28" t="str">
        <f>IF(C1273=""," ",[1]!s_mq_pctchange($C1273,$N$1))</f>
        <v xml:space="preserve"> </v>
      </c>
      <c r="N1273" s="28" t="str">
        <f>IF(C1273=""," ",[1]!s_yq_pctchange($C1273,$N$1))</f>
        <v xml:space="preserve"> </v>
      </c>
      <c r="O1273" s="11"/>
      <c r="P1273" s="7"/>
    </row>
    <row r="1274" spans="1:16" x14ac:dyDescent="0.35">
      <c r="A1274" s="7"/>
      <c r="C1274" s="31" t="str">
        <f>IF(指数列表!B1271="","",指数列表!B1271)</f>
        <v/>
      </c>
      <c r="D1274" s="36" t="str">
        <f>IF(C1274="","",[1]!s_info_name(C1274))</f>
        <v/>
      </c>
      <c r="E1274" s="25" t="str">
        <f>IF(C1274="","",[1]!s_dq_close(C1274,$N$1))</f>
        <v/>
      </c>
      <c r="F1274" s="28" t="str">
        <f>IF($C1274=""," ",[1]!i_pq_pctchange($C1274,F$6,$N$1))</f>
        <v xml:space="preserve"> </v>
      </c>
      <c r="G1274" s="28" t="str">
        <f>IF($C1274=""," ",[1]!i_pq_pctchange($C1274,G$6,$N$1))</f>
        <v xml:space="preserve"> </v>
      </c>
      <c r="H1274" s="28" t="str">
        <f>IF($C1274=""," ",[1]!i_pq_pctchange($C1274,H$6,$N$1))</f>
        <v xml:space="preserve"> </v>
      </c>
      <c r="I1274" s="28" t="str">
        <f>IF($C1274=""," ",[1]!i_pq_pctchange($C1274,I$6,$N$1))</f>
        <v xml:space="preserve"> </v>
      </c>
      <c r="J1274" s="28" t="str">
        <f>IF($C1274=""," ",[1]!i_pq_pctchange($C1274,J$6,$N$1))</f>
        <v xml:space="preserve"> </v>
      </c>
      <c r="K1274" s="28" t="str">
        <f>IF($C1274=""," ",[1]!i_pq_pctchange($C1274,K$6,$N$1))</f>
        <v xml:space="preserve"> </v>
      </c>
      <c r="L1274" s="28" t="str">
        <f>IF(C1274=""," ",[1]!s_wq_pctchange($C1274,$N$1))</f>
        <v xml:space="preserve"> </v>
      </c>
      <c r="M1274" s="28" t="str">
        <f>IF(C1274=""," ",[1]!s_mq_pctchange($C1274,$N$1))</f>
        <v xml:space="preserve"> </v>
      </c>
      <c r="N1274" s="28" t="str">
        <f>IF(C1274=""," ",[1]!s_yq_pctchange($C1274,$N$1))</f>
        <v xml:space="preserve"> </v>
      </c>
      <c r="O1274" s="11"/>
      <c r="P1274" s="7"/>
    </row>
    <row r="1275" spans="1:16" x14ac:dyDescent="0.35">
      <c r="A1275" s="7"/>
      <c r="C1275" s="30" t="str">
        <f>IF(指数列表!B1272="","",指数列表!B1272)</f>
        <v/>
      </c>
      <c r="D1275" s="35" t="str">
        <f>IF(C1275="","",[1]!s_info_name(C1275))</f>
        <v/>
      </c>
      <c r="E1275" s="24" t="str">
        <f>IF(C1275="","",[1]!s_dq_close(C1275,$N$1))</f>
        <v/>
      </c>
      <c r="F1275" s="28" t="str">
        <f>IF($C1275=""," ",[1]!i_pq_pctchange($C1275,F$6,$N$1))</f>
        <v xml:space="preserve"> </v>
      </c>
      <c r="G1275" s="28" t="str">
        <f>IF($C1275=""," ",[1]!i_pq_pctchange($C1275,G$6,$N$1))</f>
        <v xml:space="preserve"> </v>
      </c>
      <c r="H1275" s="28" t="str">
        <f>IF($C1275=""," ",[1]!i_pq_pctchange($C1275,H$6,$N$1))</f>
        <v xml:space="preserve"> </v>
      </c>
      <c r="I1275" s="28" t="str">
        <f>IF($C1275=""," ",[1]!i_pq_pctchange($C1275,I$6,$N$1))</f>
        <v xml:space="preserve"> </v>
      </c>
      <c r="J1275" s="28" t="str">
        <f>IF($C1275=""," ",[1]!i_pq_pctchange($C1275,J$6,$N$1))</f>
        <v xml:space="preserve"> </v>
      </c>
      <c r="K1275" s="28" t="str">
        <f>IF($C1275=""," ",[1]!i_pq_pctchange($C1275,K$6,$N$1))</f>
        <v xml:space="preserve"> </v>
      </c>
      <c r="L1275" s="28" t="str">
        <f>IF(C1275=""," ",[1]!s_wq_pctchange($C1275,$N$1))</f>
        <v xml:space="preserve"> </v>
      </c>
      <c r="M1275" s="28" t="str">
        <f>IF(C1275=""," ",[1]!s_mq_pctchange($C1275,$N$1))</f>
        <v xml:space="preserve"> </v>
      </c>
      <c r="N1275" s="28" t="str">
        <f>IF(C1275=""," ",[1]!s_yq_pctchange($C1275,$N$1))</f>
        <v xml:space="preserve"> </v>
      </c>
      <c r="O1275" s="11"/>
      <c r="P1275" s="7"/>
    </row>
    <row r="1276" spans="1:16" x14ac:dyDescent="0.35">
      <c r="A1276" s="7"/>
      <c r="C1276" s="31" t="str">
        <f>IF(指数列表!B1273="","",指数列表!B1273)</f>
        <v/>
      </c>
      <c r="D1276" s="36" t="str">
        <f>IF(C1276="","",[1]!s_info_name(C1276))</f>
        <v/>
      </c>
      <c r="E1276" s="25" t="str">
        <f>IF(C1276="","",[1]!s_dq_close(C1276,$N$1))</f>
        <v/>
      </c>
      <c r="F1276" s="28" t="str">
        <f>IF($C1276=""," ",[1]!i_pq_pctchange($C1276,F$6,$N$1))</f>
        <v xml:space="preserve"> </v>
      </c>
      <c r="G1276" s="28" t="str">
        <f>IF($C1276=""," ",[1]!i_pq_pctchange($C1276,G$6,$N$1))</f>
        <v xml:space="preserve"> </v>
      </c>
      <c r="H1276" s="28" t="str">
        <f>IF($C1276=""," ",[1]!i_pq_pctchange($C1276,H$6,$N$1))</f>
        <v xml:space="preserve"> </v>
      </c>
      <c r="I1276" s="28" t="str">
        <f>IF($C1276=""," ",[1]!i_pq_pctchange($C1276,I$6,$N$1))</f>
        <v xml:space="preserve"> </v>
      </c>
      <c r="J1276" s="28" t="str">
        <f>IF($C1276=""," ",[1]!i_pq_pctchange($C1276,J$6,$N$1))</f>
        <v xml:space="preserve"> </v>
      </c>
      <c r="K1276" s="28" t="str">
        <f>IF($C1276=""," ",[1]!i_pq_pctchange($C1276,K$6,$N$1))</f>
        <v xml:space="preserve"> </v>
      </c>
      <c r="L1276" s="28" t="str">
        <f>IF(C1276=""," ",[1]!s_wq_pctchange($C1276,$N$1))</f>
        <v xml:space="preserve"> </v>
      </c>
      <c r="M1276" s="28" t="str">
        <f>IF(C1276=""," ",[1]!s_mq_pctchange($C1276,$N$1))</f>
        <v xml:space="preserve"> </v>
      </c>
      <c r="N1276" s="28" t="str">
        <f>IF(C1276=""," ",[1]!s_yq_pctchange($C1276,$N$1))</f>
        <v xml:space="preserve"> </v>
      </c>
      <c r="O1276" s="11"/>
      <c r="P1276" s="7"/>
    </row>
    <row r="1277" spans="1:16" x14ac:dyDescent="0.35">
      <c r="A1277" s="7"/>
      <c r="C1277" s="30" t="str">
        <f>IF(指数列表!B1274="","",指数列表!B1274)</f>
        <v/>
      </c>
      <c r="D1277" s="35" t="str">
        <f>IF(C1277="","",[1]!s_info_name(C1277))</f>
        <v/>
      </c>
      <c r="E1277" s="24" t="str">
        <f>IF(C1277="","",[1]!s_dq_close(C1277,$N$1))</f>
        <v/>
      </c>
      <c r="F1277" s="28" t="str">
        <f>IF($C1277=""," ",[1]!i_pq_pctchange($C1277,F$6,$N$1))</f>
        <v xml:space="preserve"> </v>
      </c>
      <c r="G1277" s="28" t="str">
        <f>IF($C1277=""," ",[1]!i_pq_pctchange($C1277,G$6,$N$1))</f>
        <v xml:space="preserve"> </v>
      </c>
      <c r="H1277" s="28" t="str">
        <f>IF($C1277=""," ",[1]!i_pq_pctchange($C1277,H$6,$N$1))</f>
        <v xml:space="preserve"> </v>
      </c>
      <c r="I1277" s="28" t="str">
        <f>IF($C1277=""," ",[1]!i_pq_pctchange($C1277,I$6,$N$1))</f>
        <v xml:space="preserve"> </v>
      </c>
      <c r="J1277" s="28" t="str">
        <f>IF($C1277=""," ",[1]!i_pq_pctchange($C1277,J$6,$N$1))</f>
        <v xml:space="preserve"> </v>
      </c>
      <c r="K1277" s="28" t="str">
        <f>IF($C1277=""," ",[1]!i_pq_pctchange($C1277,K$6,$N$1))</f>
        <v xml:space="preserve"> </v>
      </c>
      <c r="L1277" s="28" t="str">
        <f>IF(C1277=""," ",[1]!s_wq_pctchange($C1277,$N$1))</f>
        <v xml:space="preserve"> </v>
      </c>
      <c r="M1277" s="28" t="str">
        <f>IF(C1277=""," ",[1]!s_mq_pctchange($C1277,$N$1))</f>
        <v xml:space="preserve"> </v>
      </c>
      <c r="N1277" s="28" t="str">
        <f>IF(C1277=""," ",[1]!s_yq_pctchange($C1277,$N$1))</f>
        <v xml:space="preserve"> </v>
      </c>
      <c r="O1277" s="11"/>
      <c r="P1277" s="7"/>
    </row>
    <row r="1278" spans="1:16" x14ac:dyDescent="0.35">
      <c r="A1278" s="7"/>
      <c r="C1278" s="31" t="str">
        <f>IF(指数列表!B1275="","",指数列表!B1275)</f>
        <v/>
      </c>
      <c r="D1278" s="36" t="str">
        <f>IF(C1278="","",[1]!s_info_name(C1278))</f>
        <v/>
      </c>
      <c r="E1278" s="25" t="str">
        <f>IF(C1278="","",[1]!s_dq_close(C1278,$N$1))</f>
        <v/>
      </c>
      <c r="F1278" s="28" t="str">
        <f>IF($C1278=""," ",[1]!i_pq_pctchange($C1278,F$6,$N$1))</f>
        <v xml:space="preserve"> </v>
      </c>
      <c r="G1278" s="28" t="str">
        <f>IF($C1278=""," ",[1]!i_pq_pctchange($C1278,G$6,$N$1))</f>
        <v xml:space="preserve"> </v>
      </c>
      <c r="H1278" s="28" t="str">
        <f>IF($C1278=""," ",[1]!i_pq_pctchange($C1278,H$6,$N$1))</f>
        <v xml:space="preserve"> </v>
      </c>
      <c r="I1278" s="28" t="str">
        <f>IF($C1278=""," ",[1]!i_pq_pctchange($C1278,I$6,$N$1))</f>
        <v xml:space="preserve"> </v>
      </c>
      <c r="J1278" s="28" t="str">
        <f>IF($C1278=""," ",[1]!i_pq_pctchange($C1278,J$6,$N$1))</f>
        <v xml:space="preserve"> </v>
      </c>
      <c r="K1278" s="28" t="str">
        <f>IF($C1278=""," ",[1]!i_pq_pctchange($C1278,K$6,$N$1))</f>
        <v xml:space="preserve"> </v>
      </c>
      <c r="L1278" s="28" t="str">
        <f>IF(C1278=""," ",[1]!s_wq_pctchange($C1278,$N$1))</f>
        <v xml:space="preserve"> </v>
      </c>
      <c r="M1278" s="28" t="str">
        <f>IF(C1278=""," ",[1]!s_mq_pctchange($C1278,$N$1))</f>
        <v xml:space="preserve"> </v>
      </c>
      <c r="N1278" s="28" t="str">
        <f>IF(C1278=""," ",[1]!s_yq_pctchange($C1278,$N$1))</f>
        <v xml:space="preserve"> </v>
      </c>
      <c r="O1278" s="11"/>
      <c r="P1278" s="7"/>
    </row>
    <row r="1279" spans="1:16" x14ac:dyDescent="0.35">
      <c r="A1279" s="7"/>
      <c r="C1279" s="30" t="str">
        <f>IF(指数列表!B1276="","",指数列表!B1276)</f>
        <v/>
      </c>
      <c r="D1279" s="35" t="str">
        <f>IF(C1279="","",[1]!s_info_name(C1279))</f>
        <v/>
      </c>
      <c r="E1279" s="24" t="str">
        <f>IF(C1279="","",[1]!s_dq_close(C1279,$N$1))</f>
        <v/>
      </c>
      <c r="F1279" s="28" t="str">
        <f>IF($C1279=""," ",[1]!i_pq_pctchange($C1279,F$6,$N$1))</f>
        <v xml:space="preserve"> </v>
      </c>
      <c r="G1279" s="28" t="str">
        <f>IF($C1279=""," ",[1]!i_pq_pctchange($C1279,G$6,$N$1))</f>
        <v xml:space="preserve"> </v>
      </c>
      <c r="H1279" s="28" t="str">
        <f>IF($C1279=""," ",[1]!i_pq_pctchange($C1279,H$6,$N$1))</f>
        <v xml:space="preserve"> </v>
      </c>
      <c r="I1279" s="28" t="str">
        <f>IF($C1279=""," ",[1]!i_pq_pctchange($C1279,I$6,$N$1))</f>
        <v xml:space="preserve"> </v>
      </c>
      <c r="J1279" s="28" t="str">
        <f>IF($C1279=""," ",[1]!i_pq_pctchange($C1279,J$6,$N$1))</f>
        <v xml:space="preserve"> </v>
      </c>
      <c r="K1279" s="28" t="str">
        <f>IF($C1279=""," ",[1]!i_pq_pctchange($C1279,K$6,$N$1))</f>
        <v xml:space="preserve"> </v>
      </c>
      <c r="L1279" s="28" t="str">
        <f>IF(C1279=""," ",[1]!s_wq_pctchange($C1279,$N$1))</f>
        <v xml:space="preserve"> </v>
      </c>
      <c r="M1279" s="28" t="str">
        <f>IF(C1279=""," ",[1]!s_mq_pctchange($C1279,$N$1))</f>
        <v xml:space="preserve"> </v>
      </c>
      <c r="N1279" s="28" t="str">
        <f>IF(C1279=""," ",[1]!s_yq_pctchange($C1279,$N$1))</f>
        <v xml:space="preserve"> </v>
      </c>
      <c r="O1279" s="11"/>
      <c r="P1279" s="7"/>
    </row>
    <row r="1280" spans="1:16" x14ac:dyDescent="0.35">
      <c r="A1280" s="7"/>
      <c r="C1280" s="31" t="str">
        <f>IF(指数列表!B1277="","",指数列表!B1277)</f>
        <v/>
      </c>
      <c r="D1280" s="36" t="str">
        <f>IF(C1280="","",[1]!s_info_name(C1280))</f>
        <v/>
      </c>
      <c r="E1280" s="25" t="str">
        <f>IF(C1280="","",[1]!s_dq_close(C1280,$N$1))</f>
        <v/>
      </c>
      <c r="F1280" s="28" t="str">
        <f>IF($C1280=""," ",[1]!i_pq_pctchange($C1280,F$6,$N$1))</f>
        <v xml:space="preserve"> </v>
      </c>
      <c r="G1280" s="28" t="str">
        <f>IF($C1280=""," ",[1]!i_pq_pctchange($C1280,G$6,$N$1))</f>
        <v xml:space="preserve"> </v>
      </c>
      <c r="H1280" s="28" t="str">
        <f>IF($C1280=""," ",[1]!i_pq_pctchange($C1280,H$6,$N$1))</f>
        <v xml:space="preserve"> </v>
      </c>
      <c r="I1280" s="28" t="str">
        <f>IF($C1280=""," ",[1]!i_pq_pctchange($C1280,I$6,$N$1))</f>
        <v xml:space="preserve"> </v>
      </c>
      <c r="J1280" s="28" t="str">
        <f>IF($C1280=""," ",[1]!i_pq_pctchange($C1280,J$6,$N$1))</f>
        <v xml:space="preserve"> </v>
      </c>
      <c r="K1280" s="28" t="str">
        <f>IF($C1280=""," ",[1]!i_pq_pctchange($C1280,K$6,$N$1))</f>
        <v xml:space="preserve"> </v>
      </c>
      <c r="L1280" s="28" t="str">
        <f>IF(C1280=""," ",[1]!s_wq_pctchange($C1280,$N$1))</f>
        <v xml:space="preserve"> </v>
      </c>
      <c r="M1280" s="28" t="str">
        <f>IF(C1280=""," ",[1]!s_mq_pctchange($C1280,$N$1))</f>
        <v xml:space="preserve"> </v>
      </c>
      <c r="N1280" s="28" t="str">
        <f>IF(C1280=""," ",[1]!s_yq_pctchange($C1280,$N$1))</f>
        <v xml:space="preserve"> </v>
      </c>
      <c r="O1280" s="11"/>
      <c r="P1280" s="7"/>
    </row>
    <row r="1281" spans="1:16" x14ac:dyDescent="0.35">
      <c r="A1281" s="7"/>
      <c r="C1281" s="30" t="str">
        <f>IF(指数列表!B1278="","",指数列表!B1278)</f>
        <v/>
      </c>
      <c r="D1281" s="35" t="str">
        <f>IF(C1281="","",[1]!s_info_name(C1281))</f>
        <v/>
      </c>
      <c r="E1281" s="24" t="str">
        <f>IF(C1281="","",[1]!s_dq_close(C1281,$N$1))</f>
        <v/>
      </c>
      <c r="F1281" s="28" t="str">
        <f>IF($C1281=""," ",[1]!i_pq_pctchange($C1281,F$6,$N$1))</f>
        <v xml:space="preserve"> </v>
      </c>
      <c r="G1281" s="28" t="str">
        <f>IF($C1281=""," ",[1]!i_pq_pctchange($C1281,G$6,$N$1))</f>
        <v xml:space="preserve"> </v>
      </c>
      <c r="H1281" s="28" t="str">
        <f>IF($C1281=""," ",[1]!i_pq_pctchange($C1281,H$6,$N$1))</f>
        <v xml:space="preserve"> </v>
      </c>
      <c r="I1281" s="28" t="str">
        <f>IF($C1281=""," ",[1]!i_pq_pctchange($C1281,I$6,$N$1))</f>
        <v xml:space="preserve"> </v>
      </c>
      <c r="J1281" s="28" t="str">
        <f>IF($C1281=""," ",[1]!i_pq_pctchange($C1281,J$6,$N$1))</f>
        <v xml:space="preserve"> </v>
      </c>
      <c r="K1281" s="28" t="str">
        <f>IF($C1281=""," ",[1]!i_pq_pctchange($C1281,K$6,$N$1))</f>
        <v xml:space="preserve"> </v>
      </c>
      <c r="L1281" s="28" t="str">
        <f>IF(C1281=""," ",[1]!s_wq_pctchange($C1281,$N$1))</f>
        <v xml:space="preserve"> </v>
      </c>
      <c r="M1281" s="28" t="str">
        <f>IF(C1281=""," ",[1]!s_mq_pctchange($C1281,$N$1))</f>
        <v xml:space="preserve"> </v>
      </c>
      <c r="N1281" s="28" t="str">
        <f>IF(C1281=""," ",[1]!s_yq_pctchange($C1281,$N$1))</f>
        <v xml:space="preserve"> </v>
      </c>
      <c r="O1281" s="11"/>
      <c r="P1281" s="7"/>
    </row>
    <row r="1282" spans="1:16" x14ac:dyDescent="0.35">
      <c r="A1282" s="7"/>
      <c r="C1282" s="31" t="str">
        <f>IF(指数列表!B1279="","",指数列表!B1279)</f>
        <v/>
      </c>
      <c r="D1282" s="36" t="str">
        <f>IF(C1282="","",[1]!s_info_name(C1282))</f>
        <v/>
      </c>
      <c r="E1282" s="25" t="str">
        <f>IF(C1282="","",[1]!s_dq_close(C1282,$N$1))</f>
        <v/>
      </c>
      <c r="F1282" s="28" t="str">
        <f>IF($C1282=""," ",[1]!i_pq_pctchange($C1282,F$6,$N$1))</f>
        <v xml:space="preserve"> </v>
      </c>
      <c r="G1282" s="28" t="str">
        <f>IF($C1282=""," ",[1]!i_pq_pctchange($C1282,G$6,$N$1))</f>
        <v xml:space="preserve"> </v>
      </c>
      <c r="H1282" s="28" t="str">
        <f>IF($C1282=""," ",[1]!i_pq_pctchange($C1282,H$6,$N$1))</f>
        <v xml:space="preserve"> </v>
      </c>
      <c r="I1282" s="28" t="str">
        <f>IF($C1282=""," ",[1]!i_pq_pctchange($C1282,I$6,$N$1))</f>
        <v xml:space="preserve"> </v>
      </c>
      <c r="J1282" s="28" t="str">
        <f>IF($C1282=""," ",[1]!i_pq_pctchange($C1282,J$6,$N$1))</f>
        <v xml:space="preserve"> </v>
      </c>
      <c r="K1282" s="28" t="str">
        <f>IF($C1282=""," ",[1]!i_pq_pctchange($C1282,K$6,$N$1))</f>
        <v xml:space="preserve"> </v>
      </c>
      <c r="L1282" s="28" t="str">
        <f>IF(C1282=""," ",[1]!s_wq_pctchange($C1282,$N$1))</f>
        <v xml:space="preserve"> </v>
      </c>
      <c r="M1282" s="28" t="str">
        <f>IF(C1282=""," ",[1]!s_mq_pctchange($C1282,$N$1))</f>
        <v xml:space="preserve"> </v>
      </c>
      <c r="N1282" s="28" t="str">
        <f>IF(C1282=""," ",[1]!s_yq_pctchange($C1282,$N$1))</f>
        <v xml:space="preserve"> </v>
      </c>
      <c r="O1282" s="11"/>
      <c r="P1282" s="7"/>
    </row>
    <row r="1283" spans="1:16" x14ac:dyDescent="0.35">
      <c r="A1283" s="7"/>
      <c r="C1283" s="30" t="str">
        <f>IF(指数列表!B1280="","",指数列表!B1280)</f>
        <v/>
      </c>
      <c r="D1283" s="35" t="str">
        <f>IF(C1283="","",[1]!s_info_name(C1283))</f>
        <v/>
      </c>
      <c r="E1283" s="24" t="str">
        <f>IF(C1283="","",[1]!s_dq_close(C1283,$N$1))</f>
        <v/>
      </c>
      <c r="F1283" s="28" t="str">
        <f>IF($C1283=""," ",[1]!i_pq_pctchange($C1283,F$6,$N$1))</f>
        <v xml:space="preserve"> </v>
      </c>
      <c r="G1283" s="28" t="str">
        <f>IF($C1283=""," ",[1]!i_pq_pctchange($C1283,G$6,$N$1))</f>
        <v xml:space="preserve"> </v>
      </c>
      <c r="H1283" s="28" t="str">
        <f>IF($C1283=""," ",[1]!i_pq_pctchange($C1283,H$6,$N$1))</f>
        <v xml:space="preserve"> </v>
      </c>
      <c r="I1283" s="28" t="str">
        <f>IF($C1283=""," ",[1]!i_pq_pctchange($C1283,I$6,$N$1))</f>
        <v xml:space="preserve"> </v>
      </c>
      <c r="J1283" s="28" t="str">
        <f>IF($C1283=""," ",[1]!i_pq_pctchange($C1283,J$6,$N$1))</f>
        <v xml:space="preserve"> </v>
      </c>
      <c r="K1283" s="28" t="str">
        <f>IF($C1283=""," ",[1]!i_pq_pctchange($C1283,K$6,$N$1))</f>
        <v xml:space="preserve"> </v>
      </c>
      <c r="L1283" s="28" t="str">
        <f>IF(C1283=""," ",[1]!s_wq_pctchange($C1283,$N$1))</f>
        <v xml:space="preserve"> </v>
      </c>
      <c r="M1283" s="28" t="str">
        <f>IF(C1283=""," ",[1]!s_mq_pctchange($C1283,$N$1))</f>
        <v xml:space="preserve"> </v>
      </c>
      <c r="N1283" s="28" t="str">
        <f>IF(C1283=""," ",[1]!s_yq_pctchange($C1283,$N$1))</f>
        <v xml:space="preserve"> </v>
      </c>
      <c r="O1283" s="11"/>
      <c r="P1283" s="7"/>
    </row>
    <row r="1284" spans="1:16" x14ac:dyDescent="0.35">
      <c r="A1284" s="7"/>
      <c r="C1284" s="31" t="str">
        <f>IF(指数列表!B1281="","",指数列表!B1281)</f>
        <v/>
      </c>
      <c r="D1284" s="36" t="str">
        <f>IF(C1284="","",[1]!s_info_name(C1284))</f>
        <v/>
      </c>
      <c r="E1284" s="25" t="str">
        <f>IF(C1284="","",[1]!s_dq_close(C1284,$N$1))</f>
        <v/>
      </c>
      <c r="F1284" s="28" t="str">
        <f>IF($C1284=""," ",[1]!i_pq_pctchange($C1284,F$6,$N$1))</f>
        <v xml:space="preserve"> </v>
      </c>
      <c r="G1284" s="28" t="str">
        <f>IF($C1284=""," ",[1]!i_pq_pctchange($C1284,G$6,$N$1))</f>
        <v xml:space="preserve"> </v>
      </c>
      <c r="H1284" s="28" t="str">
        <f>IF($C1284=""," ",[1]!i_pq_pctchange($C1284,H$6,$N$1))</f>
        <v xml:space="preserve"> </v>
      </c>
      <c r="I1284" s="28" t="str">
        <f>IF($C1284=""," ",[1]!i_pq_pctchange($C1284,I$6,$N$1))</f>
        <v xml:space="preserve"> </v>
      </c>
      <c r="J1284" s="28" t="str">
        <f>IF($C1284=""," ",[1]!i_pq_pctchange($C1284,J$6,$N$1))</f>
        <v xml:space="preserve"> </v>
      </c>
      <c r="K1284" s="28" t="str">
        <f>IF($C1284=""," ",[1]!i_pq_pctchange($C1284,K$6,$N$1))</f>
        <v xml:space="preserve"> </v>
      </c>
      <c r="L1284" s="28" t="str">
        <f>IF(C1284=""," ",[1]!s_wq_pctchange($C1284,$N$1))</f>
        <v xml:space="preserve"> </v>
      </c>
      <c r="M1284" s="28" t="str">
        <f>IF(C1284=""," ",[1]!s_mq_pctchange($C1284,$N$1))</f>
        <v xml:space="preserve"> </v>
      </c>
      <c r="N1284" s="28" t="str">
        <f>IF(C1284=""," ",[1]!s_yq_pctchange($C1284,$N$1))</f>
        <v xml:space="preserve"> </v>
      </c>
      <c r="O1284" s="11"/>
      <c r="P1284" s="7"/>
    </row>
    <row r="1285" spans="1:16" x14ac:dyDescent="0.35">
      <c r="A1285" s="7"/>
      <c r="C1285" s="30" t="str">
        <f>IF(指数列表!B1282="","",指数列表!B1282)</f>
        <v/>
      </c>
      <c r="D1285" s="35" t="str">
        <f>IF(C1285="","",[1]!s_info_name(C1285))</f>
        <v/>
      </c>
      <c r="E1285" s="24" t="str">
        <f>IF(C1285="","",[1]!s_dq_close(C1285,$N$1))</f>
        <v/>
      </c>
      <c r="F1285" s="28" t="str">
        <f>IF($C1285=""," ",[1]!i_pq_pctchange($C1285,F$6,$N$1))</f>
        <v xml:space="preserve"> </v>
      </c>
      <c r="G1285" s="28" t="str">
        <f>IF($C1285=""," ",[1]!i_pq_pctchange($C1285,G$6,$N$1))</f>
        <v xml:space="preserve"> </v>
      </c>
      <c r="H1285" s="28" t="str">
        <f>IF($C1285=""," ",[1]!i_pq_pctchange($C1285,H$6,$N$1))</f>
        <v xml:space="preserve"> </v>
      </c>
      <c r="I1285" s="28" t="str">
        <f>IF($C1285=""," ",[1]!i_pq_pctchange($C1285,I$6,$N$1))</f>
        <v xml:space="preserve"> </v>
      </c>
      <c r="J1285" s="28" t="str">
        <f>IF($C1285=""," ",[1]!i_pq_pctchange($C1285,J$6,$N$1))</f>
        <v xml:space="preserve"> </v>
      </c>
      <c r="K1285" s="28" t="str">
        <f>IF($C1285=""," ",[1]!i_pq_pctchange($C1285,K$6,$N$1))</f>
        <v xml:space="preserve"> </v>
      </c>
      <c r="L1285" s="28" t="str">
        <f>IF(C1285=""," ",[1]!s_wq_pctchange($C1285,$N$1))</f>
        <v xml:space="preserve"> </v>
      </c>
      <c r="M1285" s="28" t="str">
        <f>IF(C1285=""," ",[1]!s_mq_pctchange($C1285,$N$1))</f>
        <v xml:space="preserve"> </v>
      </c>
      <c r="N1285" s="28" t="str">
        <f>IF(C1285=""," ",[1]!s_yq_pctchange($C1285,$N$1))</f>
        <v xml:space="preserve"> </v>
      </c>
      <c r="O1285" s="11"/>
      <c r="P1285" s="7"/>
    </row>
    <row r="1286" spans="1:16" x14ac:dyDescent="0.35">
      <c r="A1286" s="7"/>
      <c r="C1286" s="31" t="str">
        <f>IF(指数列表!B1283="","",指数列表!B1283)</f>
        <v/>
      </c>
      <c r="D1286" s="36" t="str">
        <f>IF(C1286="","",[1]!s_info_name(C1286))</f>
        <v/>
      </c>
      <c r="E1286" s="25" t="str">
        <f>IF(C1286="","",[1]!s_dq_close(C1286,$N$1))</f>
        <v/>
      </c>
      <c r="F1286" s="28" t="str">
        <f>IF($C1286=""," ",[1]!i_pq_pctchange($C1286,F$6,$N$1))</f>
        <v xml:space="preserve"> </v>
      </c>
      <c r="G1286" s="28" t="str">
        <f>IF($C1286=""," ",[1]!i_pq_pctchange($C1286,G$6,$N$1))</f>
        <v xml:space="preserve"> </v>
      </c>
      <c r="H1286" s="28" t="str">
        <f>IF($C1286=""," ",[1]!i_pq_pctchange($C1286,H$6,$N$1))</f>
        <v xml:space="preserve"> </v>
      </c>
      <c r="I1286" s="28" t="str">
        <f>IF($C1286=""," ",[1]!i_pq_pctchange($C1286,I$6,$N$1))</f>
        <v xml:space="preserve"> </v>
      </c>
      <c r="J1286" s="28" t="str">
        <f>IF($C1286=""," ",[1]!i_pq_pctchange($C1286,J$6,$N$1))</f>
        <v xml:space="preserve"> </v>
      </c>
      <c r="K1286" s="28" t="str">
        <f>IF($C1286=""," ",[1]!i_pq_pctchange($C1286,K$6,$N$1))</f>
        <v xml:space="preserve"> </v>
      </c>
      <c r="L1286" s="28" t="str">
        <f>IF(C1286=""," ",[1]!s_wq_pctchange($C1286,$N$1))</f>
        <v xml:space="preserve"> </v>
      </c>
      <c r="M1286" s="28" t="str">
        <f>IF(C1286=""," ",[1]!s_mq_pctchange($C1286,$N$1))</f>
        <v xml:space="preserve"> </v>
      </c>
      <c r="N1286" s="28" t="str">
        <f>IF(C1286=""," ",[1]!s_yq_pctchange($C1286,$N$1))</f>
        <v xml:space="preserve"> </v>
      </c>
      <c r="O1286" s="11"/>
      <c r="P1286" s="7"/>
    </row>
    <row r="1287" spans="1:16" x14ac:dyDescent="0.35">
      <c r="A1287" s="7"/>
      <c r="C1287" s="30" t="str">
        <f>IF(指数列表!B1284="","",指数列表!B1284)</f>
        <v/>
      </c>
      <c r="D1287" s="35" t="str">
        <f>IF(C1287="","",[1]!s_info_name(C1287))</f>
        <v/>
      </c>
      <c r="E1287" s="24" t="str">
        <f>IF(C1287="","",[1]!s_dq_close(C1287,$N$1))</f>
        <v/>
      </c>
      <c r="F1287" s="28" t="str">
        <f>IF($C1287=""," ",[1]!i_pq_pctchange($C1287,F$6,$N$1))</f>
        <v xml:space="preserve"> </v>
      </c>
      <c r="G1287" s="28" t="str">
        <f>IF($C1287=""," ",[1]!i_pq_pctchange($C1287,G$6,$N$1))</f>
        <v xml:space="preserve"> </v>
      </c>
      <c r="H1287" s="28" t="str">
        <f>IF($C1287=""," ",[1]!i_pq_pctchange($C1287,H$6,$N$1))</f>
        <v xml:space="preserve"> </v>
      </c>
      <c r="I1287" s="28" t="str">
        <f>IF($C1287=""," ",[1]!i_pq_pctchange($C1287,I$6,$N$1))</f>
        <v xml:space="preserve"> </v>
      </c>
      <c r="J1287" s="28" t="str">
        <f>IF($C1287=""," ",[1]!i_pq_pctchange($C1287,J$6,$N$1))</f>
        <v xml:space="preserve"> </v>
      </c>
      <c r="K1287" s="28" t="str">
        <f>IF($C1287=""," ",[1]!i_pq_pctchange($C1287,K$6,$N$1))</f>
        <v xml:space="preserve"> </v>
      </c>
      <c r="L1287" s="28" t="str">
        <f>IF(C1287=""," ",[1]!s_wq_pctchange($C1287,$N$1))</f>
        <v xml:space="preserve"> </v>
      </c>
      <c r="M1287" s="28" t="str">
        <f>IF(C1287=""," ",[1]!s_mq_pctchange($C1287,$N$1))</f>
        <v xml:space="preserve"> </v>
      </c>
      <c r="N1287" s="28" t="str">
        <f>IF(C1287=""," ",[1]!s_yq_pctchange($C1287,$N$1))</f>
        <v xml:space="preserve"> </v>
      </c>
      <c r="O1287" s="11"/>
      <c r="P1287" s="7"/>
    </row>
    <row r="1288" spans="1:16" x14ac:dyDescent="0.35">
      <c r="A1288" s="7"/>
      <c r="C1288" s="31" t="str">
        <f>IF(指数列表!B1285="","",指数列表!B1285)</f>
        <v/>
      </c>
      <c r="D1288" s="36" t="str">
        <f>IF(C1288="","",[1]!s_info_name(C1288))</f>
        <v/>
      </c>
      <c r="E1288" s="25" t="str">
        <f>IF(C1288="","",[1]!s_dq_close(C1288,$N$1))</f>
        <v/>
      </c>
      <c r="F1288" s="28" t="str">
        <f>IF($C1288=""," ",[1]!i_pq_pctchange($C1288,F$6,$N$1))</f>
        <v xml:space="preserve"> </v>
      </c>
      <c r="G1288" s="28" t="str">
        <f>IF($C1288=""," ",[1]!i_pq_pctchange($C1288,G$6,$N$1))</f>
        <v xml:space="preserve"> </v>
      </c>
      <c r="H1288" s="28" t="str">
        <f>IF($C1288=""," ",[1]!i_pq_pctchange($C1288,H$6,$N$1))</f>
        <v xml:space="preserve"> </v>
      </c>
      <c r="I1288" s="28" t="str">
        <f>IF($C1288=""," ",[1]!i_pq_pctchange($C1288,I$6,$N$1))</f>
        <v xml:space="preserve"> </v>
      </c>
      <c r="J1288" s="28" t="str">
        <f>IF($C1288=""," ",[1]!i_pq_pctchange($C1288,J$6,$N$1))</f>
        <v xml:space="preserve"> </v>
      </c>
      <c r="K1288" s="28" t="str">
        <f>IF($C1288=""," ",[1]!i_pq_pctchange($C1288,K$6,$N$1))</f>
        <v xml:space="preserve"> </v>
      </c>
      <c r="L1288" s="28" t="str">
        <f>IF(C1288=""," ",[1]!s_wq_pctchange($C1288,$N$1))</f>
        <v xml:space="preserve"> </v>
      </c>
      <c r="M1288" s="28" t="str">
        <f>IF(C1288=""," ",[1]!s_mq_pctchange($C1288,$N$1))</f>
        <v xml:space="preserve"> </v>
      </c>
      <c r="N1288" s="28" t="str">
        <f>IF(C1288=""," ",[1]!s_yq_pctchange($C1288,$N$1))</f>
        <v xml:space="preserve"> </v>
      </c>
      <c r="O1288" s="11"/>
      <c r="P1288" s="7"/>
    </row>
    <row r="1289" spans="1:16" x14ac:dyDescent="0.35">
      <c r="A1289" s="7"/>
      <c r="C1289" s="30" t="str">
        <f>IF(指数列表!B1286="","",指数列表!B1286)</f>
        <v/>
      </c>
      <c r="D1289" s="35" t="str">
        <f>IF(C1289="","",[1]!s_info_name(C1289))</f>
        <v/>
      </c>
      <c r="E1289" s="24" t="str">
        <f>IF(C1289="","",[1]!s_dq_close(C1289,$N$1))</f>
        <v/>
      </c>
      <c r="F1289" s="28" t="str">
        <f>IF($C1289=""," ",[1]!i_pq_pctchange($C1289,F$6,$N$1))</f>
        <v xml:space="preserve"> </v>
      </c>
      <c r="G1289" s="28" t="str">
        <f>IF($C1289=""," ",[1]!i_pq_pctchange($C1289,G$6,$N$1))</f>
        <v xml:space="preserve"> </v>
      </c>
      <c r="H1289" s="28" t="str">
        <f>IF($C1289=""," ",[1]!i_pq_pctchange($C1289,H$6,$N$1))</f>
        <v xml:space="preserve"> </v>
      </c>
      <c r="I1289" s="28" t="str">
        <f>IF($C1289=""," ",[1]!i_pq_pctchange($C1289,I$6,$N$1))</f>
        <v xml:space="preserve"> </v>
      </c>
      <c r="J1289" s="28" t="str">
        <f>IF($C1289=""," ",[1]!i_pq_pctchange($C1289,J$6,$N$1))</f>
        <v xml:space="preserve"> </v>
      </c>
      <c r="K1289" s="28" t="str">
        <f>IF($C1289=""," ",[1]!i_pq_pctchange($C1289,K$6,$N$1))</f>
        <v xml:space="preserve"> </v>
      </c>
      <c r="L1289" s="28" t="str">
        <f>IF(C1289=""," ",[1]!s_wq_pctchange($C1289,$N$1))</f>
        <v xml:space="preserve"> </v>
      </c>
      <c r="M1289" s="28" t="str">
        <f>IF(C1289=""," ",[1]!s_mq_pctchange($C1289,$N$1))</f>
        <v xml:space="preserve"> </v>
      </c>
      <c r="N1289" s="28" t="str">
        <f>IF(C1289=""," ",[1]!s_yq_pctchange($C1289,$N$1))</f>
        <v xml:space="preserve"> </v>
      </c>
      <c r="O1289" s="11"/>
      <c r="P1289" s="7"/>
    </row>
    <row r="1290" spans="1:16" x14ac:dyDescent="0.35">
      <c r="A1290" s="7"/>
      <c r="C1290" s="31" t="str">
        <f>IF(指数列表!B1287="","",指数列表!B1287)</f>
        <v/>
      </c>
      <c r="D1290" s="36" t="str">
        <f>IF(C1290="","",[1]!s_info_name(C1290))</f>
        <v/>
      </c>
      <c r="E1290" s="25" t="str">
        <f>IF(C1290="","",[1]!s_dq_close(C1290,$N$1))</f>
        <v/>
      </c>
      <c r="F1290" s="28" t="str">
        <f>IF($C1290=""," ",[1]!i_pq_pctchange($C1290,F$6,$N$1))</f>
        <v xml:space="preserve"> </v>
      </c>
      <c r="G1290" s="28" t="str">
        <f>IF($C1290=""," ",[1]!i_pq_pctchange($C1290,G$6,$N$1))</f>
        <v xml:space="preserve"> </v>
      </c>
      <c r="H1290" s="28" t="str">
        <f>IF($C1290=""," ",[1]!i_pq_pctchange($C1290,H$6,$N$1))</f>
        <v xml:space="preserve"> </v>
      </c>
      <c r="I1290" s="28" t="str">
        <f>IF($C1290=""," ",[1]!i_pq_pctchange($C1290,I$6,$N$1))</f>
        <v xml:space="preserve"> </v>
      </c>
      <c r="J1290" s="28" t="str">
        <f>IF($C1290=""," ",[1]!i_pq_pctchange($C1290,J$6,$N$1))</f>
        <v xml:space="preserve"> </v>
      </c>
      <c r="K1290" s="28" t="str">
        <f>IF($C1290=""," ",[1]!i_pq_pctchange($C1290,K$6,$N$1))</f>
        <v xml:space="preserve"> </v>
      </c>
      <c r="L1290" s="28" t="str">
        <f>IF(C1290=""," ",[1]!s_wq_pctchange($C1290,$N$1))</f>
        <v xml:space="preserve"> </v>
      </c>
      <c r="M1290" s="28" t="str">
        <f>IF(C1290=""," ",[1]!s_mq_pctchange($C1290,$N$1))</f>
        <v xml:space="preserve"> </v>
      </c>
      <c r="N1290" s="28" t="str">
        <f>IF(C1290=""," ",[1]!s_yq_pctchange($C1290,$N$1))</f>
        <v xml:space="preserve"> </v>
      </c>
      <c r="O1290" s="11"/>
      <c r="P1290" s="7"/>
    </row>
    <row r="1291" spans="1:16" x14ac:dyDescent="0.35">
      <c r="A1291" s="7"/>
      <c r="C1291" s="30" t="str">
        <f>IF(指数列表!B1288="","",指数列表!B1288)</f>
        <v/>
      </c>
      <c r="D1291" s="35" t="str">
        <f>IF(C1291="","",[1]!s_info_name(C1291))</f>
        <v/>
      </c>
      <c r="E1291" s="24" t="str">
        <f>IF(C1291="","",[1]!s_dq_close(C1291,$N$1))</f>
        <v/>
      </c>
      <c r="F1291" s="28" t="str">
        <f>IF($C1291=""," ",[1]!i_pq_pctchange($C1291,F$6,$N$1))</f>
        <v xml:space="preserve"> </v>
      </c>
      <c r="G1291" s="28" t="str">
        <f>IF($C1291=""," ",[1]!i_pq_pctchange($C1291,G$6,$N$1))</f>
        <v xml:space="preserve"> </v>
      </c>
      <c r="H1291" s="28" t="str">
        <f>IF($C1291=""," ",[1]!i_pq_pctchange($C1291,H$6,$N$1))</f>
        <v xml:space="preserve"> </v>
      </c>
      <c r="I1291" s="28" t="str">
        <f>IF($C1291=""," ",[1]!i_pq_pctchange($C1291,I$6,$N$1))</f>
        <v xml:space="preserve"> </v>
      </c>
      <c r="J1291" s="28" t="str">
        <f>IF($C1291=""," ",[1]!i_pq_pctchange($C1291,J$6,$N$1))</f>
        <v xml:space="preserve"> </v>
      </c>
      <c r="K1291" s="28" t="str">
        <f>IF($C1291=""," ",[1]!i_pq_pctchange($C1291,K$6,$N$1))</f>
        <v xml:space="preserve"> </v>
      </c>
      <c r="L1291" s="28" t="str">
        <f>IF(C1291=""," ",[1]!s_wq_pctchange($C1291,$N$1))</f>
        <v xml:space="preserve"> </v>
      </c>
      <c r="M1291" s="28" t="str">
        <f>IF(C1291=""," ",[1]!s_mq_pctchange($C1291,$N$1))</f>
        <v xml:space="preserve"> </v>
      </c>
      <c r="N1291" s="28" t="str">
        <f>IF(C1291=""," ",[1]!s_yq_pctchange($C1291,$N$1))</f>
        <v xml:space="preserve"> </v>
      </c>
      <c r="O1291" s="11"/>
      <c r="P1291" s="7"/>
    </row>
    <row r="1292" spans="1:16" x14ac:dyDescent="0.35">
      <c r="A1292" s="7"/>
      <c r="C1292" s="31" t="str">
        <f>IF(指数列表!B1289="","",指数列表!B1289)</f>
        <v/>
      </c>
      <c r="D1292" s="36" t="str">
        <f>IF(C1292="","",[1]!s_info_name(C1292))</f>
        <v/>
      </c>
      <c r="E1292" s="25" t="str">
        <f>IF(C1292="","",[1]!s_dq_close(C1292,$N$1))</f>
        <v/>
      </c>
      <c r="F1292" s="28" t="str">
        <f>IF($C1292=""," ",[1]!i_pq_pctchange($C1292,F$6,$N$1))</f>
        <v xml:space="preserve"> </v>
      </c>
      <c r="G1292" s="28" t="str">
        <f>IF($C1292=""," ",[1]!i_pq_pctchange($C1292,G$6,$N$1))</f>
        <v xml:space="preserve"> </v>
      </c>
      <c r="H1292" s="28" t="str">
        <f>IF($C1292=""," ",[1]!i_pq_pctchange($C1292,H$6,$N$1))</f>
        <v xml:space="preserve"> </v>
      </c>
      <c r="I1292" s="28" t="str">
        <f>IF($C1292=""," ",[1]!i_pq_pctchange($C1292,I$6,$N$1))</f>
        <v xml:space="preserve"> </v>
      </c>
      <c r="J1292" s="28" t="str">
        <f>IF($C1292=""," ",[1]!i_pq_pctchange($C1292,J$6,$N$1))</f>
        <v xml:space="preserve"> </v>
      </c>
      <c r="K1292" s="28" t="str">
        <f>IF($C1292=""," ",[1]!i_pq_pctchange($C1292,K$6,$N$1))</f>
        <v xml:space="preserve"> </v>
      </c>
      <c r="L1292" s="28" t="str">
        <f>IF(C1292=""," ",[1]!s_wq_pctchange($C1292,$N$1))</f>
        <v xml:space="preserve"> </v>
      </c>
      <c r="M1292" s="28" t="str">
        <f>IF(C1292=""," ",[1]!s_mq_pctchange($C1292,$N$1))</f>
        <v xml:space="preserve"> </v>
      </c>
      <c r="N1292" s="28" t="str">
        <f>IF(C1292=""," ",[1]!s_yq_pctchange($C1292,$N$1))</f>
        <v xml:space="preserve"> </v>
      </c>
      <c r="O1292" s="11"/>
      <c r="P1292" s="7"/>
    </row>
    <row r="1293" spans="1:16" x14ac:dyDescent="0.35">
      <c r="A1293" s="7"/>
      <c r="C1293" s="30" t="str">
        <f>IF(指数列表!B1290="","",指数列表!B1290)</f>
        <v/>
      </c>
      <c r="D1293" s="35" t="str">
        <f>IF(C1293="","",[1]!s_info_name(C1293))</f>
        <v/>
      </c>
      <c r="E1293" s="24" t="str">
        <f>IF(C1293="","",[1]!s_dq_close(C1293,$N$1))</f>
        <v/>
      </c>
      <c r="F1293" s="28" t="str">
        <f>IF($C1293=""," ",[1]!i_pq_pctchange($C1293,F$6,$N$1))</f>
        <v xml:space="preserve"> </v>
      </c>
      <c r="G1293" s="28" t="str">
        <f>IF($C1293=""," ",[1]!i_pq_pctchange($C1293,G$6,$N$1))</f>
        <v xml:space="preserve"> </v>
      </c>
      <c r="H1293" s="28" t="str">
        <f>IF($C1293=""," ",[1]!i_pq_pctchange($C1293,H$6,$N$1))</f>
        <v xml:space="preserve"> </v>
      </c>
      <c r="I1293" s="28" t="str">
        <f>IF($C1293=""," ",[1]!i_pq_pctchange($C1293,I$6,$N$1))</f>
        <v xml:space="preserve"> </v>
      </c>
      <c r="J1293" s="28" t="str">
        <f>IF($C1293=""," ",[1]!i_pq_pctchange($C1293,J$6,$N$1))</f>
        <v xml:space="preserve"> </v>
      </c>
      <c r="K1293" s="28" t="str">
        <f>IF($C1293=""," ",[1]!i_pq_pctchange($C1293,K$6,$N$1))</f>
        <v xml:space="preserve"> </v>
      </c>
      <c r="L1293" s="28" t="str">
        <f>IF(C1293=""," ",[1]!s_wq_pctchange($C1293,$N$1))</f>
        <v xml:space="preserve"> </v>
      </c>
      <c r="M1293" s="28" t="str">
        <f>IF(C1293=""," ",[1]!s_mq_pctchange($C1293,$N$1))</f>
        <v xml:space="preserve"> </v>
      </c>
      <c r="N1293" s="28" t="str">
        <f>IF(C1293=""," ",[1]!s_yq_pctchange($C1293,$N$1))</f>
        <v xml:space="preserve"> </v>
      </c>
      <c r="O1293" s="11"/>
      <c r="P1293" s="7"/>
    </row>
    <row r="1294" spans="1:16" x14ac:dyDescent="0.35">
      <c r="A1294" s="7"/>
      <c r="C1294" s="31" t="str">
        <f>IF(指数列表!B1291="","",指数列表!B1291)</f>
        <v/>
      </c>
      <c r="D1294" s="36" t="str">
        <f>IF(C1294="","",[1]!s_info_name(C1294))</f>
        <v/>
      </c>
      <c r="E1294" s="25" t="str">
        <f>IF(C1294="","",[1]!s_dq_close(C1294,$N$1))</f>
        <v/>
      </c>
      <c r="F1294" s="28" t="str">
        <f>IF($C1294=""," ",[1]!i_pq_pctchange($C1294,F$6,$N$1))</f>
        <v xml:space="preserve"> </v>
      </c>
      <c r="G1294" s="28" t="str">
        <f>IF($C1294=""," ",[1]!i_pq_pctchange($C1294,G$6,$N$1))</f>
        <v xml:space="preserve"> </v>
      </c>
      <c r="H1294" s="28" t="str">
        <f>IF($C1294=""," ",[1]!i_pq_pctchange($C1294,H$6,$N$1))</f>
        <v xml:space="preserve"> </v>
      </c>
      <c r="I1294" s="28" t="str">
        <f>IF($C1294=""," ",[1]!i_pq_pctchange($C1294,I$6,$N$1))</f>
        <v xml:space="preserve"> </v>
      </c>
      <c r="J1294" s="28" t="str">
        <f>IF($C1294=""," ",[1]!i_pq_pctchange($C1294,J$6,$N$1))</f>
        <v xml:space="preserve"> </v>
      </c>
      <c r="K1294" s="28" t="str">
        <f>IF($C1294=""," ",[1]!i_pq_pctchange($C1294,K$6,$N$1))</f>
        <v xml:space="preserve"> </v>
      </c>
      <c r="L1294" s="28" t="str">
        <f>IF(C1294=""," ",[1]!s_wq_pctchange($C1294,$N$1))</f>
        <v xml:space="preserve"> </v>
      </c>
      <c r="M1294" s="28" t="str">
        <f>IF(C1294=""," ",[1]!s_mq_pctchange($C1294,$N$1))</f>
        <v xml:space="preserve"> </v>
      </c>
      <c r="N1294" s="28" t="str">
        <f>IF(C1294=""," ",[1]!s_yq_pctchange($C1294,$N$1))</f>
        <v xml:space="preserve"> </v>
      </c>
      <c r="O1294" s="11"/>
      <c r="P1294" s="7"/>
    </row>
    <row r="1295" spans="1:16" x14ac:dyDescent="0.35">
      <c r="A1295" s="7"/>
      <c r="C1295" s="30" t="str">
        <f>IF(指数列表!B1292="","",指数列表!B1292)</f>
        <v/>
      </c>
      <c r="D1295" s="35" t="str">
        <f>IF(C1295="","",[1]!s_info_name(C1295))</f>
        <v/>
      </c>
      <c r="E1295" s="24" t="str">
        <f>IF(C1295="","",[1]!s_dq_close(C1295,$N$1))</f>
        <v/>
      </c>
      <c r="F1295" s="28" t="str">
        <f>IF($C1295=""," ",[1]!i_pq_pctchange($C1295,F$6,$N$1))</f>
        <v xml:space="preserve"> </v>
      </c>
      <c r="G1295" s="28" t="str">
        <f>IF($C1295=""," ",[1]!i_pq_pctchange($C1295,G$6,$N$1))</f>
        <v xml:space="preserve"> </v>
      </c>
      <c r="H1295" s="28" t="str">
        <f>IF($C1295=""," ",[1]!i_pq_pctchange($C1295,H$6,$N$1))</f>
        <v xml:space="preserve"> </v>
      </c>
      <c r="I1295" s="28" t="str">
        <f>IF($C1295=""," ",[1]!i_pq_pctchange($C1295,I$6,$N$1))</f>
        <v xml:space="preserve"> </v>
      </c>
      <c r="J1295" s="28" t="str">
        <f>IF($C1295=""," ",[1]!i_pq_pctchange($C1295,J$6,$N$1))</f>
        <v xml:space="preserve"> </v>
      </c>
      <c r="K1295" s="28" t="str">
        <f>IF($C1295=""," ",[1]!i_pq_pctchange($C1295,K$6,$N$1))</f>
        <v xml:space="preserve"> </v>
      </c>
      <c r="L1295" s="28" t="str">
        <f>IF(C1295=""," ",[1]!s_wq_pctchange($C1295,$N$1))</f>
        <v xml:space="preserve"> </v>
      </c>
      <c r="M1295" s="28" t="str">
        <f>IF(C1295=""," ",[1]!s_mq_pctchange($C1295,$N$1))</f>
        <v xml:space="preserve"> </v>
      </c>
      <c r="N1295" s="28" t="str">
        <f>IF(C1295=""," ",[1]!s_yq_pctchange($C1295,$N$1))</f>
        <v xml:space="preserve"> </v>
      </c>
      <c r="O1295" s="11"/>
      <c r="P1295" s="7"/>
    </row>
    <row r="1296" spans="1:16" x14ac:dyDescent="0.35">
      <c r="A1296" s="7"/>
      <c r="C1296" s="31" t="str">
        <f>IF(指数列表!B1293="","",指数列表!B1293)</f>
        <v/>
      </c>
      <c r="D1296" s="36" t="str">
        <f>IF(C1296="","",[1]!s_info_name(C1296))</f>
        <v/>
      </c>
      <c r="E1296" s="25" t="str">
        <f>IF(C1296="","",[1]!s_dq_close(C1296,$N$1))</f>
        <v/>
      </c>
      <c r="F1296" s="28" t="str">
        <f>IF($C1296=""," ",[1]!i_pq_pctchange($C1296,F$6,$N$1))</f>
        <v xml:space="preserve"> </v>
      </c>
      <c r="G1296" s="28" t="str">
        <f>IF($C1296=""," ",[1]!i_pq_pctchange($C1296,G$6,$N$1))</f>
        <v xml:space="preserve"> </v>
      </c>
      <c r="H1296" s="28" t="str">
        <f>IF($C1296=""," ",[1]!i_pq_pctchange($C1296,H$6,$N$1))</f>
        <v xml:space="preserve"> </v>
      </c>
      <c r="I1296" s="28" t="str">
        <f>IF($C1296=""," ",[1]!i_pq_pctchange($C1296,I$6,$N$1))</f>
        <v xml:space="preserve"> </v>
      </c>
      <c r="J1296" s="28" t="str">
        <f>IF($C1296=""," ",[1]!i_pq_pctchange($C1296,J$6,$N$1))</f>
        <v xml:space="preserve"> </v>
      </c>
      <c r="K1296" s="28" t="str">
        <f>IF($C1296=""," ",[1]!i_pq_pctchange($C1296,K$6,$N$1))</f>
        <v xml:space="preserve"> </v>
      </c>
      <c r="L1296" s="28" t="str">
        <f>IF(C1296=""," ",[1]!s_wq_pctchange($C1296,$N$1))</f>
        <v xml:space="preserve"> </v>
      </c>
      <c r="M1296" s="28" t="str">
        <f>IF(C1296=""," ",[1]!s_mq_pctchange($C1296,$N$1))</f>
        <v xml:space="preserve"> </v>
      </c>
      <c r="N1296" s="28" t="str">
        <f>IF(C1296=""," ",[1]!s_yq_pctchange($C1296,$N$1))</f>
        <v xml:space="preserve"> </v>
      </c>
      <c r="O1296" s="11"/>
      <c r="P1296" s="7"/>
    </row>
    <row r="1297" spans="1:16" x14ac:dyDescent="0.35">
      <c r="A1297" s="7"/>
      <c r="C1297" s="30" t="str">
        <f>IF(指数列表!B1294="","",指数列表!B1294)</f>
        <v/>
      </c>
      <c r="D1297" s="35" t="str">
        <f>IF(C1297="","",[1]!s_info_name(C1297))</f>
        <v/>
      </c>
      <c r="E1297" s="24" t="str">
        <f>IF(C1297="","",[1]!s_dq_close(C1297,$N$1))</f>
        <v/>
      </c>
      <c r="F1297" s="28" t="str">
        <f>IF($C1297=""," ",[1]!i_pq_pctchange($C1297,F$6,$N$1))</f>
        <v xml:space="preserve"> </v>
      </c>
      <c r="G1297" s="28" t="str">
        <f>IF($C1297=""," ",[1]!i_pq_pctchange($C1297,G$6,$N$1))</f>
        <v xml:space="preserve"> </v>
      </c>
      <c r="H1297" s="28" t="str">
        <f>IF($C1297=""," ",[1]!i_pq_pctchange($C1297,H$6,$N$1))</f>
        <v xml:space="preserve"> </v>
      </c>
      <c r="I1297" s="28" t="str">
        <f>IF($C1297=""," ",[1]!i_pq_pctchange($C1297,I$6,$N$1))</f>
        <v xml:space="preserve"> </v>
      </c>
      <c r="J1297" s="28" t="str">
        <f>IF($C1297=""," ",[1]!i_pq_pctchange($C1297,J$6,$N$1))</f>
        <v xml:space="preserve"> </v>
      </c>
      <c r="K1297" s="28" t="str">
        <f>IF($C1297=""," ",[1]!i_pq_pctchange($C1297,K$6,$N$1))</f>
        <v xml:space="preserve"> </v>
      </c>
      <c r="L1297" s="28" t="str">
        <f>IF(C1297=""," ",[1]!s_wq_pctchange($C1297,$N$1))</f>
        <v xml:space="preserve"> </v>
      </c>
      <c r="M1297" s="28" t="str">
        <f>IF(C1297=""," ",[1]!s_mq_pctchange($C1297,$N$1))</f>
        <v xml:space="preserve"> </v>
      </c>
      <c r="N1297" s="28" t="str">
        <f>IF(C1297=""," ",[1]!s_yq_pctchange($C1297,$N$1))</f>
        <v xml:space="preserve"> </v>
      </c>
      <c r="O1297" s="11"/>
      <c r="P1297" s="7"/>
    </row>
    <row r="1298" spans="1:16" x14ac:dyDescent="0.35">
      <c r="A1298" s="7"/>
      <c r="C1298" s="31" t="str">
        <f>IF(指数列表!B1295="","",指数列表!B1295)</f>
        <v/>
      </c>
      <c r="D1298" s="36" t="str">
        <f>IF(C1298="","",[1]!s_info_name(C1298))</f>
        <v/>
      </c>
      <c r="E1298" s="25" t="str">
        <f>IF(C1298="","",[1]!s_dq_close(C1298,$N$1))</f>
        <v/>
      </c>
      <c r="F1298" s="28" t="str">
        <f>IF($C1298=""," ",[1]!i_pq_pctchange($C1298,F$6,$N$1))</f>
        <v xml:space="preserve"> </v>
      </c>
      <c r="G1298" s="28" t="str">
        <f>IF($C1298=""," ",[1]!i_pq_pctchange($C1298,G$6,$N$1))</f>
        <v xml:space="preserve"> </v>
      </c>
      <c r="H1298" s="28" t="str">
        <f>IF($C1298=""," ",[1]!i_pq_pctchange($C1298,H$6,$N$1))</f>
        <v xml:space="preserve"> </v>
      </c>
      <c r="I1298" s="28" t="str">
        <f>IF($C1298=""," ",[1]!i_pq_pctchange($C1298,I$6,$N$1))</f>
        <v xml:space="preserve"> </v>
      </c>
      <c r="J1298" s="28" t="str">
        <f>IF($C1298=""," ",[1]!i_pq_pctchange($C1298,J$6,$N$1))</f>
        <v xml:space="preserve"> </v>
      </c>
      <c r="K1298" s="28" t="str">
        <f>IF($C1298=""," ",[1]!i_pq_pctchange($C1298,K$6,$N$1))</f>
        <v xml:space="preserve"> </v>
      </c>
      <c r="L1298" s="28" t="str">
        <f>IF(C1298=""," ",[1]!s_wq_pctchange($C1298,$N$1))</f>
        <v xml:space="preserve"> </v>
      </c>
      <c r="M1298" s="28" t="str">
        <f>IF(C1298=""," ",[1]!s_mq_pctchange($C1298,$N$1))</f>
        <v xml:space="preserve"> </v>
      </c>
      <c r="N1298" s="28" t="str">
        <f>IF(C1298=""," ",[1]!s_yq_pctchange($C1298,$N$1))</f>
        <v xml:space="preserve"> </v>
      </c>
      <c r="O1298" s="11"/>
      <c r="P1298" s="7"/>
    </row>
    <row r="1299" spans="1:16" x14ac:dyDescent="0.35">
      <c r="A1299" s="7"/>
      <c r="C1299" s="30" t="str">
        <f>IF(指数列表!B1296="","",指数列表!B1296)</f>
        <v/>
      </c>
      <c r="D1299" s="35" t="str">
        <f>IF(C1299="","",[1]!s_info_name(C1299))</f>
        <v/>
      </c>
      <c r="E1299" s="24" t="str">
        <f>IF(C1299="","",[1]!s_dq_close(C1299,$N$1))</f>
        <v/>
      </c>
      <c r="F1299" s="28" t="str">
        <f>IF($C1299=""," ",[1]!i_pq_pctchange($C1299,F$6,$N$1))</f>
        <v xml:space="preserve"> </v>
      </c>
      <c r="G1299" s="28" t="str">
        <f>IF($C1299=""," ",[1]!i_pq_pctchange($C1299,G$6,$N$1))</f>
        <v xml:space="preserve"> </v>
      </c>
      <c r="H1299" s="28" t="str">
        <f>IF($C1299=""," ",[1]!i_pq_pctchange($C1299,H$6,$N$1))</f>
        <v xml:space="preserve"> </v>
      </c>
      <c r="I1299" s="28" t="str">
        <f>IF($C1299=""," ",[1]!i_pq_pctchange($C1299,I$6,$N$1))</f>
        <v xml:space="preserve"> </v>
      </c>
      <c r="J1299" s="28" t="str">
        <f>IF($C1299=""," ",[1]!i_pq_pctchange($C1299,J$6,$N$1))</f>
        <v xml:space="preserve"> </v>
      </c>
      <c r="K1299" s="28" t="str">
        <f>IF($C1299=""," ",[1]!i_pq_pctchange($C1299,K$6,$N$1))</f>
        <v xml:space="preserve"> </v>
      </c>
      <c r="L1299" s="28" t="str">
        <f>IF(C1299=""," ",[1]!s_wq_pctchange($C1299,$N$1))</f>
        <v xml:space="preserve"> </v>
      </c>
      <c r="M1299" s="28" t="str">
        <f>IF(C1299=""," ",[1]!s_mq_pctchange($C1299,$N$1))</f>
        <v xml:space="preserve"> </v>
      </c>
      <c r="N1299" s="28" t="str">
        <f>IF(C1299=""," ",[1]!s_yq_pctchange($C1299,$N$1))</f>
        <v xml:space="preserve"> </v>
      </c>
      <c r="O1299" s="11"/>
      <c r="P1299" s="7"/>
    </row>
    <row r="1300" spans="1:16" x14ac:dyDescent="0.35">
      <c r="A1300" s="7"/>
      <c r="C1300" s="31" t="str">
        <f>IF(指数列表!B1297="","",指数列表!B1297)</f>
        <v/>
      </c>
      <c r="D1300" s="36" t="str">
        <f>IF(C1300="","",[1]!s_info_name(C1300))</f>
        <v/>
      </c>
      <c r="E1300" s="25" t="str">
        <f>IF(C1300="","",[1]!s_dq_close(C1300,$N$1))</f>
        <v/>
      </c>
      <c r="F1300" s="28" t="str">
        <f>IF($C1300=""," ",[1]!i_pq_pctchange($C1300,F$6,$N$1))</f>
        <v xml:space="preserve"> </v>
      </c>
      <c r="G1300" s="28" t="str">
        <f>IF($C1300=""," ",[1]!i_pq_pctchange($C1300,G$6,$N$1))</f>
        <v xml:space="preserve"> </v>
      </c>
      <c r="H1300" s="28" t="str">
        <f>IF($C1300=""," ",[1]!i_pq_pctchange($C1300,H$6,$N$1))</f>
        <v xml:space="preserve"> </v>
      </c>
      <c r="I1300" s="28" t="str">
        <f>IF($C1300=""," ",[1]!i_pq_pctchange($C1300,I$6,$N$1))</f>
        <v xml:space="preserve"> </v>
      </c>
      <c r="J1300" s="28" t="str">
        <f>IF($C1300=""," ",[1]!i_pq_pctchange($C1300,J$6,$N$1))</f>
        <v xml:space="preserve"> </v>
      </c>
      <c r="K1300" s="28" t="str">
        <f>IF($C1300=""," ",[1]!i_pq_pctchange($C1300,K$6,$N$1))</f>
        <v xml:space="preserve"> </v>
      </c>
      <c r="L1300" s="28" t="str">
        <f>IF(C1300=""," ",[1]!s_wq_pctchange($C1300,$N$1))</f>
        <v xml:space="preserve"> </v>
      </c>
      <c r="M1300" s="28" t="str">
        <f>IF(C1300=""," ",[1]!s_mq_pctchange($C1300,$N$1))</f>
        <v xml:space="preserve"> </v>
      </c>
      <c r="N1300" s="28" t="str">
        <f>IF(C1300=""," ",[1]!s_yq_pctchange($C1300,$N$1))</f>
        <v xml:space="preserve"> </v>
      </c>
      <c r="O1300" s="11"/>
      <c r="P1300" s="7"/>
    </row>
    <row r="1301" spans="1:16" x14ac:dyDescent="0.35">
      <c r="A1301" s="7"/>
      <c r="C1301" s="30" t="str">
        <f>IF(指数列表!B1298="","",指数列表!B1298)</f>
        <v/>
      </c>
      <c r="D1301" s="35" t="str">
        <f>IF(C1301="","",[1]!s_info_name(C1301))</f>
        <v/>
      </c>
      <c r="E1301" s="24" t="str">
        <f>IF(C1301="","",[1]!s_dq_close(C1301,$N$1))</f>
        <v/>
      </c>
      <c r="F1301" s="28" t="str">
        <f>IF($C1301=""," ",[1]!i_pq_pctchange($C1301,F$6,$N$1))</f>
        <v xml:space="preserve"> </v>
      </c>
      <c r="G1301" s="28" t="str">
        <f>IF($C1301=""," ",[1]!i_pq_pctchange($C1301,G$6,$N$1))</f>
        <v xml:space="preserve"> </v>
      </c>
      <c r="H1301" s="28" t="str">
        <f>IF($C1301=""," ",[1]!i_pq_pctchange($C1301,H$6,$N$1))</f>
        <v xml:space="preserve"> </v>
      </c>
      <c r="I1301" s="28" t="str">
        <f>IF($C1301=""," ",[1]!i_pq_pctchange($C1301,I$6,$N$1))</f>
        <v xml:space="preserve"> </v>
      </c>
      <c r="J1301" s="28" t="str">
        <f>IF($C1301=""," ",[1]!i_pq_pctchange($C1301,J$6,$N$1))</f>
        <v xml:space="preserve"> </v>
      </c>
      <c r="K1301" s="28" t="str">
        <f>IF($C1301=""," ",[1]!i_pq_pctchange($C1301,K$6,$N$1))</f>
        <v xml:space="preserve"> </v>
      </c>
      <c r="L1301" s="28" t="str">
        <f>IF(C1301=""," ",[1]!s_wq_pctchange($C1301,$N$1))</f>
        <v xml:space="preserve"> </v>
      </c>
      <c r="M1301" s="28" t="str">
        <f>IF(C1301=""," ",[1]!s_mq_pctchange($C1301,$N$1))</f>
        <v xml:space="preserve"> </v>
      </c>
      <c r="N1301" s="28" t="str">
        <f>IF(C1301=""," ",[1]!s_yq_pctchange($C1301,$N$1))</f>
        <v xml:space="preserve"> </v>
      </c>
      <c r="O1301" s="11"/>
      <c r="P1301" s="7"/>
    </row>
    <row r="1302" spans="1:16" x14ac:dyDescent="0.35">
      <c r="A1302" s="7"/>
      <c r="C1302" s="31" t="str">
        <f>IF(指数列表!B1299="","",指数列表!B1299)</f>
        <v/>
      </c>
      <c r="D1302" s="36" t="str">
        <f>IF(C1302="","",[1]!s_info_name(C1302))</f>
        <v/>
      </c>
      <c r="E1302" s="25" t="str">
        <f>IF(C1302="","",[1]!s_dq_close(C1302,$N$1))</f>
        <v/>
      </c>
      <c r="F1302" s="28" t="str">
        <f>IF($C1302=""," ",[1]!i_pq_pctchange($C1302,F$6,$N$1))</f>
        <v xml:space="preserve"> </v>
      </c>
      <c r="G1302" s="28" t="str">
        <f>IF($C1302=""," ",[1]!i_pq_pctchange($C1302,G$6,$N$1))</f>
        <v xml:space="preserve"> </v>
      </c>
      <c r="H1302" s="28" t="str">
        <f>IF($C1302=""," ",[1]!i_pq_pctchange($C1302,H$6,$N$1))</f>
        <v xml:space="preserve"> </v>
      </c>
      <c r="I1302" s="28" t="str">
        <f>IF($C1302=""," ",[1]!i_pq_pctchange($C1302,I$6,$N$1))</f>
        <v xml:space="preserve"> </v>
      </c>
      <c r="J1302" s="28" t="str">
        <f>IF($C1302=""," ",[1]!i_pq_pctchange($C1302,J$6,$N$1))</f>
        <v xml:space="preserve"> </v>
      </c>
      <c r="K1302" s="28" t="str">
        <f>IF($C1302=""," ",[1]!i_pq_pctchange($C1302,K$6,$N$1))</f>
        <v xml:space="preserve"> </v>
      </c>
      <c r="L1302" s="28" t="str">
        <f>IF(C1302=""," ",[1]!s_wq_pctchange($C1302,$N$1))</f>
        <v xml:space="preserve"> </v>
      </c>
      <c r="M1302" s="28" t="str">
        <f>IF(C1302=""," ",[1]!s_mq_pctchange($C1302,$N$1))</f>
        <v xml:space="preserve"> </v>
      </c>
      <c r="N1302" s="28" t="str">
        <f>IF(C1302=""," ",[1]!s_yq_pctchange($C1302,$N$1))</f>
        <v xml:space="preserve"> </v>
      </c>
      <c r="O1302" s="11"/>
      <c r="P1302" s="7"/>
    </row>
    <row r="1303" spans="1:16" x14ac:dyDescent="0.35">
      <c r="A1303" s="7"/>
      <c r="C1303" s="30" t="str">
        <f>IF(指数列表!B1300="","",指数列表!B1300)</f>
        <v/>
      </c>
      <c r="D1303" s="35" t="str">
        <f>IF(C1303="","",[1]!s_info_name(C1303))</f>
        <v/>
      </c>
      <c r="E1303" s="24" t="str">
        <f>IF(C1303="","",[1]!s_dq_close(C1303,$N$1))</f>
        <v/>
      </c>
      <c r="F1303" s="28" t="str">
        <f>IF($C1303=""," ",[1]!i_pq_pctchange($C1303,F$6,$N$1))</f>
        <v xml:space="preserve"> </v>
      </c>
      <c r="G1303" s="28" t="str">
        <f>IF($C1303=""," ",[1]!i_pq_pctchange($C1303,G$6,$N$1))</f>
        <v xml:space="preserve"> </v>
      </c>
      <c r="H1303" s="28" t="str">
        <f>IF($C1303=""," ",[1]!i_pq_pctchange($C1303,H$6,$N$1))</f>
        <v xml:space="preserve"> </v>
      </c>
      <c r="I1303" s="28" t="str">
        <f>IF($C1303=""," ",[1]!i_pq_pctchange($C1303,I$6,$N$1))</f>
        <v xml:space="preserve"> </v>
      </c>
      <c r="J1303" s="28" t="str">
        <f>IF($C1303=""," ",[1]!i_pq_pctchange($C1303,J$6,$N$1))</f>
        <v xml:space="preserve"> </v>
      </c>
      <c r="K1303" s="28" t="str">
        <f>IF($C1303=""," ",[1]!i_pq_pctchange($C1303,K$6,$N$1))</f>
        <v xml:space="preserve"> </v>
      </c>
      <c r="L1303" s="28" t="str">
        <f>IF(C1303=""," ",[1]!s_wq_pctchange($C1303,$N$1))</f>
        <v xml:space="preserve"> </v>
      </c>
      <c r="M1303" s="28" t="str">
        <f>IF(C1303=""," ",[1]!s_mq_pctchange($C1303,$N$1))</f>
        <v xml:space="preserve"> </v>
      </c>
      <c r="N1303" s="28" t="str">
        <f>IF(C1303=""," ",[1]!s_yq_pctchange($C1303,$N$1))</f>
        <v xml:space="preserve"> </v>
      </c>
      <c r="O1303" s="11"/>
      <c r="P1303" s="7"/>
    </row>
    <row r="1304" spans="1:16" x14ac:dyDescent="0.35">
      <c r="A1304" s="7"/>
      <c r="C1304" s="31" t="str">
        <f>IF(指数列表!B1301="","",指数列表!B1301)</f>
        <v/>
      </c>
      <c r="D1304" s="36" t="str">
        <f>IF(C1304="","",[1]!s_info_name(C1304))</f>
        <v/>
      </c>
      <c r="E1304" s="25" t="str">
        <f>IF(C1304="","",[1]!s_dq_close(C1304,$N$1))</f>
        <v/>
      </c>
      <c r="F1304" s="28" t="str">
        <f>IF($C1304=""," ",[1]!i_pq_pctchange($C1304,F$6,$N$1))</f>
        <v xml:space="preserve"> </v>
      </c>
      <c r="G1304" s="28" t="str">
        <f>IF($C1304=""," ",[1]!i_pq_pctchange($C1304,G$6,$N$1))</f>
        <v xml:space="preserve"> </v>
      </c>
      <c r="H1304" s="28" t="str">
        <f>IF($C1304=""," ",[1]!i_pq_pctchange($C1304,H$6,$N$1))</f>
        <v xml:space="preserve"> </v>
      </c>
      <c r="I1304" s="28" t="str">
        <f>IF($C1304=""," ",[1]!i_pq_pctchange($C1304,I$6,$N$1))</f>
        <v xml:space="preserve"> </v>
      </c>
      <c r="J1304" s="28" t="str">
        <f>IF($C1304=""," ",[1]!i_pq_pctchange($C1304,J$6,$N$1))</f>
        <v xml:space="preserve"> </v>
      </c>
      <c r="K1304" s="28" t="str">
        <f>IF($C1304=""," ",[1]!i_pq_pctchange($C1304,K$6,$N$1))</f>
        <v xml:space="preserve"> </v>
      </c>
      <c r="L1304" s="28" t="str">
        <f>IF(C1304=""," ",[1]!s_wq_pctchange($C1304,$N$1))</f>
        <v xml:space="preserve"> </v>
      </c>
      <c r="M1304" s="28" t="str">
        <f>IF(C1304=""," ",[1]!s_mq_pctchange($C1304,$N$1))</f>
        <v xml:space="preserve"> </v>
      </c>
      <c r="N1304" s="28" t="str">
        <f>IF(C1304=""," ",[1]!s_yq_pctchange($C1304,$N$1))</f>
        <v xml:space="preserve"> </v>
      </c>
      <c r="O1304" s="11"/>
      <c r="P1304" s="7"/>
    </row>
    <row r="1305" spans="1:16" x14ac:dyDescent="0.35">
      <c r="A1305" s="7"/>
      <c r="C1305" s="30" t="str">
        <f>IF(指数列表!B1302="","",指数列表!B1302)</f>
        <v/>
      </c>
      <c r="D1305" s="35" t="str">
        <f>IF(C1305="","",[1]!s_info_name(C1305))</f>
        <v/>
      </c>
      <c r="E1305" s="24" t="str">
        <f>IF(C1305="","",[1]!s_dq_close(C1305,$N$1))</f>
        <v/>
      </c>
      <c r="F1305" s="28" t="str">
        <f>IF($C1305=""," ",[1]!i_pq_pctchange($C1305,F$6,$N$1))</f>
        <v xml:space="preserve"> </v>
      </c>
      <c r="G1305" s="28" t="str">
        <f>IF($C1305=""," ",[1]!i_pq_pctchange($C1305,G$6,$N$1))</f>
        <v xml:space="preserve"> </v>
      </c>
      <c r="H1305" s="28" t="str">
        <f>IF($C1305=""," ",[1]!i_pq_pctchange($C1305,H$6,$N$1))</f>
        <v xml:space="preserve"> </v>
      </c>
      <c r="I1305" s="28" t="str">
        <f>IF($C1305=""," ",[1]!i_pq_pctchange($C1305,I$6,$N$1))</f>
        <v xml:space="preserve"> </v>
      </c>
      <c r="J1305" s="28" t="str">
        <f>IF($C1305=""," ",[1]!i_pq_pctchange($C1305,J$6,$N$1))</f>
        <v xml:space="preserve"> </v>
      </c>
      <c r="K1305" s="28" t="str">
        <f>IF($C1305=""," ",[1]!i_pq_pctchange($C1305,K$6,$N$1))</f>
        <v xml:space="preserve"> </v>
      </c>
      <c r="L1305" s="28" t="str">
        <f>IF(C1305=""," ",[1]!s_wq_pctchange($C1305,$N$1))</f>
        <v xml:space="preserve"> </v>
      </c>
      <c r="M1305" s="28" t="str">
        <f>IF(C1305=""," ",[1]!s_mq_pctchange($C1305,$N$1))</f>
        <v xml:space="preserve"> </v>
      </c>
      <c r="N1305" s="28" t="str">
        <f>IF(C1305=""," ",[1]!s_yq_pctchange($C1305,$N$1))</f>
        <v xml:space="preserve"> </v>
      </c>
      <c r="O1305" s="11"/>
      <c r="P1305" s="7"/>
    </row>
    <row r="1306" spans="1:16" x14ac:dyDescent="0.35">
      <c r="A1306" s="7"/>
      <c r="C1306" s="31" t="str">
        <f>IF(指数列表!B1303="","",指数列表!B1303)</f>
        <v/>
      </c>
      <c r="D1306" s="36" t="str">
        <f>IF(C1306="","",[1]!s_info_name(C1306))</f>
        <v/>
      </c>
      <c r="E1306" s="25" t="str">
        <f>IF(C1306="","",[1]!s_dq_close(C1306,$N$1))</f>
        <v/>
      </c>
      <c r="F1306" s="28" t="str">
        <f>IF($C1306=""," ",[1]!i_pq_pctchange($C1306,F$6,$N$1))</f>
        <v xml:space="preserve"> </v>
      </c>
      <c r="G1306" s="28" t="str">
        <f>IF($C1306=""," ",[1]!i_pq_pctchange($C1306,G$6,$N$1))</f>
        <v xml:space="preserve"> </v>
      </c>
      <c r="H1306" s="28" t="str">
        <f>IF($C1306=""," ",[1]!i_pq_pctchange($C1306,H$6,$N$1))</f>
        <v xml:space="preserve"> </v>
      </c>
      <c r="I1306" s="28" t="str">
        <f>IF($C1306=""," ",[1]!i_pq_pctchange($C1306,I$6,$N$1))</f>
        <v xml:space="preserve"> </v>
      </c>
      <c r="J1306" s="28" t="str">
        <f>IF($C1306=""," ",[1]!i_pq_pctchange($C1306,J$6,$N$1))</f>
        <v xml:space="preserve"> </v>
      </c>
      <c r="K1306" s="28" t="str">
        <f>IF($C1306=""," ",[1]!i_pq_pctchange($C1306,K$6,$N$1))</f>
        <v xml:space="preserve"> </v>
      </c>
      <c r="L1306" s="28" t="str">
        <f>IF(C1306=""," ",[1]!s_wq_pctchange($C1306,$N$1))</f>
        <v xml:space="preserve"> </v>
      </c>
      <c r="M1306" s="28" t="str">
        <f>IF(C1306=""," ",[1]!s_mq_pctchange($C1306,$N$1))</f>
        <v xml:space="preserve"> </v>
      </c>
      <c r="N1306" s="28" t="str">
        <f>IF(C1306=""," ",[1]!s_yq_pctchange($C1306,$N$1))</f>
        <v xml:space="preserve"> </v>
      </c>
      <c r="O1306" s="11"/>
      <c r="P1306" s="7"/>
    </row>
    <row r="1307" spans="1:16" x14ac:dyDescent="0.35">
      <c r="A1307" s="7"/>
      <c r="C1307" s="30" t="str">
        <f>IF(指数列表!B1304="","",指数列表!B1304)</f>
        <v/>
      </c>
      <c r="D1307" s="35" t="str">
        <f>IF(C1307="","",[1]!s_info_name(C1307))</f>
        <v/>
      </c>
      <c r="E1307" s="24" t="str">
        <f>IF(C1307="","",[1]!s_dq_close(C1307,$N$1))</f>
        <v/>
      </c>
      <c r="F1307" s="28" t="str">
        <f>IF($C1307=""," ",[1]!i_pq_pctchange($C1307,F$6,$N$1))</f>
        <v xml:space="preserve"> </v>
      </c>
      <c r="G1307" s="28" t="str">
        <f>IF($C1307=""," ",[1]!i_pq_pctchange($C1307,G$6,$N$1))</f>
        <v xml:space="preserve"> </v>
      </c>
      <c r="H1307" s="28" t="str">
        <f>IF($C1307=""," ",[1]!i_pq_pctchange($C1307,H$6,$N$1))</f>
        <v xml:space="preserve"> </v>
      </c>
      <c r="I1307" s="28" t="str">
        <f>IF($C1307=""," ",[1]!i_pq_pctchange($C1307,I$6,$N$1))</f>
        <v xml:space="preserve"> </v>
      </c>
      <c r="J1307" s="28" t="str">
        <f>IF($C1307=""," ",[1]!i_pq_pctchange($C1307,J$6,$N$1))</f>
        <v xml:space="preserve"> </v>
      </c>
      <c r="K1307" s="28" t="str">
        <f>IF($C1307=""," ",[1]!i_pq_pctchange($C1307,K$6,$N$1))</f>
        <v xml:space="preserve"> </v>
      </c>
      <c r="L1307" s="28" t="str">
        <f>IF(C1307=""," ",[1]!s_wq_pctchange($C1307,$N$1))</f>
        <v xml:space="preserve"> </v>
      </c>
      <c r="M1307" s="28" t="str">
        <f>IF(C1307=""," ",[1]!s_mq_pctchange($C1307,$N$1))</f>
        <v xml:space="preserve"> </v>
      </c>
      <c r="N1307" s="28" t="str">
        <f>IF(C1307=""," ",[1]!s_yq_pctchange($C1307,$N$1))</f>
        <v xml:space="preserve"> </v>
      </c>
      <c r="O1307" s="11"/>
      <c r="P1307" s="7"/>
    </row>
    <row r="1308" spans="1:16" x14ac:dyDescent="0.35">
      <c r="A1308" s="7"/>
      <c r="C1308" s="31" t="str">
        <f>IF(指数列表!B1305="","",指数列表!B1305)</f>
        <v/>
      </c>
      <c r="D1308" s="36" t="str">
        <f>IF(C1308="","",[1]!s_info_name(C1308))</f>
        <v/>
      </c>
      <c r="E1308" s="25" t="str">
        <f>IF(C1308="","",[1]!s_dq_close(C1308,$N$1))</f>
        <v/>
      </c>
      <c r="F1308" s="28" t="str">
        <f>IF($C1308=""," ",[1]!i_pq_pctchange($C1308,F$6,$N$1))</f>
        <v xml:space="preserve"> </v>
      </c>
      <c r="G1308" s="28" t="str">
        <f>IF($C1308=""," ",[1]!i_pq_pctchange($C1308,G$6,$N$1))</f>
        <v xml:space="preserve"> </v>
      </c>
      <c r="H1308" s="28" t="str">
        <f>IF($C1308=""," ",[1]!i_pq_pctchange($C1308,H$6,$N$1))</f>
        <v xml:space="preserve"> </v>
      </c>
      <c r="I1308" s="28" t="str">
        <f>IF($C1308=""," ",[1]!i_pq_pctchange($C1308,I$6,$N$1))</f>
        <v xml:space="preserve"> </v>
      </c>
      <c r="J1308" s="28" t="str">
        <f>IF($C1308=""," ",[1]!i_pq_pctchange($C1308,J$6,$N$1))</f>
        <v xml:space="preserve"> </v>
      </c>
      <c r="K1308" s="28" t="str">
        <f>IF($C1308=""," ",[1]!i_pq_pctchange($C1308,K$6,$N$1))</f>
        <v xml:space="preserve"> </v>
      </c>
      <c r="L1308" s="28" t="str">
        <f>IF(C1308=""," ",[1]!s_wq_pctchange($C1308,$N$1))</f>
        <v xml:space="preserve"> </v>
      </c>
      <c r="M1308" s="28" t="str">
        <f>IF(C1308=""," ",[1]!s_mq_pctchange($C1308,$N$1))</f>
        <v xml:space="preserve"> </v>
      </c>
      <c r="N1308" s="28" t="str">
        <f>IF(C1308=""," ",[1]!s_yq_pctchange($C1308,$N$1))</f>
        <v xml:space="preserve"> </v>
      </c>
      <c r="O1308" s="11"/>
      <c r="P1308" s="7"/>
    </row>
    <row r="1309" spans="1:16" x14ac:dyDescent="0.35">
      <c r="A1309" s="7"/>
      <c r="C1309" s="30" t="str">
        <f>IF(指数列表!B1306="","",指数列表!B1306)</f>
        <v/>
      </c>
      <c r="D1309" s="35" t="str">
        <f>IF(C1309="","",[1]!s_info_name(C1309))</f>
        <v/>
      </c>
      <c r="E1309" s="24" t="str">
        <f>IF(C1309="","",[1]!s_dq_close(C1309,$N$1))</f>
        <v/>
      </c>
      <c r="F1309" s="28" t="str">
        <f>IF($C1309=""," ",[1]!i_pq_pctchange($C1309,F$6,$N$1))</f>
        <v xml:space="preserve"> </v>
      </c>
      <c r="G1309" s="28" t="str">
        <f>IF($C1309=""," ",[1]!i_pq_pctchange($C1309,G$6,$N$1))</f>
        <v xml:space="preserve"> </v>
      </c>
      <c r="H1309" s="28" t="str">
        <f>IF($C1309=""," ",[1]!i_pq_pctchange($C1309,H$6,$N$1))</f>
        <v xml:space="preserve"> </v>
      </c>
      <c r="I1309" s="28" t="str">
        <f>IF($C1309=""," ",[1]!i_pq_pctchange($C1309,I$6,$N$1))</f>
        <v xml:space="preserve"> </v>
      </c>
      <c r="J1309" s="28" t="str">
        <f>IF($C1309=""," ",[1]!i_pq_pctchange($C1309,J$6,$N$1))</f>
        <v xml:space="preserve"> </v>
      </c>
      <c r="K1309" s="28" t="str">
        <f>IF($C1309=""," ",[1]!i_pq_pctchange($C1309,K$6,$N$1))</f>
        <v xml:space="preserve"> </v>
      </c>
      <c r="L1309" s="28" t="str">
        <f>IF(C1309=""," ",[1]!s_wq_pctchange($C1309,$N$1))</f>
        <v xml:space="preserve"> </v>
      </c>
      <c r="M1309" s="28" t="str">
        <f>IF(C1309=""," ",[1]!s_mq_pctchange($C1309,$N$1))</f>
        <v xml:space="preserve"> </v>
      </c>
      <c r="N1309" s="28" t="str">
        <f>IF(C1309=""," ",[1]!s_yq_pctchange($C1309,$N$1))</f>
        <v xml:space="preserve"> </v>
      </c>
      <c r="O1309" s="11"/>
      <c r="P1309" s="7"/>
    </row>
    <row r="1310" spans="1:16" x14ac:dyDescent="0.35">
      <c r="A1310" s="7"/>
      <c r="C1310" s="31" t="str">
        <f>IF(指数列表!B1307="","",指数列表!B1307)</f>
        <v/>
      </c>
      <c r="D1310" s="36" t="str">
        <f>IF(C1310="","",[1]!s_info_name(C1310))</f>
        <v/>
      </c>
      <c r="E1310" s="25" t="str">
        <f>IF(C1310="","",[1]!s_dq_close(C1310,$N$1))</f>
        <v/>
      </c>
      <c r="F1310" s="28" t="str">
        <f>IF($C1310=""," ",[1]!i_pq_pctchange($C1310,F$6,$N$1))</f>
        <v xml:space="preserve"> </v>
      </c>
      <c r="G1310" s="28" t="str">
        <f>IF($C1310=""," ",[1]!i_pq_pctchange($C1310,G$6,$N$1))</f>
        <v xml:space="preserve"> </v>
      </c>
      <c r="H1310" s="28" t="str">
        <f>IF($C1310=""," ",[1]!i_pq_pctchange($C1310,H$6,$N$1))</f>
        <v xml:space="preserve"> </v>
      </c>
      <c r="I1310" s="28" t="str">
        <f>IF($C1310=""," ",[1]!i_pq_pctchange($C1310,I$6,$N$1))</f>
        <v xml:space="preserve"> </v>
      </c>
      <c r="J1310" s="28" t="str">
        <f>IF($C1310=""," ",[1]!i_pq_pctchange($C1310,J$6,$N$1))</f>
        <v xml:space="preserve"> </v>
      </c>
      <c r="K1310" s="28" t="str">
        <f>IF($C1310=""," ",[1]!i_pq_pctchange($C1310,K$6,$N$1))</f>
        <v xml:space="preserve"> </v>
      </c>
      <c r="L1310" s="28" t="str">
        <f>IF(C1310=""," ",[1]!s_wq_pctchange($C1310,$N$1))</f>
        <v xml:space="preserve"> </v>
      </c>
      <c r="M1310" s="28" t="str">
        <f>IF(C1310=""," ",[1]!s_mq_pctchange($C1310,$N$1))</f>
        <v xml:space="preserve"> </v>
      </c>
      <c r="N1310" s="28" t="str">
        <f>IF(C1310=""," ",[1]!s_yq_pctchange($C1310,$N$1))</f>
        <v xml:space="preserve"> </v>
      </c>
      <c r="O1310" s="11"/>
      <c r="P1310" s="7"/>
    </row>
    <row r="1311" spans="1:16" x14ac:dyDescent="0.35">
      <c r="A1311" s="7"/>
      <c r="C1311" s="30" t="str">
        <f>IF(指数列表!B1308="","",指数列表!B1308)</f>
        <v/>
      </c>
      <c r="D1311" s="35" t="str">
        <f>IF(C1311="","",[1]!s_info_name(C1311))</f>
        <v/>
      </c>
      <c r="E1311" s="24" t="str">
        <f>IF(C1311="","",[1]!s_dq_close(C1311,$N$1))</f>
        <v/>
      </c>
      <c r="F1311" s="28" t="str">
        <f>IF($C1311=""," ",[1]!i_pq_pctchange($C1311,F$6,$N$1))</f>
        <v xml:space="preserve"> </v>
      </c>
      <c r="G1311" s="28" t="str">
        <f>IF($C1311=""," ",[1]!i_pq_pctchange($C1311,G$6,$N$1))</f>
        <v xml:space="preserve"> </v>
      </c>
      <c r="H1311" s="28" t="str">
        <f>IF($C1311=""," ",[1]!i_pq_pctchange($C1311,H$6,$N$1))</f>
        <v xml:space="preserve"> </v>
      </c>
      <c r="I1311" s="28" t="str">
        <f>IF($C1311=""," ",[1]!i_pq_pctchange($C1311,I$6,$N$1))</f>
        <v xml:space="preserve"> </v>
      </c>
      <c r="J1311" s="28" t="str">
        <f>IF($C1311=""," ",[1]!i_pq_pctchange($C1311,J$6,$N$1))</f>
        <v xml:space="preserve"> </v>
      </c>
      <c r="K1311" s="28" t="str">
        <f>IF($C1311=""," ",[1]!i_pq_pctchange($C1311,K$6,$N$1))</f>
        <v xml:space="preserve"> </v>
      </c>
      <c r="L1311" s="28" t="str">
        <f>IF(C1311=""," ",[1]!s_wq_pctchange($C1311,$N$1))</f>
        <v xml:space="preserve"> </v>
      </c>
      <c r="M1311" s="28" t="str">
        <f>IF(C1311=""," ",[1]!s_mq_pctchange($C1311,$N$1))</f>
        <v xml:space="preserve"> </v>
      </c>
      <c r="N1311" s="28" t="str">
        <f>IF(C1311=""," ",[1]!s_yq_pctchange($C1311,$N$1))</f>
        <v xml:space="preserve"> </v>
      </c>
      <c r="O1311" s="11"/>
      <c r="P1311" s="7"/>
    </row>
    <row r="1312" spans="1:16" x14ac:dyDescent="0.35">
      <c r="A1312" s="7"/>
      <c r="C1312" s="31" t="str">
        <f>IF(指数列表!B1309="","",指数列表!B1309)</f>
        <v/>
      </c>
      <c r="D1312" s="36" t="str">
        <f>IF(C1312="","",[1]!s_info_name(C1312))</f>
        <v/>
      </c>
      <c r="E1312" s="25" t="str">
        <f>IF(C1312="","",[1]!s_dq_close(C1312,$N$1))</f>
        <v/>
      </c>
      <c r="F1312" s="28" t="str">
        <f>IF($C1312=""," ",[1]!i_pq_pctchange($C1312,F$6,$N$1))</f>
        <v xml:space="preserve"> </v>
      </c>
      <c r="G1312" s="28" t="str">
        <f>IF($C1312=""," ",[1]!i_pq_pctchange($C1312,G$6,$N$1))</f>
        <v xml:space="preserve"> </v>
      </c>
      <c r="H1312" s="28" t="str">
        <f>IF($C1312=""," ",[1]!i_pq_pctchange($C1312,H$6,$N$1))</f>
        <v xml:space="preserve"> </v>
      </c>
      <c r="I1312" s="28" t="str">
        <f>IF($C1312=""," ",[1]!i_pq_pctchange($C1312,I$6,$N$1))</f>
        <v xml:space="preserve"> </v>
      </c>
      <c r="J1312" s="28" t="str">
        <f>IF($C1312=""," ",[1]!i_pq_pctchange($C1312,J$6,$N$1))</f>
        <v xml:space="preserve"> </v>
      </c>
      <c r="K1312" s="28" t="str">
        <f>IF($C1312=""," ",[1]!i_pq_pctchange($C1312,K$6,$N$1))</f>
        <v xml:space="preserve"> </v>
      </c>
      <c r="L1312" s="28" t="str">
        <f>IF(C1312=""," ",[1]!s_wq_pctchange($C1312,$N$1))</f>
        <v xml:space="preserve"> </v>
      </c>
      <c r="M1312" s="28" t="str">
        <f>IF(C1312=""," ",[1]!s_mq_pctchange($C1312,$N$1))</f>
        <v xml:space="preserve"> </v>
      </c>
      <c r="N1312" s="28" t="str">
        <f>IF(C1312=""," ",[1]!s_yq_pctchange($C1312,$N$1))</f>
        <v xml:space="preserve"> </v>
      </c>
      <c r="O1312" s="11"/>
      <c r="P1312" s="7"/>
    </row>
    <row r="1313" spans="1:16" x14ac:dyDescent="0.35">
      <c r="A1313" s="7"/>
      <c r="C1313" s="30" t="str">
        <f>IF(指数列表!B1310="","",指数列表!B1310)</f>
        <v/>
      </c>
      <c r="D1313" s="35" t="str">
        <f>IF(C1313="","",[1]!s_info_name(C1313))</f>
        <v/>
      </c>
      <c r="E1313" s="24" t="str">
        <f>IF(C1313="","",[1]!s_dq_close(C1313,$N$1))</f>
        <v/>
      </c>
      <c r="F1313" s="28" t="str">
        <f>IF($C1313=""," ",[1]!i_pq_pctchange($C1313,F$6,$N$1))</f>
        <v xml:space="preserve"> </v>
      </c>
      <c r="G1313" s="28" t="str">
        <f>IF($C1313=""," ",[1]!i_pq_pctchange($C1313,G$6,$N$1))</f>
        <v xml:space="preserve"> </v>
      </c>
      <c r="H1313" s="28" t="str">
        <f>IF($C1313=""," ",[1]!i_pq_pctchange($C1313,H$6,$N$1))</f>
        <v xml:space="preserve"> </v>
      </c>
      <c r="I1313" s="28" t="str">
        <f>IF($C1313=""," ",[1]!i_pq_pctchange($C1313,I$6,$N$1))</f>
        <v xml:space="preserve"> </v>
      </c>
      <c r="J1313" s="28" t="str">
        <f>IF($C1313=""," ",[1]!i_pq_pctchange($C1313,J$6,$N$1))</f>
        <v xml:space="preserve"> </v>
      </c>
      <c r="K1313" s="28" t="str">
        <f>IF($C1313=""," ",[1]!i_pq_pctchange($C1313,K$6,$N$1))</f>
        <v xml:space="preserve"> </v>
      </c>
      <c r="L1313" s="28" t="str">
        <f>IF(C1313=""," ",[1]!s_wq_pctchange($C1313,$N$1))</f>
        <v xml:space="preserve"> </v>
      </c>
      <c r="M1313" s="28" t="str">
        <f>IF(C1313=""," ",[1]!s_mq_pctchange($C1313,$N$1))</f>
        <v xml:space="preserve"> </v>
      </c>
      <c r="N1313" s="28" t="str">
        <f>IF(C1313=""," ",[1]!s_yq_pctchange($C1313,$N$1))</f>
        <v xml:space="preserve"> </v>
      </c>
      <c r="O1313" s="11"/>
      <c r="P1313" s="7"/>
    </row>
    <row r="1314" spans="1:16" x14ac:dyDescent="0.35">
      <c r="A1314" s="7"/>
      <c r="C1314" s="31" t="str">
        <f>IF(指数列表!B1311="","",指数列表!B1311)</f>
        <v/>
      </c>
      <c r="D1314" s="36" t="str">
        <f>IF(C1314="","",[1]!s_info_name(C1314))</f>
        <v/>
      </c>
      <c r="E1314" s="25" t="str">
        <f>IF(C1314="","",[1]!s_dq_close(C1314,$N$1))</f>
        <v/>
      </c>
      <c r="F1314" s="28" t="str">
        <f>IF($C1314=""," ",[1]!i_pq_pctchange($C1314,F$6,$N$1))</f>
        <v xml:space="preserve"> </v>
      </c>
      <c r="G1314" s="28" t="str">
        <f>IF($C1314=""," ",[1]!i_pq_pctchange($C1314,G$6,$N$1))</f>
        <v xml:space="preserve"> </v>
      </c>
      <c r="H1314" s="28" t="str">
        <f>IF($C1314=""," ",[1]!i_pq_pctchange($C1314,H$6,$N$1))</f>
        <v xml:space="preserve"> </v>
      </c>
      <c r="I1314" s="28" t="str">
        <f>IF($C1314=""," ",[1]!i_pq_pctchange($C1314,I$6,$N$1))</f>
        <v xml:space="preserve"> </v>
      </c>
      <c r="J1314" s="28" t="str">
        <f>IF($C1314=""," ",[1]!i_pq_pctchange($C1314,J$6,$N$1))</f>
        <v xml:space="preserve"> </v>
      </c>
      <c r="K1314" s="28" t="str">
        <f>IF($C1314=""," ",[1]!i_pq_pctchange($C1314,K$6,$N$1))</f>
        <v xml:space="preserve"> </v>
      </c>
      <c r="L1314" s="28" t="str">
        <f>IF(C1314=""," ",[1]!s_wq_pctchange($C1314,$N$1))</f>
        <v xml:space="preserve"> </v>
      </c>
      <c r="M1314" s="28" t="str">
        <f>IF(C1314=""," ",[1]!s_mq_pctchange($C1314,$N$1))</f>
        <v xml:space="preserve"> </v>
      </c>
      <c r="N1314" s="28" t="str">
        <f>IF(C1314=""," ",[1]!s_yq_pctchange($C1314,$N$1))</f>
        <v xml:space="preserve"> </v>
      </c>
      <c r="O1314" s="11"/>
      <c r="P1314" s="7"/>
    </row>
    <row r="1315" spans="1:16" x14ac:dyDescent="0.35">
      <c r="A1315" s="7"/>
      <c r="C1315" s="30" t="str">
        <f>IF(指数列表!B1312="","",指数列表!B1312)</f>
        <v/>
      </c>
      <c r="D1315" s="35" t="str">
        <f>IF(C1315="","",[1]!s_info_name(C1315))</f>
        <v/>
      </c>
      <c r="E1315" s="24" t="str">
        <f>IF(C1315="","",[1]!s_dq_close(C1315,$N$1))</f>
        <v/>
      </c>
      <c r="F1315" s="28" t="str">
        <f>IF($C1315=""," ",[1]!i_pq_pctchange($C1315,F$6,$N$1))</f>
        <v xml:space="preserve"> </v>
      </c>
      <c r="G1315" s="28" t="str">
        <f>IF($C1315=""," ",[1]!i_pq_pctchange($C1315,G$6,$N$1))</f>
        <v xml:space="preserve"> </v>
      </c>
      <c r="H1315" s="28" t="str">
        <f>IF($C1315=""," ",[1]!i_pq_pctchange($C1315,H$6,$N$1))</f>
        <v xml:space="preserve"> </v>
      </c>
      <c r="I1315" s="28" t="str">
        <f>IF($C1315=""," ",[1]!i_pq_pctchange($C1315,I$6,$N$1))</f>
        <v xml:space="preserve"> </v>
      </c>
      <c r="J1315" s="28" t="str">
        <f>IF($C1315=""," ",[1]!i_pq_pctchange($C1315,J$6,$N$1))</f>
        <v xml:space="preserve"> </v>
      </c>
      <c r="K1315" s="28" t="str">
        <f>IF($C1315=""," ",[1]!i_pq_pctchange($C1315,K$6,$N$1))</f>
        <v xml:space="preserve"> </v>
      </c>
      <c r="L1315" s="28" t="str">
        <f>IF(C1315=""," ",[1]!s_wq_pctchange($C1315,$N$1))</f>
        <v xml:space="preserve"> </v>
      </c>
      <c r="M1315" s="28" t="str">
        <f>IF(C1315=""," ",[1]!s_mq_pctchange($C1315,$N$1))</f>
        <v xml:space="preserve"> </v>
      </c>
      <c r="N1315" s="28" t="str">
        <f>IF(C1315=""," ",[1]!s_yq_pctchange($C1315,$N$1))</f>
        <v xml:space="preserve"> </v>
      </c>
      <c r="O1315" s="11"/>
      <c r="P1315" s="7"/>
    </row>
    <row r="1316" spans="1:16" x14ac:dyDescent="0.35">
      <c r="A1316" s="7"/>
      <c r="C1316" s="31" t="str">
        <f>IF(指数列表!B1313="","",指数列表!B1313)</f>
        <v/>
      </c>
      <c r="D1316" s="36" t="str">
        <f>IF(C1316="","",[1]!s_info_name(C1316))</f>
        <v/>
      </c>
      <c r="E1316" s="25" t="str">
        <f>IF(C1316="","",[1]!s_dq_close(C1316,$N$1))</f>
        <v/>
      </c>
      <c r="F1316" s="28" t="str">
        <f>IF($C1316=""," ",[1]!i_pq_pctchange($C1316,F$6,$N$1))</f>
        <v xml:space="preserve"> </v>
      </c>
      <c r="G1316" s="28" t="str">
        <f>IF($C1316=""," ",[1]!i_pq_pctchange($C1316,G$6,$N$1))</f>
        <v xml:space="preserve"> </v>
      </c>
      <c r="H1316" s="28" t="str">
        <f>IF($C1316=""," ",[1]!i_pq_pctchange($C1316,H$6,$N$1))</f>
        <v xml:space="preserve"> </v>
      </c>
      <c r="I1316" s="28" t="str">
        <f>IF($C1316=""," ",[1]!i_pq_pctchange($C1316,I$6,$N$1))</f>
        <v xml:space="preserve"> </v>
      </c>
      <c r="J1316" s="28" t="str">
        <f>IF($C1316=""," ",[1]!i_pq_pctchange($C1316,J$6,$N$1))</f>
        <v xml:space="preserve"> </v>
      </c>
      <c r="K1316" s="28" t="str">
        <f>IF($C1316=""," ",[1]!i_pq_pctchange($C1316,K$6,$N$1))</f>
        <v xml:space="preserve"> </v>
      </c>
      <c r="L1316" s="28" t="str">
        <f>IF(C1316=""," ",[1]!s_wq_pctchange($C1316,$N$1))</f>
        <v xml:space="preserve"> </v>
      </c>
      <c r="M1316" s="28" t="str">
        <f>IF(C1316=""," ",[1]!s_mq_pctchange($C1316,$N$1))</f>
        <v xml:space="preserve"> </v>
      </c>
      <c r="N1316" s="28" t="str">
        <f>IF(C1316=""," ",[1]!s_yq_pctchange($C1316,$N$1))</f>
        <v xml:space="preserve"> </v>
      </c>
      <c r="O1316" s="11"/>
      <c r="P1316" s="7"/>
    </row>
    <row r="1317" spans="1:16" x14ac:dyDescent="0.35">
      <c r="A1317" s="7"/>
      <c r="C1317" s="30" t="str">
        <f>IF(指数列表!B1314="","",指数列表!B1314)</f>
        <v/>
      </c>
      <c r="D1317" s="35" t="str">
        <f>IF(C1317="","",[1]!s_info_name(C1317))</f>
        <v/>
      </c>
      <c r="E1317" s="24" t="str">
        <f>IF(C1317="","",[1]!s_dq_close(C1317,$N$1))</f>
        <v/>
      </c>
      <c r="F1317" s="28" t="str">
        <f>IF($C1317=""," ",[1]!i_pq_pctchange($C1317,F$6,$N$1))</f>
        <v xml:space="preserve"> </v>
      </c>
      <c r="G1317" s="28" t="str">
        <f>IF($C1317=""," ",[1]!i_pq_pctchange($C1317,G$6,$N$1))</f>
        <v xml:space="preserve"> </v>
      </c>
      <c r="H1317" s="28" t="str">
        <f>IF($C1317=""," ",[1]!i_pq_pctchange($C1317,H$6,$N$1))</f>
        <v xml:space="preserve"> </v>
      </c>
      <c r="I1317" s="28" t="str">
        <f>IF($C1317=""," ",[1]!i_pq_pctchange($C1317,I$6,$N$1))</f>
        <v xml:space="preserve"> </v>
      </c>
      <c r="J1317" s="28" t="str">
        <f>IF($C1317=""," ",[1]!i_pq_pctchange($C1317,J$6,$N$1))</f>
        <v xml:space="preserve"> </v>
      </c>
      <c r="K1317" s="28" t="str">
        <f>IF($C1317=""," ",[1]!i_pq_pctchange($C1317,K$6,$N$1))</f>
        <v xml:space="preserve"> </v>
      </c>
      <c r="L1317" s="28" t="str">
        <f>IF(C1317=""," ",[1]!s_wq_pctchange($C1317,$N$1))</f>
        <v xml:space="preserve"> </v>
      </c>
      <c r="M1317" s="28" t="str">
        <f>IF(C1317=""," ",[1]!s_mq_pctchange($C1317,$N$1))</f>
        <v xml:space="preserve"> </v>
      </c>
      <c r="N1317" s="28" t="str">
        <f>IF(C1317=""," ",[1]!s_yq_pctchange($C1317,$N$1))</f>
        <v xml:space="preserve"> </v>
      </c>
      <c r="O1317" s="11"/>
      <c r="P1317" s="7"/>
    </row>
    <row r="1318" spans="1:16" x14ac:dyDescent="0.35">
      <c r="A1318" s="7"/>
      <c r="C1318" s="31" t="str">
        <f>IF(指数列表!B1315="","",指数列表!B1315)</f>
        <v/>
      </c>
      <c r="D1318" s="36" t="str">
        <f>IF(C1318="","",[1]!s_info_name(C1318))</f>
        <v/>
      </c>
      <c r="E1318" s="25" t="str">
        <f>IF(C1318="","",[1]!s_dq_close(C1318,$N$1))</f>
        <v/>
      </c>
      <c r="F1318" s="28" t="str">
        <f>IF($C1318=""," ",[1]!i_pq_pctchange($C1318,F$6,$N$1))</f>
        <v xml:space="preserve"> </v>
      </c>
      <c r="G1318" s="28" t="str">
        <f>IF($C1318=""," ",[1]!i_pq_pctchange($C1318,G$6,$N$1))</f>
        <v xml:space="preserve"> </v>
      </c>
      <c r="H1318" s="28" t="str">
        <f>IF($C1318=""," ",[1]!i_pq_pctchange($C1318,H$6,$N$1))</f>
        <v xml:space="preserve"> </v>
      </c>
      <c r="I1318" s="28" t="str">
        <f>IF($C1318=""," ",[1]!i_pq_pctchange($C1318,I$6,$N$1))</f>
        <v xml:space="preserve"> </v>
      </c>
      <c r="J1318" s="28" t="str">
        <f>IF($C1318=""," ",[1]!i_pq_pctchange($C1318,J$6,$N$1))</f>
        <v xml:space="preserve"> </v>
      </c>
      <c r="K1318" s="28" t="str">
        <f>IF($C1318=""," ",[1]!i_pq_pctchange($C1318,K$6,$N$1))</f>
        <v xml:space="preserve"> </v>
      </c>
      <c r="L1318" s="28" t="str">
        <f>IF(C1318=""," ",[1]!s_wq_pctchange($C1318,$N$1))</f>
        <v xml:space="preserve"> </v>
      </c>
      <c r="M1318" s="28" t="str">
        <f>IF(C1318=""," ",[1]!s_mq_pctchange($C1318,$N$1))</f>
        <v xml:space="preserve"> </v>
      </c>
      <c r="N1318" s="28" t="str">
        <f>IF(C1318=""," ",[1]!s_yq_pctchange($C1318,$N$1))</f>
        <v xml:space="preserve"> </v>
      </c>
      <c r="O1318" s="11"/>
      <c r="P1318" s="7"/>
    </row>
    <row r="1319" spans="1:16" x14ac:dyDescent="0.35">
      <c r="A1319" s="7"/>
      <c r="C1319" s="30" t="str">
        <f>IF(指数列表!B1316="","",指数列表!B1316)</f>
        <v/>
      </c>
      <c r="D1319" s="35" t="str">
        <f>IF(C1319="","",[1]!s_info_name(C1319))</f>
        <v/>
      </c>
      <c r="E1319" s="24" t="str">
        <f>IF(C1319="","",[1]!s_dq_close(C1319,$N$1))</f>
        <v/>
      </c>
      <c r="F1319" s="28" t="str">
        <f>IF($C1319=""," ",[1]!i_pq_pctchange($C1319,F$6,$N$1))</f>
        <v xml:space="preserve"> </v>
      </c>
      <c r="G1319" s="28" t="str">
        <f>IF($C1319=""," ",[1]!i_pq_pctchange($C1319,G$6,$N$1))</f>
        <v xml:space="preserve"> </v>
      </c>
      <c r="H1319" s="28" t="str">
        <f>IF($C1319=""," ",[1]!i_pq_pctchange($C1319,H$6,$N$1))</f>
        <v xml:space="preserve"> </v>
      </c>
      <c r="I1319" s="28" t="str">
        <f>IF($C1319=""," ",[1]!i_pq_pctchange($C1319,I$6,$N$1))</f>
        <v xml:space="preserve"> </v>
      </c>
      <c r="J1319" s="28" t="str">
        <f>IF($C1319=""," ",[1]!i_pq_pctchange($C1319,J$6,$N$1))</f>
        <v xml:space="preserve"> </v>
      </c>
      <c r="K1319" s="28" t="str">
        <f>IF($C1319=""," ",[1]!i_pq_pctchange($C1319,K$6,$N$1))</f>
        <v xml:space="preserve"> </v>
      </c>
      <c r="L1319" s="28" t="str">
        <f>IF(C1319=""," ",[1]!s_wq_pctchange($C1319,$N$1))</f>
        <v xml:space="preserve"> </v>
      </c>
      <c r="M1319" s="28" t="str">
        <f>IF(C1319=""," ",[1]!s_mq_pctchange($C1319,$N$1))</f>
        <v xml:space="preserve"> </v>
      </c>
      <c r="N1319" s="28" t="str">
        <f>IF(C1319=""," ",[1]!s_yq_pctchange($C1319,$N$1))</f>
        <v xml:space="preserve"> </v>
      </c>
      <c r="O1319" s="11"/>
      <c r="P1319" s="7"/>
    </row>
    <row r="1320" spans="1:16" x14ac:dyDescent="0.35">
      <c r="A1320" s="7"/>
      <c r="C1320" s="31" t="str">
        <f>IF(指数列表!B1317="","",指数列表!B1317)</f>
        <v/>
      </c>
      <c r="D1320" s="36" t="str">
        <f>IF(C1320="","",[1]!s_info_name(C1320))</f>
        <v/>
      </c>
      <c r="E1320" s="25" t="str">
        <f>IF(C1320="","",[1]!s_dq_close(C1320,$N$1))</f>
        <v/>
      </c>
      <c r="F1320" s="28" t="str">
        <f>IF($C1320=""," ",[1]!i_pq_pctchange($C1320,F$6,$N$1))</f>
        <v xml:space="preserve"> </v>
      </c>
      <c r="G1320" s="28" t="str">
        <f>IF($C1320=""," ",[1]!i_pq_pctchange($C1320,G$6,$N$1))</f>
        <v xml:space="preserve"> </v>
      </c>
      <c r="H1320" s="28" t="str">
        <f>IF($C1320=""," ",[1]!i_pq_pctchange($C1320,H$6,$N$1))</f>
        <v xml:space="preserve"> </v>
      </c>
      <c r="I1320" s="28" t="str">
        <f>IF($C1320=""," ",[1]!i_pq_pctchange($C1320,I$6,$N$1))</f>
        <v xml:space="preserve"> </v>
      </c>
      <c r="J1320" s="28" t="str">
        <f>IF($C1320=""," ",[1]!i_pq_pctchange($C1320,J$6,$N$1))</f>
        <v xml:space="preserve"> </v>
      </c>
      <c r="K1320" s="28" t="str">
        <f>IF($C1320=""," ",[1]!i_pq_pctchange($C1320,K$6,$N$1))</f>
        <v xml:space="preserve"> </v>
      </c>
      <c r="L1320" s="28" t="str">
        <f>IF(C1320=""," ",[1]!s_wq_pctchange($C1320,$N$1))</f>
        <v xml:space="preserve"> </v>
      </c>
      <c r="M1320" s="28" t="str">
        <f>IF(C1320=""," ",[1]!s_mq_pctchange($C1320,$N$1))</f>
        <v xml:space="preserve"> </v>
      </c>
      <c r="N1320" s="28" t="str">
        <f>IF(C1320=""," ",[1]!s_yq_pctchange($C1320,$N$1))</f>
        <v xml:space="preserve"> </v>
      </c>
      <c r="O1320" s="11"/>
      <c r="P1320" s="7"/>
    </row>
    <row r="1321" spans="1:16" x14ac:dyDescent="0.35">
      <c r="A1321" s="7"/>
      <c r="C1321" s="30" t="str">
        <f>IF(指数列表!B1318="","",指数列表!B1318)</f>
        <v/>
      </c>
      <c r="D1321" s="35" t="str">
        <f>IF(C1321="","",[1]!s_info_name(C1321))</f>
        <v/>
      </c>
      <c r="E1321" s="24" t="str">
        <f>IF(C1321="","",[1]!s_dq_close(C1321,$N$1))</f>
        <v/>
      </c>
      <c r="F1321" s="28" t="str">
        <f>IF($C1321=""," ",[1]!i_pq_pctchange($C1321,F$6,$N$1))</f>
        <v xml:space="preserve"> </v>
      </c>
      <c r="G1321" s="28" t="str">
        <f>IF($C1321=""," ",[1]!i_pq_pctchange($C1321,G$6,$N$1))</f>
        <v xml:space="preserve"> </v>
      </c>
      <c r="H1321" s="28" t="str">
        <f>IF($C1321=""," ",[1]!i_pq_pctchange($C1321,H$6,$N$1))</f>
        <v xml:space="preserve"> </v>
      </c>
      <c r="I1321" s="28" t="str">
        <f>IF($C1321=""," ",[1]!i_pq_pctchange($C1321,I$6,$N$1))</f>
        <v xml:space="preserve"> </v>
      </c>
      <c r="J1321" s="28" t="str">
        <f>IF($C1321=""," ",[1]!i_pq_pctchange($C1321,J$6,$N$1))</f>
        <v xml:space="preserve"> </v>
      </c>
      <c r="K1321" s="28" t="str">
        <f>IF($C1321=""," ",[1]!i_pq_pctchange($C1321,K$6,$N$1))</f>
        <v xml:space="preserve"> </v>
      </c>
      <c r="L1321" s="28" t="str">
        <f>IF(C1321=""," ",[1]!s_wq_pctchange($C1321,$N$1))</f>
        <v xml:space="preserve"> </v>
      </c>
      <c r="M1321" s="28" t="str">
        <f>IF(C1321=""," ",[1]!s_mq_pctchange($C1321,$N$1))</f>
        <v xml:space="preserve"> </v>
      </c>
      <c r="N1321" s="28" t="str">
        <f>IF(C1321=""," ",[1]!s_yq_pctchange($C1321,$N$1))</f>
        <v xml:space="preserve"> </v>
      </c>
      <c r="O1321" s="11"/>
      <c r="P1321" s="7"/>
    </row>
    <row r="1322" spans="1:16" x14ac:dyDescent="0.35">
      <c r="A1322" s="7"/>
      <c r="C1322" s="31" t="str">
        <f>IF(指数列表!B1319="","",指数列表!B1319)</f>
        <v/>
      </c>
      <c r="D1322" s="36" t="str">
        <f>IF(C1322="","",[1]!s_info_name(C1322))</f>
        <v/>
      </c>
      <c r="E1322" s="25" t="str">
        <f>IF(C1322="","",[1]!s_dq_close(C1322,$N$1))</f>
        <v/>
      </c>
      <c r="F1322" s="28" t="str">
        <f>IF($C1322=""," ",[1]!i_pq_pctchange($C1322,F$6,$N$1))</f>
        <v xml:space="preserve"> </v>
      </c>
      <c r="G1322" s="28" t="str">
        <f>IF($C1322=""," ",[1]!i_pq_pctchange($C1322,G$6,$N$1))</f>
        <v xml:space="preserve"> </v>
      </c>
      <c r="H1322" s="28" t="str">
        <f>IF($C1322=""," ",[1]!i_pq_pctchange($C1322,H$6,$N$1))</f>
        <v xml:space="preserve"> </v>
      </c>
      <c r="I1322" s="28" t="str">
        <f>IF($C1322=""," ",[1]!i_pq_pctchange($C1322,I$6,$N$1))</f>
        <v xml:space="preserve"> </v>
      </c>
      <c r="J1322" s="28" t="str">
        <f>IF($C1322=""," ",[1]!i_pq_pctchange($C1322,J$6,$N$1))</f>
        <v xml:space="preserve"> </v>
      </c>
      <c r="K1322" s="28" t="str">
        <f>IF($C1322=""," ",[1]!i_pq_pctchange($C1322,K$6,$N$1))</f>
        <v xml:space="preserve"> </v>
      </c>
      <c r="L1322" s="28" t="str">
        <f>IF(C1322=""," ",[1]!s_wq_pctchange($C1322,$N$1))</f>
        <v xml:space="preserve"> </v>
      </c>
      <c r="M1322" s="28" t="str">
        <f>IF(C1322=""," ",[1]!s_mq_pctchange($C1322,$N$1))</f>
        <v xml:space="preserve"> </v>
      </c>
      <c r="N1322" s="28" t="str">
        <f>IF(C1322=""," ",[1]!s_yq_pctchange($C1322,$N$1))</f>
        <v xml:space="preserve"> </v>
      </c>
      <c r="O1322" s="11"/>
      <c r="P1322" s="7"/>
    </row>
    <row r="1323" spans="1:16" x14ac:dyDescent="0.35">
      <c r="A1323" s="7"/>
      <c r="C1323" s="30" t="str">
        <f>IF(指数列表!B1320="","",指数列表!B1320)</f>
        <v/>
      </c>
      <c r="D1323" s="35" t="str">
        <f>IF(C1323="","",[1]!s_info_name(C1323))</f>
        <v/>
      </c>
      <c r="E1323" s="24" t="str">
        <f>IF(C1323="","",[1]!s_dq_close(C1323,$N$1))</f>
        <v/>
      </c>
      <c r="F1323" s="28" t="str">
        <f>IF($C1323=""," ",[1]!i_pq_pctchange($C1323,F$6,$N$1))</f>
        <v xml:space="preserve"> </v>
      </c>
      <c r="G1323" s="28" t="str">
        <f>IF($C1323=""," ",[1]!i_pq_pctchange($C1323,G$6,$N$1))</f>
        <v xml:space="preserve"> </v>
      </c>
      <c r="H1323" s="28" t="str">
        <f>IF($C1323=""," ",[1]!i_pq_pctchange($C1323,H$6,$N$1))</f>
        <v xml:space="preserve"> </v>
      </c>
      <c r="I1323" s="28" t="str">
        <f>IF($C1323=""," ",[1]!i_pq_pctchange($C1323,I$6,$N$1))</f>
        <v xml:space="preserve"> </v>
      </c>
      <c r="J1323" s="28" t="str">
        <f>IF($C1323=""," ",[1]!i_pq_pctchange($C1323,J$6,$N$1))</f>
        <v xml:space="preserve"> </v>
      </c>
      <c r="K1323" s="28" t="str">
        <f>IF($C1323=""," ",[1]!i_pq_pctchange($C1323,K$6,$N$1))</f>
        <v xml:space="preserve"> </v>
      </c>
      <c r="L1323" s="28" t="str">
        <f>IF(C1323=""," ",[1]!s_wq_pctchange($C1323,$N$1))</f>
        <v xml:space="preserve"> </v>
      </c>
      <c r="M1323" s="28" t="str">
        <f>IF(C1323=""," ",[1]!s_mq_pctchange($C1323,$N$1))</f>
        <v xml:space="preserve"> </v>
      </c>
      <c r="N1323" s="28" t="str">
        <f>IF(C1323=""," ",[1]!s_yq_pctchange($C1323,$N$1))</f>
        <v xml:space="preserve"> </v>
      </c>
      <c r="O1323" s="11"/>
      <c r="P1323" s="7"/>
    </row>
    <row r="1324" spans="1:16" x14ac:dyDescent="0.35">
      <c r="A1324" s="7"/>
      <c r="C1324" s="31" t="str">
        <f>IF(指数列表!B1321="","",指数列表!B1321)</f>
        <v/>
      </c>
      <c r="D1324" s="36" t="str">
        <f>IF(C1324="","",[1]!s_info_name(C1324))</f>
        <v/>
      </c>
      <c r="E1324" s="25" t="str">
        <f>IF(C1324="","",[1]!s_dq_close(C1324,$N$1))</f>
        <v/>
      </c>
      <c r="F1324" s="28" t="str">
        <f>IF($C1324=""," ",[1]!i_pq_pctchange($C1324,F$6,$N$1))</f>
        <v xml:space="preserve"> </v>
      </c>
      <c r="G1324" s="28" t="str">
        <f>IF($C1324=""," ",[1]!i_pq_pctchange($C1324,G$6,$N$1))</f>
        <v xml:space="preserve"> </v>
      </c>
      <c r="H1324" s="28" t="str">
        <f>IF($C1324=""," ",[1]!i_pq_pctchange($C1324,H$6,$N$1))</f>
        <v xml:space="preserve"> </v>
      </c>
      <c r="I1324" s="28" t="str">
        <f>IF($C1324=""," ",[1]!i_pq_pctchange($C1324,I$6,$N$1))</f>
        <v xml:space="preserve"> </v>
      </c>
      <c r="J1324" s="28" t="str">
        <f>IF($C1324=""," ",[1]!i_pq_pctchange($C1324,J$6,$N$1))</f>
        <v xml:space="preserve"> </v>
      </c>
      <c r="K1324" s="28" t="str">
        <f>IF($C1324=""," ",[1]!i_pq_pctchange($C1324,K$6,$N$1))</f>
        <v xml:space="preserve"> </v>
      </c>
      <c r="L1324" s="28" t="str">
        <f>IF(C1324=""," ",[1]!s_wq_pctchange($C1324,$N$1))</f>
        <v xml:space="preserve"> </v>
      </c>
      <c r="M1324" s="28" t="str">
        <f>IF(C1324=""," ",[1]!s_mq_pctchange($C1324,$N$1))</f>
        <v xml:space="preserve"> </v>
      </c>
      <c r="N1324" s="28" t="str">
        <f>IF(C1324=""," ",[1]!s_yq_pctchange($C1324,$N$1))</f>
        <v xml:space="preserve"> </v>
      </c>
      <c r="O1324" s="11"/>
      <c r="P1324" s="7"/>
    </row>
    <row r="1325" spans="1:16" x14ac:dyDescent="0.35">
      <c r="A1325" s="7"/>
      <c r="C1325" s="30" t="str">
        <f>IF(指数列表!B1322="","",指数列表!B1322)</f>
        <v/>
      </c>
      <c r="D1325" s="35" t="str">
        <f>IF(C1325="","",[1]!s_info_name(C1325))</f>
        <v/>
      </c>
      <c r="E1325" s="24" t="str">
        <f>IF(C1325="","",[1]!s_dq_close(C1325,$N$1))</f>
        <v/>
      </c>
      <c r="F1325" s="28" t="str">
        <f>IF($C1325=""," ",[1]!i_pq_pctchange($C1325,F$6,$N$1))</f>
        <v xml:space="preserve"> </v>
      </c>
      <c r="G1325" s="28" t="str">
        <f>IF($C1325=""," ",[1]!i_pq_pctchange($C1325,G$6,$N$1))</f>
        <v xml:space="preserve"> </v>
      </c>
      <c r="H1325" s="28" t="str">
        <f>IF($C1325=""," ",[1]!i_pq_pctchange($C1325,H$6,$N$1))</f>
        <v xml:space="preserve"> </v>
      </c>
      <c r="I1325" s="28" t="str">
        <f>IF($C1325=""," ",[1]!i_pq_pctchange($C1325,I$6,$N$1))</f>
        <v xml:space="preserve"> </v>
      </c>
      <c r="J1325" s="28" t="str">
        <f>IF($C1325=""," ",[1]!i_pq_pctchange($C1325,J$6,$N$1))</f>
        <v xml:space="preserve"> </v>
      </c>
      <c r="K1325" s="28" t="str">
        <f>IF($C1325=""," ",[1]!i_pq_pctchange($C1325,K$6,$N$1))</f>
        <v xml:space="preserve"> </v>
      </c>
      <c r="L1325" s="28" t="str">
        <f>IF(C1325=""," ",[1]!s_wq_pctchange($C1325,$N$1))</f>
        <v xml:space="preserve"> </v>
      </c>
      <c r="M1325" s="28" t="str">
        <f>IF(C1325=""," ",[1]!s_mq_pctchange($C1325,$N$1))</f>
        <v xml:space="preserve"> </v>
      </c>
      <c r="N1325" s="28" t="str">
        <f>IF(C1325=""," ",[1]!s_yq_pctchange($C1325,$N$1))</f>
        <v xml:space="preserve"> </v>
      </c>
      <c r="O1325" s="11"/>
      <c r="P1325" s="7"/>
    </row>
    <row r="1326" spans="1:16" x14ac:dyDescent="0.35">
      <c r="A1326" s="7"/>
      <c r="C1326" s="31" t="str">
        <f>IF(指数列表!B1323="","",指数列表!B1323)</f>
        <v/>
      </c>
      <c r="D1326" s="36" t="str">
        <f>IF(C1326="","",[1]!s_info_name(C1326))</f>
        <v/>
      </c>
      <c r="E1326" s="25" t="str">
        <f>IF(C1326="","",[1]!s_dq_close(C1326,$N$1))</f>
        <v/>
      </c>
      <c r="F1326" s="28" t="str">
        <f>IF($C1326=""," ",[1]!i_pq_pctchange($C1326,F$6,$N$1))</f>
        <v xml:space="preserve"> </v>
      </c>
      <c r="G1326" s="28" t="str">
        <f>IF($C1326=""," ",[1]!i_pq_pctchange($C1326,G$6,$N$1))</f>
        <v xml:space="preserve"> </v>
      </c>
      <c r="H1326" s="28" t="str">
        <f>IF($C1326=""," ",[1]!i_pq_pctchange($C1326,H$6,$N$1))</f>
        <v xml:space="preserve"> </v>
      </c>
      <c r="I1326" s="28" t="str">
        <f>IF($C1326=""," ",[1]!i_pq_pctchange($C1326,I$6,$N$1))</f>
        <v xml:space="preserve"> </v>
      </c>
      <c r="J1326" s="28" t="str">
        <f>IF($C1326=""," ",[1]!i_pq_pctchange($C1326,J$6,$N$1))</f>
        <v xml:space="preserve"> </v>
      </c>
      <c r="K1326" s="28" t="str">
        <f>IF($C1326=""," ",[1]!i_pq_pctchange($C1326,K$6,$N$1))</f>
        <v xml:space="preserve"> </v>
      </c>
      <c r="L1326" s="28" t="str">
        <f>IF(C1326=""," ",[1]!s_wq_pctchange($C1326,$N$1))</f>
        <v xml:space="preserve"> </v>
      </c>
      <c r="M1326" s="28" t="str">
        <f>IF(C1326=""," ",[1]!s_mq_pctchange($C1326,$N$1))</f>
        <v xml:space="preserve"> </v>
      </c>
      <c r="N1326" s="28" t="str">
        <f>IF(C1326=""," ",[1]!s_yq_pctchange($C1326,$N$1))</f>
        <v xml:space="preserve"> </v>
      </c>
      <c r="O1326" s="11"/>
      <c r="P1326" s="7"/>
    </row>
    <row r="1327" spans="1:16" x14ac:dyDescent="0.35">
      <c r="A1327" s="7"/>
      <c r="C1327" s="30" t="str">
        <f>IF(指数列表!B1324="","",指数列表!B1324)</f>
        <v/>
      </c>
      <c r="D1327" s="35" t="str">
        <f>IF(C1327="","",[1]!s_info_name(C1327))</f>
        <v/>
      </c>
      <c r="E1327" s="24" t="str">
        <f>IF(C1327="","",[1]!s_dq_close(C1327,$N$1))</f>
        <v/>
      </c>
      <c r="F1327" s="28" t="str">
        <f>IF($C1327=""," ",[1]!i_pq_pctchange($C1327,F$6,$N$1))</f>
        <v xml:space="preserve"> </v>
      </c>
      <c r="G1327" s="28" t="str">
        <f>IF($C1327=""," ",[1]!i_pq_pctchange($C1327,G$6,$N$1))</f>
        <v xml:space="preserve"> </v>
      </c>
      <c r="H1327" s="28" t="str">
        <f>IF($C1327=""," ",[1]!i_pq_pctchange($C1327,H$6,$N$1))</f>
        <v xml:space="preserve"> </v>
      </c>
      <c r="I1327" s="28" t="str">
        <f>IF($C1327=""," ",[1]!i_pq_pctchange($C1327,I$6,$N$1))</f>
        <v xml:space="preserve"> </v>
      </c>
      <c r="J1327" s="28" t="str">
        <f>IF($C1327=""," ",[1]!i_pq_pctchange($C1327,J$6,$N$1))</f>
        <v xml:space="preserve"> </v>
      </c>
      <c r="K1327" s="28" t="str">
        <f>IF($C1327=""," ",[1]!i_pq_pctchange($C1327,K$6,$N$1))</f>
        <v xml:space="preserve"> </v>
      </c>
      <c r="L1327" s="28" t="str">
        <f>IF(C1327=""," ",[1]!s_wq_pctchange($C1327,$N$1))</f>
        <v xml:space="preserve"> </v>
      </c>
      <c r="M1327" s="28" t="str">
        <f>IF(C1327=""," ",[1]!s_mq_pctchange($C1327,$N$1))</f>
        <v xml:space="preserve"> </v>
      </c>
      <c r="N1327" s="28" t="str">
        <f>IF(C1327=""," ",[1]!s_yq_pctchange($C1327,$N$1))</f>
        <v xml:space="preserve"> </v>
      </c>
      <c r="O1327" s="11"/>
      <c r="P1327" s="7"/>
    </row>
    <row r="1328" spans="1:16" x14ac:dyDescent="0.35">
      <c r="A1328" s="7"/>
      <c r="C1328" s="31" t="str">
        <f>IF(指数列表!B1325="","",指数列表!B1325)</f>
        <v/>
      </c>
      <c r="D1328" s="36" t="str">
        <f>IF(C1328="","",[1]!s_info_name(C1328))</f>
        <v/>
      </c>
      <c r="E1328" s="25" t="str">
        <f>IF(C1328="","",[1]!s_dq_close(C1328,$N$1))</f>
        <v/>
      </c>
      <c r="F1328" s="28" t="str">
        <f>IF($C1328=""," ",[1]!i_pq_pctchange($C1328,F$6,$N$1))</f>
        <v xml:space="preserve"> </v>
      </c>
      <c r="G1328" s="28" t="str">
        <f>IF($C1328=""," ",[1]!i_pq_pctchange($C1328,G$6,$N$1))</f>
        <v xml:space="preserve"> </v>
      </c>
      <c r="H1328" s="28" t="str">
        <f>IF($C1328=""," ",[1]!i_pq_pctchange($C1328,H$6,$N$1))</f>
        <v xml:space="preserve"> </v>
      </c>
      <c r="I1328" s="28" t="str">
        <f>IF($C1328=""," ",[1]!i_pq_pctchange($C1328,I$6,$N$1))</f>
        <v xml:space="preserve"> </v>
      </c>
      <c r="J1328" s="28" t="str">
        <f>IF($C1328=""," ",[1]!i_pq_pctchange($C1328,J$6,$N$1))</f>
        <v xml:space="preserve"> </v>
      </c>
      <c r="K1328" s="28" t="str">
        <f>IF($C1328=""," ",[1]!i_pq_pctchange($C1328,K$6,$N$1))</f>
        <v xml:space="preserve"> </v>
      </c>
      <c r="L1328" s="28" t="str">
        <f>IF(C1328=""," ",[1]!s_wq_pctchange($C1328,$N$1))</f>
        <v xml:space="preserve"> </v>
      </c>
      <c r="M1328" s="28" t="str">
        <f>IF(C1328=""," ",[1]!s_mq_pctchange($C1328,$N$1))</f>
        <v xml:space="preserve"> </v>
      </c>
      <c r="N1328" s="28" t="str">
        <f>IF(C1328=""," ",[1]!s_yq_pctchange($C1328,$N$1))</f>
        <v xml:space="preserve"> </v>
      </c>
      <c r="O1328" s="11"/>
      <c r="P1328" s="7"/>
    </row>
    <row r="1329" spans="1:16" x14ac:dyDescent="0.35">
      <c r="A1329" s="7"/>
      <c r="C1329" s="30" t="str">
        <f>IF(指数列表!B1326="","",指数列表!B1326)</f>
        <v/>
      </c>
      <c r="D1329" s="35" t="str">
        <f>IF(C1329="","",[1]!s_info_name(C1329))</f>
        <v/>
      </c>
      <c r="E1329" s="24" t="str">
        <f>IF(C1329="","",[1]!s_dq_close(C1329,$N$1))</f>
        <v/>
      </c>
      <c r="F1329" s="28" t="str">
        <f>IF($C1329=""," ",[1]!i_pq_pctchange($C1329,F$6,$N$1))</f>
        <v xml:space="preserve"> </v>
      </c>
      <c r="G1329" s="28" t="str">
        <f>IF($C1329=""," ",[1]!i_pq_pctchange($C1329,G$6,$N$1))</f>
        <v xml:space="preserve"> </v>
      </c>
      <c r="H1329" s="28" t="str">
        <f>IF($C1329=""," ",[1]!i_pq_pctchange($C1329,H$6,$N$1))</f>
        <v xml:space="preserve"> </v>
      </c>
      <c r="I1329" s="28" t="str">
        <f>IF($C1329=""," ",[1]!i_pq_pctchange($C1329,I$6,$N$1))</f>
        <v xml:space="preserve"> </v>
      </c>
      <c r="J1329" s="28" t="str">
        <f>IF($C1329=""," ",[1]!i_pq_pctchange($C1329,J$6,$N$1))</f>
        <v xml:space="preserve"> </v>
      </c>
      <c r="K1329" s="28" t="str">
        <f>IF($C1329=""," ",[1]!i_pq_pctchange($C1329,K$6,$N$1))</f>
        <v xml:space="preserve"> </v>
      </c>
      <c r="L1329" s="28" t="str">
        <f>IF(C1329=""," ",[1]!s_wq_pctchange($C1329,$N$1))</f>
        <v xml:space="preserve"> </v>
      </c>
      <c r="M1329" s="28" t="str">
        <f>IF(C1329=""," ",[1]!s_mq_pctchange($C1329,$N$1))</f>
        <v xml:space="preserve"> </v>
      </c>
      <c r="N1329" s="28" t="str">
        <f>IF(C1329=""," ",[1]!s_yq_pctchange($C1329,$N$1))</f>
        <v xml:space="preserve"> </v>
      </c>
      <c r="O1329" s="11"/>
      <c r="P1329" s="7"/>
    </row>
    <row r="1330" spans="1:16" x14ac:dyDescent="0.35">
      <c r="A1330" s="7"/>
      <c r="C1330" s="31" t="str">
        <f>IF(指数列表!B1327="","",指数列表!B1327)</f>
        <v/>
      </c>
      <c r="D1330" s="36" t="str">
        <f>IF(C1330="","",[1]!s_info_name(C1330))</f>
        <v/>
      </c>
      <c r="E1330" s="25" t="str">
        <f>IF(C1330="","",[1]!s_dq_close(C1330,$N$1))</f>
        <v/>
      </c>
      <c r="F1330" s="28" t="str">
        <f>IF($C1330=""," ",[1]!i_pq_pctchange($C1330,F$6,$N$1))</f>
        <v xml:space="preserve"> </v>
      </c>
      <c r="G1330" s="28" t="str">
        <f>IF($C1330=""," ",[1]!i_pq_pctchange($C1330,G$6,$N$1))</f>
        <v xml:space="preserve"> </v>
      </c>
      <c r="H1330" s="28" t="str">
        <f>IF($C1330=""," ",[1]!i_pq_pctchange($C1330,H$6,$N$1))</f>
        <v xml:space="preserve"> </v>
      </c>
      <c r="I1330" s="28" t="str">
        <f>IF($C1330=""," ",[1]!i_pq_pctchange($C1330,I$6,$N$1))</f>
        <v xml:space="preserve"> </v>
      </c>
      <c r="J1330" s="28" t="str">
        <f>IF($C1330=""," ",[1]!i_pq_pctchange($C1330,J$6,$N$1))</f>
        <v xml:space="preserve"> </v>
      </c>
      <c r="K1330" s="28" t="str">
        <f>IF($C1330=""," ",[1]!i_pq_pctchange($C1330,K$6,$N$1))</f>
        <v xml:space="preserve"> </v>
      </c>
      <c r="L1330" s="28" t="str">
        <f>IF(C1330=""," ",[1]!s_wq_pctchange($C1330,$N$1))</f>
        <v xml:space="preserve"> </v>
      </c>
      <c r="M1330" s="28" t="str">
        <f>IF(C1330=""," ",[1]!s_mq_pctchange($C1330,$N$1))</f>
        <v xml:space="preserve"> </v>
      </c>
      <c r="N1330" s="28" t="str">
        <f>IF(C1330=""," ",[1]!s_yq_pctchange($C1330,$N$1))</f>
        <v xml:space="preserve"> </v>
      </c>
      <c r="O1330" s="11"/>
      <c r="P1330" s="7"/>
    </row>
    <row r="1331" spans="1:16" x14ac:dyDescent="0.35">
      <c r="A1331" s="7"/>
      <c r="C1331" s="30" t="str">
        <f>IF(指数列表!B1328="","",指数列表!B1328)</f>
        <v/>
      </c>
      <c r="D1331" s="35" t="str">
        <f>IF(C1331="","",[1]!s_info_name(C1331))</f>
        <v/>
      </c>
      <c r="E1331" s="24" t="str">
        <f>IF(C1331="","",[1]!s_dq_close(C1331,$N$1))</f>
        <v/>
      </c>
      <c r="F1331" s="28" t="str">
        <f>IF($C1331=""," ",[1]!i_pq_pctchange($C1331,F$6,$N$1))</f>
        <v xml:space="preserve"> </v>
      </c>
      <c r="G1331" s="28" t="str">
        <f>IF($C1331=""," ",[1]!i_pq_pctchange($C1331,G$6,$N$1))</f>
        <v xml:space="preserve"> </v>
      </c>
      <c r="H1331" s="28" t="str">
        <f>IF($C1331=""," ",[1]!i_pq_pctchange($C1331,H$6,$N$1))</f>
        <v xml:space="preserve"> </v>
      </c>
      <c r="I1331" s="28" t="str">
        <f>IF($C1331=""," ",[1]!i_pq_pctchange($C1331,I$6,$N$1))</f>
        <v xml:space="preserve"> </v>
      </c>
      <c r="J1331" s="28" t="str">
        <f>IF($C1331=""," ",[1]!i_pq_pctchange($C1331,J$6,$N$1))</f>
        <v xml:space="preserve"> </v>
      </c>
      <c r="K1331" s="28" t="str">
        <f>IF($C1331=""," ",[1]!i_pq_pctchange($C1331,K$6,$N$1))</f>
        <v xml:space="preserve"> </v>
      </c>
      <c r="L1331" s="28" t="str">
        <f>IF(C1331=""," ",[1]!s_wq_pctchange($C1331,$N$1))</f>
        <v xml:space="preserve"> </v>
      </c>
      <c r="M1331" s="28" t="str">
        <f>IF(C1331=""," ",[1]!s_mq_pctchange($C1331,$N$1))</f>
        <v xml:space="preserve"> </v>
      </c>
      <c r="N1331" s="28" t="str">
        <f>IF(C1331=""," ",[1]!s_yq_pctchange($C1331,$N$1))</f>
        <v xml:space="preserve"> </v>
      </c>
      <c r="O1331" s="11"/>
      <c r="P1331" s="7"/>
    </row>
    <row r="1332" spans="1:16" x14ac:dyDescent="0.35">
      <c r="A1332" s="7"/>
      <c r="C1332" s="31" t="str">
        <f>IF(指数列表!B1329="","",指数列表!B1329)</f>
        <v/>
      </c>
      <c r="D1332" s="36" t="str">
        <f>IF(C1332="","",[1]!s_info_name(C1332))</f>
        <v/>
      </c>
      <c r="E1332" s="25" t="str">
        <f>IF(C1332="","",[1]!s_dq_close(C1332,$N$1))</f>
        <v/>
      </c>
      <c r="F1332" s="28" t="str">
        <f>IF($C1332=""," ",[1]!i_pq_pctchange($C1332,F$6,$N$1))</f>
        <v xml:space="preserve"> </v>
      </c>
      <c r="G1332" s="28" t="str">
        <f>IF($C1332=""," ",[1]!i_pq_pctchange($C1332,G$6,$N$1))</f>
        <v xml:space="preserve"> </v>
      </c>
      <c r="H1332" s="28" t="str">
        <f>IF($C1332=""," ",[1]!i_pq_pctchange($C1332,H$6,$N$1))</f>
        <v xml:space="preserve"> </v>
      </c>
      <c r="I1332" s="28" t="str">
        <f>IF($C1332=""," ",[1]!i_pq_pctchange($C1332,I$6,$N$1))</f>
        <v xml:space="preserve"> </v>
      </c>
      <c r="J1332" s="28" t="str">
        <f>IF($C1332=""," ",[1]!i_pq_pctchange($C1332,J$6,$N$1))</f>
        <v xml:space="preserve"> </v>
      </c>
      <c r="K1332" s="28" t="str">
        <f>IF($C1332=""," ",[1]!i_pq_pctchange($C1332,K$6,$N$1))</f>
        <v xml:space="preserve"> </v>
      </c>
      <c r="L1332" s="28" t="str">
        <f>IF(C1332=""," ",[1]!s_wq_pctchange($C1332,$N$1))</f>
        <v xml:space="preserve"> </v>
      </c>
      <c r="M1332" s="28" t="str">
        <f>IF(C1332=""," ",[1]!s_mq_pctchange($C1332,$N$1))</f>
        <v xml:space="preserve"> </v>
      </c>
      <c r="N1332" s="28" t="str">
        <f>IF(C1332=""," ",[1]!s_yq_pctchange($C1332,$N$1))</f>
        <v xml:space="preserve"> </v>
      </c>
      <c r="O1332" s="11"/>
      <c r="P1332" s="7"/>
    </row>
    <row r="1333" spans="1:16" x14ac:dyDescent="0.35">
      <c r="A1333" s="7"/>
      <c r="C1333" s="30" t="str">
        <f>IF(指数列表!B1330="","",指数列表!B1330)</f>
        <v/>
      </c>
      <c r="D1333" s="35" t="str">
        <f>IF(C1333="","",[1]!s_info_name(C1333))</f>
        <v/>
      </c>
      <c r="E1333" s="24" t="str">
        <f>IF(C1333="","",[1]!s_dq_close(C1333,$N$1))</f>
        <v/>
      </c>
      <c r="F1333" s="28" t="str">
        <f>IF($C1333=""," ",[1]!i_pq_pctchange($C1333,F$6,$N$1))</f>
        <v xml:space="preserve"> </v>
      </c>
      <c r="G1333" s="28" t="str">
        <f>IF($C1333=""," ",[1]!i_pq_pctchange($C1333,G$6,$N$1))</f>
        <v xml:space="preserve"> </v>
      </c>
      <c r="H1333" s="28" t="str">
        <f>IF($C1333=""," ",[1]!i_pq_pctchange($C1333,H$6,$N$1))</f>
        <v xml:space="preserve"> </v>
      </c>
      <c r="I1333" s="28" t="str">
        <f>IF($C1333=""," ",[1]!i_pq_pctchange($C1333,I$6,$N$1))</f>
        <v xml:space="preserve"> </v>
      </c>
      <c r="J1333" s="28" t="str">
        <f>IF($C1333=""," ",[1]!i_pq_pctchange($C1333,J$6,$N$1))</f>
        <v xml:space="preserve"> </v>
      </c>
      <c r="K1333" s="28" t="str">
        <f>IF($C1333=""," ",[1]!i_pq_pctchange($C1333,K$6,$N$1))</f>
        <v xml:space="preserve"> </v>
      </c>
      <c r="L1333" s="28" t="str">
        <f>IF(C1333=""," ",[1]!s_wq_pctchange($C1333,$N$1))</f>
        <v xml:space="preserve"> </v>
      </c>
      <c r="M1333" s="28" t="str">
        <f>IF(C1333=""," ",[1]!s_mq_pctchange($C1333,$N$1))</f>
        <v xml:space="preserve"> </v>
      </c>
      <c r="N1333" s="28" t="str">
        <f>IF(C1333=""," ",[1]!s_yq_pctchange($C1333,$N$1))</f>
        <v xml:space="preserve"> </v>
      </c>
      <c r="O1333" s="11"/>
      <c r="P1333" s="7"/>
    </row>
    <row r="1334" spans="1:16" x14ac:dyDescent="0.35">
      <c r="A1334" s="7"/>
      <c r="C1334" s="31" t="str">
        <f>IF(指数列表!B1331="","",指数列表!B1331)</f>
        <v/>
      </c>
      <c r="D1334" s="36" t="str">
        <f>IF(C1334="","",[1]!s_info_name(C1334))</f>
        <v/>
      </c>
      <c r="E1334" s="25" t="str">
        <f>IF(C1334="","",[1]!s_dq_close(C1334,$N$1))</f>
        <v/>
      </c>
      <c r="F1334" s="28" t="str">
        <f>IF($C1334=""," ",[1]!i_pq_pctchange($C1334,F$6,$N$1))</f>
        <v xml:space="preserve"> </v>
      </c>
      <c r="G1334" s="28" t="str">
        <f>IF($C1334=""," ",[1]!i_pq_pctchange($C1334,G$6,$N$1))</f>
        <v xml:space="preserve"> </v>
      </c>
      <c r="H1334" s="28" t="str">
        <f>IF($C1334=""," ",[1]!i_pq_pctchange($C1334,H$6,$N$1))</f>
        <v xml:space="preserve"> </v>
      </c>
      <c r="I1334" s="28" t="str">
        <f>IF($C1334=""," ",[1]!i_pq_pctchange($C1334,I$6,$N$1))</f>
        <v xml:space="preserve"> </v>
      </c>
      <c r="J1334" s="28" t="str">
        <f>IF($C1334=""," ",[1]!i_pq_pctchange($C1334,J$6,$N$1))</f>
        <v xml:space="preserve"> </v>
      </c>
      <c r="K1334" s="28" t="str">
        <f>IF($C1334=""," ",[1]!i_pq_pctchange($C1334,K$6,$N$1))</f>
        <v xml:space="preserve"> </v>
      </c>
      <c r="L1334" s="28" t="str">
        <f>IF(C1334=""," ",[1]!s_wq_pctchange($C1334,$N$1))</f>
        <v xml:space="preserve"> </v>
      </c>
      <c r="M1334" s="28" t="str">
        <f>IF(C1334=""," ",[1]!s_mq_pctchange($C1334,$N$1))</f>
        <v xml:space="preserve"> </v>
      </c>
      <c r="N1334" s="28" t="str">
        <f>IF(C1334=""," ",[1]!s_yq_pctchange($C1334,$N$1))</f>
        <v xml:space="preserve"> </v>
      </c>
      <c r="O1334" s="11"/>
      <c r="P1334" s="7"/>
    </row>
    <row r="1335" spans="1:16" x14ac:dyDescent="0.35">
      <c r="A1335" s="7"/>
      <c r="C1335" s="30" t="str">
        <f>IF(指数列表!B1332="","",指数列表!B1332)</f>
        <v/>
      </c>
      <c r="D1335" s="35" t="str">
        <f>IF(C1335="","",[1]!s_info_name(C1335))</f>
        <v/>
      </c>
      <c r="E1335" s="24" t="str">
        <f>IF(C1335="","",[1]!s_dq_close(C1335,$N$1))</f>
        <v/>
      </c>
      <c r="F1335" s="28" t="str">
        <f>IF($C1335=""," ",[1]!i_pq_pctchange($C1335,F$6,$N$1))</f>
        <v xml:space="preserve"> </v>
      </c>
      <c r="G1335" s="28" t="str">
        <f>IF($C1335=""," ",[1]!i_pq_pctchange($C1335,G$6,$N$1))</f>
        <v xml:space="preserve"> </v>
      </c>
      <c r="H1335" s="28" t="str">
        <f>IF($C1335=""," ",[1]!i_pq_pctchange($C1335,H$6,$N$1))</f>
        <v xml:space="preserve"> </v>
      </c>
      <c r="I1335" s="28" t="str">
        <f>IF($C1335=""," ",[1]!i_pq_pctchange($C1335,I$6,$N$1))</f>
        <v xml:space="preserve"> </v>
      </c>
      <c r="J1335" s="28" t="str">
        <f>IF($C1335=""," ",[1]!i_pq_pctchange($C1335,J$6,$N$1))</f>
        <v xml:space="preserve"> </v>
      </c>
      <c r="K1335" s="28" t="str">
        <f>IF($C1335=""," ",[1]!i_pq_pctchange($C1335,K$6,$N$1))</f>
        <v xml:space="preserve"> </v>
      </c>
      <c r="L1335" s="28" t="str">
        <f>IF(C1335=""," ",[1]!s_wq_pctchange($C1335,$N$1))</f>
        <v xml:space="preserve"> </v>
      </c>
      <c r="M1335" s="28" t="str">
        <f>IF(C1335=""," ",[1]!s_mq_pctchange($C1335,$N$1))</f>
        <v xml:space="preserve"> </v>
      </c>
      <c r="N1335" s="28" t="str">
        <f>IF(C1335=""," ",[1]!s_yq_pctchange($C1335,$N$1))</f>
        <v xml:space="preserve"> </v>
      </c>
      <c r="O1335" s="11"/>
      <c r="P1335" s="7"/>
    </row>
    <row r="1336" spans="1:16" x14ac:dyDescent="0.35">
      <c r="A1336" s="7"/>
      <c r="C1336" s="31" t="str">
        <f>IF(指数列表!B1333="","",指数列表!B1333)</f>
        <v/>
      </c>
      <c r="D1336" s="36" t="str">
        <f>IF(C1336="","",[1]!s_info_name(C1336))</f>
        <v/>
      </c>
      <c r="E1336" s="25" t="str">
        <f>IF(C1336="","",[1]!s_dq_close(C1336,$N$1))</f>
        <v/>
      </c>
      <c r="F1336" s="28" t="str">
        <f>IF($C1336=""," ",[1]!i_pq_pctchange($C1336,F$6,$N$1))</f>
        <v xml:space="preserve"> </v>
      </c>
      <c r="G1336" s="28" t="str">
        <f>IF($C1336=""," ",[1]!i_pq_pctchange($C1336,G$6,$N$1))</f>
        <v xml:space="preserve"> </v>
      </c>
      <c r="H1336" s="28" t="str">
        <f>IF($C1336=""," ",[1]!i_pq_pctchange($C1336,H$6,$N$1))</f>
        <v xml:space="preserve"> </v>
      </c>
      <c r="I1336" s="28" t="str">
        <f>IF($C1336=""," ",[1]!i_pq_pctchange($C1336,I$6,$N$1))</f>
        <v xml:space="preserve"> </v>
      </c>
      <c r="J1336" s="28" t="str">
        <f>IF($C1336=""," ",[1]!i_pq_pctchange($C1336,J$6,$N$1))</f>
        <v xml:space="preserve"> </v>
      </c>
      <c r="K1336" s="28" t="str">
        <f>IF($C1336=""," ",[1]!i_pq_pctchange($C1336,K$6,$N$1))</f>
        <v xml:space="preserve"> </v>
      </c>
      <c r="L1336" s="28" t="str">
        <f>IF(C1336=""," ",[1]!s_wq_pctchange($C1336,$N$1))</f>
        <v xml:space="preserve"> </v>
      </c>
      <c r="M1336" s="28" t="str">
        <f>IF(C1336=""," ",[1]!s_mq_pctchange($C1336,$N$1))</f>
        <v xml:space="preserve"> </v>
      </c>
      <c r="N1336" s="28" t="str">
        <f>IF(C1336=""," ",[1]!s_yq_pctchange($C1336,$N$1))</f>
        <v xml:space="preserve"> </v>
      </c>
      <c r="O1336" s="11"/>
      <c r="P1336" s="7"/>
    </row>
    <row r="1337" spans="1:16" x14ac:dyDescent="0.35">
      <c r="A1337" s="7"/>
      <c r="C1337" s="30" t="str">
        <f>IF(指数列表!B1334="","",指数列表!B1334)</f>
        <v/>
      </c>
      <c r="D1337" s="35" t="str">
        <f>IF(C1337="","",[1]!s_info_name(C1337))</f>
        <v/>
      </c>
      <c r="E1337" s="24" t="str">
        <f>IF(C1337="","",[1]!s_dq_close(C1337,$N$1))</f>
        <v/>
      </c>
      <c r="F1337" s="28" t="str">
        <f>IF($C1337=""," ",[1]!i_pq_pctchange($C1337,F$6,$N$1))</f>
        <v xml:space="preserve"> </v>
      </c>
      <c r="G1337" s="28" t="str">
        <f>IF($C1337=""," ",[1]!i_pq_pctchange($C1337,G$6,$N$1))</f>
        <v xml:space="preserve"> </v>
      </c>
      <c r="H1337" s="28" t="str">
        <f>IF($C1337=""," ",[1]!i_pq_pctchange($C1337,H$6,$N$1))</f>
        <v xml:space="preserve"> </v>
      </c>
      <c r="I1337" s="28" t="str">
        <f>IF($C1337=""," ",[1]!i_pq_pctchange($C1337,I$6,$N$1))</f>
        <v xml:space="preserve"> </v>
      </c>
      <c r="J1337" s="28" t="str">
        <f>IF($C1337=""," ",[1]!i_pq_pctchange($C1337,J$6,$N$1))</f>
        <v xml:space="preserve"> </v>
      </c>
      <c r="K1337" s="28" t="str">
        <f>IF($C1337=""," ",[1]!i_pq_pctchange($C1337,K$6,$N$1))</f>
        <v xml:space="preserve"> </v>
      </c>
      <c r="L1337" s="28" t="str">
        <f>IF(C1337=""," ",[1]!s_wq_pctchange($C1337,$N$1))</f>
        <v xml:space="preserve"> </v>
      </c>
      <c r="M1337" s="28" t="str">
        <f>IF(C1337=""," ",[1]!s_mq_pctchange($C1337,$N$1))</f>
        <v xml:space="preserve"> </v>
      </c>
      <c r="N1337" s="28" t="str">
        <f>IF(C1337=""," ",[1]!s_yq_pctchange($C1337,$N$1))</f>
        <v xml:space="preserve"> </v>
      </c>
      <c r="O1337" s="11"/>
      <c r="P1337" s="7"/>
    </row>
    <row r="1338" spans="1:16" x14ac:dyDescent="0.35">
      <c r="A1338" s="7"/>
      <c r="C1338" s="31" t="str">
        <f>IF(指数列表!B1335="","",指数列表!B1335)</f>
        <v/>
      </c>
      <c r="D1338" s="36" t="str">
        <f>IF(C1338="","",[1]!s_info_name(C1338))</f>
        <v/>
      </c>
      <c r="E1338" s="25" t="str">
        <f>IF(C1338="","",[1]!s_dq_close(C1338,$N$1))</f>
        <v/>
      </c>
      <c r="F1338" s="28" t="str">
        <f>IF($C1338=""," ",[1]!i_pq_pctchange($C1338,F$6,$N$1))</f>
        <v xml:space="preserve"> </v>
      </c>
      <c r="G1338" s="28" t="str">
        <f>IF($C1338=""," ",[1]!i_pq_pctchange($C1338,G$6,$N$1))</f>
        <v xml:space="preserve"> </v>
      </c>
      <c r="H1338" s="28" t="str">
        <f>IF($C1338=""," ",[1]!i_pq_pctchange($C1338,H$6,$N$1))</f>
        <v xml:space="preserve"> </v>
      </c>
      <c r="I1338" s="28" t="str">
        <f>IF($C1338=""," ",[1]!i_pq_pctchange($C1338,I$6,$N$1))</f>
        <v xml:space="preserve"> </v>
      </c>
      <c r="J1338" s="28" t="str">
        <f>IF($C1338=""," ",[1]!i_pq_pctchange($C1338,J$6,$N$1))</f>
        <v xml:space="preserve"> </v>
      </c>
      <c r="K1338" s="28" t="str">
        <f>IF($C1338=""," ",[1]!i_pq_pctchange($C1338,K$6,$N$1))</f>
        <v xml:space="preserve"> </v>
      </c>
      <c r="L1338" s="28" t="str">
        <f>IF(C1338=""," ",[1]!s_wq_pctchange($C1338,$N$1))</f>
        <v xml:space="preserve"> </v>
      </c>
      <c r="M1338" s="28" t="str">
        <f>IF(C1338=""," ",[1]!s_mq_pctchange($C1338,$N$1))</f>
        <v xml:space="preserve"> </v>
      </c>
      <c r="N1338" s="28" t="str">
        <f>IF(C1338=""," ",[1]!s_yq_pctchange($C1338,$N$1))</f>
        <v xml:space="preserve"> </v>
      </c>
      <c r="O1338" s="11"/>
      <c r="P1338" s="7"/>
    </row>
    <row r="1339" spans="1:16" x14ac:dyDescent="0.35">
      <c r="A1339" s="7"/>
      <c r="C1339" s="30" t="str">
        <f>IF(指数列表!B1336="","",指数列表!B1336)</f>
        <v/>
      </c>
      <c r="D1339" s="35" t="str">
        <f>IF(C1339="","",[1]!s_info_name(C1339))</f>
        <v/>
      </c>
      <c r="E1339" s="24" t="str">
        <f>IF(C1339="","",[1]!s_dq_close(C1339,$N$1))</f>
        <v/>
      </c>
      <c r="F1339" s="28" t="str">
        <f>IF($C1339=""," ",[1]!i_pq_pctchange($C1339,F$6,$N$1))</f>
        <v xml:space="preserve"> </v>
      </c>
      <c r="G1339" s="28" t="str">
        <f>IF($C1339=""," ",[1]!i_pq_pctchange($C1339,G$6,$N$1))</f>
        <v xml:space="preserve"> </v>
      </c>
      <c r="H1339" s="28" t="str">
        <f>IF($C1339=""," ",[1]!i_pq_pctchange($C1339,H$6,$N$1))</f>
        <v xml:space="preserve"> </v>
      </c>
      <c r="I1339" s="28" t="str">
        <f>IF($C1339=""," ",[1]!i_pq_pctchange($C1339,I$6,$N$1))</f>
        <v xml:space="preserve"> </v>
      </c>
      <c r="J1339" s="28" t="str">
        <f>IF($C1339=""," ",[1]!i_pq_pctchange($C1339,J$6,$N$1))</f>
        <v xml:space="preserve"> </v>
      </c>
      <c r="K1339" s="28" t="str">
        <f>IF($C1339=""," ",[1]!i_pq_pctchange($C1339,K$6,$N$1))</f>
        <v xml:space="preserve"> </v>
      </c>
      <c r="L1339" s="28" t="str">
        <f>IF(C1339=""," ",[1]!s_wq_pctchange($C1339,$N$1))</f>
        <v xml:space="preserve"> </v>
      </c>
      <c r="M1339" s="28" t="str">
        <f>IF(C1339=""," ",[1]!s_mq_pctchange($C1339,$N$1))</f>
        <v xml:space="preserve"> </v>
      </c>
      <c r="N1339" s="28" t="str">
        <f>IF(C1339=""," ",[1]!s_yq_pctchange($C1339,$N$1))</f>
        <v xml:space="preserve"> </v>
      </c>
      <c r="O1339" s="11"/>
      <c r="P1339" s="7"/>
    </row>
    <row r="1340" spans="1:16" x14ac:dyDescent="0.35">
      <c r="A1340" s="7"/>
      <c r="C1340" s="31" t="str">
        <f>IF(指数列表!B1337="","",指数列表!B1337)</f>
        <v/>
      </c>
      <c r="D1340" s="36" t="str">
        <f>IF(C1340="","",[1]!s_info_name(C1340))</f>
        <v/>
      </c>
      <c r="E1340" s="25" t="str">
        <f>IF(C1340="","",[1]!s_dq_close(C1340,$N$1))</f>
        <v/>
      </c>
      <c r="F1340" s="28" t="str">
        <f>IF($C1340=""," ",[1]!i_pq_pctchange($C1340,F$6,$N$1))</f>
        <v xml:space="preserve"> </v>
      </c>
      <c r="G1340" s="28" t="str">
        <f>IF($C1340=""," ",[1]!i_pq_pctchange($C1340,G$6,$N$1))</f>
        <v xml:space="preserve"> </v>
      </c>
      <c r="H1340" s="28" t="str">
        <f>IF($C1340=""," ",[1]!i_pq_pctchange($C1340,H$6,$N$1))</f>
        <v xml:space="preserve"> </v>
      </c>
      <c r="I1340" s="28" t="str">
        <f>IF($C1340=""," ",[1]!i_pq_pctchange($C1340,I$6,$N$1))</f>
        <v xml:space="preserve"> </v>
      </c>
      <c r="J1340" s="28" t="str">
        <f>IF($C1340=""," ",[1]!i_pq_pctchange($C1340,J$6,$N$1))</f>
        <v xml:space="preserve"> </v>
      </c>
      <c r="K1340" s="28" t="str">
        <f>IF($C1340=""," ",[1]!i_pq_pctchange($C1340,K$6,$N$1))</f>
        <v xml:space="preserve"> </v>
      </c>
      <c r="L1340" s="28" t="str">
        <f>IF(C1340=""," ",[1]!s_wq_pctchange($C1340,$N$1))</f>
        <v xml:space="preserve"> </v>
      </c>
      <c r="M1340" s="28" t="str">
        <f>IF(C1340=""," ",[1]!s_mq_pctchange($C1340,$N$1))</f>
        <v xml:space="preserve"> </v>
      </c>
      <c r="N1340" s="28" t="str">
        <f>IF(C1340=""," ",[1]!s_yq_pctchange($C1340,$N$1))</f>
        <v xml:space="preserve"> </v>
      </c>
      <c r="O1340" s="11"/>
      <c r="P1340" s="7"/>
    </row>
    <row r="1341" spans="1:16" x14ac:dyDescent="0.35">
      <c r="A1341" s="7"/>
      <c r="C1341" s="30" t="str">
        <f>IF(指数列表!B1338="","",指数列表!B1338)</f>
        <v/>
      </c>
      <c r="D1341" s="35" t="str">
        <f>IF(C1341="","",[1]!s_info_name(C1341))</f>
        <v/>
      </c>
      <c r="E1341" s="24" t="str">
        <f>IF(C1341="","",[1]!s_dq_close(C1341,$N$1))</f>
        <v/>
      </c>
      <c r="F1341" s="28" t="str">
        <f>IF($C1341=""," ",[1]!i_pq_pctchange($C1341,F$6,$N$1))</f>
        <v xml:space="preserve"> </v>
      </c>
      <c r="G1341" s="28" t="str">
        <f>IF($C1341=""," ",[1]!i_pq_pctchange($C1341,G$6,$N$1))</f>
        <v xml:space="preserve"> </v>
      </c>
      <c r="H1341" s="28" t="str">
        <f>IF($C1341=""," ",[1]!i_pq_pctchange($C1341,H$6,$N$1))</f>
        <v xml:space="preserve"> </v>
      </c>
      <c r="I1341" s="28" t="str">
        <f>IF($C1341=""," ",[1]!i_pq_pctchange($C1341,I$6,$N$1))</f>
        <v xml:space="preserve"> </v>
      </c>
      <c r="J1341" s="28" t="str">
        <f>IF($C1341=""," ",[1]!i_pq_pctchange($C1341,J$6,$N$1))</f>
        <v xml:space="preserve"> </v>
      </c>
      <c r="K1341" s="28" t="str">
        <f>IF($C1341=""," ",[1]!i_pq_pctchange($C1341,K$6,$N$1))</f>
        <v xml:space="preserve"> </v>
      </c>
      <c r="L1341" s="28" t="str">
        <f>IF(C1341=""," ",[1]!s_wq_pctchange($C1341,$N$1))</f>
        <v xml:space="preserve"> </v>
      </c>
      <c r="M1341" s="28" t="str">
        <f>IF(C1341=""," ",[1]!s_mq_pctchange($C1341,$N$1))</f>
        <v xml:space="preserve"> </v>
      </c>
      <c r="N1341" s="28" t="str">
        <f>IF(C1341=""," ",[1]!s_yq_pctchange($C1341,$N$1))</f>
        <v xml:space="preserve"> </v>
      </c>
      <c r="O1341" s="11"/>
      <c r="P1341" s="7"/>
    </row>
    <row r="1342" spans="1:16" x14ac:dyDescent="0.35">
      <c r="A1342" s="7"/>
      <c r="C1342" s="31" t="str">
        <f>IF(指数列表!B1339="","",指数列表!B1339)</f>
        <v/>
      </c>
      <c r="D1342" s="36" t="str">
        <f>IF(C1342="","",[1]!s_info_name(C1342))</f>
        <v/>
      </c>
      <c r="E1342" s="25" t="str">
        <f>IF(C1342="","",[1]!s_dq_close(C1342,$N$1))</f>
        <v/>
      </c>
      <c r="F1342" s="28" t="str">
        <f>IF($C1342=""," ",[1]!i_pq_pctchange($C1342,F$6,$N$1))</f>
        <v xml:space="preserve"> </v>
      </c>
      <c r="G1342" s="28" t="str">
        <f>IF($C1342=""," ",[1]!i_pq_pctchange($C1342,G$6,$N$1))</f>
        <v xml:space="preserve"> </v>
      </c>
      <c r="H1342" s="28" t="str">
        <f>IF($C1342=""," ",[1]!i_pq_pctchange($C1342,H$6,$N$1))</f>
        <v xml:space="preserve"> </v>
      </c>
      <c r="I1342" s="28" t="str">
        <f>IF($C1342=""," ",[1]!i_pq_pctchange($C1342,I$6,$N$1))</f>
        <v xml:space="preserve"> </v>
      </c>
      <c r="J1342" s="28" t="str">
        <f>IF($C1342=""," ",[1]!i_pq_pctchange($C1342,J$6,$N$1))</f>
        <v xml:space="preserve"> </v>
      </c>
      <c r="K1342" s="28" t="str">
        <f>IF($C1342=""," ",[1]!i_pq_pctchange($C1342,K$6,$N$1))</f>
        <v xml:space="preserve"> </v>
      </c>
      <c r="L1342" s="28" t="str">
        <f>IF(C1342=""," ",[1]!s_wq_pctchange($C1342,$N$1))</f>
        <v xml:space="preserve"> </v>
      </c>
      <c r="M1342" s="28" t="str">
        <f>IF(C1342=""," ",[1]!s_mq_pctchange($C1342,$N$1))</f>
        <v xml:space="preserve"> </v>
      </c>
      <c r="N1342" s="28" t="str">
        <f>IF(C1342=""," ",[1]!s_yq_pctchange($C1342,$N$1))</f>
        <v xml:space="preserve"> </v>
      </c>
      <c r="O1342" s="11"/>
      <c r="P1342" s="7"/>
    </row>
    <row r="1343" spans="1:16" x14ac:dyDescent="0.35">
      <c r="A1343" s="7"/>
      <c r="C1343" s="30" t="str">
        <f>IF(指数列表!B1340="","",指数列表!B1340)</f>
        <v/>
      </c>
      <c r="D1343" s="35" t="str">
        <f>IF(C1343="","",[1]!s_info_name(C1343))</f>
        <v/>
      </c>
      <c r="E1343" s="24" t="str">
        <f>IF(C1343="","",[1]!s_dq_close(C1343,$N$1))</f>
        <v/>
      </c>
      <c r="F1343" s="28" t="str">
        <f>IF($C1343=""," ",[1]!i_pq_pctchange($C1343,F$6,$N$1))</f>
        <v xml:space="preserve"> </v>
      </c>
      <c r="G1343" s="28" t="str">
        <f>IF($C1343=""," ",[1]!i_pq_pctchange($C1343,G$6,$N$1))</f>
        <v xml:space="preserve"> </v>
      </c>
      <c r="H1343" s="28" t="str">
        <f>IF($C1343=""," ",[1]!i_pq_pctchange($C1343,H$6,$N$1))</f>
        <v xml:space="preserve"> </v>
      </c>
      <c r="I1343" s="28" t="str">
        <f>IF($C1343=""," ",[1]!i_pq_pctchange($C1343,I$6,$N$1))</f>
        <v xml:space="preserve"> </v>
      </c>
      <c r="J1343" s="28" t="str">
        <f>IF($C1343=""," ",[1]!i_pq_pctchange($C1343,J$6,$N$1))</f>
        <v xml:space="preserve"> </v>
      </c>
      <c r="K1343" s="28" t="str">
        <f>IF($C1343=""," ",[1]!i_pq_pctchange($C1343,K$6,$N$1))</f>
        <v xml:space="preserve"> </v>
      </c>
      <c r="L1343" s="28" t="str">
        <f>IF(C1343=""," ",[1]!s_wq_pctchange($C1343,$N$1))</f>
        <v xml:space="preserve"> </v>
      </c>
      <c r="M1343" s="28" t="str">
        <f>IF(C1343=""," ",[1]!s_mq_pctchange($C1343,$N$1))</f>
        <v xml:space="preserve"> </v>
      </c>
      <c r="N1343" s="28" t="str">
        <f>IF(C1343=""," ",[1]!s_yq_pctchange($C1343,$N$1))</f>
        <v xml:space="preserve"> </v>
      </c>
      <c r="O1343" s="11"/>
      <c r="P1343" s="7"/>
    </row>
    <row r="1344" spans="1:16" x14ac:dyDescent="0.35">
      <c r="A1344" s="7"/>
      <c r="C1344" s="31" t="str">
        <f>IF(指数列表!B1341="","",指数列表!B1341)</f>
        <v/>
      </c>
      <c r="D1344" s="36" t="str">
        <f>IF(C1344="","",[1]!s_info_name(C1344))</f>
        <v/>
      </c>
      <c r="E1344" s="25" t="str">
        <f>IF(C1344="","",[1]!s_dq_close(C1344,$N$1))</f>
        <v/>
      </c>
      <c r="F1344" s="28" t="str">
        <f>IF($C1344=""," ",[1]!i_pq_pctchange($C1344,F$6,$N$1))</f>
        <v xml:space="preserve"> </v>
      </c>
      <c r="G1344" s="28" t="str">
        <f>IF($C1344=""," ",[1]!i_pq_pctchange($C1344,G$6,$N$1))</f>
        <v xml:space="preserve"> </v>
      </c>
      <c r="H1344" s="28" t="str">
        <f>IF($C1344=""," ",[1]!i_pq_pctchange($C1344,H$6,$N$1))</f>
        <v xml:space="preserve"> </v>
      </c>
      <c r="I1344" s="28" t="str">
        <f>IF($C1344=""," ",[1]!i_pq_pctchange($C1344,I$6,$N$1))</f>
        <v xml:space="preserve"> </v>
      </c>
      <c r="J1344" s="28" t="str">
        <f>IF($C1344=""," ",[1]!i_pq_pctchange($C1344,J$6,$N$1))</f>
        <v xml:space="preserve"> </v>
      </c>
      <c r="K1344" s="28" t="str">
        <f>IF($C1344=""," ",[1]!i_pq_pctchange($C1344,K$6,$N$1))</f>
        <v xml:space="preserve"> </v>
      </c>
      <c r="L1344" s="28" t="str">
        <f>IF(C1344=""," ",[1]!s_wq_pctchange($C1344,$N$1))</f>
        <v xml:space="preserve"> </v>
      </c>
      <c r="M1344" s="28" t="str">
        <f>IF(C1344=""," ",[1]!s_mq_pctchange($C1344,$N$1))</f>
        <v xml:space="preserve"> </v>
      </c>
      <c r="N1344" s="28" t="str">
        <f>IF(C1344=""," ",[1]!s_yq_pctchange($C1344,$N$1))</f>
        <v xml:space="preserve"> </v>
      </c>
      <c r="O1344" s="11"/>
      <c r="P1344" s="7"/>
    </row>
    <row r="1345" spans="1:16" x14ac:dyDescent="0.35">
      <c r="A1345" s="7"/>
      <c r="C1345" s="30" t="str">
        <f>IF(指数列表!B1342="","",指数列表!B1342)</f>
        <v/>
      </c>
      <c r="D1345" s="35" t="str">
        <f>IF(C1345="","",[1]!s_info_name(C1345))</f>
        <v/>
      </c>
      <c r="E1345" s="24" t="str">
        <f>IF(C1345="","",[1]!s_dq_close(C1345,$N$1))</f>
        <v/>
      </c>
      <c r="F1345" s="28" t="str">
        <f>IF($C1345=""," ",[1]!i_pq_pctchange($C1345,F$6,$N$1))</f>
        <v xml:space="preserve"> </v>
      </c>
      <c r="G1345" s="28" t="str">
        <f>IF($C1345=""," ",[1]!i_pq_pctchange($C1345,G$6,$N$1))</f>
        <v xml:space="preserve"> </v>
      </c>
      <c r="H1345" s="28" t="str">
        <f>IF($C1345=""," ",[1]!i_pq_pctchange($C1345,H$6,$N$1))</f>
        <v xml:space="preserve"> </v>
      </c>
      <c r="I1345" s="28" t="str">
        <f>IF($C1345=""," ",[1]!i_pq_pctchange($C1345,I$6,$N$1))</f>
        <v xml:space="preserve"> </v>
      </c>
      <c r="J1345" s="28" t="str">
        <f>IF($C1345=""," ",[1]!i_pq_pctchange($C1345,J$6,$N$1))</f>
        <v xml:space="preserve"> </v>
      </c>
      <c r="K1345" s="28" t="str">
        <f>IF($C1345=""," ",[1]!i_pq_pctchange($C1345,K$6,$N$1))</f>
        <v xml:space="preserve"> </v>
      </c>
      <c r="L1345" s="28" t="str">
        <f>IF(C1345=""," ",[1]!s_wq_pctchange($C1345,$N$1))</f>
        <v xml:space="preserve"> </v>
      </c>
      <c r="M1345" s="28" t="str">
        <f>IF(C1345=""," ",[1]!s_mq_pctchange($C1345,$N$1))</f>
        <v xml:space="preserve"> </v>
      </c>
      <c r="N1345" s="28" t="str">
        <f>IF(C1345=""," ",[1]!s_yq_pctchange($C1345,$N$1))</f>
        <v xml:space="preserve"> </v>
      </c>
      <c r="O1345" s="11"/>
      <c r="P1345" s="7"/>
    </row>
    <row r="1346" spans="1:16" x14ac:dyDescent="0.35">
      <c r="A1346" s="7"/>
      <c r="C1346" s="31" t="str">
        <f>IF(指数列表!B1343="","",指数列表!B1343)</f>
        <v/>
      </c>
      <c r="D1346" s="36" t="str">
        <f>IF(C1346="","",[1]!s_info_name(C1346))</f>
        <v/>
      </c>
      <c r="E1346" s="25" t="str">
        <f>IF(C1346="","",[1]!s_dq_close(C1346,$N$1))</f>
        <v/>
      </c>
      <c r="F1346" s="28" t="str">
        <f>IF($C1346=""," ",[1]!i_pq_pctchange($C1346,F$6,$N$1))</f>
        <v xml:space="preserve"> </v>
      </c>
      <c r="G1346" s="28" t="str">
        <f>IF($C1346=""," ",[1]!i_pq_pctchange($C1346,G$6,$N$1))</f>
        <v xml:space="preserve"> </v>
      </c>
      <c r="H1346" s="28" t="str">
        <f>IF($C1346=""," ",[1]!i_pq_pctchange($C1346,H$6,$N$1))</f>
        <v xml:space="preserve"> </v>
      </c>
      <c r="I1346" s="28" t="str">
        <f>IF($C1346=""," ",[1]!i_pq_pctchange($C1346,I$6,$N$1))</f>
        <v xml:space="preserve"> </v>
      </c>
      <c r="J1346" s="28" t="str">
        <f>IF($C1346=""," ",[1]!i_pq_pctchange($C1346,J$6,$N$1))</f>
        <v xml:space="preserve"> </v>
      </c>
      <c r="K1346" s="28" t="str">
        <f>IF($C1346=""," ",[1]!i_pq_pctchange($C1346,K$6,$N$1))</f>
        <v xml:space="preserve"> </v>
      </c>
      <c r="L1346" s="28" t="str">
        <f>IF(C1346=""," ",[1]!s_wq_pctchange($C1346,$N$1))</f>
        <v xml:space="preserve"> </v>
      </c>
      <c r="M1346" s="28" t="str">
        <f>IF(C1346=""," ",[1]!s_mq_pctchange($C1346,$N$1))</f>
        <v xml:space="preserve"> </v>
      </c>
      <c r="N1346" s="28" t="str">
        <f>IF(C1346=""," ",[1]!s_yq_pctchange($C1346,$N$1))</f>
        <v xml:space="preserve"> </v>
      </c>
      <c r="O1346" s="11"/>
      <c r="P1346" s="7"/>
    </row>
    <row r="1347" spans="1:16" x14ac:dyDescent="0.35">
      <c r="A1347" s="7"/>
      <c r="C1347" s="30" t="str">
        <f>IF(指数列表!B1344="","",指数列表!B1344)</f>
        <v/>
      </c>
      <c r="D1347" s="35" t="str">
        <f>IF(C1347="","",[1]!s_info_name(C1347))</f>
        <v/>
      </c>
      <c r="E1347" s="24" t="str">
        <f>IF(C1347="","",[1]!s_dq_close(C1347,$N$1))</f>
        <v/>
      </c>
      <c r="F1347" s="28" t="str">
        <f>IF($C1347=""," ",[1]!i_pq_pctchange($C1347,F$6,$N$1))</f>
        <v xml:space="preserve"> </v>
      </c>
      <c r="G1347" s="28" t="str">
        <f>IF($C1347=""," ",[1]!i_pq_pctchange($C1347,G$6,$N$1))</f>
        <v xml:space="preserve"> </v>
      </c>
      <c r="H1347" s="28" t="str">
        <f>IF($C1347=""," ",[1]!i_pq_pctchange($C1347,H$6,$N$1))</f>
        <v xml:space="preserve"> </v>
      </c>
      <c r="I1347" s="28" t="str">
        <f>IF($C1347=""," ",[1]!i_pq_pctchange($C1347,I$6,$N$1))</f>
        <v xml:space="preserve"> </v>
      </c>
      <c r="J1347" s="28" t="str">
        <f>IF($C1347=""," ",[1]!i_pq_pctchange($C1347,J$6,$N$1))</f>
        <v xml:space="preserve"> </v>
      </c>
      <c r="K1347" s="28" t="str">
        <f>IF($C1347=""," ",[1]!i_pq_pctchange($C1347,K$6,$N$1))</f>
        <v xml:space="preserve"> </v>
      </c>
      <c r="L1347" s="28" t="str">
        <f>IF(C1347=""," ",[1]!s_wq_pctchange($C1347,$N$1))</f>
        <v xml:space="preserve"> </v>
      </c>
      <c r="M1347" s="28" t="str">
        <f>IF(C1347=""," ",[1]!s_mq_pctchange($C1347,$N$1))</f>
        <v xml:space="preserve"> </v>
      </c>
      <c r="N1347" s="28" t="str">
        <f>IF(C1347=""," ",[1]!s_yq_pctchange($C1347,$N$1))</f>
        <v xml:space="preserve"> </v>
      </c>
      <c r="O1347" s="11"/>
      <c r="P1347" s="7"/>
    </row>
    <row r="1348" spans="1:16" x14ac:dyDescent="0.35">
      <c r="A1348" s="7"/>
      <c r="C1348" s="31" t="str">
        <f>IF(指数列表!B1345="","",指数列表!B1345)</f>
        <v/>
      </c>
      <c r="D1348" s="36" t="str">
        <f>IF(C1348="","",[1]!s_info_name(C1348))</f>
        <v/>
      </c>
      <c r="E1348" s="25" t="str">
        <f>IF(C1348="","",[1]!s_dq_close(C1348,$N$1))</f>
        <v/>
      </c>
      <c r="F1348" s="28" t="str">
        <f>IF($C1348=""," ",[1]!i_pq_pctchange($C1348,F$6,$N$1))</f>
        <v xml:space="preserve"> </v>
      </c>
      <c r="G1348" s="28" t="str">
        <f>IF($C1348=""," ",[1]!i_pq_pctchange($C1348,G$6,$N$1))</f>
        <v xml:space="preserve"> </v>
      </c>
      <c r="H1348" s="28" t="str">
        <f>IF($C1348=""," ",[1]!i_pq_pctchange($C1348,H$6,$N$1))</f>
        <v xml:space="preserve"> </v>
      </c>
      <c r="I1348" s="28" t="str">
        <f>IF($C1348=""," ",[1]!i_pq_pctchange($C1348,I$6,$N$1))</f>
        <v xml:space="preserve"> </v>
      </c>
      <c r="J1348" s="28" t="str">
        <f>IF($C1348=""," ",[1]!i_pq_pctchange($C1348,J$6,$N$1))</f>
        <v xml:space="preserve"> </v>
      </c>
      <c r="K1348" s="28" t="str">
        <f>IF($C1348=""," ",[1]!i_pq_pctchange($C1348,K$6,$N$1))</f>
        <v xml:space="preserve"> </v>
      </c>
      <c r="L1348" s="28" t="str">
        <f>IF(C1348=""," ",[1]!s_wq_pctchange($C1348,$N$1))</f>
        <v xml:space="preserve"> </v>
      </c>
      <c r="M1348" s="28" t="str">
        <f>IF(C1348=""," ",[1]!s_mq_pctchange($C1348,$N$1))</f>
        <v xml:space="preserve"> </v>
      </c>
      <c r="N1348" s="28" t="str">
        <f>IF(C1348=""," ",[1]!s_yq_pctchange($C1348,$N$1))</f>
        <v xml:space="preserve"> </v>
      </c>
      <c r="O1348" s="11"/>
      <c r="P1348" s="7"/>
    </row>
    <row r="1349" spans="1:16" x14ac:dyDescent="0.35">
      <c r="A1349" s="7"/>
      <c r="C1349" s="30" t="str">
        <f>IF(指数列表!B1346="","",指数列表!B1346)</f>
        <v/>
      </c>
      <c r="D1349" s="35" t="str">
        <f>IF(C1349="","",[1]!s_info_name(C1349))</f>
        <v/>
      </c>
      <c r="E1349" s="24" t="str">
        <f>IF(C1349="","",[1]!s_dq_close(C1349,$N$1))</f>
        <v/>
      </c>
      <c r="F1349" s="28" t="str">
        <f>IF($C1349=""," ",[1]!i_pq_pctchange($C1349,F$6,$N$1))</f>
        <v xml:space="preserve"> </v>
      </c>
      <c r="G1349" s="28" t="str">
        <f>IF($C1349=""," ",[1]!i_pq_pctchange($C1349,G$6,$N$1))</f>
        <v xml:space="preserve"> </v>
      </c>
      <c r="H1349" s="28" t="str">
        <f>IF($C1349=""," ",[1]!i_pq_pctchange($C1349,H$6,$N$1))</f>
        <v xml:space="preserve"> </v>
      </c>
      <c r="I1349" s="28" t="str">
        <f>IF($C1349=""," ",[1]!i_pq_pctchange($C1349,I$6,$N$1))</f>
        <v xml:space="preserve"> </v>
      </c>
      <c r="J1349" s="28" t="str">
        <f>IF($C1349=""," ",[1]!i_pq_pctchange($C1349,J$6,$N$1))</f>
        <v xml:space="preserve"> </v>
      </c>
      <c r="K1349" s="28" t="str">
        <f>IF($C1349=""," ",[1]!i_pq_pctchange($C1349,K$6,$N$1))</f>
        <v xml:space="preserve"> </v>
      </c>
      <c r="L1349" s="28" t="str">
        <f>IF(C1349=""," ",[1]!s_wq_pctchange($C1349,$N$1))</f>
        <v xml:space="preserve"> </v>
      </c>
      <c r="M1349" s="28" t="str">
        <f>IF(C1349=""," ",[1]!s_mq_pctchange($C1349,$N$1))</f>
        <v xml:space="preserve"> </v>
      </c>
      <c r="N1349" s="28" t="str">
        <f>IF(C1349=""," ",[1]!s_yq_pctchange($C1349,$N$1))</f>
        <v xml:space="preserve"> </v>
      </c>
      <c r="O1349" s="11"/>
      <c r="P1349" s="7"/>
    </row>
    <row r="1350" spans="1:16" x14ac:dyDescent="0.35">
      <c r="A1350" s="7"/>
      <c r="C1350" s="31" t="str">
        <f>IF(指数列表!B1347="","",指数列表!B1347)</f>
        <v/>
      </c>
      <c r="D1350" s="36" t="str">
        <f>IF(C1350="","",[1]!s_info_name(C1350))</f>
        <v/>
      </c>
      <c r="E1350" s="25" t="str">
        <f>IF(C1350="","",[1]!s_dq_close(C1350,$N$1))</f>
        <v/>
      </c>
      <c r="F1350" s="28" t="str">
        <f>IF($C1350=""," ",[1]!i_pq_pctchange($C1350,F$6,$N$1))</f>
        <v xml:space="preserve"> </v>
      </c>
      <c r="G1350" s="28" t="str">
        <f>IF($C1350=""," ",[1]!i_pq_pctchange($C1350,G$6,$N$1))</f>
        <v xml:space="preserve"> </v>
      </c>
      <c r="H1350" s="28" t="str">
        <f>IF($C1350=""," ",[1]!i_pq_pctchange($C1350,H$6,$N$1))</f>
        <v xml:space="preserve"> </v>
      </c>
      <c r="I1350" s="28" t="str">
        <f>IF($C1350=""," ",[1]!i_pq_pctchange($C1350,I$6,$N$1))</f>
        <v xml:space="preserve"> </v>
      </c>
      <c r="J1350" s="28" t="str">
        <f>IF($C1350=""," ",[1]!i_pq_pctchange($C1350,J$6,$N$1))</f>
        <v xml:space="preserve"> </v>
      </c>
      <c r="K1350" s="28" t="str">
        <f>IF($C1350=""," ",[1]!i_pq_pctchange($C1350,K$6,$N$1))</f>
        <v xml:space="preserve"> </v>
      </c>
      <c r="L1350" s="28" t="str">
        <f>IF(C1350=""," ",[1]!s_wq_pctchange($C1350,$N$1))</f>
        <v xml:space="preserve"> </v>
      </c>
      <c r="M1350" s="28" t="str">
        <f>IF(C1350=""," ",[1]!s_mq_pctchange($C1350,$N$1))</f>
        <v xml:space="preserve"> </v>
      </c>
      <c r="N1350" s="28" t="str">
        <f>IF(C1350=""," ",[1]!s_yq_pctchange($C1350,$N$1))</f>
        <v xml:space="preserve"> </v>
      </c>
      <c r="O1350" s="11"/>
      <c r="P1350" s="7"/>
    </row>
    <row r="1351" spans="1:16" x14ac:dyDescent="0.35">
      <c r="A1351" s="7"/>
      <c r="C1351" s="30" t="str">
        <f>IF(指数列表!B1348="","",指数列表!B1348)</f>
        <v/>
      </c>
      <c r="D1351" s="35" t="str">
        <f>IF(C1351="","",[1]!s_info_name(C1351))</f>
        <v/>
      </c>
      <c r="E1351" s="24" t="str">
        <f>IF(C1351="","",[1]!s_dq_close(C1351,$N$1))</f>
        <v/>
      </c>
      <c r="F1351" s="28" t="str">
        <f>IF($C1351=""," ",[1]!i_pq_pctchange($C1351,F$6,$N$1))</f>
        <v xml:space="preserve"> </v>
      </c>
      <c r="G1351" s="28" t="str">
        <f>IF($C1351=""," ",[1]!i_pq_pctchange($C1351,G$6,$N$1))</f>
        <v xml:space="preserve"> </v>
      </c>
      <c r="H1351" s="28" t="str">
        <f>IF($C1351=""," ",[1]!i_pq_pctchange($C1351,H$6,$N$1))</f>
        <v xml:space="preserve"> </v>
      </c>
      <c r="I1351" s="28" t="str">
        <f>IF($C1351=""," ",[1]!i_pq_pctchange($C1351,I$6,$N$1))</f>
        <v xml:space="preserve"> </v>
      </c>
      <c r="J1351" s="28" t="str">
        <f>IF($C1351=""," ",[1]!i_pq_pctchange($C1351,J$6,$N$1))</f>
        <v xml:space="preserve"> </v>
      </c>
      <c r="K1351" s="28" t="str">
        <f>IF($C1351=""," ",[1]!i_pq_pctchange($C1351,K$6,$N$1))</f>
        <v xml:space="preserve"> </v>
      </c>
      <c r="L1351" s="28" t="str">
        <f>IF(C1351=""," ",[1]!s_wq_pctchange($C1351,$N$1))</f>
        <v xml:space="preserve"> </v>
      </c>
      <c r="M1351" s="28" t="str">
        <f>IF(C1351=""," ",[1]!s_mq_pctchange($C1351,$N$1))</f>
        <v xml:space="preserve"> </v>
      </c>
      <c r="N1351" s="28" t="str">
        <f>IF(C1351=""," ",[1]!s_yq_pctchange($C1351,$N$1))</f>
        <v xml:space="preserve"> </v>
      </c>
      <c r="O1351" s="11"/>
      <c r="P1351" s="7"/>
    </row>
    <row r="1352" spans="1:16" x14ac:dyDescent="0.35">
      <c r="A1352" s="7"/>
      <c r="C1352" s="31" t="str">
        <f>IF(指数列表!B1349="","",指数列表!B1349)</f>
        <v/>
      </c>
      <c r="D1352" s="36" t="str">
        <f>IF(C1352="","",[1]!s_info_name(C1352))</f>
        <v/>
      </c>
      <c r="E1352" s="25" t="str">
        <f>IF(C1352="","",[1]!s_dq_close(C1352,$N$1))</f>
        <v/>
      </c>
      <c r="F1352" s="28" t="str">
        <f>IF($C1352=""," ",[1]!i_pq_pctchange($C1352,F$6,$N$1))</f>
        <v xml:space="preserve"> </v>
      </c>
      <c r="G1352" s="28" t="str">
        <f>IF($C1352=""," ",[1]!i_pq_pctchange($C1352,G$6,$N$1))</f>
        <v xml:space="preserve"> </v>
      </c>
      <c r="H1352" s="28" t="str">
        <f>IF($C1352=""," ",[1]!i_pq_pctchange($C1352,H$6,$N$1))</f>
        <v xml:space="preserve"> </v>
      </c>
      <c r="I1352" s="28" t="str">
        <f>IF($C1352=""," ",[1]!i_pq_pctchange($C1352,I$6,$N$1))</f>
        <v xml:space="preserve"> </v>
      </c>
      <c r="J1352" s="28" t="str">
        <f>IF($C1352=""," ",[1]!i_pq_pctchange($C1352,J$6,$N$1))</f>
        <v xml:space="preserve"> </v>
      </c>
      <c r="K1352" s="28" t="str">
        <f>IF($C1352=""," ",[1]!i_pq_pctchange($C1352,K$6,$N$1))</f>
        <v xml:space="preserve"> </v>
      </c>
      <c r="L1352" s="28" t="str">
        <f>IF(C1352=""," ",[1]!s_wq_pctchange($C1352,$N$1))</f>
        <v xml:space="preserve"> </v>
      </c>
      <c r="M1352" s="28" t="str">
        <f>IF(C1352=""," ",[1]!s_mq_pctchange($C1352,$N$1))</f>
        <v xml:space="preserve"> </v>
      </c>
      <c r="N1352" s="28" t="str">
        <f>IF(C1352=""," ",[1]!s_yq_pctchange($C1352,$N$1))</f>
        <v xml:space="preserve"> </v>
      </c>
      <c r="O1352" s="11"/>
      <c r="P1352" s="7"/>
    </row>
    <row r="1353" spans="1:16" x14ac:dyDescent="0.35">
      <c r="A1353" s="7"/>
      <c r="C1353" s="30" t="str">
        <f>IF(指数列表!B1350="","",指数列表!B1350)</f>
        <v/>
      </c>
      <c r="D1353" s="35" t="str">
        <f>IF(C1353="","",[1]!s_info_name(C1353))</f>
        <v/>
      </c>
      <c r="E1353" s="24" t="str">
        <f>IF(C1353="","",[1]!s_dq_close(C1353,$N$1))</f>
        <v/>
      </c>
      <c r="F1353" s="28" t="str">
        <f>IF($C1353=""," ",[1]!i_pq_pctchange($C1353,F$6,$N$1))</f>
        <v xml:space="preserve"> </v>
      </c>
      <c r="G1353" s="28" t="str">
        <f>IF($C1353=""," ",[1]!i_pq_pctchange($C1353,G$6,$N$1))</f>
        <v xml:space="preserve"> </v>
      </c>
      <c r="H1353" s="28" t="str">
        <f>IF($C1353=""," ",[1]!i_pq_pctchange($C1353,H$6,$N$1))</f>
        <v xml:space="preserve"> </v>
      </c>
      <c r="I1353" s="28" t="str">
        <f>IF($C1353=""," ",[1]!i_pq_pctchange($C1353,I$6,$N$1))</f>
        <v xml:space="preserve"> </v>
      </c>
      <c r="J1353" s="28" t="str">
        <f>IF($C1353=""," ",[1]!i_pq_pctchange($C1353,J$6,$N$1))</f>
        <v xml:space="preserve"> </v>
      </c>
      <c r="K1353" s="28" t="str">
        <f>IF($C1353=""," ",[1]!i_pq_pctchange($C1353,K$6,$N$1))</f>
        <v xml:space="preserve"> </v>
      </c>
      <c r="L1353" s="28" t="str">
        <f>IF(C1353=""," ",[1]!s_wq_pctchange($C1353,$N$1))</f>
        <v xml:space="preserve"> </v>
      </c>
      <c r="M1353" s="28" t="str">
        <f>IF(C1353=""," ",[1]!s_mq_pctchange($C1353,$N$1))</f>
        <v xml:space="preserve"> </v>
      </c>
      <c r="N1353" s="28" t="str">
        <f>IF(C1353=""," ",[1]!s_yq_pctchange($C1353,$N$1))</f>
        <v xml:space="preserve"> </v>
      </c>
      <c r="O1353" s="11"/>
      <c r="P1353" s="7"/>
    </row>
    <row r="1354" spans="1:16" x14ac:dyDescent="0.35">
      <c r="A1354" s="7"/>
      <c r="C1354" s="31" t="str">
        <f>IF(指数列表!B1351="","",指数列表!B1351)</f>
        <v/>
      </c>
      <c r="D1354" s="36" t="str">
        <f>IF(C1354="","",[1]!s_info_name(C1354))</f>
        <v/>
      </c>
      <c r="E1354" s="25" t="str">
        <f>IF(C1354="","",[1]!s_dq_close(C1354,$N$1))</f>
        <v/>
      </c>
      <c r="F1354" s="28" t="str">
        <f>IF($C1354=""," ",[1]!i_pq_pctchange($C1354,F$6,$N$1))</f>
        <v xml:space="preserve"> </v>
      </c>
      <c r="G1354" s="28" t="str">
        <f>IF($C1354=""," ",[1]!i_pq_pctchange($C1354,G$6,$N$1))</f>
        <v xml:space="preserve"> </v>
      </c>
      <c r="H1354" s="28" t="str">
        <f>IF($C1354=""," ",[1]!i_pq_pctchange($C1354,H$6,$N$1))</f>
        <v xml:space="preserve"> </v>
      </c>
      <c r="I1354" s="28" t="str">
        <f>IF($C1354=""," ",[1]!i_pq_pctchange($C1354,I$6,$N$1))</f>
        <v xml:space="preserve"> </v>
      </c>
      <c r="J1354" s="28" t="str">
        <f>IF($C1354=""," ",[1]!i_pq_pctchange($C1354,J$6,$N$1))</f>
        <v xml:space="preserve"> </v>
      </c>
      <c r="K1354" s="28" t="str">
        <f>IF($C1354=""," ",[1]!i_pq_pctchange($C1354,K$6,$N$1))</f>
        <v xml:space="preserve"> </v>
      </c>
      <c r="L1354" s="28" t="str">
        <f>IF(C1354=""," ",[1]!s_wq_pctchange($C1354,$N$1))</f>
        <v xml:space="preserve"> </v>
      </c>
      <c r="M1354" s="28" t="str">
        <f>IF(C1354=""," ",[1]!s_mq_pctchange($C1354,$N$1))</f>
        <v xml:space="preserve"> </v>
      </c>
      <c r="N1354" s="28" t="str">
        <f>IF(C1354=""," ",[1]!s_yq_pctchange($C1354,$N$1))</f>
        <v xml:space="preserve"> </v>
      </c>
      <c r="O1354" s="11"/>
      <c r="P1354" s="7"/>
    </row>
    <row r="1355" spans="1:16" x14ac:dyDescent="0.35">
      <c r="A1355" s="7"/>
      <c r="C1355" s="30" t="str">
        <f>IF(指数列表!B1352="","",指数列表!B1352)</f>
        <v/>
      </c>
      <c r="D1355" s="35" t="str">
        <f>IF(C1355="","",[1]!s_info_name(C1355))</f>
        <v/>
      </c>
      <c r="E1355" s="24" t="str">
        <f>IF(C1355="","",[1]!s_dq_close(C1355,$N$1))</f>
        <v/>
      </c>
      <c r="F1355" s="28" t="str">
        <f>IF($C1355=""," ",[1]!i_pq_pctchange($C1355,F$6,$N$1))</f>
        <v xml:space="preserve"> </v>
      </c>
      <c r="G1355" s="28" t="str">
        <f>IF($C1355=""," ",[1]!i_pq_pctchange($C1355,G$6,$N$1))</f>
        <v xml:space="preserve"> </v>
      </c>
      <c r="H1355" s="28" t="str">
        <f>IF($C1355=""," ",[1]!i_pq_pctchange($C1355,H$6,$N$1))</f>
        <v xml:space="preserve"> </v>
      </c>
      <c r="I1355" s="28" t="str">
        <f>IF($C1355=""," ",[1]!i_pq_pctchange($C1355,I$6,$N$1))</f>
        <v xml:space="preserve"> </v>
      </c>
      <c r="J1355" s="28" t="str">
        <f>IF($C1355=""," ",[1]!i_pq_pctchange($C1355,J$6,$N$1))</f>
        <v xml:space="preserve"> </v>
      </c>
      <c r="K1355" s="28" t="str">
        <f>IF($C1355=""," ",[1]!i_pq_pctchange($C1355,K$6,$N$1))</f>
        <v xml:space="preserve"> </v>
      </c>
      <c r="L1355" s="28" t="str">
        <f>IF(C1355=""," ",[1]!s_wq_pctchange($C1355,$N$1))</f>
        <v xml:space="preserve"> </v>
      </c>
      <c r="M1355" s="28" t="str">
        <f>IF(C1355=""," ",[1]!s_mq_pctchange($C1355,$N$1))</f>
        <v xml:space="preserve"> </v>
      </c>
      <c r="N1355" s="28" t="str">
        <f>IF(C1355=""," ",[1]!s_yq_pctchange($C1355,$N$1))</f>
        <v xml:space="preserve"> </v>
      </c>
      <c r="O1355" s="11"/>
      <c r="P1355" s="7"/>
    </row>
    <row r="1356" spans="1:16" x14ac:dyDescent="0.35">
      <c r="A1356" s="7"/>
      <c r="C1356" s="31" t="str">
        <f>IF(指数列表!B1353="","",指数列表!B1353)</f>
        <v/>
      </c>
      <c r="D1356" s="36" t="str">
        <f>IF(C1356="","",[1]!s_info_name(C1356))</f>
        <v/>
      </c>
      <c r="E1356" s="25" t="str">
        <f>IF(C1356="","",[1]!s_dq_close(C1356,$N$1))</f>
        <v/>
      </c>
      <c r="F1356" s="28" t="str">
        <f>IF($C1356=""," ",[1]!i_pq_pctchange($C1356,F$6,$N$1))</f>
        <v xml:space="preserve"> </v>
      </c>
      <c r="G1356" s="28" t="str">
        <f>IF($C1356=""," ",[1]!i_pq_pctchange($C1356,G$6,$N$1))</f>
        <v xml:space="preserve"> </v>
      </c>
      <c r="H1356" s="28" t="str">
        <f>IF($C1356=""," ",[1]!i_pq_pctchange($C1356,H$6,$N$1))</f>
        <v xml:space="preserve"> </v>
      </c>
      <c r="I1356" s="28" t="str">
        <f>IF($C1356=""," ",[1]!i_pq_pctchange($C1356,I$6,$N$1))</f>
        <v xml:space="preserve"> </v>
      </c>
      <c r="J1356" s="28" t="str">
        <f>IF($C1356=""," ",[1]!i_pq_pctchange($C1356,J$6,$N$1))</f>
        <v xml:space="preserve"> </v>
      </c>
      <c r="K1356" s="28" t="str">
        <f>IF($C1356=""," ",[1]!i_pq_pctchange($C1356,K$6,$N$1))</f>
        <v xml:space="preserve"> </v>
      </c>
      <c r="L1356" s="28" t="str">
        <f>IF(C1356=""," ",[1]!s_wq_pctchange($C1356,$N$1))</f>
        <v xml:space="preserve"> </v>
      </c>
      <c r="M1356" s="28" t="str">
        <f>IF(C1356=""," ",[1]!s_mq_pctchange($C1356,$N$1))</f>
        <v xml:space="preserve"> </v>
      </c>
      <c r="N1356" s="28" t="str">
        <f>IF(C1356=""," ",[1]!s_yq_pctchange($C1356,$N$1))</f>
        <v xml:space="preserve"> </v>
      </c>
      <c r="O1356" s="11"/>
      <c r="P1356" s="7"/>
    </row>
    <row r="1357" spans="1:16" x14ac:dyDescent="0.35">
      <c r="A1357" s="7"/>
      <c r="C1357" s="30" t="str">
        <f>IF(指数列表!B1354="","",指数列表!B1354)</f>
        <v/>
      </c>
      <c r="D1357" s="35" t="str">
        <f>IF(C1357="","",[1]!s_info_name(C1357))</f>
        <v/>
      </c>
      <c r="E1357" s="24" t="str">
        <f>IF(C1357="","",[1]!s_dq_close(C1357,$N$1))</f>
        <v/>
      </c>
      <c r="F1357" s="28" t="str">
        <f>IF($C1357=""," ",[1]!i_pq_pctchange($C1357,F$6,$N$1))</f>
        <v xml:space="preserve"> </v>
      </c>
      <c r="G1357" s="28" t="str">
        <f>IF($C1357=""," ",[1]!i_pq_pctchange($C1357,G$6,$N$1))</f>
        <v xml:space="preserve"> </v>
      </c>
      <c r="H1357" s="28" t="str">
        <f>IF($C1357=""," ",[1]!i_pq_pctchange($C1357,H$6,$N$1))</f>
        <v xml:space="preserve"> </v>
      </c>
      <c r="I1357" s="28" t="str">
        <f>IF($C1357=""," ",[1]!i_pq_pctchange($C1357,I$6,$N$1))</f>
        <v xml:space="preserve"> </v>
      </c>
      <c r="J1357" s="28" t="str">
        <f>IF($C1357=""," ",[1]!i_pq_pctchange($C1357,J$6,$N$1))</f>
        <v xml:space="preserve"> </v>
      </c>
      <c r="K1357" s="28" t="str">
        <f>IF($C1357=""," ",[1]!i_pq_pctchange($C1357,K$6,$N$1))</f>
        <v xml:space="preserve"> </v>
      </c>
      <c r="L1357" s="28" t="str">
        <f>IF(C1357=""," ",[1]!s_wq_pctchange($C1357,$N$1))</f>
        <v xml:space="preserve"> </v>
      </c>
      <c r="M1357" s="28" t="str">
        <f>IF(C1357=""," ",[1]!s_mq_pctchange($C1357,$N$1))</f>
        <v xml:space="preserve"> </v>
      </c>
      <c r="N1357" s="28" t="str">
        <f>IF(C1357=""," ",[1]!s_yq_pctchange($C1357,$N$1))</f>
        <v xml:space="preserve"> </v>
      </c>
      <c r="O1357" s="11"/>
      <c r="P1357" s="7"/>
    </row>
    <row r="1358" spans="1:16" x14ac:dyDescent="0.35">
      <c r="A1358" s="7"/>
      <c r="C1358" s="31" t="str">
        <f>IF(指数列表!B1355="","",指数列表!B1355)</f>
        <v/>
      </c>
      <c r="D1358" s="36" t="str">
        <f>IF(C1358="","",[1]!s_info_name(C1358))</f>
        <v/>
      </c>
      <c r="E1358" s="25" t="str">
        <f>IF(C1358="","",[1]!s_dq_close(C1358,$N$1))</f>
        <v/>
      </c>
      <c r="F1358" s="28" t="str">
        <f>IF($C1358=""," ",[1]!i_pq_pctchange($C1358,F$6,$N$1))</f>
        <v xml:space="preserve"> </v>
      </c>
      <c r="G1358" s="28" t="str">
        <f>IF($C1358=""," ",[1]!i_pq_pctchange($C1358,G$6,$N$1))</f>
        <v xml:space="preserve"> </v>
      </c>
      <c r="H1358" s="28" t="str">
        <f>IF($C1358=""," ",[1]!i_pq_pctchange($C1358,H$6,$N$1))</f>
        <v xml:space="preserve"> </v>
      </c>
      <c r="I1358" s="28" t="str">
        <f>IF($C1358=""," ",[1]!i_pq_pctchange($C1358,I$6,$N$1))</f>
        <v xml:space="preserve"> </v>
      </c>
      <c r="J1358" s="28" t="str">
        <f>IF($C1358=""," ",[1]!i_pq_pctchange($C1358,J$6,$N$1))</f>
        <v xml:space="preserve"> </v>
      </c>
      <c r="K1358" s="28" t="str">
        <f>IF($C1358=""," ",[1]!i_pq_pctchange($C1358,K$6,$N$1))</f>
        <v xml:space="preserve"> </v>
      </c>
      <c r="L1358" s="28" t="str">
        <f>IF(C1358=""," ",[1]!s_wq_pctchange($C1358,$N$1))</f>
        <v xml:space="preserve"> </v>
      </c>
      <c r="M1358" s="28" t="str">
        <f>IF(C1358=""," ",[1]!s_mq_pctchange($C1358,$N$1))</f>
        <v xml:space="preserve"> </v>
      </c>
      <c r="N1358" s="28" t="str">
        <f>IF(C1358=""," ",[1]!s_yq_pctchange($C1358,$N$1))</f>
        <v xml:space="preserve"> </v>
      </c>
      <c r="O1358" s="11"/>
      <c r="P1358" s="7"/>
    </row>
    <row r="1359" spans="1:16" x14ac:dyDescent="0.35">
      <c r="A1359" s="7"/>
      <c r="C1359" s="30" t="str">
        <f>IF(指数列表!B1356="","",指数列表!B1356)</f>
        <v/>
      </c>
      <c r="D1359" s="35" t="str">
        <f>IF(C1359="","",[1]!s_info_name(C1359))</f>
        <v/>
      </c>
      <c r="E1359" s="24" t="str">
        <f>IF(C1359="","",[1]!s_dq_close(C1359,$N$1))</f>
        <v/>
      </c>
      <c r="F1359" s="28" t="str">
        <f>IF($C1359=""," ",[1]!i_pq_pctchange($C1359,F$6,$N$1))</f>
        <v xml:space="preserve"> </v>
      </c>
      <c r="G1359" s="28" t="str">
        <f>IF($C1359=""," ",[1]!i_pq_pctchange($C1359,G$6,$N$1))</f>
        <v xml:space="preserve"> </v>
      </c>
      <c r="H1359" s="28" t="str">
        <f>IF($C1359=""," ",[1]!i_pq_pctchange($C1359,H$6,$N$1))</f>
        <v xml:space="preserve"> </v>
      </c>
      <c r="I1359" s="28" t="str">
        <f>IF($C1359=""," ",[1]!i_pq_pctchange($C1359,I$6,$N$1))</f>
        <v xml:space="preserve"> </v>
      </c>
      <c r="J1359" s="28" t="str">
        <f>IF($C1359=""," ",[1]!i_pq_pctchange($C1359,J$6,$N$1))</f>
        <v xml:space="preserve"> </v>
      </c>
      <c r="K1359" s="28" t="str">
        <f>IF($C1359=""," ",[1]!i_pq_pctchange($C1359,K$6,$N$1))</f>
        <v xml:space="preserve"> </v>
      </c>
      <c r="L1359" s="28" t="str">
        <f>IF(C1359=""," ",[1]!s_wq_pctchange($C1359,$N$1))</f>
        <v xml:space="preserve"> </v>
      </c>
      <c r="M1359" s="28" t="str">
        <f>IF(C1359=""," ",[1]!s_mq_pctchange($C1359,$N$1))</f>
        <v xml:space="preserve"> </v>
      </c>
      <c r="N1359" s="28" t="str">
        <f>IF(C1359=""," ",[1]!s_yq_pctchange($C1359,$N$1))</f>
        <v xml:space="preserve"> </v>
      </c>
      <c r="O1359" s="11"/>
      <c r="P1359" s="7"/>
    </row>
    <row r="1360" spans="1:16" x14ac:dyDescent="0.35">
      <c r="A1360" s="7"/>
      <c r="C1360" s="31" t="str">
        <f>IF(指数列表!B1357="","",指数列表!B1357)</f>
        <v/>
      </c>
      <c r="D1360" s="36" t="str">
        <f>IF(C1360="","",[1]!s_info_name(C1360))</f>
        <v/>
      </c>
      <c r="E1360" s="25" t="str">
        <f>IF(C1360="","",[1]!s_dq_close(C1360,$N$1))</f>
        <v/>
      </c>
      <c r="F1360" s="28" t="str">
        <f>IF($C1360=""," ",[1]!i_pq_pctchange($C1360,F$6,$N$1))</f>
        <v xml:space="preserve"> </v>
      </c>
      <c r="G1360" s="28" t="str">
        <f>IF($C1360=""," ",[1]!i_pq_pctchange($C1360,G$6,$N$1))</f>
        <v xml:space="preserve"> </v>
      </c>
      <c r="H1360" s="28" t="str">
        <f>IF($C1360=""," ",[1]!i_pq_pctchange($C1360,H$6,$N$1))</f>
        <v xml:space="preserve"> </v>
      </c>
      <c r="I1360" s="28" t="str">
        <f>IF($C1360=""," ",[1]!i_pq_pctchange($C1360,I$6,$N$1))</f>
        <v xml:space="preserve"> </v>
      </c>
      <c r="J1360" s="28" t="str">
        <f>IF($C1360=""," ",[1]!i_pq_pctchange($C1360,J$6,$N$1))</f>
        <v xml:space="preserve"> </v>
      </c>
      <c r="K1360" s="28" t="str">
        <f>IF($C1360=""," ",[1]!i_pq_pctchange($C1360,K$6,$N$1))</f>
        <v xml:space="preserve"> </v>
      </c>
      <c r="L1360" s="28" t="str">
        <f>IF(C1360=""," ",[1]!s_wq_pctchange($C1360,$N$1))</f>
        <v xml:space="preserve"> </v>
      </c>
      <c r="M1360" s="28" t="str">
        <f>IF(C1360=""," ",[1]!s_mq_pctchange($C1360,$N$1))</f>
        <v xml:space="preserve"> </v>
      </c>
      <c r="N1360" s="28" t="str">
        <f>IF(C1360=""," ",[1]!s_yq_pctchange($C1360,$N$1))</f>
        <v xml:space="preserve"> </v>
      </c>
      <c r="O1360" s="11"/>
      <c r="P1360" s="7"/>
    </row>
    <row r="1361" spans="1:16" x14ac:dyDescent="0.35">
      <c r="A1361" s="7"/>
      <c r="C1361" s="30" t="str">
        <f>IF(指数列表!B1358="","",指数列表!B1358)</f>
        <v/>
      </c>
      <c r="D1361" s="35" t="str">
        <f>IF(C1361="","",[1]!s_info_name(C1361))</f>
        <v/>
      </c>
      <c r="E1361" s="24" t="str">
        <f>IF(C1361="","",[1]!s_dq_close(C1361,$N$1))</f>
        <v/>
      </c>
      <c r="F1361" s="28" t="str">
        <f>IF($C1361=""," ",[1]!i_pq_pctchange($C1361,F$6,$N$1))</f>
        <v xml:space="preserve"> </v>
      </c>
      <c r="G1361" s="28" t="str">
        <f>IF($C1361=""," ",[1]!i_pq_pctchange($C1361,G$6,$N$1))</f>
        <v xml:space="preserve"> </v>
      </c>
      <c r="H1361" s="28" t="str">
        <f>IF($C1361=""," ",[1]!i_pq_pctchange($C1361,H$6,$N$1))</f>
        <v xml:space="preserve"> </v>
      </c>
      <c r="I1361" s="28" t="str">
        <f>IF($C1361=""," ",[1]!i_pq_pctchange($C1361,I$6,$N$1))</f>
        <v xml:space="preserve"> </v>
      </c>
      <c r="J1361" s="28" t="str">
        <f>IF($C1361=""," ",[1]!i_pq_pctchange($C1361,J$6,$N$1))</f>
        <v xml:space="preserve"> </v>
      </c>
      <c r="K1361" s="28" t="str">
        <f>IF($C1361=""," ",[1]!i_pq_pctchange($C1361,K$6,$N$1))</f>
        <v xml:space="preserve"> </v>
      </c>
      <c r="L1361" s="28" t="str">
        <f>IF(C1361=""," ",[1]!s_wq_pctchange($C1361,$N$1))</f>
        <v xml:space="preserve"> </v>
      </c>
      <c r="M1361" s="28" t="str">
        <f>IF(C1361=""," ",[1]!s_mq_pctchange($C1361,$N$1))</f>
        <v xml:space="preserve"> </v>
      </c>
      <c r="N1361" s="28" t="str">
        <f>IF(C1361=""," ",[1]!s_yq_pctchange($C1361,$N$1))</f>
        <v xml:space="preserve"> </v>
      </c>
      <c r="O1361" s="11"/>
      <c r="P1361" s="7"/>
    </row>
    <row r="1362" spans="1:16" x14ac:dyDescent="0.35">
      <c r="A1362" s="7"/>
      <c r="C1362" s="31" t="str">
        <f>IF(指数列表!B1359="","",指数列表!B1359)</f>
        <v/>
      </c>
      <c r="D1362" s="36" t="str">
        <f>IF(C1362="","",[1]!s_info_name(C1362))</f>
        <v/>
      </c>
      <c r="E1362" s="25" t="str">
        <f>IF(C1362="","",[1]!s_dq_close(C1362,$N$1))</f>
        <v/>
      </c>
      <c r="F1362" s="28" t="str">
        <f>IF($C1362=""," ",[1]!i_pq_pctchange($C1362,F$6,$N$1))</f>
        <v xml:space="preserve"> </v>
      </c>
      <c r="G1362" s="28" t="str">
        <f>IF($C1362=""," ",[1]!i_pq_pctchange($C1362,G$6,$N$1))</f>
        <v xml:space="preserve"> </v>
      </c>
      <c r="H1362" s="28" t="str">
        <f>IF($C1362=""," ",[1]!i_pq_pctchange($C1362,H$6,$N$1))</f>
        <v xml:space="preserve"> </v>
      </c>
      <c r="I1362" s="28" t="str">
        <f>IF($C1362=""," ",[1]!i_pq_pctchange($C1362,I$6,$N$1))</f>
        <v xml:space="preserve"> </v>
      </c>
      <c r="J1362" s="28" t="str">
        <f>IF($C1362=""," ",[1]!i_pq_pctchange($C1362,J$6,$N$1))</f>
        <v xml:space="preserve"> </v>
      </c>
      <c r="K1362" s="28" t="str">
        <f>IF($C1362=""," ",[1]!i_pq_pctchange($C1362,K$6,$N$1))</f>
        <v xml:space="preserve"> </v>
      </c>
      <c r="L1362" s="28" t="str">
        <f>IF(C1362=""," ",[1]!s_wq_pctchange($C1362,$N$1))</f>
        <v xml:space="preserve"> </v>
      </c>
      <c r="M1362" s="28" t="str">
        <f>IF(C1362=""," ",[1]!s_mq_pctchange($C1362,$N$1))</f>
        <v xml:space="preserve"> </v>
      </c>
      <c r="N1362" s="28" t="str">
        <f>IF(C1362=""," ",[1]!s_yq_pctchange($C1362,$N$1))</f>
        <v xml:space="preserve"> </v>
      </c>
      <c r="O1362" s="11"/>
      <c r="P1362" s="7"/>
    </row>
    <row r="1363" spans="1:16" x14ac:dyDescent="0.35">
      <c r="A1363" s="7"/>
      <c r="C1363" s="30" t="str">
        <f>IF(指数列表!B1360="","",指数列表!B1360)</f>
        <v/>
      </c>
      <c r="D1363" s="35" t="str">
        <f>IF(C1363="","",[1]!s_info_name(C1363))</f>
        <v/>
      </c>
      <c r="E1363" s="24" t="str">
        <f>IF(C1363="","",[1]!s_dq_close(C1363,$N$1))</f>
        <v/>
      </c>
      <c r="F1363" s="28" t="str">
        <f>IF($C1363=""," ",[1]!i_pq_pctchange($C1363,F$6,$N$1))</f>
        <v xml:space="preserve"> </v>
      </c>
      <c r="G1363" s="28" t="str">
        <f>IF($C1363=""," ",[1]!i_pq_pctchange($C1363,G$6,$N$1))</f>
        <v xml:space="preserve"> </v>
      </c>
      <c r="H1363" s="28" t="str">
        <f>IF($C1363=""," ",[1]!i_pq_pctchange($C1363,H$6,$N$1))</f>
        <v xml:space="preserve"> </v>
      </c>
      <c r="I1363" s="28" t="str">
        <f>IF($C1363=""," ",[1]!i_pq_pctchange($C1363,I$6,$N$1))</f>
        <v xml:space="preserve"> </v>
      </c>
      <c r="J1363" s="28" t="str">
        <f>IF($C1363=""," ",[1]!i_pq_pctchange($C1363,J$6,$N$1))</f>
        <v xml:space="preserve"> </v>
      </c>
      <c r="K1363" s="28" t="str">
        <f>IF($C1363=""," ",[1]!i_pq_pctchange($C1363,K$6,$N$1))</f>
        <v xml:space="preserve"> </v>
      </c>
      <c r="L1363" s="28" t="str">
        <f>IF(C1363=""," ",[1]!s_wq_pctchange($C1363,$N$1))</f>
        <v xml:space="preserve"> </v>
      </c>
      <c r="M1363" s="28" t="str">
        <f>IF(C1363=""," ",[1]!s_mq_pctchange($C1363,$N$1))</f>
        <v xml:space="preserve"> </v>
      </c>
      <c r="N1363" s="28" t="str">
        <f>IF(C1363=""," ",[1]!s_yq_pctchange($C1363,$N$1))</f>
        <v xml:space="preserve"> </v>
      </c>
      <c r="O1363" s="11"/>
      <c r="P1363" s="7"/>
    </row>
    <row r="1364" spans="1:16" x14ac:dyDescent="0.35">
      <c r="A1364" s="7"/>
      <c r="C1364" s="31" t="str">
        <f>IF(指数列表!B1361="","",指数列表!B1361)</f>
        <v/>
      </c>
      <c r="D1364" s="36" t="str">
        <f>IF(C1364="","",[1]!s_info_name(C1364))</f>
        <v/>
      </c>
      <c r="E1364" s="25" t="str">
        <f>IF(C1364="","",[1]!s_dq_close(C1364,$N$1))</f>
        <v/>
      </c>
      <c r="F1364" s="28" t="str">
        <f>IF($C1364=""," ",[1]!i_pq_pctchange($C1364,F$6,$N$1))</f>
        <v xml:space="preserve"> </v>
      </c>
      <c r="G1364" s="28" t="str">
        <f>IF($C1364=""," ",[1]!i_pq_pctchange($C1364,G$6,$N$1))</f>
        <v xml:space="preserve"> </v>
      </c>
      <c r="H1364" s="28" t="str">
        <f>IF($C1364=""," ",[1]!i_pq_pctchange($C1364,H$6,$N$1))</f>
        <v xml:space="preserve"> </v>
      </c>
      <c r="I1364" s="28" t="str">
        <f>IF($C1364=""," ",[1]!i_pq_pctchange($C1364,I$6,$N$1))</f>
        <v xml:space="preserve"> </v>
      </c>
      <c r="J1364" s="28" t="str">
        <f>IF($C1364=""," ",[1]!i_pq_pctchange($C1364,J$6,$N$1))</f>
        <v xml:space="preserve"> </v>
      </c>
      <c r="K1364" s="28" t="str">
        <f>IF($C1364=""," ",[1]!i_pq_pctchange($C1364,K$6,$N$1))</f>
        <v xml:space="preserve"> </v>
      </c>
      <c r="L1364" s="28" t="str">
        <f>IF(C1364=""," ",[1]!s_wq_pctchange($C1364,$N$1))</f>
        <v xml:space="preserve"> </v>
      </c>
      <c r="M1364" s="28" t="str">
        <f>IF(C1364=""," ",[1]!s_mq_pctchange($C1364,$N$1))</f>
        <v xml:space="preserve"> </v>
      </c>
      <c r="N1364" s="28" t="str">
        <f>IF(C1364=""," ",[1]!s_yq_pctchange($C1364,$N$1))</f>
        <v xml:space="preserve"> </v>
      </c>
      <c r="O1364" s="11"/>
      <c r="P1364" s="7"/>
    </row>
    <row r="1365" spans="1:16" x14ac:dyDescent="0.35">
      <c r="A1365" s="7"/>
      <c r="C1365" s="30" t="str">
        <f>IF(指数列表!B1362="","",指数列表!B1362)</f>
        <v/>
      </c>
      <c r="D1365" s="35" t="str">
        <f>IF(C1365="","",[1]!s_info_name(C1365))</f>
        <v/>
      </c>
      <c r="E1365" s="24" t="str">
        <f>IF(C1365="","",[1]!s_dq_close(C1365,$N$1))</f>
        <v/>
      </c>
      <c r="F1365" s="28" t="str">
        <f>IF($C1365=""," ",[1]!i_pq_pctchange($C1365,F$6,$N$1))</f>
        <v xml:space="preserve"> </v>
      </c>
      <c r="G1365" s="28" t="str">
        <f>IF($C1365=""," ",[1]!i_pq_pctchange($C1365,G$6,$N$1))</f>
        <v xml:space="preserve"> </v>
      </c>
      <c r="H1365" s="28" t="str">
        <f>IF($C1365=""," ",[1]!i_pq_pctchange($C1365,H$6,$N$1))</f>
        <v xml:space="preserve"> </v>
      </c>
      <c r="I1365" s="28" t="str">
        <f>IF($C1365=""," ",[1]!i_pq_pctchange($C1365,I$6,$N$1))</f>
        <v xml:space="preserve"> </v>
      </c>
      <c r="J1365" s="28" t="str">
        <f>IF($C1365=""," ",[1]!i_pq_pctchange($C1365,J$6,$N$1))</f>
        <v xml:space="preserve"> </v>
      </c>
      <c r="K1365" s="28" t="str">
        <f>IF($C1365=""," ",[1]!i_pq_pctchange($C1365,K$6,$N$1))</f>
        <v xml:space="preserve"> </v>
      </c>
      <c r="L1365" s="28" t="str">
        <f>IF(C1365=""," ",[1]!s_wq_pctchange($C1365,$N$1))</f>
        <v xml:space="preserve"> </v>
      </c>
      <c r="M1365" s="28" t="str">
        <f>IF(C1365=""," ",[1]!s_mq_pctchange($C1365,$N$1))</f>
        <v xml:space="preserve"> </v>
      </c>
      <c r="N1365" s="28" t="str">
        <f>IF(C1365=""," ",[1]!s_yq_pctchange($C1365,$N$1))</f>
        <v xml:space="preserve"> </v>
      </c>
      <c r="O1365" s="11"/>
      <c r="P1365" s="7"/>
    </row>
    <row r="1366" spans="1:16" x14ac:dyDescent="0.35">
      <c r="A1366" s="7"/>
      <c r="C1366" s="31" t="str">
        <f>IF(指数列表!B1363="","",指数列表!B1363)</f>
        <v/>
      </c>
      <c r="D1366" s="36" t="str">
        <f>IF(C1366="","",[1]!s_info_name(C1366))</f>
        <v/>
      </c>
      <c r="E1366" s="25" t="str">
        <f>IF(C1366="","",[1]!s_dq_close(C1366,$N$1))</f>
        <v/>
      </c>
      <c r="F1366" s="28" t="str">
        <f>IF($C1366=""," ",[1]!i_pq_pctchange($C1366,F$6,$N$1))</f>
        <v xml:space="preserve"> </v>
      </c>
      <c r="G1366" s="28" t="str">
        <f>IF($C1366=""," ",[1]!i_pq_pctchange($C1366,G$6,$N$1))</f>
        <v xml:space="preserve"> </v>
      </c>
      <c r="H1366" s="28" t="str">
        <f>IF($C1366=""," ",[1]!i_pq_pctchange($C1366,H$6,$N$1))</f>
        <v xml:space="preserve"> </v>
      </c>
      <c r="I1366" s="28" t="str">
        <f>IF($C1366=""," ",[1]!i_pq_pctchange($C1366,I$6,$N$1))</f>
        <v xml:space="preserve"> </v>
      </c>
      <c r="J1366" s="28" t="str">
        <f>IF($C1366=""," ",[1]!i_pq_pctchange($C1366,J$6,$N$1))</f>
        <v xml:space="preserve"> </v>
      </c>
      <c r="K1366" s="28" t="str">
        <f>IF($C1366=""," ",[1]!i_pq_pctchange($C1366,K$6,$N$1))</f>
        <v xml:space="preserve"> </v>
      </c>
      <c r="L1366" s="28" t="str">
        <f>IF(C1366=""," ",[1]!s_wq_pctchange($C1366,$N$1))</f>
        <v xml:space="preserve"> </v>
      </c>
      <c r="M1366" s="28" t="str">
        <f>IF(C1366=""," ",[1]!s_mq_pctchange($C1366,$N$1))</f>
        <v xml:space="preserve"> </v>
      </c>
      <c r="N1366" s="28" t="str">
        <f>IF(C1366=""," ",[1]!s_yq_pctchange($C1366,$N$1))</f>
        <v xml:space="preserve"> </v>
      </c>
      <c r="O1366" s="11"/>
      <c r="P1366" s="7"/>
    </row>
    <row r="1367" spans="1:16" x14ac:dyDescent="0.35">
      <c r="A1367" s="7"/>
      <c r="C1367" s="30" t="str">
        <f>IF(指数列表!B1364="","",指数列表!B1364)</f>
        <v/>
      </c>
      <c r="D1367" s="35" t="str">
        <f>IF(C1367="","",[1]!s_info_name(C1367))</f>
        <v/>
      </c>
      <c r="E1367" s="24" t="str">
        <f>IF(C1367="","",[1]!s_dq_close(C1367,$N$1))</f>
        <v/>
      </c>
      <c r="F1367" s="28" t="str">
        <f>IF($C1367=""," ",[1]!i_pq_pctchange($C1367,F$6,$N$1))</f>
        <v xml:space="preserve"> </v>
      </c>
      <c r="G1367" s="28" t="str">
        <f>IF($C1367=""," ",[1]!i_pq_pctchange($C1367,G$6,$N$1))</f>
        <v xml:space="preserve"> </v>
      </c>
      <c r="H1367" s="28" t="str">
        <f>IF($C1367=""," ",[1]!i_pq_pctchange($C1367,H$6,$N$1))</f>
        <v xml:space="preserve"> </v>
      </c>
      <c r="I1367" s="28" t="str">
        <f>IF($C1367=""," ",[1]!i_pq_pctchange($C1367,I$6,$N$1))</f>
        <v xml:space="preserve"> </v>
      </c>
      <c r="J1367" s="28" t="str">
        <f>IF($C1367=""," ",[1]!i_pq_pctchange($C1367,J$6,$N$1))</f>
        <v xml:space="preserve"> </v>
      </c>
      <c r="K1367" s="28" t="str">
        <f>IF($C1367=""," ",[1]!i_pq_pctchange($C1367,K$6,$N$1))</f>
        <v xml:space="preserve"> </v>
      </c>
      <c r="L1367" s="28" t="str">
        <f>IF(C1367=""," ",[1]!s_wq_pctchange($C1367,$N$1))</f>
        <v xml:space="preserve"> </v>
      </c>
      <c r="M1367" s="28" t="str">
        <f>IF(C1367=""," ",[1]!s_mq_pctchange($C1367,$N$1))</f>
        <v xml:space="preserve"> </v>
      </c>
      <c r="N1367" s="28" t="str">
        <f>IF(C1367=""," ",[1]!s_yq_pctchange($C1367,$N$1))</f>
        <v xml:space="preserve"> </v>
      </c>
      <c r="O1367" s="11"/>
      <c r="P1367" s="7"/>
    </row>
    <row r="1368" spans="1:16" x14ac:dyDescent="0.35">
      <c r="A1368" s="7"/>
      <c r="C1368" s="31" t="str">
        <f>IF(指数列表!B1365="","",指数列表!B1365)</f>
        <v/>
      </c>
      <c r="D1368" s="36" t="str">
        <f>IF(C1368="","",[1]!s_info_name(C1368))</f>
        <v/>
      </c>
      <c r="E1368" s="25" t="str">
        <f>IF(C1368="","",[1]!s_dq_close(C1368,$N$1))</f>
        <v/>
      </c>
      <c r="F1368" s="28" t="str">
        <f>IF($C1368=""," ",[1]!i_pq_pctchange($C1368,F$6,$N$1))</f>
        <v xml:space="preserve"> </v>
      </c>
      <c r="G1368" s="28" t="str">
        <f>IF($C1368=""," ",[1]!i_pq_pctchange($C1368,G$6,$N$1))</f>
        <v xml:space="preserve"> </v>
      </c>
      <c r="H1368" s="28" t="str">
        <f>IF($C1368=""," ",[1]!i_pq_pctchange($C1368,H$6,$N$1))</f>
        <v xml:space="preserve"> </v>
      </c>
      <c r="I1368" s="28" t="str">
        <f>IF($C1368=""," ",[1]!i_pq_pctchange($C1368,I$6,$N$1))</f>
        <v xml:space="preserve"> </v>
      </c>
      <c r="J1368" s="28" t="str">
        <f>IF($C1368=""," ",[1]!i_pq_pctchange($C1368,J$6,$N$1))</f>
        <v xml:space="preserve"> </v>
      </c>
      <c r="K1368" s="28" t="str">
        <f>IF($C1368=""," ",[1]!i_pq_pctchange($C1368,K$6,$N$1))</f>
        <v xml:space="preserve"> </v>
      </c>
      <c r="L1368" s="28" t="str">
        <f>IF(C1368=""," ",[1]!s_wq_pctchange($C1368,$N$1))</f>
        <v xml:space="preserve"> </v>
      </c>
      <c r="M1368" s="28" t="str">
        <f>IF(C1368=""," ",[1]!s_mq_pctchange($C1368,$N$1))</f>
        <v xml:space="preserve"> </v>
      </c>
      <c r="N1368" s="28" t="str">
        <f>IF(C1368=""," ",[1]!s_yq_pctchange($C1368,$N$1))</f>
        <v xml:space="preserve"> </v>
      </c>
      <c r="O1368" s="11"/>
      <c r="P1368" s="7"/>
    </row>
    <row r="1369" spans="1:16" x14ac:dyDescent="0.35">
      <c r="A1369" s="7"/>
      <c r="C1369" s="30" t="str">
        <f>IF(指数列表!B1366="","",指数列表!B1366)</f>
        <v/>
      </c>
      <c r="D1369" s="35" t="str">
        <f>IF(C1369="","",[1]!s_info_name(C1369))</f>
        <v/>
      </c>
      <c r="E1369" s="24" t="str">
        <f>IF(C1369="","",[1]!s_dq_close(C1369,$N$1))</f>
        <v/>
      </c>
      <c r="F1369" s="28" t="str">
        <f>IF($C1369=""," ",[1]!i_pq_pctchange($C1369,F$6,$N$1))</f>
        <v xml:space="preserve"> </v>
      </c>
      <c r="G1369" s="28" t="str">
        <f>IF($C1369=""," ",[1]!i_pq_pctchange($C1369,G$6,$N$1))</f>
        <v xml:space="preserve"> </v>
      </c>
      <c r="H1369" s="28" t="str">
        <f>IF($C1369=""," ",[1]!i_pq_pctchange($C1369,H$6,$N$1))</f>
        <v xml:space="preserve"> </v>
      </c>
      <c r="I1369" s="28" t="str">
        <f>IF($C1369=""," ",[1]!i_pq_pctchange($C1369,I$6,$N$1))</f>
        <v xml:space="preserve"> </v>
      </c>
      <c r="J1369" s="28" t="str">
        <f>IF($C1369=""," ",[1]!i_pq_pctchange($C1369,J$6,$N$1))</f>
        <v xml:space="preserve"> </v>
      </c>
      <c r="K1369" s="28" t="str">
        <f>IF($C1369=""," ",[1]!i_pq_pctchange($C1369,K$6,$N$1))</f>
        <v xml:space="preserve"> </v>
      </c>
      <c r="L1369" s="28" t="str">
        <f>IF(C1369=""," ",[1]!s_wq_pctchange($C1369,$N$1))</f>
        <v xml:space="preserve"> </v>
      </c>
      <c r="M1369" s="28" t="str">
        <f>IF(C1369=""," ",[1]!s_mq_pctchange($C1369,$N$1))</f>
        <v xml:space="preserve"> </v>
      </c>
      <c r="N1369" s="28" t="str">
        <f>IF(C1369=""," ",[1]!s_yq_pctchange($C1369,$N$1))</f>
        <v xml:space="preserve"> </v>
      </c>
      <c r="O1369" s="11"/>
      <c r="P1369" s="7"/>
    </row>
    <row r="1370" spans="1:16" x14ac:dyDescent="0.35">
      <c r="A1370" s="7"/>
      <c r="C1370" s="31" t="str">
        <f>IF(指数列表!B1367="","",指数列表!B1367)</f>
        <v/>
      </c>
      <c r="D1370" s="36" t="str">
        <f>IF(C1370="","",[1]!s_info_name(C1370))</f>
        <v/>
      </c>
      <c r="E1370" s="25" t="str">
        <f>IF(C1370="","",[1]!s_dq_close(C1370,$N$1))</f>
        <v/>
      </c>
      <c r="F1370" s="28" t="str">
        <f>IF($C1370=""," ",[1]!i_pq_pctchange($C1370,F$6,$N$1))</f>
        <v xml:space="preserve"> </v>
      </c>
      <c r="G1370" s="28" t="str">
        <f>IF($C1370=""," ",[1]!i_pq_pctchange($C1370,G$6,$N$1))</f>
        <v xml:space="preserve"> </v>
      </c>
      <c r="H1370" s="28" t="str">
        <f>IF($C1370=""," ",[1]!i_pq_pctchange($C1370,H$6,$N$1))</f>
        <v xml:space="preserve"> </v>
      </c>
      <c r="I1370" s="28" t="str">
        <f>IF($C1370=""," ",[1]!i_pq_pctchange($C1370,I$6,$N$1))</f>
        <v xml:space="preserve"> </v>
      </c>
      <c r="J1370" s="28" t="str">
        <f>IF($C1370=""," ",[1]!i_pq_pctchange($C1370,J$6,$N$1))</f>
        <v xml:space="preserve"> </v>
      </c>
      <c r="K1370" s="28" t="str">
        <f>IF($C1370=""," ",[1]!i_pq_pctchange($C1370,K$6,$N$1))</f>
        <v xml:space="preserve"> </v>
      </c>
      <c r="L1370" s="28" t="str">
        <f>IF(C1370=""," ",[1]!s_wq_pctchange($C1370,$N$1))</f>
        <v xml:space="preserve"> </v>
      </c>
      <c r="M1370" s="28" t="str">
        <f>IF(C1370=""," ",[1]!s_mq_pctchange($C1370,$N$1))</f>
        <v xml:space="preserve"> </v>
      </c>
      <c r="N1370" s="28" t="str">
        <f>IF(C1370=""," ",[1]!s_yq_pctchange($C1370,$N$1))</f>
        <v xml:space="preserve"> </v>
      </c>
      <c r="O1370" s="11"/>
      <c r="P1370" s="7"/>
    </row>
    <row r="1371" spans="1:16" x14ac:dyDescent="0.35">
      <c r="A1371" s="7"/>
      <c r="C1371" s="30" t="str">
        <f>IF(指数列表!B1368="","",指数列表!B1368)</f>
        <v/>
      </c>
      <c r="D1371" s="35" t="str">
        <f>IF(C1371="","",[1]!s_info_name(C1371))</f>
        <v/>
      </c>
      <c r="E1371" s="24" t="str">
        <f>IF(C1371="","",[1]!s_dq_close(C1371,$N$1))</f>
        <v/>
      </c>
      <c r="F1371" s="28" t="str">
        <f>IF($C1371=""," ",[1]!i_pq_pctchange($C1371,F$6,$N$1))</f>
        <v xml:space="preserve"> </v>
      </c>
      <c r="G1371" s="28" t="str">
        <f>IF($C1371=""," ",[1]!i_pq_pctchange($C1371,G$6,$N$1))</f>
        <v xml:space="preserve"> </v>
      </c>
      <c r="H1371" s="28" t="str">
        <f>IF($C1371=""," ",[1]!i_pq_pctchange($C1371,H$6,$N$1))</f>
        <v xml:space="preserve"> </v>
      </c>
      <c r="I1371" s="28" t="str">
        <f>IF($C1371=""," ",[1]!i_pq_pctchange($C1371,I$6,$N$1))</f>
        <v xml:space="preserve"> </v>
      </c>
      <c r="J1371" s="28" t="str">
        <f>IF($C1371=""," ",[1]!i_pq_pctchange($C1371,J$6,$N$1))</f>
        <v xml:space="preserve"> </v>
      </c>
      <c r="K1371" s="28" t="str">
        <f>IF($C1371=""," ",[1]!i_pq_pctchange($C1371,K$6,$N$1))</f>
        <v xml:space="preserve"> </v>
      </c>
      <c r="L1371" s="28" t="str">
        <f>IF(C1371=""," ",[1]!s_wq_pctchange($C1371,$N$1))</f>
        <v xml:space="preserve"> </v>
      </c>
      <c r="M1371" s="28" t="str">
        <f>IF(C1371=""," ",[1]!s_mq_pctchange($C1371,$N$1))</f>
        <v xml:space="preserve"> </v>
      </c>
      <c r="N1371" s="28" t="str">
        <f>IF(C1371=""," ",[1]!s_yq_pctchange($C1371,$N$1))</f>
        <v xml:space="preserve"> </v>
      </c>
      <c r="O1371" s="11"/>
      <c r="P1371" s="7"/>
    </row>
    <row r="1372" spans="1:16" x14ac:dyDescent="0.35">
      <c r="A1372" s="7"/>
      <c r="C1372" s="31" t="str">
        <f>IF(指数列表!B1369="","",指数列表!B1369)</f>
        <v/>
      </c>
      <c r="D1372" s="36" t="str">
        <f>IF(C1372="","",[1]!s_info_name(C1372))</f>
        <v/>
      </c>
      <c r="E1372" s="25" t="str">
        <f>IF(C1372="","",[1]!s_dq_close(C1372,$N$1))</f>
        <v/>
      </c>
      <c r="F1372" s="28" t="str">
        <f>IF($C1372=""," ",[1]!i_pq_pctchange($C1372,F$6,$N$1))</f>
        <v xml:space="preserve"> </v>
      </c>
      <c r="G1372" s="28" t="str">
        <f>IF($C1372=""," ",[1]!i_pq_pctchange($C1372,G$6,$N$1))</f>
        <v xml:space="preserve"> </v>
      </c>
      <c r="H1372" s="28" t="str">
        <f>IF($C1372=""," ",[1]!i_pq_pctchange($C1372,H$6,$N$1))</f>
        <v xml:space="preserve"> </v>
      </c>
      <c r="I1372" s="28" t="str">
        <f>IF($C1372=""," ",[1]!i_pq_pctchange($C1372,I$6,$N$1))</f>
        <v xml:space="preserve"> </v>
      </c>
      <c r="J1372" s="28" t="str">
        <f>IF($C1372=""," ",[1]!i_pq_pctchange($C1372,J$6,$N$1))</f>
        <v xml:space="preserve"> </v>
      </c>
      <c r="K1372" s="28" t="str">
        <f>IF($C1372=""," ",[1]!i_pq_pctchange($C1372,K$6,$N$1))</f>
        <v xml:space="preserve"> </v>
      </c>
      <c r="L1372" s="28" t="str">
        <f>IF(C1372=""," ",[1]!s_wq_pctchange($C1372,$N$1))</f>
        <v xml:space="preserve"> </v>
      </c>
      <c r="M1372" s="28" t="str">
        <f>IF(C1372=""," ",[1]!s_mq_pctchange($C1372,$N$1))</f>
        <v xml:space="preserve"> </v>
      </c>
      <c r="N1372" s="28" t="str">
        <f>IF(C1372=""," ",[1]!s_yq_pctchange($C1372,$N$1))</f>
        <v xml:space="preserve"> </v>
      </c>
      <c r="O1372" s="11"/>
      <c r="P1372" s="7"/>
    </row>
    <row r="1373" spans="1:16" x14ac:dyDescent="0.35">
      <c r="A1373" s="7"/>
      <c r="C1373" s="30" t="str">
        <f>IF(指数列表!B1370="","",指数列表!B1370)</f>
        <v/>
      </c>
      <c r="D1373" s="35" t="str">
        <f>IF(C1373="","",[1]!s_info_name(C1373))</f>
        <v/>
      </c>
      <c r="E1373" s="24" t="str">
        <f>IF(C1373="","",[1]!s_dq_close(C1373,$N$1))</f>
        <v/>
      </c>
      <c r="F1373" s="28" t="str">
        <f>IF($C1373=""," ",[1]!i_pq_pctchange($C1373,F$6,$N$1))</f>
        <v xml:space="preserve"> </v>
      </c>
      <c r="G1373" s="28" t="str">
        <f>IF($C1373=""," ",[1]!i_pq_pctchange($C1373,G$6,$N$1))</f>
        <v xml:space="preserve"> </v>
      </c>
      <c r="H1373" s="28" t="str">
        <f>IF($C1373=""," ",[1]!i_pq_pctchange($C1373,H$6,$N$1))</f>
        <v xml:space="preserve"> </v>
      </c>
      <c r="I1373" s="28" t="str">
        <f>IF($C1373=""," ",[1]!i_pq_pctchange($C1373,I$6,$N$1))</f>
        <v xml:space="preserve"> </v>
      </c>
      <c r="J1373" s="28" t="str">
        <f>IF($C1373=""," ",[1]!i_pq_pctchange($C1373,J$6,$N$1))</f>
        <v xml:space="preserve"> </v>
      </c>
      <c r="K1373" s="28" t="str">
        <f>IF($C1373=""," ",[1]!i_pq_pctchange($C1373,K$6,$N$1))</f>
        <v xml:space="preserve"> </v>
      </c>
      <c r="L1373" s="28" t="str">
        <f>IF(C1373=""," ",[1]!s_wq_pctchange($C1373,$N$1))</f>
        <v xml:space="preserve"> </v>
      </c>
      <c r="M1373" s="28" t="str">
        <f>IF(C1373=""," ",[1]!s_mq_pctchange($C1373,$N$1))</f>
        <v xml:space="preserve"> </v>
      </c>
      <c r="N1373" s="28" t="str">
        <f>IF(C1373=""," ",[1]!s_yq_pctchange($C1373,$N$1))</f>
        <v xml:space="preserve"> </v>
      </c>
      <c r="O1373" s="11"/>
      <c r="P1373" s="7"/>
    </row>
    <row r="1374" spans="1:16" x14ac:dyDescent="0.35">
      <c r="A1374" s="7"/>
      <c r="C1374" s="31" t="str">
        <f>IF(指数列表!B1371="","",指数列表!B1371)</f>
        <v/>
      </c>
      <c r="D1374" s="36" t="str">
        <f>IF(C1374="","",[1]!s_info_name(C1374))</f>
        <v/>
      </c>
      <c r="E1374" s="25" t="str">
        <f>IF(C1374="","",[1]!s_dq_close(C1374,$N$1))</f>
        <v/>
      </c>
      <c r="F1374" s="28" t="str">
        <f>IF($C1374=""," ",[1]!i_pq_pctchange($C1374,F$6,$N$1))</f>
        <v xml:space="preserve"> </v>
      </c>
      <c r="G1374" s="28" t="str">
        <f>IF($C1374=""," ",[1]!i_pq_pctchange($C1374,G$6,$N$1))</f>
        <v xml:space="preserve"> </v>
      </c>
      <c r="H1374" s="28" t="str">
        <f>IF($C1374=""," ",[1]!i_pq_pctchange($C1374,H$6,$N$1))</f>
        <v xml:space="preserve"> </v>
      </c>
      <c r="I1374" s="28" t="str">
        <f>IF($C1374=""," ",[1]!i_pq_pctchange($C1374,I$6,$N$1))</f>
        <v xml:space="preserve"> </v>
      </c>
      <c r="J1374" s="28" t="str">
        <f>IF($C1374=""," ",[1]!i_pq_pctchange($C1374,J$6,$N$1))</f>
        <v xml:space="preserve"> </v>
      </c>
      <c r="K1374" s="28" t="str">
        <f>IF($C1374=""," ",[1]!i_pq_pctchange($C1374,K$6,$N$1))</f>
        <v xml:space="preserve"> </v>
      </c>
      <c r="L1374" s="28" t="str">
        <f>IF(C1374=""," ",[1]!s_wq_pctchange($C1374,$N$1))</f>
        <v xml:space="preserve"> </v>
      </c>
      <c r="M1374" s="28" t="str">
        <f>IF(C1374=""," ",[1]!s_mq_pctchange($C1374,$N$1))</f>
        <v xml:space="preserve"> </v>
      </c>
      <c r="N1374" s="28" t="str">
        <f>IF(C1374=""," ",[1]!s_yq_pctchange($C1374,$N$1))</f>
        <v xml:space="preserve"> </v>
      </c>
      <c r="O1374" s="11"/>
      <c r="P1374" s="7"/>
    </row>
    <row r="1375" spans="1:16" x14ac:dyDescent="0.35">
      <c r="A1375" s="7"/>
      <c r="C1375" s="30" t="str">
        <f>IF(指数列表!B1372="","",指数列表!B1372)</f>
        <v/>
      </c>
      <c r="D1375" s="35" t="str">
        <f>IF(C1375="","",[1]!s_info_name(C1375))</f>
        <v/>
      </c>
      <c r="E1375" s="24" t="str">
        <f>IF(C1375="","",[1]!s_dq_close(C1375,$N$1))</f>
        <v/>
      </c>
      <c r="F1375" s="28" t="str">
        <f>IF($C1375=""," ",[1]!i_pq_pctchange($C1375,F$6,$N$1))</f>
        <v xml:space="preserve"> </v>
      </c>
      <c r="G1375" s="28" t="str">
        <f>IF($C1375=""," ",[1]!i_pq_pctchange($C1375,G$6,$N$1))</f>
        <v xml:space="preserve"> </v>
      </c>
      <c r="H1375" s="28" t="str">
        <f>IF($C1375=""," ",[1]!i_pq_pctchange($C1375,H$6,$N$1))</f>
        <v xml:space="preserve"> </v>
      </c>
      <c r="I1375" s="28" t="str">
        <f>IF($C1375=""," ",[1]!i_pq_pctchange($C1375,I$6,$N$1))</f>
        <v xml:space="preserve"> </v>
      </c>
      <c r="J1375" s="28" t="str">
        <f>IF($C1375=""," ",[1]!i_pq_pctchange($C1375,J$6,$N$1))</f>
        <v xml:space="preserve"> </v>
      </c>
      <c r="K1375" s="28" t="str">
        <f>IF($C1375=""," ",[1]!i_pq_pctchange($C1375,K$6,$N$1))</f>
        <v xml:space="preserve"> </v>
      </c>
      <c r="L1375" s="28" t="str">
        <f>IF(C1375=""," ",[1]!s_wq_pctchange($C1375,$N$1))</f>
        <v xml:space="preserve"> </v>
      </c>
      <c r="M1375" s="28" t="str">
        <f>IF(C1375=""," ",[1]!s_mq_pctchange($C1375,$N$1))</f>
        <v xml:space="preserve"> </v>
      </c>
      <c r="N1375" s="28" t="str">
        <f>IF(C1375=""," ",[1]!s_yq_pctchange($C1375,$N$1))</f>
        <v xml:space="preserve"> </v>
      </c>
      <c r="O1375" s="11"/>
      <c r="P1375" s="7"/>
    </row>
    <row r="1376" spans="1:16" x14ac:dyDescent="0.35">
      <c r="A1376" s="7"/>
      <c r="C1376" s="31" t="str">
        <f>IF(指数列表!B1373="","",指数列表!B1373)</f>
        <v/>
      </c>
      <c r="D1376" s="36" t="str">
        <f>IF(C1376="","",[1]!s_info_name(C1376))</f>
        <v/>
      </c>
      <c r="E1376" s="25" t="str">
        <f>IF(C1376="","",[1]!s_dq_close(C1376,$N$1))</f>
        <v/>
      </c>
      <c r="F1376" s="28" t="str">
        <f>IF($C1376=""," ",[1]!i_pq_pctchange($C1376,F$6,$N$1))</f>
        <v xml:space="preserve"> </v>
      </c>
      <c r="G1376" s="28" t="str">
        <f>IF($C1376=""," ",[1]!i_pq_pctchange($C1376,G$6,$N$1))</f>
        <v xml:space="preserve"> </v>
      </c>
      <c r="H1376" s="28" t="str">
        <f>IF($C1376=""," ",[1]!i_pq_pctchange($C1376,H$6,$N$1))</f>
        <v xml:space="preserve"> </v>
      </c>
      <c r="I1376" s="28" t="str">
        <f>IF($C1376=""," ",[1]!i_pq_pctchange($C1376,I$6,$N$1))</f>
        <v xml:space="preserve"> </v>
      </c>
      <c r="J1376" s="28" t="str">
        <f>IF($C1376=""," ",[1]!i_pq_pctchange($C1376,J$6,$N$1))</f>
        <v xml:space="preserve"> </v>
      </c>
      <c r="K1376" s="28" t="str">
        <f>IF($C1376=""," ",[1]!i_pq_pctchange($C1376,K$6,$N$1))</f>
        <v xml:space="preserve"> </v>
      </c>
      <c r="L1376" s="28" t="str">
        <f>IF(C1376=""," ",[1]!s_wq_pctchange($C1376,$N$1))</f>
        <v xml:space="preserve"> </v>
      </c>
      <c r="M1376" s="28" t="str">
        <f>IF(C1376=""," ",[1]!s_mq_pctchange($C1376,$N$1))</f>
        <v xml:space="preserve"> </v>
      </c>
      <c r="N1376" s="28" t="str">
        <f>IF(C1376=""," ",[1]!s_yq_pctchange($C1376,$N$1))</f>
        <v xml:space="preserve"> </v>
      </c>
      <c r="O1376" s="11"/>
      <c r="P1376" s="7"/>
    </row>
    <row r="1377" spans="1:16" x14ac:dyDescent="0.35">
      <c r="A1377" s="7"/>
      <c r="C1377" s="30" t="str">
        <f>IF(指数列表!B1374="","",指数列表!B1374)</f>
        <v/>
      </c>
      <c r="D1377" s="35" t="str">
        <f>IF(C1377="","",[1]!s_info_name(C1377))</f>
        <v/>
      </c>
      <c r="E1377" s="24" t="str">
        <f>IF(C1377="","",[1]!s_dq_close(C1377,$N$1))</f>
        <v/>
      </c>
      <c r="F1377" s="28" t="str">
        <f>IF($C1377=""," ",[1]!i_pq_pctchange($C1377,F$6,$N$1))</f>
        <v xml:space="preserve"> </v>
      </c>
      <c r="G1377" s="28" t="str">
        <f>IF($C1377=""," ",[1]!i_pq_pctchange($C1377,G$6,$N$1))</f>
        <v xml:space="preserve"> </v>
      </c>
      <c r="H1377" s="28" t="str">
        <f>IF($C1377=""," ",[1]!i_pq_pctchange($C1377,H$6,$N$1))</f>
        <v xml:space="preserve"> </v>
      </c>
      <c r="I1377" s="28" t="str">
        <f>IF($C1377=""," ",[1]!i_pq_pctchange($C1377,I$6,$N$1))</f>
        <v xml:space="preserve"> </v>
      </c>
      <c r="J1377" s="28" t="str">
        <f>IF($C1377=""," ",[1]!i_pq_pctchange($C1377,J$6,$N$1))</f>
        <v xml:space="preserve"> </v>
      </c>
      <c r="K1377" s="28" t="str">
        <f>IF($C1377=""," ",[1]!i_pq_pctchange($C1377,K$6,$N$1))</f>
        <v xml:space="preserve"> </v>
      </c>
      <c r="L1377" s="28" t="str">
        <f>IF(C1377=""," ",[1]!s_wq_pctchange($C1377,$N$1))</f>
        <v xml:space="preserve"> </v>
      </c>
      <c r="M1377" s="28" t="str">
        <f>IF(C1377=""," ",[1]!s_mq_pctchange($C1377,$N$1))</f>
        <v xml:space="preserve"> </v>
      </c>
      <c r="N1377" s="28" t="str">
        <f>IF(C1377=""," ",[1]!s_yq_pctchange($C1377,$N$1))</f>
        <v xml:space="preserve"> </v>
      </c>
      <c r="O1377" s="11"/>
      <c r="P1377" s="7"/>
    </row>
    <row r="1378" spans="1:16" x14ac:dyDescent="0.35">
      <c r="A1378" s="7"/>
      <c r="C1378" s="31" t="str">
        <f>IF(指数列表!B1375="","",指数列表!B1375)</f>
        <v/>
      </c>
      <c r="D1378" s="36" t="str">
        <f>IF(C1378="","",[1]!s_info_name(C1378))</f>
        <v/>
      </c>
      <c r="E1378" s="25" t="str">
        <f>IF(C1378="","",[1]!s_dq_close(C1378,$N$1))</f>
        <v/>
      </c>
      <c r="F1378" s="28" t="str">
        <f>IF($C1378=""," ",[1]!i_pq_pctchange($C1378,F$6,$N$1))</f>
        <v xml:space="preserve"> </v>
      </c>
      <c r="G1378" s="28" t="str">
        <f>IF($C1378=""," ",[1]!i_pq_pctchange($C1378,G$6,$N$1))</f>
        <v xml:space="preserve"> </v>
      </c>
      <c r="H1378" s="28" t="str">
        <f>IF($C1378=""," ",[1]!i_pq_pctchange($C1378,H$6,$N$1))</f>
        <v xml:space="preserve"> </v>
      </c>
      <c r="I1378" s="28" t="str">
        <f>IF($C1378=""," ",[1]!i_pq_pctchange($C1378,I$6,$N$1))</f>
        <v xml:space="preserve"> </v>
      </c>
      <c r="J1378" s="28" t="str">
        <f>IF($C1378=""," ",[1]!i_pq_pctchange($C1378,J$6,$N$1))</f>
        <v xml:space="preserve"> </v>
      </c>
      <c r="K1378" s="28" t="str">
        <f>IF($C1378=""," ",[1]!i_pq_pctchange($C1378,K$6,$N$1))</f>
        <v xml:space="preserve"> </v>
      </c>
      <c r="L1378" s="28" t="str">
        <f>IF(C1378=""," ",[1]!s_wq_pctchange($C1378,$N$1))</f>
        <v xml:space="preserve"> </v>
      </c>
      <c r="M1378" s="28" t="str">
        <f>IF(C1378=""," ",[1]!s_mq_pctchange($C1378,$N$1))</f>
        <v xml:space="preserve"> </v>
      </c>
      <c r="N1378" s="28" t="str">
        <f>IF(C1378=""," ",[1]!s_yq_pctchange($C1378,$N$1))</f>
        <v xml:space="preserve"> </v>
      </c>
      <c r="O1378" s="11"/>
      <c r="P1378" s="7"/>
    </row>
    <row r="1379" spans="1:16" x14ac:dyDescent="0.35">
      <c r="A1379" s="7"/>
      <c r="C1379" s="30" t="str">
        <f>IF(指数列表!B1376="","",指数列表!B1376)</f>
        <v/>
      </c>
      <c r="D1379" s="35" t="str">
        <f>IF(C1379="","",[1]!s_info_name(C1379))</f>
        <v/>
      </c>
      <c r="E1379" s="24" t="str">
        <f>IF(C1379="","",[1]!s_dq_close(C1379,$N$1))</f>
        <v/>
      </c>
      <c r="F1379" s="28" t="str">
        <f>IF($C1379=""," ",[1]!i_pq_pctchange($C1379,F$6,$N$1))</f>
        <v xml:space="preserve"> </v>
      </c>
      <c r="G1379" s="28" t="str">
        <f>IF($C1379=""," ",[1]!i_pq_pctchange($C1379,G$6,$N$1))</f>
        <v xml:space="preserve"> </v>
      </c>
      <c r="H1379" s="28" t="str">
        <f>IF($C1379=""," ",[1]!i_pq_pctchange($C1379,H$6,$N$1))</f>
        <v xml:space="preserve"> </v>
      </c>
      <c r="I1379" s="28" t="str">
        <f>IF($C1379=""," ",[1]!i_pq_pctchange($C1379,I$6,$N$1))</f>
        <v xml:space="preserve"> </v>
      </c>
      <c r="J1379" s="28" t="str">
        <f>IF($C1379=""," ",[1]!i_pq_pctchange($C1379,J$6,$N$1))</f>
        <v xml:space="preserve"> </v>
      </c>
      <c r="K1379" s="28" t="str">
        <f>IF($C1379=""," ",[1]!i_pq_pctchange($C1379,K$6,$N$1))</f>
        <v xml:space="preserve"> </v>
      </c>
      <c r="L1379" s="28" t="str">
        <f>IF(C1379=""," ",[1]!s_wq_pctchange($C1379,$N$1))</f>
        <v xml:space="preserve"> </v>
      </c>
      <c r="M1379" s="28" t="str">
        <f>IF(C1379=""," ",[1]!s_mq_pctchange($C1379,$N$1))</f>
        <v xml:space="preserve"> </v>
      </c>
      <c r="N1379" s="28" t="str">
        <f>IF(C1379=""," ",[1]!s_yq_pctchange($C1379,$N$1))</f>
        <v xml:space="preserve"> </v>
      </c>
      <c r="O1379" s="11"/>
      <c r="P1379" s="7"/>
    </row>
    <row r="1380" spans="1:16" x14ac:dyDescent="0.35">
      <c r="A1380" s="7"/>
      <c r="C1380" s="31" t="str">
        <f>IF(指数列表!B1377="","",指数列表!B1377)</f>
        <v/>
      </c>
      <c r="D1380" s="36" t="str">
        <f>IF(C1380="","",[1]!s_info_name(C1380))</f>
        <v/>
      </c>
      <c r="E1380" s="25" t="str">
        <f>IF(C1380="","",[1]!s_dq_close(C1380,$N$1))</f>
        <v/>
      </c>
      <c r="F1380" s="28" t="str">
        <f>IF($C1380=""," ",[1]!i_pq_pctchange($C1380,F$6,$N$1))</f>
        <v xml:space="preserve"> </v>
      </c>
      <c r="G1380" s="28" t="str">
        <f>IF($C1380=""," ",[1]!i_pq_pctchange($C1380,G$6,$N$1))</f>
        <v xml:space="preserve"> </v>
      </c>
      <c r="H1380" s="28" t="str">
        <f>IF($C1380=""," ",[1]!i_pq_pctchange($C1380,H$6,$N$1))</f>
        <v xml:space="preserve"> </v>
      </c>
      <c r="I1380" s="28" t="str">
        <f>IF($C1380=""," ",[1]!i_pq_pctchange($C1380,I$6,$N$1))</f>
        <v xml:space="preserve"> </v>
      </c>
      <c r="J1380" s="28" t="str">
        <f>IF($C1380=""," ",[1]!i_pq_pctchange($C1380,J$6,$N$1))</f>
        <v xml:space="preserve"> </v>
      </c>
      <c r="K1380" s="28" t="str">
        <f>IF($C1380=""," ",[1]!i_pq_pctchange($C1380,K$6,$N$1))</f>
        <v xml:space="preserve"> </v>
      </c>
      <c r="L1380" s="28" t="str">
        <f>IF(C1380=""," ",[1]!s_wq_pctchange($C1380,$N$1))</f>
        <v xml:space="preserve"> </v>
      </c>
      <c r="M1380" s="28" t="str">
        <f>IF(C1380=""," ",[1]!s_mq_pctchange($C1380,$N$1))</f>
        <v xml:space="preserve"> </v>
      </c>
      <c r="N1380" s="28" t="str">
        <f>IF(C1380=""," ",[1]!s_yq_pctchange($C1380,$N$1))</f>
        <v xml:space="preserve"> </v>
      </c>
      <c r="O1380" s="11"/>
      <c r="P1380" s="7"/>
    </row>
    <row r="1381" spans="1:16" x14ac:dyDescent="0.35">
      <c r="A1381" s="7"/>
      <c r="C1381" s="30" t="str">
        <f>IF(指数列表!B1378="","",指数列表!B1378)</f>
        <v/>
      </c>
      <c r="D1381" s="35" t="str">
        <f>IF(C1381="","",[1]!s_info_name(C1381))</f>
        <v/>
      </c>
      <c r="E1381" s="24" t="str">
        <f>IF(C1381="","",[1]!s_dq_close(C1381,$N$1))</f>
        <v/>
      </c>
      <c r="F1381" s="28" t="str">
        <f>IF($C1381=""," ",[1]!i_pq_pctchange($C1381,F$6,$N$1))</f>
        <v xml:space="preserve"> </v>
      </c>
      <c r="G1381" s="28" t="str">
        <f>IF($C1381=""," ",[1]!i_pq_pctchange($C1381,G$6,$N$1))</f>
        <v xml:space="preserve"> </v>
      </c>
      <c r="H1381" s="28" t="str">
        <f>IF($C1381=""," ",[1]!i_pq_pctchange($C1381,H$6,$N$1))</f>
        <v xml:space="preserve"> </v>
      </c>
      <c r="I1381" s="28" t="str">
        <f>IF($C1381=""," ",[1]!i_pq_pctchange($C1381,I$6,$N$1))</f>
        <v xml:space="preserve"> </v>
      </c>
      <c r="J1381" s="28" t="str">
        <f>IF($C1381=""," ",[1]!i_pq_pctchange($C1381,J$6,$N$1))</f>
        <v xml:space="preserve"> </v>
      </c>
      <c r="K1381" s="28" t="str">
        <f>IF($C1381=""," ",[1]!i_pq_pctchange($C1381,K$6,$N$1))</f>
        <v xml:space="preserve"> </v>
      </c>
      <c r="L1381" s="28" t="str">
        <f>IF(C1381=""," ",[1]!s_wq_pctchange($C1381,$N$1))</f>
        <v xml:space="preserve"> </v>
      </c>
      <c r="M1381" s="28" t="str">
        <f>IF(C1381=""," ",[1]!s_mq_pctchange($C1381,$N$1))</f>
        <v xml:space="preserve"> </v>
      </c>
      <c r="N1381" s="28" t="str">
        <f>IF(C1381=""," ",[1]!s_yq_pctchange($C1381,$N$1))</f>
        <v xml:space="preserve"> </v>
      </c>
      <c r="O1381" s="11"/>
      <c r="P1381" s="7"/>
    </row>
    <row r="1382" spans="1:16" x14ac:dyDescent="0.35">
      <c r="A1382" s="7"/>
      <c r="C1382" s="31" t="str">
        <f>IF(指数列表!B1379="","",指数列表!B1379)</f>
        <v/>
      </c>
      <c r="D1382" s="36" t="str">
        <f>IF(C1382="","",[1]!s_info_name(C1382))</f>
        <v/>
      </c>
      <c r="E1382" s="25" t="str">
        <f>IF(C1382="","",[1]!s_dq_close(C1382,$N$1))</f>
        <v/>
      </c>
      <c r="F1382" s="28" t="str">
        <f>IF($C1382=""," ",[1]!i_pq_pctchange($C1382,F$6,$N$1))</f>
        <v xml:space="preserve"> </v>
      </c>
      <c r="G1382" s="28" t="str">
        <f>IF($C1382=""," ",[1]!i_pq_pctchange($C1382,G$6,$N$1))</f>
        <v xml:space="preserve"> </v>
      </c>
      <c r="H1382" s="28" t="str">
        <f>IF($C1382=""," ",[1]!i_pq_pctchange($C1382,H$6,$N$1))</f>
        <v xml:space="preserve"> </v>
      </c>
      <c r="I1382" s="28" t="str">
        <f>IF($C1382=""," ",[1]!i_pq_pctchange($C1382,I$6,$N$1))</f>
        <v xml:space="preserve"> </v>
      </c>
      <c r="J1382" s="28" t="str">
        <f>IF($C1382=""," ",[1]!i_pq_pctchange($C1382,J$6,$N$1))</f>
        <v xml:space="preserve"> </v>
      </c>
      <c r="K1382" s="28" t="str">
        <f>IF($C1382=""," ",[1]!i_pq_pctchange($C1382,K$6,$N$1))</f>
        <v xml:space="preserve"> </v>
      </c>
      <c r="L1382" s="28" t="str">
        <f>IF(C1382=""," ",[1]!s_wq_pctchange($C1382,$N$1))</f>
        <v xml:space="preserve"> </v>
      </c>
      <c r="M1382" s="28" t="str">
        <f>IF(C1382=""," ",[1]!s_mq_pctchange($C1382,$N$1))</f>
        <v xml:space="preserve"> </v>
      </c>
      <c r="N1382" s="28" t="str">
        <f>IF(C1382=""," ",[1]!s_yq_pctchange($C1382,$N$1))</f>
        <v xml:space="preserve"> </v>
      </c>
      <c r="O1382" s="11"/>
      <c r="P1382" s="7"/>
    </row>
    <row r="1383" spans="1:16" x14ac:dyDescent="0.35">
      <c r="A1383" s="7"/>
      <c r="C1383" s="30" t="str">
        <f>IF(指数列表!B1380="","",指数列表!B1380)</f>
        <v/>
      </c>
      <c r="D1383" s="35" t="str">
        <f>IF(C1383="","",[1]!s_info_name(C1383))</f>
        <v/>
      </c>
      <c r="E1383" s="24" t="str">
        <f>IF(C1383="","",[1]!s_dq_close(C1383,$N$1))</f>
        <v/>
      </c>
      <c r="F1383" s="28" t="str">
        <f>IF($C1383=""," ",[1]!i_pq_pctchange($C1383,F$6,$N$1))</f>
        <v xml:space="preserve"> </v>
      </c>
      <c r="G1383" s="28" t="str">
        <f>IF($C1383=""," ",[1]!i_pq_pctchange($C1383,G$6,$N$1))</f>
        <v xml:space="preserve"> </v>
      </c>
      <c r="H1383" s="28" t="str">
        <f>IF($C1383=""," ",[1]!i_pq_pctchange($C1383,H$6,$N$1))</f>
        <v xml:space="preserve"> </v>
      </c>
      <c r="I1383" s="28" t="str">
        <f>IF($C1383=""," ",[1]!i_pq_pctchange($C1383,I$6,$N$1))</f>
        <v xml:space="preserve"> </v>
      </c>
      <c r="J1383" s="28" t="str">
        <f>IF($C1383=""," ",[1]!i_pq_pctchange($C1383,J$6,$N$1))</f>
        <v xml:space="preserve"> </v>
      </c>
      <c r="K1383" s="28" t="str">
        <f>IF($C1383=""," ",[1]!i_pq_pctchange($C1383,K$6,$N$1))</f>
        <v xml:space="preserve"> </v>
      </c>
      <c r="L1383" s="28" t="str">
        <f>IF(C1383=""," ",[1]!s_wq_pctchange($C1383,$N$1))</f>
        <v xml:space="preserve"> </v>
      </c>
      <c r="M1383" s="28" t="str">
        <f>IF(C1383=""," ",[1]!s_mq_pctchange($C1383,$N$1))</f>
        <v xml:space="preserve"> </v>
      </c>
      <c r="N1383" s="28" t="str">
        <f>IF(C1383=""," ",[1]!s_yq_pctchange($C1383,$N$1))</f>
        <v xml:space="preserve"> </v>
      </c>
      <c r="O1383" s="11"/>
      <c r="P1383" s="7"/>
    </row>
    <row r="1384" spans="1:16" x14ac:dyDescent="0.35">
      <c r="A1384" s="7"/>
      <c r="C1384" s="31" t="str">
        <f>IF(指数列表!B1381="","",指数列表!B1381)</f>
        <v/>
      </c>
      <c r="D1384" s="36" t="str">
        <f>IF(C1384="","",[1]!s_info_name(C1384))</f>
        <v/>
      </c>
      <c r="E1384" s="25" t="str">
        <f>IF(C1384="","",[1]!s_dq_close(C1384,$N$1))</f>
        <v/>
      </c>
      <c r="F1384" s="28" t="str">
        <f>IF($C1384=""," ",[1]!i_pq_pctchange($C1384,F$6,$N$1))</f>
        <v xml:space="preserve"> </v>
      </c>
      <c r="G1384" s="28" t="str">
        <f>IF($C1384=""," ",[1]!i_pq_pctchange($C1384,G$6,$N$1))</f>
        <v xml:space="preserve"> </v>
      </c>
      <c r="H1384" s="28" t="str">
        <f>IF($C1384=""," ",[1]!i_pq_pctchange($C1384,H$6,$N$1))</f>
        <v xml:space="preserve"> </v>
      </c>
      <c r="I1384" s="28" t="str">
        <f>IF($C1384=""," ",[1]!i_pq_pctchange($C1384,I$6,$N$1))</f>
        <v xml:space="preserve"> </v>
      </c>
      <c r="J1384" s="28" t="str">
        <f>IF($C1384=""," ",[1]!i_pq_pctchange($C1384,J$6,$N$1))</f>
        <v xml:space="preserve"> </v>
      </c>
      <c r="K1384" s="28" t="str">
        <f>IF($C1384=""," ",[1]!i_pq_pctchange($C1384,K$6,$N$1))</f>
        <v xml:space="preserve"> </v>
      </c>
      <c r="L1384" s="28" t="str">
        <f>IF(C1384=""," ",[1]!s_wq_pctchange($C1384,$N$1))</f>
        <v xml:space="preserve"> </v>
      </c>
      <c r="M1384" s="28" t="str">
        <f>IF(C1384=""," ",[1]!s_mq_pctchange($C1384,$N$1))</f>
        <v xml:space="preserve"> </v>
      </c>
      <c r="N1384" s="28" t="str">
        <f>IF(C1384=""," ",[1]!s_yq_pctchange($C1384,$N$1))</f>
        <v xml:space="preserve"> </v>
      </c>
      <c r="O1384" s="11"/>
      <c r="P1384" s="7"/>
    </row>
    <row r="1385" spans="1:16" x14ac:dyDescent="0.35">
      <c r="A1385" s="7"/>
      <c r="C1385" s="30" t="str">
        <f>IF(指数列表!B1382="","",指数列表!B1382)</f>
        <v/>
      </c>
      <c r="D1385" s="35" t="str">
        <f>IF(C1385="","",[1]!s_info_name(C1385))</f>
        <v/>
      </c>
      <c r="E1385" s="24" t="str">
        <f>IF(C1385="","",[1]!s_dq_close(C1385,$N$1))</f>
        <v/>
      </c>
      <c r="F1385" s="28" t="str">
        <f>IF($C1385=""," ",[1]!i_pq_pctchange($C1385,F$6,$N$1))</f>
        <v xml:space="preserve"> </v>
      </c>
      <c r="G1385" s="28" t="str">
        <f>IF($C1385=""," ",[1]!i_pq_pctchange($C1385,G$6,$N$1))</f>
        <v xml:space="preserve"> </v>
      </c>
      <c r="H1385" s="28" t="str">
        <f>IF($C1385=""," ",[1]!i_pq_pctchange($C1385,H$6,$N$1))</f>
        <v xml:space="preserve"> </v>
      </c>
      <c r="I1385" s="28" t="str">
        <f>IF($C1385=""," ",[1]!i_pq_pctchange($C1385,I$6,$N$1))</f>
        <v xml:space="preserve"> </v>
      </c>
      <c r="J1385" s="28" t="str">
        <f>IF($C1385=""," ",[1]!i_pq_pctchange($C1385,J$6,$N$1))</f>
        <v xml:space="preserve"> </v>
      </c>
      <c r="K1385" s="28" t="str">
        <f>IF($C1385=""," ",[1]!i_pq_pctchange($C1385,K$6,$N$1))</f>
        <v xml:space="preserve"> </v>
      </c>
      <c r="L1385" s="28" t="str">
        <f>IF(C1385=""," ",[1]!s_wq_pctchange($C1385,$N$1))</f>
        <v xml:space="preserve"> </v>
      </c>
      <c r="M1385" s="28" t="str">
        <f>IF(C1385=""," ",[1]!s_mq_pctchange($C1385,$N$1))</f>
        <v xml:space="preserve"> </v>
      </c>
      <c r="N1385" s="28" t="str">
        <f>IF(C1385=""," ",[1]!s_yq_pctchange($C1385,$N$1))</f>
        <v xml:space="preserve"> </v>
      </c>
      <c r="O1385" s="11"/>
      <c r="P1385" s="7"/>
    </row>
    <row r="1386" spans="1:16" x14ac:dyDescent="0.35">
      <c r="A1386" s="7"/>
      <c r="C1386" s="31" t="str">
        <f>IF(指数列表!B1383="","",指数列表!B1383)</f>
        <v/>
      </c>
      <c r="D1386" s="36" t="str">
        <f>IF(C1386="","",[1]!s_info_name(C1386))</f>
        <v/>
      </c>
      <c r="E1386" s="25" t="str">
        <f>IF(C1386="","",[1]!s_dq_close(C1386,$N$1))</f>
        <v/>
      </c>
      <c r="F1386" s="28" t="str">
        <f>IF($C1386=""," ",[1]!i_pq_pctchange($C1386,F$6,$N$1))</f>
        <v xml:space="preserve"> </v>
      </c>
      <c r="G1386" s="28" t="str">
        <f>IF($C1386=""," ",[1]!i_pq_pctchange($C1386,G$6,$N$1))</f>
        <v xml:space="preserve"> </v>
      </c>
      <c r="H1386" s="28" t="str">
        <f>IF($C1386=""," ",[1]!i_pq_pctchange($C1386,H$6,$N$1))</f>
        <v xml:space="preserve"> </v>
      </c>
      <c r="I1386" s="28" t="str">
        <f>IF($C1386=""," ",[1]!i_pq_pctchange($C1386,I$6,$N$1))</f>
        <v xml:space="preserve"> </v>
      </c>
      <c r="J1386" s="28" t="str">
        <f>IF($C1386=""," ",[1]!i_pq_pctchange($C1386,J$6,$N$1))</f>
        <v xml:space="preserve"> </v>
      </c>
      <c r="K1386" s="28" t="str">
        <f>IF($C1386=""," ",[1]!i_pq_pctchange($C1386,K$6,$N$1))</f>
        <v xml:space="preserve"> </v>
      </c>
      <c r="L1386" s="28" t="str">
        <f>IF(C1386=""," ",[1]!s_wq_pctchange($C1386,$N$1))</f>
        <v xml:space="preserve"> </v>
      </c>
      <c r="M1386" s="28" t="str">
        <f>IF(C1386=""," ",[1]!s_mq_pctchange($C1386,$N$1))</f>
        <v xml:space="preserve"> </v>
      </c>
      <c r="N1386" s="28" t="str">
        <f>IF(C1386=""," ",[1]!s_yq_pctchange($C1386,$N$1))</f>
        <v xml:space="preserve"> </v>
      </c>
      <c r="O1386" s="11"/>
      <c r="P1386" s="7"/>
    </row>
    <row r="1387" spans="1:16" x14ac:dyDescent="0.35">
      <c r="A1387" s="7"/>
      <c r="C1387" s="30" t="str">
        <f>IF(指数列表!B1384="","",指数列表!B1384)</f>
        <v/>
      </c>
      <c r="D1387" s="35" t="str">
        <f>IF(C1387="","",[1]!s_info_name(C1387))</f>
        <v/>
      </c>
      <c r="E1387" s="24" t="str">
        <f>IF(C1387="","",[1]!s_dq_close(C1387,$N$1))</f>
        <v/>
      </c>
      <c r="F1387" s="28" t="str">
        <f>IF($C1387=""," ",[1]!i_pq_pctchange($C1387,F$6,$N$1))</f>
        <v xml:space="preserve"> </v>
      </c>
      <c r="G1387" s="28" t="str">
        <f>IF($C1387=""," ",[1]!i_pq_pctchange($C1387,G$6,$N$1))</f>
        <v xml:space="preserve"> </v>
      </c>
      <c r="H1387" s="28" t="str">
        <f>IF($C1387=""," ",[1]!i_pq_pctchange($C1387,H$6,$N$1))</f>
        <v xml:space="preserve"> </v>
      </c>
      <c r="I1387" s="28" t="str">
        <f>IF($C1387=""," ",[1]!i_pq_pctchange($C1387,I$6,$N$1))</f>
        <v xml:space="preserve"> </v>
      </c>
      <c r="J1387" s="28" t="str">
        <f>IF($C1387=""," ",[1]!i_pq_pctchange($C1387,J$6,$N$1))</f>
        <v xml:space="preserve"> </v>
      </c>
      <c r="K1387" s="28" t="str">
        <f>IF($C1387=""," ",[1]!i_pq_pctchange($C1387,K$6,$N$1))</f>
        <v xml:space="preserve"> </v>
      </c>
      <c r="L1387" s="28" t="str">
        <f>IF(C1387=""," ",[1]!s_wq_pctchange($C1387,$N$1))</f>
        <v xml:space="preserve"> </v>
      </c>
      <c r="M1387" s="28" t="str">
        <f>IF(C1387=""," ",[1]!s_mq_pctchange($C1387,$N$1))</f>
        <v xml:space="preserve"> </v>
      </c>
      <c r="N1387" s="28" t="str">
        <f>IF(C1387=""," ",[1]!s_yq_pctchange($C1387,$N$1))</f>
        <v xml:space="preserve"> </v>
      </c>
      <c r="O1387" s="11"/>
      <c r="P1387" s="7"/>
    </row>
    <row r="1388" spans="1:16" x14ac:dyDescent="0.35">
      <c r="A1388" s="7"/>
      <c r="C1388" s="31" t="str">
        <f>IF(指数列表!B1385="","",指数列表!B1385)</f>
        <v/>
      </c>
      <c r="D1388" s="36" t="str">
        <f>IF(C1388="","",[1]!s_info_name(C1388))</f>
        <v/>
      </c>
      <c r="E1388" s="25" t="str">
        <f>IF(C1388="","",[1]!s_dq_close(C1388,$N$1))</f>
        <v/>
      </c>
      <c r="F1388" s="28" t="str">
        <f>IF($C1388=""," ",[1]!i_pq_pctchange($C1388,F$6,$N$1))</f>
        <v xml:space="preserve"> </v>
      </c>
      <c r="G1388" s="28" t="str">
        <f>IF($C1388=""," ",[1]!i_pq_pctchange($C1388,G$6,$N$1))</f>
        <v xml:space="preserve"> </v>
      </c>
      <c r="H1388" s="28" t="str">
        <f>IF($C1388=""," ",[1]!i_pq_pctchange($C1388,H$6,$N$1))</f>
        <v xml:space="preserve"> </v>
      </c>
      <c r="I1388" s="28" t="str">
        <f>IF($C1388=""," ",[1]!i_pq_pctchange($C1388,I$6,$N$1))</f>
        <v xml:space="preserve"> </v>
      </c>
      <c r="J1388" s="28" t="str">
        <f>IF($C1388=""," ",[1]!i_pq_pctchange($C1388,J$6,$N$1))</f>
        <v xml:space="preserve"> </v>
      </c>
      <c r="K1388" s="28" t="str">
        <f>IF($C1388=""," ",[1]!i_pq_pctchange($C1388,K$6,$N$1))</f>
        <v xml:space="preserve"> </v>
      </c>
      <c r="L1388" s="28" t="str">
        <f>IF(C1388=""," ",[1]!s_wq_pctchange($C1388,$N$1))</f>
        <v xml:space="preserve"> </v>
      </c>
      <c r="M1388" s="28" t="str">
        <f>IF(C1388=""," ",[1]!s_mq_pctchange($C1388,$N$1))</f>
        <v xml:space="preserve"> </v>
      </c>
      <c r="N1388" s="28" t="str">
        <f>IF(C1388=""," ",[1]!s_yq_pctchange($C1388,$N$1))</f>
        <v xml:space="preserve"> </v>
      </c>
      <c r="O1388" s="11"/>
      <c r="P1388" s="7"/>
    </row>
    <row r="1389" spans="1:16" x14ac:dyDescent="0.35">
      <c r="A1389" s="7"/>
      <c r="C1389" s="30" t="str">
        <f>IF(指数列表!B1386="","",指数列表!B1386)</f>
        <v/>
      </c>
      <c r="D1389" s="35" t="str">
        <f>IF(C1389="","",[1]!s_info_name(C1389))</f>
        <v/>
      </c>
      <c r="E1389" s="24" t="str">
        <f>IF(C1389="","",[1]!s_dq_close(C1389,$N$1))</f>
        <v/>
      </c>
      <c r="F1389" s="28" t="str">
        <f>IF($C1389=""," ",[1]!i_pq_pctchange($C1389,F$6,$N$1))</f>
        <v xml:space="preserve"> </v>
      </c>
      <c r="G1389" s="28" t="str">
        <f>IF($C1389=""," ",[1]!i_pq_pctchange($C1389,G$6,$N$1))</f>
        <v xml:space="preserve"> </v>
      </c>
      <c r="H1389" s="28" t="str">
        <f>IF($C1389=""," ",[1]!i_pq_pctchange($C1389,H$6,$N$1))</f>
        <v xml:space="preserve"> </v>
      </c>
      <c r="I1389" s="28" t="str">
        <f>IF($C1389=""," ",[1]!i_pq_pctchange($C1389,I$6,$N$1))</f>
        <v xml:space="preserve"> </v>
      </c>
      <c r="J1389" s="28" t="str">
        <f>IF($C1389=""," ",[1]!i_pq_pctchange($C1389,J$6,$N$1))</f>
        <v xml:space="preserve"> </v>
      </c>
      <c r="K1389" s="28" t="str">
        <f>IF($C1389=""," ",[1]!i_pq_pctchange($C1389,K$6,$N$1))</f>
        <v xml:space="preserve"> </v>
      </c>
      <c r="L1389" s="28" t="str">
        <f>IF(C1389=""," ",[1]!s_wq_pctchange($C1389,$N$1))</f>
        <v xml:space="preserve"> </v>
      </c>
      <c r="M1389" s="28" t="str">
        <f>IF(C1389=""," ",[1]!s_mq_pctchange($C1389,$N$1))</f>
        <v xml:space="preserve"> </v>
      </c>
      <c r="N1389" s="28" t="str">
        <f>IF(C1389=""," ",[1]!s_yq_pctchange($C1389,$N$1))</f>
        <v xml:space="preserve"> </v>
      </c>
      <c r="O1389" s="11"/>
      <c r="P1389" s="7"/>
    </row>
    <row r="1390" spans="1:16" x14ac:dyDescent="0.35">
      <c r="A1390" s="7"/>
      <c r="C1390" s="31" t="str">
        <f>IF(指数列表!B1387="","",指数列表!B1387)</f>
        <v/>
      </c>
      <c r="D1390" s="36" t="str">
        <f>IF(C1390="","",[1]!s_info_name(C1390))</f>
        <v/>
      </c>
      <c r="E1390" s="25" t="str">
        <f>IF(C1390="","",[1]!s_dq_close(C1390,$N$1))</f>
        <v/>
      </c>
      <c r="F1390" s="28" t="str">
        <f>IF($C1390=""," ",[1]!i_pq_pctchange($C1390,F$6,$N$1))</f>
        <v xml:space="preserve"> </v>
      </c>
      <c r="G1390" s="28" t="str">
        <f>IF($C1390=""," ",[1]!i_pq_pctchange($C1390,G$6,$N$1))</f>
        <v xml:space="preserve"> </v>
      </c>
      <c r="H1390" s="28" t="str">
        <f>IF($C1390=""," ",[1]!i_pq_pctchange($C1390,H$6,$N$1))</f>
        <v xml:space="preserve"> </v>
      </c>
      <c r="I1390" s="28" t="str">
        <f>IF($C1390=""," ",[1]!i_pq_pctchange($C1390,I$6,$N$1))</f>
        <v xml:space="preserve"> </v>
      </c>
      <c r="J1390" s="28" t="str">
        <f>IF($C1390=""," ",[1]!i_pq_pctchange($C1390,J$6,$N$1))</f>
        <v xml:space="preserve"> </v>
      </c>
      <c r="K1390" s="28" t="str">
        <f>IF($C1390=""," ",[1]!i_pq_pctchange($C1390,K$6,$N$1))</f>
        <v xml:space="preserve"> </v>
      </c>
      <c r="L1390" s="28" t="str">
        <f>IF(C1390=""," ",[1]!s_wq_pctchange($C1390,$N$1))</f>
        <v xml:space="preserve"> </v>
      </c>
      <c r="M1390" s="28" t="str">
        <f>IF(C1390=""," ",[1]!s_mq_pctchange($C1390,$N$1))</f>
        <v xml:space="preserve"> </v>
      </c>
      <c r="N1390" s="28" t="str">
        <f>IF(C1390=""," ",[1]!s_yq_pctchange($C1390,$N$1))</f>
        <v xml:space="preserve"> </v>
      </c>
      <c r="O1390" s="11"/>
      <c r="P1390" s="7"/>
    </row>
    <row r="1391" spans="1:16" x14ac:dyDescent="0.35">
      <c r="A1391" s="7"/>
      <c r="C1391" s="30" t="str">
        <f>IF(指数列表!B1388="","",指数列表!B1388)</f>
        <v/>
      </c>
      <c r="D1391" s="35" t="str">
        <f>IF(C1391="","",[1]!s_info_name(C1391))</f>
        <v/>
      </c>
      <c r="E1391" s="24" t="str">
        <f>IF(C1391="","",[1]!s_dq_close(C1391,$N$1))</f>
        <v/>
      </c>
      <c r="F1391" s="28" t="str">
        <f>IF($C1391=""," ",[1]!i_pq_pctchange($C1391,F$6,$N$1))</f>
        <v xml:space="preserve"> </v>
      </c>
      <c r="G1391" s="28" t="str">
        <f>IF($C1391=""," ",[1]!i_pq_pctchange($C1391,G$6,$N$1))</f>
        <v xml:space="preserve"> </v>
      </c>
      <c r="H1391" s="28" t="str">
        <f>IF($C1391=""," ",[1]!i_pq_pctchange($C1391,H$6,$N$1))</f>
        <v xml:space="preserve"> </v>
      </c>
      <c r="I1391" s="28" t="str">
        <f>IF($C1391=""," ",[1]!i_pq_pctchange($C1391,I$6,$N$1))</f>
        <v xml:space="preserve"> </v>
      </c>
      <c r="J1391" s="28" t="str">
        <f>IF($C1391=""," ",[1]!i_pq_pctchange($C1391,J$6,$N$1))</f>
        <v xml:space="preserve"> </v>
      </c>
      <c r="K1391" s="28" t="str">
        <f>IF($C1391=""," ",[1]!i_pq_pctchange($C1391,K$6,$N$1))</f>
        <v xml:space="preserve"> </v>
      </c>
      <c r="L1391" s="28" t="str">
        <f>IF(C1391=""," ",[1]!s_wq_pctchange($C1391,$N$1))</f>
        <v xml:space="preserve"> </v>
      </c>
      <c r="M1391" s="28" t="str">
        <f>IF(C1391=""," ",[1]!s_mq_pctchange($C1391,$N$1))</f>
        <v xml:space="preserve"> </v>
      </c>
      <c r="N1391" s="28" t="str">
        <f>IF(C1391=""," ",[1]!s_yq_pctchange($C1391,$N$1))</f>
        <v xml:space="preserve"> </v>
      </c>
      <c r="O1391" s="11"/>
      <c r="P1391" s="7"/>
    </row>
    <row r="1392" spans="1:16" x14ac:dyDescent="0.35">
      <c r="A1392" s="7"/>
      <c r="C1392" s="31" t="str">
        <f>IF(指数列表!B1389="","",指数列表!B1389)</f>
        <v/>
      </c>
      <c r="D1392" s="36" t="str">
        <f>IF(C1392="","",[1]!s_info_name(C1392))</f>
        <v/>
      </c>
      <c r="E1392" s="25" t="str">
        <f>IF(C1392="","",[1]!s_dq_close(C1392,$N$1))</f>
        <v/>
      </c>
      <c r="F1392" s="28" t="str">
        <f>IF($C1392=""," ",[1]!i_pq_pctchange($C1392,F$6,$N$1))</f>
        <v xml:space="preserve"> </v>
      </c>
      <c r="G1392" s="28" t="str">
        <f>IF($C1392=""," ",[1]!i_pq_pctchange($C1392,G$6,$N$1))</f>
        <v xml:space="preserve"> </v>
      </c>
      <c r="H1392" s="28" t="str">
        <f>IF($C1392=""," ",[1]!i_pq_pctchange($C1392,H$6,$N$1))</f>
        <v xml:space="preserve"> </v>
      </c>
      <c r="I1392" s="28" t="str">
        <f>IF($C1392=""," ",[1]!i_pq_pctchange($C1392,I$6,$N$1))</f>
        <v xml:space="preserve"> </v>
      </c>
      <c r="J1392" s="28" t="str">
        <f>IF($C1392=""," ",[1]!i_pq_pctchange($C1392,J$6,$N$1))</f>
        <v xml:space="preserve"> </v>
      </c>
      <c r="K1392" s="28" t="str">
        <f>IF($C1392=""," ",[1]!i_pq_pctchange($C1392,K$6,$N$1))</f>
        <v xml:space="preserve"> </v>
      </c>
      <c r="L1392" s="28" t="str">
        <f>IF(C1392=""," ",[1]!s_wq_pctchange($C1392,$N$1))</f>
        <v xml:space="preserve"> </v>
      </c>
      <c r="M1392" s="28" t="str">
        <f>IF(C1392=""," ",[1]!s_mq_pctchange($C1392,$N$1))</f>
        <v xml:space="preserve"> </v>
      </c>
      <c r="N1392" s="28" t="str">
        <f>IF(C1392=""," ",[1]!s_yq_pctchange($C1392,$N$1))</f>
        <v xml:space="preserve"> </v>
      </c>
      <c r="O1392" s="11"/>
      <c r="P1392" s="7"/>
    </row>
    <row r="1393" spans="1:16" x14ac:dyDescent="0.35">
      <c r="A1393" s="7"/>
      <c r="C1393" s="30" t="str">
        <f>IF(指数列表!B1390="","",指数列表!B1390)</f>
        <v/>
      </c>
      <c r="D1393" s="35" t="str">
        <f>IF(C1393="","",[1]!s_info_name(C1393))</f>
        <v/>
      </c>
      <c r="E1393" s="24" t="str">
        <f>IF(C1393="","",[1]!s_dq_close(C1393,$N$1))</f>
        <v/>
      </c>
      <c r="F1393" s="28" t="str">
        <f>IF($C1393=""," ",[1]!i_pq_pctchange($C1393,F$6,$N$1))</f>
        <v xml:space="preserve"> </v>
      </c>
      <c r="G1393" s="28" t="str">
        <f>IF($C1393=""," ",[1]!i_pq_pctchange($C1393,G$6,$N$1))</f>
        <v xml:space="preserve"> </v>
      </c>
      <c r="H1393" s="28" t="str">
        <f>IF($C1393=""," ",[1]!i_pq_pctchange($C1393,H$6,$N$1))</f>
        <v xml:space="preserve"> </v>
      </c>
      <c r="I1393" s="28" t="str">
        <f>IF($C1393=""," ",[1]!i_pq_pctchange($C1393,I$6,$N$1))</f>
        <v xml:space="preserve"> </v>
      </c>
      <c r="J1393" s="28" t="str">
        <f>IF($C1393=""," ",[1]!i_pq_pctchange($C1393,J$6,$N$1))</f>
        <v xml:space="preserve"> </v>
      </c>
      <c r="K1393" s="28" t="str">
        <f>IF($C1393=""," ",[1]!i_pq_pctchange($C1393,K$6,$N$1))</f>
        <v xml:space="preserve"> </v>
      </c>
      <c r="L1393" s="28" t="str">
        <f>IF(C1393=""," ",[1]!s_wq_pctchange($C1393,$N$1))</f>
        <v xml:space="preserve"> </v>
      </c>
      <c r="M1393" s="28" t="str">
        <f>IF(C1393=""," ",[1]!s_mq_pctchange($C1393,$N$1))</f>
        <v xml:space="preserve"> </v>
      </c>
      <c r="N1393" s="28" t="str">
        <f>IF(C1393=""," ",[1]!s_yq_pctchange($C1393,$N$1))</f>
        <v xml:space="preserve"> </v>
      </c>
      <c r="O1393" s="11"/>
      <c r="P1393" s="7"/>
    </row>
    <row r="1394" spans="1:16" x14ac:dyDescent="0.35">
      <c r="A1394" s="7"/>
      <c r="C1394" s="31" t="str">
        <f>IF(指数列表!B1391="","",指数列表!B1391)</f>
        <v/>
      </c>
      <c r="D1394" s="36" t="str">
        <f>IF(C1394="","",[1]!s_info_name(C1394))</f>
        <v/>
      </c>
      <c r="E1394" s="25" t="str">
        <f>IF(C1394="","",[1]!s_dq_close(C1394,$N$1))</f>
        <v/>
      </c>
      <c r="F1394" s="28" t="str">
        <f>IF($C1394=""," ",[1]!i_pq_pctchange($C1394,F$6,$N$1))</f>
        <v xml:space="preserve"> </v>
      </c>
      <c r="G1394" s="28" t="str">
        <f>IF($C1394=""," ",[1]!i_pq_pctchange($C1394,G$6,$N$1))</f>
        <v xml:space="preserve"> </v>
      </c>
      <c r="H1394" s="28" t="str">
        <f>IF($C1394=""," ",[1]!i_pq_pctchange($C1394,H$6,$N$1))</f>
        <v xml:space="preserve"> </v>
      </c>
      <c r="I1394" s="28" t="str">
        <f>IF($C1394=""," ",[1]!i_pq_pctchange($C1394,I$6,$N$1))</f>
        <v xml:space="preserve"> </v>
      </c>
      <c r="J1394" s="28" t="str">
        <f>IF($C1394=""," ",[1]!i_pq_pctchange($C1394,J$6,$N$1))</f>
        <v xml:space="preserve"> </v>
      </c>
      <c r="K1394" s="28" t="str">
        <f>IF($C1394=""," ",[1]!i_pq_pctchange($C1394,K$6,$N$1))</f>
        <v xml:space="preserve"> </v>
      </c>
      <c r="L1394" s="28" t="str">
        <f>IF(C1394=""," ",[1]!s_wq_pctchange($C1394,$N$1))</f>
        <v xml:space="preserve"> </v>
      </c>
      <c r="M1394" s="28" t="str">
        <f>IF(C1394=""," ",[1]!s_mq_pctchange($C1394,$N$1))</f>
        <v xml:space="preserve"> </v>
      </c>
      <c r="N1394" s="28" t="str">
        <f>IF(C1394=""," ",[1]!s_yq_pctchange($C1394,$N$1))</f>
        <v xml:space="preserve"> </v>
      </c>
      <c r="O1394" s="11"/>
      <c r="P1394" s="7"/>
    </row>
    <row r="1395" spans="1:16" x14ac:dyDescent="0.35">
      <c r="A1395" s="7"/>
      <c r="C1395" s="30" t="str">
        <f>IF(指数列表!B1392="","",指数列表!B1392)</f>
        <v/>
      </c>
      <c r="D1395" s="35" t="str">
        <f>IF(C1395="","",[1]!s_info_name(C1395))</f>
        <v/>
      </c>
      <c r="E1395" s="24" t="str">
        <f>IF(C1395="","",[1]!s_dq_close(C1395,$N$1))</f>
        <v/>
      </c>
      <c r="F1395" s="28" t="str">
        <f>IF($C1395=""," ",[1]!i_pq_pctchange($C1395,F$6,$N$1))</f>
        <v xml:space="preserve"> </v>
      </c>
      <c r="G1395" s="28" t="str">
        <f>IF($C1395=""," ",[1]!i_pq_pctchange($C1395,G$6,$N$1))</f>
        <v xml:space="preserve"> </v>
      </c>
      <c r="H1395" s="28" t="str">
        <f>IF($C1395=""," ",[1]!i_pq_pctchange($C1395,H$6,$N$1))</f>
        <v xml:space="preserve"> </v>
      </c>
      <c r="I1395" s="28" t="str">
        <f>IF($C1395=""," ",[1]!i_pq_pctchange($C1395,I$6,$N$1))</f>
        <v xml:space="preserve"> </v>
      </c>
      <c r="J1395" s="28" t="str">
        <f>IF($C1395=""," ",[1]!i_pq_pctchange($C1395,J$6,$N$1))</f>
        <v xml:space="preserve"> </v>
      </c>
      <c r="K1395" s="28" t="str">
        <f>IF($C1395=""," ",[1]!i_pq_pctchange($C1395,K$6,$N$1))</f>
        <v xml:space="preserve"> </v>
      </c>
      <c r="L1395" s="28" t="str">
        <f>IF(C1395=""," ",[1]!s_wq_pctchange($C1395,$N$1))</f>
        <v xml:space="preserve"> </v>
      </c>
      <c r="M1395" s="28" t="str">
        <f>IF(C1395=""," ",[1]!s_mq_pctchange($C1395,$N$1))</f>
        <v xml:space="preserve"> </v>
      </c>
      <c r="N1395" s="28" t="str">
        <f>IF(C1395=""," ",[1]!s_yq_pctchange($C1395,$N$1))</f>
        <v xml:space="preserve"> </v>
      </c>
      <c r="O1395" s="11"/>
      <c r="P1395" s="7"/>
    </row>
    <row r="1396" spans="1:16" x14ac:dyDescent="0.35">
      <c r="A1396" s="7"/>
      <c r="C1396" s="31" t="str">
        <f>IF(指数列表!B1393="","",指数列表!B1393)</f>
        <v/>
      </c>
      <c r="D1396" s="36" t="str">
        <f>IF(C1396="","",[1]!s_info_name(C1396))</f>
        <v/>
      </c>
      <c r="E1396" s="25" t="str">
        <f>IF(C1396="","",[1]!s_dq_close(C1396,$N$1))</f>
        <v/>
      </c>
      <c r="F1396" s="28" t="str">
        <f>IF($C1396=""," ",[1]!i_pq_pctchange($C1396,F$6,$N$1))</f>
        <v xml:space="preserve"> </v>
      </c>
      <c r="G1396" s="28" t="str">
        <f>IF($C1396=""," ",[1]!i_pq_pctchange($C1396,G$6,$N$1))</f>
        <v xml:space="preserve"> </v>
      </c>
      <c r="H1396" s="28" t="str">
        <f>IF($C1396=""," ",[1]!i_pq_pctchange($C1396,H$6,$N$1))</f>
        <v xml:space="preserve"> </v>
      </c>
      <c r="I1396" s="28" t="str">
        <f>IF($C1396=""," ",[1]!i_pq_pctchange($C1396,I$6,$N$1))</f>
        <v xml:space="preserve"> </v>
      </c>
      <c r="J1396" s="28" t="str">
        <f>IF($C1396=""," ",[1]!i_pq_pctchange($C1396,J$6,$N$1))</f>
        <v xml:space="preserve"> </v>
      </c>
      <c r="K1396" s="28" t="str">
        <f>IF($C1396=""," ",[1]!i_pq_pctchange($C1396,K$6,$N$1))</f>
        <v xml:space="preserve"> </v>
      </c>
      <c r="L1396" s="28" t="str">
        <f>IF(C1396=""," ",[1]!s_wq_pctchange($C1396,$N$1))</f>
        <v xml:space="preserve"> </v>
      </c>
      <c r="M1396" s="28" t="str">
        <f>IF(C1396=""," ",[1]!s_mq_pctchange($C1396,$N$1))</f>
        <v xml:space="preserve"> </v>
      </c>
      <c r="N1396" s="28" t="str">
        <f>IF(C1396=""," ",[1]!s_yq_pctchange($C1396,$N$1))</f>
        <v xml:space="preserve"> </v>
      </c>
      <c r="O1396" s="11"/>
      <c r="P1396" s="7"/>
    </row>
    <row r="1397" spans="1:16" x14ac:dyDescent="0.35">
      <c r="A1397" s="7"/>
      <c r="C1397" s="30" t="str">
        <f>IF(指数列表!B1394="","",指数列表!B1394)</f>
        <v/>
      </c>
      <c r="D1397" s="35" t="str">
        <f>IF(C1397="","",[1]!s_info_name(C1397))</f>
        <v/>
      </c>
      <c r="E1397" s="24" t="str">
        <f>IF(C1397="","",[1]!s_dq_close(C1397,$N$1))</f>
        <v/>
      </c>
      <c r="F1397" s="28" t="str">
        <f>IF($C1397=""," ",[1]!i_pq_pctchange($C1397,F$6,$N$1))</f>
        <v xml:space="preserve"> </v>
      </c>
      <c r="G1397" s="28" t="str">
        <f>IF($C1397=""," ",[1]!i_pq_pctchange($C1397,G$6,$N$1))</f>
        <v xml:space="preserve"> </v>
      </c>
      <c r="H1397" s="28" t="str">
        <f>IF($C1397=""," ",[1]!i_pq_pctchange($C1397,H$6,$N$1))</f>
        <v xml:space="preserve"> </v>
      </c>
      <c r="I1397" s="28" t="str">
        <f>IF($C1397=""," ",[1]!i_pq_pctchange($C1397,I$6,$N$1))</f>
        <v xml:space="preserve"> </v>
      </c>
      <c r="J1397" s="28" t="str">
        <f>IF($C1397=""," ",[1]!i_pq_pctchange($C1397,J$6,$N$1))</f>
        <v xml:space="preserve"> </v>
      </c>
      <c r="K1397" s="28" t="str">
        <f>IF($C1397=""," ",[1]!i_pq_pctchange($C1397,K$6,$N$1))</f>
        <v xml:space="preserve"> </v>
      </c>
      <c r="L1397" s="28" t="str">
        <f>IF(C1397=""," ",[1]!s_wq_pctchange($C1397,$N$1))</f>
        <v xml:space="preserve"> </v>
      </c>
      <c r="M1397" s="28" t="str">
        <f>IF(C1397=""," ",[1]!s_mq_pctchange($C1397,$N$1))</f>
        <v xml:space="preserve"> </v>
      </c>
      <c r="N1397" s="28" t="str">
        <f>IF(C1397=""," ",[1]!s_yq_pctchange($C1397,$N$1))</f>
        <v xml:space="preserve"> </v>
      </c>
      <c r="O1397" s="11"/>
      <c r="P1397" s="7"/>
    </row>
    <row r="1398" spans="1:16" x14ac:dyDescent="0.35">
      <c r="A1398" s="7"/>
      <c r="C1398" s="31" t="str">
        <f>IF(指数列表!B1395="","",指数列表!B1395)</f>
        <v/>
      </c>
      <c r="D1398" s="36" t="str">
        <f>IF(C1398="","",[1]!s_info_name(C1398))</f>
        <v/>
      </c>
      <c r="E1398" s="25" t="str">
        <f>IF(C1398="","",[1]!s_dq_close(C1398,$N$1))</f>
        <v/>
      </c>
      <c r="F1398" s="28" t="str">
        <f>IF($C1398=""," ",[1]!i_pq_pctchange($C1398,F$6,$N$1))</f>
        <v xml:space="preserve"> </v>
      </c>
      <c r="G1398" s="28" t="str">
        <f>IF($C1398=""," ",[1]!i_pq_pctchange($C1398,G$6,$N$1))</f>
        <v xml:space="preserve"> </v>
      </c>
      <c r="H1398" s="28" t="str">
        <f>IF($C1398=""," ",[1]!i_pq_pctchange($C1398,H$6,$N$1))</f>
        <v xml:space="preserve"> </v>
      </c>
      <c r="I1398" s="28" t="str">
        <f>IF($C1398=""," ",[1]!i_pq_pctchange($C1398,I$6,$N$1))</f>
        <v xml:space="preserve"> </v>
      </c>
      <c r="J1398" s="28" t="str">
        <f>IF($C1398=""," ",[1]!i_pq_pctchange($C1398,J$6,$N$1))</f>
        <v xml:space="preserve"> </v>
      </c>
      <c r="K1398" s="28" t="str">
        <f>IF($C1398=""," ",[1]!i_pq_pctchange($C1398,K$6,$N$1))</f>
        <v xml:space="preserve"> </v>
      </c>
      <c r="L1398" s="28" t="str">
        <f>IF(C1398=""," ",[1]!s_wq_pctchange($C1398,$N$1))</f>
        <v xml:space="preserve"> </v>
      </c>
      <c r="M1398" s="28" t="str">
        <f>IF(C1398=""," ",[1]!s_mq_pctchange($C1398,$N$1))</f>
        <v xml:space="preserve"> </v>
      </c>
      <c r="N1398" s="28" t="str">
        <f>IF(C1398=""," ",[1]!s_yq_pctchange($C1398,$N$1))</f>
        <v xml:space="preserve"> </v>
      </c>
      <c r="O1398" s="11"/>
      <c r="P1398" s="7"/>
    </row>
    <row r="1399" spans="1:16" x14ac:dyDescent="0.35">
      <c r="A1399" s="7"/>
      <c r="C1399" s="30" t="str">
        <f>IF(指数列表!B1396="","",指数列表!B1396)</f>
        <v/>
      </c>
      <c r="D1399" s="35" t="str">
        <f>IF(C1399="","",[1]!s_info_name(C1399))</f>
        <v/>
      </c>
      <c r="E1399" s="24" t="str">
        <f>IF(C1399="","",[1]!s_dq_close(C1399,$N$1))</f>
        <v/>
      </c>
      <c r="F1399" s="28" t="str">
        <f>IF($C1399=""," ",[1]!i_pq_pctchange($C1399,F$6,$N$1))</f>
        <v xml:space="preserve"> </v>
      </c>
      <c r="G1399" s="28" t="str">
        <f>IF($C1399=""," ",[1]!i_pq_pctchange($C1399,G$6,$N$1))</f>
        <v xml:space="preserve"> </v>
      </c>
      <c r="H1399" s="28" t="str">
        <f>IF($C1399=""," ",[1]!i_pq_pctchange($C1399,H$6,$N$1))</f>
        <v xml:space="preserve"> </v>
      </c>
      <c r="I1399" s="28" t="str">
        <f>IF($C1399=""," ",[1]!i_pq_pctchange($C1399,I$6,$N$1))</f>
        <v xml:space="preserve"> </v>
      </c>
      <c r="J1399" s="28" t="str">
        <f>IF($C1399=""," ",[1]!i_pq_pctchange($C1399,J$6,$N$1))</f>
        <v xml:space="preserve"> </v>
      </c>
      <c r="K1399" s="28" t="str">
        <f>IF($C1399=""," ",[1]!i_pq_pctchange($C1399,K$6,$N$1))</f>
        <v xml:space="preserve"> </v>
      </c>
      <c r="L1399" s="28" t="str">
        <f>IF(C1399=""," ",[1]!s_wq_pctchange($C1399,$N$1))</f>
        <v xml:space="preserve"> </v>
      </c>
      <c r="M1399" s="28" t="str">
        <f>IF(C1399=""," ",[1]!s_mq_pctchange($C1399,$N$1))</f>
        <v xml:space="preserve"> </v>
      </c>
      <c r="N1399" s="28" t="str">
        <f>IF(C1399=""," ",[1]!s_yq_pctchange($C1399,$N$1))</f>
        <v xml:space="preserve"> </v>
      </c>
      <c r="O1399" s="11"/>
      <c r="P1399" s="7"/>
    </row>
    <row r="1400" spans="1:16" x14ac:dyDescent="0.35">
      <c r="A1400" s="7"/>
      <c r="C1400" s="31" t="str">
        <f>IF(指数列表!B1397="","",指数列表!B1397)</f>
        <v/>
      </c>
      <c r="D1400" s="36" t="str">
        <f>IF(C1400="","",[1]!s_info_name(C1400))</f>
        <v/>
      </c>
      <c r="E1400" s="25" t="str">
        <f>IF(C1400="","",[1]!s_dq_close(C1400,$N$1))</f>
        <v/>
      </c>
      <c r="F1400" s="28" t="str">
        <f>IF($C1400=""," ",[1]!i_pq_pctchange($C1400,F$6,$N$1))</f>
        <v xml:space="preserve"> </v>
      </c>
      <c r="G1400" s="28" t="str">
        <f>IF($C1400=""," ",[1]!i_pq_pctchange($C1400,G$6,$N$1))</f>
        <v xml:space="preserve"> </v>
      </c>
      <c r="H1400" s="28" t="str">
        <f>IF($C1400=""," ",[1]!i_pq_pctchange($C1400,H$6,$N$1))</f>
        <v xml:space="preserve"> </v>
      </c>
      <c r="I1400" s="28" t="str">
        <f>IF($C1400=""," ",[1]!i_pq_pctchange($C1400,I$6,$N$1))</f>
        <v xml:space="preserve"> </v>
      </c>
      <c r="J1400" s="28" t="str">
        <f>IF($C1400=""," ",[1]!i_pq_pctchange($C1400,J$6,$N$1))</f>
        <v xml:space="preserve"> </v>
      </c>
      <c r="K1400" s="28" t="str">
        <f>IF($C1400=""," ",[1]!i_pq_pctchange($C1400,K$6,$N$1))</f>
        <v xml:space="preserve"> </v>
      </c>
      <c r="L1400" s="28" t="str">
        <f>IF(C1400=""," ",[1]!s_wq_pctchange($C1400,$N$1))</f>
        <v xml:space="preserve"> </v>
      </c>
      <c r="M1400" s="28" t="str">
        <f>IF(C1400=""," ",[1]!s_mq_pctchange($C1400,$N$1))</f>
        <v xml:space="preserve"> </v>
      </c>
      <c r="N1400" s="28" t="str">
        <f>IF(C1400=""," ",[1]!s_yq_pctchange($C1400,$N$1))</f>
        <v xml:space="preserve"> </v>
      </c>
      <c r="O1400" s="11"/>
      <c r="P1400" s="7"/>
    </row>
    <row r="1401" spans="1:16" x14ac:dyDescent="0.35">
      <c r="A1401" s="7"/>
      <c r="C1401" s="30" t="str">
        <f>IF(指数列表!B1398="","",指数列表!B1398)</f>
        <v/>
      </c>
      <c r="D1401" s="35" t="str">
        <f>IF(C1401="","",[1]!s_info_name(C1401))</f>
        <v/>
      </c>
      <c r="E1401" s="24" t="str">
        <f>IF(C1401="","",[1]!s_dq_close(C1401,$N$1))</f>
        <v/>
      </c>
      <c r="F1401" s="28" t="str">
        <f>IF($C1401=""," ",[1]!i_pq_pctchange($C1401,F$6,$N$1))</f>
        <v xml:space="preserve"> </v>
      </c>
      <c r="G1401" s="28" t="str">
        <f>IF($C1401=""," ",[1]!i_pq_pctchange($C1401,G$6,$N$1))</f>
        <v xml:space="preserve"> </v>
      </c>
      <c r="H1401" s="28" t="str">
        <f>IF($C1401=""," ",[1]!i_pq_pctchange($C1401,H$6,$N$1))</f>
        <v xml:space="preserve"> </v>
      </c>
      <c r="I1401" s="28" t="str">
        <f>IF($C1401=""," ",[1]!i_pq_pctchange($C1401,I$6,$N$1))</f>
        <v xml:space="preserve"> </v>
      </c>
      <c r="J1401" s="28" t="str">
        <f>IF($C1401=""," ",[1]!i_pq_pctchange($C1401,J$6,$N$1))</f>
        <v xml:space="preserve"> </v>
      </c>
      <c r="K1401" s="28" t="str">
        <f>IF($C1401=""," ",[1]!i_pq_pctchange($C1401,K$6,$N$1))</f>
        <v xml:space="preserve"> </v>
      </c>
      <c r="L1401" s="28" t="str">
        <f>IF(C1401=""," ",[1]!s_wq_pctchange($C1401,$N$1))</f>
        <v xml:space="preserve"> </v>
      </c>
      <c r="M1401" s="28" t="str">
        <f>IF(C1401=""," ",[1]!s_mq_pctchange($C1401,$N$1))</f>
        <v xml:space="preserve"> </v>
      </c>
      <c r="N1401" s="28" t="str">
        <f>IF(C1401=""," ",[1]!s_yq_pctchange($C1401,$N$1))</f>
        <v xml:space="preserve"> </v>
      </c>
      <c r="O1401" s="11"/>
      <c r="P1401" s="7"/>
    </row>
    <row r="1402" spans="1:16" x14ac:dyDescent="0.35">
      <c r="A1402" s="7"/>
      <c r="C1402" s="31" t="str">
        <f>IF(指数列表!B1399="","",指数列表!B1399)</f>
        <v/>
      </c>
      <c r="D1402" s="36" t="str">
        <f>IF(C1402="","",[1]!s_info_name(C1402))</f>
        <v/>
      </c>
      <c r="E1402" s="25" t="str">
        <f>IF(C1402="","",[1]!s_dq_close(C1402,$N$1))</f>
        <v/>
      </c>
      <c r="F1402" s="28" t="str">
        <f>IF($C1402=""," ",[1]!i_pq_pctchange($C1402,F$6,$N$1))</f>
        <v xml:space="preserve"> </v>
      </c>
      <c r="G1402" s="28" t="str">
        <f>IF($C1402=""," ",[1]!i_pq_pctchange($C1402,G$6,$N$1))</f>
        <v xml:space="preserve"> </v>
      </c>
      <c r="H1402" s="28" t="str">
        <f>IF($C1402=""," ",[1]!i_pq_pctchange($C1402,H$6,$N$1))</f>
        <v xml:space="preserve"> </v>
      </c>
      <c r="I1402" s="28" t="str">
        <f>IF($C1402=""," ",[1]!i_pq_pctchange($C1402,I$6,$N$1))</f>
        <v xml:space="preserve"> </v>
      </c>
      <c r="J1402" s="28" t="str">
        <f>IF($C1402=""," ",[1]!i_pq_pctchange($C1402,J$6,$N$1))</f>
        <v xml:space="preserve"> </v>
      </c>
      <c r="K1402" s="28" t="str">
        <f>IF($C1402=""," ",[1]!i_pq_pctchange($C1402,K$6,$N$1))</f>
        <v xml:space="preserve"> </v>
      </c>
      <c r="L1402" s="28" t="str">
        <f>IF(C1402=""," ",[1]!s_wq_pctchange($C1402,$N$1))</f>
        <v xml:space="preserve"> </v>
      </c>
      <c r="M1402" s="28" t="str">
        <f>IF(C1402=""," ",[1]!s_mq_pctchange($C1402,$N$1))</f>
        <v xml:space="preserve"> </v>
      </c>
      <c r="N1402" s="28" t="str">
        <f>IF(C1402=""," ",[1]!s_yq_pctchange($C1402,$N$1))</f>
        <v xml:space="preserve"> </v>
      </c>
      <c r="O1402" s="11"/>
      <c r="P1402" s="7"/>
    </row>
    <row r="1403" spans="1:16" x14ac:dyDescent="0.35">
      <c r="A1403" s="7"/>
      <c r="C1403" s="30" t="str">
        <f>IF(指数列表!B1400="","",指数列表!B1400)</f>
        <v/>
      </c>
      <c r="D1403" s="35" t="str">
        <f>IF(C1403="","",[1]!s_info_name(C1403))</f>
        <v/>
      </c>
      <c r="E1403" s="24" t="str">
        <f>IF(C1403="","",[1]!s_dq_close(C1403,$N$1))</f>
        <v/>
      </c>
      <c r="F1403" s="28" t="str">
        <f>IF($C1403=""," ",[1]!i_pq_pctchange($C1403,F$6,$N$1))</f>
        <v xml:space="preserve"> </v>
      </c>
      <c r="G1403" s="28" t="str">
        <f>IF($C1403=""," ",[1]!i_pq_pctchange($C1403,G$6,$N$1))</f>
        <v xml:space="preserve"> </v>
      </c>
      <c r="H1403" s="28" t="str">
        <f>IF($C1403=""," ",[1]!i_pq_pctchange($C1403,H$6,$N$1))</f>
        <v xml:space="preserve"> </v>
      </c>
      <c r="I1403" s="28" t="str">
        <f>IF($C1403=""," ",[1]!i_pq_pctchange($C1403,I$6,$N$1))</f>
        <v xml:space="preserve"> </v>
      </c>
      <c r="J1403" s="28" t="str">
        <f>IF($C1403=""," ",[1]!i_pq_pctchange($C1403,J$6,$N$1))</f>
        <v xml:space="preserve"> </v>
      </c>
      <c r="K1403" s="28" t="str">
        <f>IF($C1403=""," ",[1]!i_pq_pctchange($C1403,K$6,$N$1))</f>
        <v xml:space="preserve"> </v>
      </c>
      <c r="L1403" s="28" t="str">
        <f>IF(C1403=""," ",[1]!s_wq_pctchange($C1403,$N$1))</f>
        <v xml:space="preserve"> </v>
      </c>
      <c r="M1403" s="28" t="str">
        <f>IF(C1403=""," ",[1]!s_mq_pctchange($C1403,$N$1))</f>
        <v xml:space="preserve"> </v>
      </c>
      <c r="N1403" s="28" t="str">
        <f>IF(C1403=""," ",[1]!s_yq_pctchange($C1403,$N$1))</f>
        <v xml:space="preserve"> </v>
      </c>
      <c r="O1403" s="11"/>
      <c r="P1403" s="7"/>
    </row>
    <row r="1404" spans="1:16" x14ac:dyDescent="0.35">
      <c r="A1404" s="7"/>
      <c r="C1404" s="31" t="str">
        <f>IF(指数列表!B1401="","",指数列表!B1401)</f>
        <v/>
      </c>
      <c r="D1404" s="36" t="str">
        <f>IF(C1404="","",[1]!s_info_name(C1404))</f>
        <v/>
      </c>
      <c r="E1404" s="25" t="str">
        <f>IF(C1404="","",[1]!s_dq_close(C1404,$N$1))</f>
        <v/>
      </c>
      <c r="F1404" s="28" t="str">
        <f>IF($C1404=""," ",[1]!i_pq_pctchange($C1404,F$6,$N$1))</f>
        <v xml:space="preserve"> </v>
      </c>
      <c r="G1404" s="28" t="str">
        <f>IF($C1404=""," ",[1]!i_pq_pctchange($C1404,G$6,$N$1))</f>
        <v xml:space="preserve"> </v>
      </c>
      <c r="H1404" s="28" t="str">
        <f>IF($C1404=""," ",[1]!i_pq_pctchange($C1404,H$6,$N$1))</f>
        <v xml:space="preserve"> </v>
      </c>
      <c r="I1404" s="28" t="str">
        <f>IF($C1404=""," ",[1]!i_pq_pctchange($C1404,I$6,$N$1))</f>
        <v xml:space="preserve"> </v>
      </c>
      <c r="J1404" s="28" t="str">
        <f>IF($C1404=""," ",[1]!i_pq_pctchange($C1404,J$6,$N$1))</f>
        <v xml:space="preserve"> </v>
      </c>
      <c r="K1404" s="28" t="str">
        <f>IF($C1404=""," ",[1]!i_pq_pctchange($C1404,K$6,$N$1))</f>
        <v xml:space="preserve"> </v>
      </c>
      <c r="L1404" s="28" t="str">
        <f>IF(C1404=""," ",[1]!s_wq_pctchange($C1404,$N$1))</f>
        <v xml:space="preserve"> </v>
      </c>
      <c r="M1404" s="28" t="str">
        <f>IF(C1404=""," ",[1]!s_mq_pctchange($C1404,$N$1))</f>
        <v xml:space="preserve"> </v>
      </c>
      <c r="N1404" s="28" t="str">
        <f>IF(C1404=""," ",[1]!s_yq_pctchange($C1404,$N$1))</f>
        <v xml:space="preserve"> </v>
      </c>
      <c r="O1404" s="11"/>
      <c r="P1404" s="7"/>
    </row>
    <row r="1405" spans="1:16" x14ac:dyDescent="0.35">
      <c r="A1405" s="7"/>
      <c r="C1405" s="30" t="str">
        <f>IF(指数列表!B1402="","",指数列表!B1402)</f>
        <v/>
      </c>
      <c r="D1405" s="35" t="str">
        <f>IF(C1405="","",[1]!s_info_name(C1405))</f>
        <v/>
      </c>
      <c r="E1405" s="24" t="str">
        <f>IF(C1405="","",[1]!s_dq_close(C1405,$N$1))</f>
        <v/>
      </c>
      <c r="F1405" s="28" t="str">
        <f>IF($C1405=""," ",[1]!i_pq_pctchange($C1405,F$6,$N$1))</f>
        <v xml:space="preserve"> </v>
      </c>
      <c r="G1405" s="28" t="str">
        <f>IF($C1405=""," ",[1]!i_pq_pctchange($C1405,G$6,$N$1))</f>
        <v xml:space="preserve"> </v>
      </c>
      <c r="H1405" s="28" t="str">
        <f>IF($C1405=""," ",[1]!i_pq_pctchange($C1405,H$6,$N$1))</f>
        <v xml:space="preserve"> </v>
      </c>
      <c r="I1405" s="28" t="str">
        <f>IF($C1405=""," ",[1]!i_pq_pctchange($C1405,I$6,$N$1))</f>
        <v xml:space="preserve"> </v>
      </c>
      <c r="J1405" s="28" t="str">
        <f>IF($C1405=""," ",[1]!i_pq_pctchange($C1405,J$6,$N$1))</f>
        <v xml:space="preserve"> </v>
      </c>
      <c r="K1405" s="28" t="str">
        <f>IF($C1405=""," ",[1]!i_pq_pctchange($C1405,K$6,$N$1))</f>
        <v xml:space="preserve"> </v>
      </c>
      <c r="L1405" s="28" t="str">
        <f>IF(C1405=""," ",[1]!s_wq_pctchange($C1405,$N$1))</f>
        <v xml:space="preserve"> </v>
      </c>
      <c r="M1405" s="28" t="str">
        <f>IF(C1405=""," ",[1]!s_mq_pctchange($C1405,$N$1))</f>
        <v xml:space="preserve"> </v>
      </c>
      <c r="N1405" s="28" t="str">
        <f>IF(C1405=""," ",[1]!s_yq_pctchange($C1405,$N$1))</f>
        <v xml:space="preserve"> </v>
      </c>
      <c r="O1405" s="11"/>
      <c r="P1405" s="7"/>
    </row>
    <row r="1406" spans="1:16" x14ac:dyDescent="0.35">
      <c r="A1406" s="7"/>
      <c r="C1406" s="31" t="str">
        <f>IF(指数列表!B1403="","",指数列表!B1403)</f>
        <v/>
      </c>
      <c r="D1406" s="36" t="str">
        <f>IF(C1406="","",[1]!s_info_name(C1406))</f>
        <v/>
      </c>
      <c r="E1406" s="25" t="str">
        <f>IF(C1406="","",[1]!s_dq_close(C1406,$N$1))</f>
        <v/>
      </c>
      <c r="F1406" s="28" t="str">
        <f>IF($C1406=""," ",[1]!i_pq_pctchange($C1406,F$6,$N$1))</f>
        <v xml:space="preserve"> </v>
      </c>
      <c r="G1406" s="28" t="str">
        <f>IF($C1406=""," ",[1]!i_pq_pctchange($C1406,G$6,$N$1))</f>
        <v xml:space="preserve"> </v>
      </c>
      <c r="H1406" s="28" t="str">
        <f>IF($C1406=""," ",[1]!i_pq_pctchange($C1406,H$6,$N$1))</f>
        <v xml:space="preserve"> </v>
      </c>
      <c r="I1406" s="28" t="str">
        <f>IF($C1406=""," ",[1]!i_pq_pctchange($C1406,I$6,$N$1))</f>
        <v xml:space="preserve"> </v>
      </c>
      <c r="J1406" s="28" t="str">
        <f>IF($C1406=""," ",[1]!i_pq_pctchange($C1406,J$6,$N$1))</f>
        <v xml:space="preserve"> </v>
      </c>
      <c r="K1406" s="28" t="str">
        <f>IF($C1406=""," ",[1]!i_pq_pctchange($C1406,K$6,$N$1))</f>
        <v xml:space="preserve"> </v>
      </c>
      <c r="L1406" s="28" t="str">
        <f>IF(C1406=""," ",[1]!s_wq_pctchange($C1406,$N$1))</f>
        <v xml:space="preserve"> </v>
      </c>
      <c r="M1406" s="28" t="str">
        <f>IF(C1406=""," ",[1]!s_mq_pctchange($C1406,$N$1))</f>
        <v xml:space="preserve"> </v>
      </c>
      <c r="N1406" s="28" t="str">
        <f>IF(C1406=""," ",[1]!s_yq_pctchange($C1406,$N$1))</f>
        <v xml:space="preserve"> </v>
      </c>
      <c r="O1406" s="11"/>
      <c r="P1406" s="7"/>
    </row>
    <row r="1407" spans="1:16" x14ac:dyDescent="0.35">
      <c r="A1407" s="7"/>
      <c r="C1407" s="30" t="str">
        <f>IF(指数列表!B1404="","",指数列表!B1404)</f>
        <v/>
      </c>
      <c r="D1407" s="35" t="str">
        <f>IF(C1407="","",[1]!s_info_name(C1407))</f>
        <v/>
      </c>
      <c r="E1407" s="24" t="str">
        <f>IF(C1407="","",[1]!s_dq_close(C1407,$N$1))</f>
        <v/>
      </c>
      <c r="F1407" s="28" t="str">
        <f>IF($C1407=""," ",[1]!i_pq_pctchange($C1407,F$6,$N$1))</f>
        <v xml:space="preserve"> </v>
      </c>
      <c r="G1407" s="28" t="str">
        <f>IF($C1407=""," ",[1]!i_pq_pctchange($C1407,G$6,$N$1))</f>
        <v xml:space="preserve"> </v>
      </c>
      <c r="H1407" s="28" t="str">
        <f>IF($C1407=""," ",[1]!i_pq_pctchange($C1407,H$6,$N$1))</f>
        <v xml:space="preserve"> </v>
      </c>
      <c r="I1407" s="28" t="str">
        <f>IF($C1407=""," ",[1]!i_pq_pctchange($C1407,I$6,$N$1))</f>
        <v xml:space="preserve"> </v>
      </c>
      <c r="J1407" s="28" t="str">
        <f>IF($C1407=""," ",[1]!i_pq_pctchange($C1407,J$6,$N$1))</f>
        <v xml:space="preserve"> </v>
      </c>
      <c r="K1407" s="28" t="str">
        <f>IF($C1407=""," ",[1]!i_pq_pctchange($C1407,K$6,$N$1))</f>
        <v xml:space="preserve"> </v>
      </c>
      <c r="L1407" s="28" t="str">
        <f>IF(C1407=""," ",[1]!s_wq_pctchange($C1407,$N$1))</f>
        <v xml:space="preserve"> </v>
      </c>
      <c r="M1407" s="28" t="str">
        <f>IF(C1407=""," ",[1]!s_mq_pctchange($C1407,$N$1))</f>
        <v xml:space="preserve"> </v>
      </c>
      <c r="N1407" s="28" t="str">
        <f>IF(C1407=""," ",[1]!s_yq_pctchange($C1407,$N$1))</f>
        <v xml:space="preserve"> </v>
      </c>
      <c r="O1407" s="11"/>
      <c r="P1407" s="7"/>
    </row>
    <row r="1408" spans="1:16" x14ac:dyDescent="0.35">
      <c r="A1408" s="7"/>
      <c r="C1408" s="31" t="str">
        <f>IF(指数列表!B1405="","",指数列表!B1405)</f>
        <v/>
      </c>
      <c r="D1408" s="36" t="str">
        <f>IF(C1408="","",[1]!s_info_name(C1408))</f>
        <v/>
      </c>
      <c r="E1408" s="25" t="str">
        <f>IF(C1408="","",[1]!s_dq_close(C1408,$N$1))</f>
        <v/>
      </c>
      <c r="F1408" s="28" t="str">
        <f>IF($C1408=""," ",[1]!i_pq_pctchange($C1408,F$6,$N$1))</f>
        <v xml:space="preserve"> </v>
      </c>
      <c r="G1408" s="28" t="str">
        <f>IF($C1408=""," ",[1]!i_pq_pctchange($C1408,G$6,$N$1))</f>
        <v xml:space="preserve"> </v>
      </c>
      <c r="H1408" s="28" t="str">
        <f>IF($C1408=""," ",[1]!i_pq_pctchange($C1408,H$6,$N$1))</f>
        <v xml:space="preserve"> </v>
      </c>
      <c r="I1408" s="28" t="str">
        <f>IF($C1408=""," ",[1]!i_pq_pctchange($C1408,I$6,$N$1))</f>
        <v xml:space="preserve"> </v>
      </c>
      <c r="J1408" s="28" t="str">
        <f>IF($C1408=""," ",[1]!i_pq_pctchange($C1408,J$6,$N$1))</f>
        <v xml:space="preserve"> </v>
      </c>
      <c r="K1408" s="28" t="str">
        <f>IF($C1408=""," ",[1]!i_pq_pctchange($C1408,K$6,$N$1))</f>
        <v xml:space="preserve"> </v>
      </c>
      <c r="L1408" s="28" t="str">
        <f>IF(C1408=""," ",[1]!s_wq_pctchange($C1408,$N$1))</f>
        <v xml:space="preserve"> </v>
      </c>
      <c r="M1408" s="28" t="str">
        <f>IF(C1408=""," ",[1]!s_mq_pctchange($C1408,$N$1))</f>
        <v xml:space="preserve"> </v>
      </c>
      <c r="N1408" s="28" t="str">
        <f>IF(C1408=""," ",[1]!s_yq_pctchange($C1408,$N$1))</f>
        <v xml:space="preserve"> </v>
      </c>
      <c r="O1408" s="11"/>
      <c r="P1408" s="7"/>
    </row>
    <row r="1409" spans="1:16" x14ac:dyDescent="0.35">
      <c r="A1409" s="7"/>
      <c r="C1409" s="30" t="str">
        <f>IF(指数列表!B1406="","",指数列表!B1406)</f>
        <v/>
      </c>
      <c r="D1409" s="35" t="str">
        <f>IF(C1409="","",[1]!s_info_name(C1409))</f>
        <v/>
      </c>
      <c r="E1409" s="24" t="str">
        <f>IF(C1409="","",[1]!s_dq_close(C1409,$N$1))</f>
        <v/>
      </c>
      <c r="F1409" s="28" t="str">
        <f>IF($C1409=""," ",[1]!i_pq_pctchange($C1409,F$6,$N$1))</f>
        <v xml:space="preserve"> </v>
      </c>
      <c r="G1409" s="28" t="str">
        <f>IF($C1409=""," ",[1]!i_pq_pctchange($C1409,G$6,$N$1))</f>
        <v xml:space="preserve"> </v>
      </c>
      <c r="H1409" s="28" t="str">
        <f>IF($C1409=""," ",[1]!i_pq_pctchange($C1409,H$6,$N$1))</f>
        <v xml:space="preserve"> </v>
      </c>
      <c r="I1409" s="28" t="str">
        <f>IF($C1409=""," ",[1]!i_pq_pctchange($C1409,I$6,$N$1))</f>
        <v xml:space="preserve"> </v>
      </c>
      <c r="J1409" s="28" t="str">
        <f>IF($C1409=""," ",[1]!i_pq_pctchange($C1409,J$6,$N$1))</f>
        <v xml:space="preserve"> </v>
      </c>
      <c r="K1409" s="28" t="str">
        <f>IF($C1409=""," ",[1]!i_pq_pctchange($C1409,K$6,$N$1))</f>
        <v xml:space="preserve"> </v>
      </c>
      <c r="L1409" s="28" t="str">
        <f>IF(C1409=""," ",[1]!s_wq_pctchange($C1409,$N$1))</f>
        <v xml:space="preserve"> </v>
      </c>
      <c r="M1409" s="28" t="str">
        <f>IF(C1409=""," ",[1]!s_mq_pctchange($C1409,$N$1))</f>
        <v xml:space="preserve"> </v>
      </c>
      <c r="N1409" s="28" t="str">
        <f>IF(C1409=""," ",[1]!s_yq_pctchange($C1409,$N$1))</f>
        <v xml:space="preserve"> </v>
      </c>
      <c r="O1409" s="11"/>
      <c r="P1409" s="7"/>
    </row>
    <row r="1410" spans="1:16" x14ac:dyDescent="0.35">
      <c r="A1410" s="7"/>
      <c r="C1410" s="31" t="str">
        <f>IF(指数列表!B1407="","",指数列表!B1407)</f>
        <v/>
      </c>
      <c r="D1410" s="36" t="str">
        <f>IF(C1410="","",[1]!s_info_name(C1410))</f>
        <v/>
      </c>
      <c r="E1410" s="25" t="str">
        <f>IF(C1410="","",[1]!s_dq_close(C1410,$N$1))</f>
        <v/>
      </c>
      <c r="F1410" s="28" t="str">
        <f>IF($C1410=""," ",[1]!i_pq_pctchange($C1410,F$6,$N$1))</f>
        <v xml:space="preserve"> </v>
      </c>
      <c r="G1410" s="28" t="str">
        <f>IF($C1410=""," ",[1]!i_pq_pctchange($C1410,G$6,$N$1))</f>
        <v xml:space="preserve"> </v>
      </c>
      <c r="H1410" s="28" t="str">
        <f>IF($C1410=""," ",[1]!i_pq_pctchange($C1410,H$6,$N$1))</f>
        <v xml:space="preserve"> </v>
      </c>
      <c r="I1410" s="28" t="str">
        <f>IF($C1410=""," ",[1]!i_pq_pctchange($C1410,I$6,$N$1))</f>
        <v xml:space="preserve"> </v>
      </c>
      <c r="J1410" s="28" t="str">
        <f>IF($C1410=""," ",[1]!i_pq_pctchange($C1410,J$6,$N$1))</f>
        <v xml:space="preserve"> </v>
      </c>
      <c r="K1410" s="28" t="str">
        <f>IF($C1410=""," ",[1]!i_pq_pctchange($C1410,K$6,$N$1))</f>
        <v xml:space="preserve"> </v>
      </c>
      <c r="L1410" s="28" t="str">
        <f>IF(C1410=""," ",[1]!s_wq_pctchange($C1410,$N$1))</f>
        <v xml:space="preserve"> </v>
      </c>
      <c r="M1410" s="28" t="str">
        <f>IF(C1410=""," ",[1]!s_mq_pctchange($C1410,$N$1))</f>
        <v xml:space="preserve"> </v>
      </c>
      <c r="N1410" s="28" t="str">
        <f>IF(C1410=""," ",[1]!s_yq_pctchange($C1410,$N$1))</f>
        <v xml:space="preserve"> </v>
      </c>
      <c r="O1410" s="11"/>
      <c r="P1410" s="7"/>
    </row>
    <row r="1411" spans="1:16" x14ac:dyDescent="0.35">
      <c r="A1411" s="7"/>
      <c r="C1411" s="30" t="str">
        <f>IF(指数列表!B1408="","",指数列表!B1408)</f>
        <v/>
      </c>
      <c r="D1411" s="35" t="str">
        <f>IF(C1411="","",[1]!s_info_name(C1411))</f>
        <v/>
      </c>
      <c r="E1411" s="24" t="str">
        <f>IF(C1411="","",[1]!s_dq_close(C1411,$N$1))</f>
        <v/>
      </c>
      <c r="F1411" s="28" t="str">
        <f>IF($C1411=""," ",[1]!i_pq_pctchange($C1411,F$6,$N$1))</f>
        <v xml:space="preserve"> </v>
      </c>
      <c r="G1411" s="28" t="str">
        <f>IF($C1411=""," ",[1]!i_pq_pctchange($C1411,G$6,$N$1))</f>
        <v xml:space="preserve"> </v>
      </c>
      <c r="H1411" s="28" t="str">
        <f>IF($C1411=""," ",[1]!i_pq_pctchange($C1411,H$6,$N$1))</f>
        <v xml:space="preserve"> </v>
      </c>
      <c r="I1411" s="28" t="str">
        <f>IF($C1411=""," ",[1]!i_pq_pctchange($C1411,I$6,$N$1))</f>
        <v xml:space="preserve"> </v>
      </c>
      <c r="J1411" s="28" t="str">
        <f>IF($C1411=""," ",[1]!i_pq_pctchange($C1411,J$6,$N$1))</f>
        <v xml:space="preserve"> </v>
      </c>
      <c r="K1411" s="28" t="str">
        <f>IF($C1411=""," ",[1]!i_pq_pctchange($C1411,K$6,$N$1))</f>
        <v xml:space="preserve"> </v>
      </c>
      <c r="L1411" s="28" t="str">
        <f>IF(C1411=""," ",[1]!s_wq_pctchange($C1411,$N$1))</f>
        <v xml:space="preserve"> </v>
      </c>
      <c r="M1411" s="28" t="str">
        <f>IF(C1411=""," ",[1]!s_mq_pctchange($C1411,$N$1))</f>
        <v xml:space="preserve"> </v>
      </c>
      <c r="N1411" s="28" t="str">
        <f>IF(C1411=""," ",[1]!s_yq_pctchange($C1411,$N$1))</f>
        <v xml:space="preserve"> </v>
      </c>
      <c r="O1411" s="11"/>
      <c r="P1411" s="7"/>
    </row>
    <row r="1412" spans="1:16" x14ac:dyDescent="0.35">
      <c r="A1412" s="7"/>
      <c r="C1412" s="31" t="str">
        <f>IF(指数列表!B1409="","",指数列表!B1409)</f>
        <v/>
      </c>
      <c r="D1412" s="36" t="str">
        <f>IF(C1412="","",[1]!s_info_name(C1412))</f>
        <v/>
      </c>
      <c r="E1412" s="25" t="str">
        <f>IF(C1412="","",[1]!s_dq_close(C1412,$N$1))</f>
        <v/>
      </c>
      <c r="F1412" s="28" t="str">
        <f>IF($C1412=""," ",[1]!i_pq_pctchange($C1412,F$6,$N$1))</f>
        <v xml:space="preserve"> </v>
      </c>
      <c r="G1412" s="28" t="str">
        <f>IF($C1412=""," ",[1]!i_pq_pctchange($C1412,G$6,$N$1))</f>
        <v xml:space="preserve"> </v>
      </c>
      <c r="H1412" s="28" t="str">
        <f>IF($C1412=""," ",[1]!i_pq_pctchange($C1412,H$6,$N$1))</f>
        <v xml:space="preserve"> </v>
      </c>
      <c r="I1412" s="28" t="str">
        <f>IF($C1412=""," ",[1]!i_pq_pctchange($C1412,I$6,$N$1))</f>
        <v xml:space="preserve"> </v>
      </c>
      <c r="J1412" s="28" t="str">
        <f>IF($C1412=""," ",[1]!i_pq_pctchange($C1412,J$6,$N$1))</f>
        <v xml:space="preserve"> </v>
      </c>
      <c r="K1412" s="28" t="str">
        <f>IF($C1412=""," ",[1]!i_pq_pctchange($C1412,K$6,$N$1))</f>
        <v xml:space="preserve"> </v>
      </c>
      <c r="L1412" s="28" t="str">
        <f>IF(C1412=""," ",[1]!s_wq_pctchange($C1412,$N$1))</f>
        <v xml:space="preserve"> </v>
      </c>
      <c r="M1412" s="28" t="str">
        <f>IF(C1412=""," ",[1]!s_mq_pctchange($C1412,$N$1))</f>
        <v xml:space="preserve"> </v>
      </c>
      <c r="N1412" s="28" t="str">
        <f>IF(C1412=""," ",[1]!s_yq_pctchange($C1412,$N$1))</f>
        <v xml:space="preserve"> </v>
      </c>
      <c r="O1412" s="11"/>
      <c r="P1412" s="7"/>
    </row>
    <row r="1413" spans="1:16" x14ac:dyDescent="0.35">
      <c r="A1413" s="7"/>
      <c r="C1413" s="30" t="str">
        <f>IF(指数列表!B1410="","",指数列表!B1410)</f>
        <v/>
      </c>
      <c r="D1413" s="35" t="str">
        <f>IF(C1413="","",[1]!s_info_name(C1413))</f>
        <v/>
      </c>
      <c r="E1413" s="24" t="str">
        <f>IF(C1413="","",[1]!s_dq_close(C1413,$N$1))</f>
        <v/>
      </c>
      <c r="F1413" s="28" t="str">
        <f>IF($C1413=""," ",[1]!i_pq_pctchange($C1413,F$6,$N$1))</f>
        <v xml:space="preserve"> </v>
      </c>
      <c r="G1413" s="28" t="str">
        <f>IF($C1413=""," ",[1]!i_pq_pctchange($C1413,G$6,$N$1))</f>
        <v xml:space="preserve"> </v>
      </c>
      <c r="H1413" s="28" t="str">
        <f>IF($C1413=""," ",[1]!i_pq_pctchange($C1413,H$6,$N$1))</f>
        <v xml:space="preserve"> </v>
      </c>
      <c r="I1413" s="28" t="str">
        <f>IF($C1413=""," ",[1]!i_pq_pctchange($C1413,I$6,$N$1))</f>
        <v xml:space="preserve"> </v>
      </c>
      <c r="J1413" s="28" t="str">
        <f>IF($C1413=""," ",[1]!i_pq_pctchange($C1413,J$6,$N$1))</f>
        <v xml:space="preserve"> </v>
      </c>
      <c r="K1413" s="28" t="str">
        <f>IF($C1413=""," ",[1]!i_pq_pctchange($C1413,K$6,$N$1))</f>
        <v xml:space="preserve"> </v>
      </c>
      <c r="L1413" s="28" t="str">
        <f>IF(C1413=""," ",[1]!s_wq_pctchange($C1413,$N$1))</f>
        <v xml:space="preserve"> </v>
      </c>
      <c r="M1413" s="28" t="str">
        <f>IF(C1413=""," ",[1]!s_mq_pctchange($C1413,$N$1))</f>
        <v xml:space="preserve"> </v>
      </c>
      <c r="N1413" s="28" t="str">
        <f>IF(C1413=""," ",[1]!s_yq_pctchange($C1413,$N$1))</f>
        <v xml:space="preserve"> </v>
      </c>
      <c r="O1413" s="11"/>
      <c r="P1413" s="7"/>
    </row>
    <row r="1414" spans="1:16" x14ac:dyDescent="0.35">
      <c r="A1414" s="7"/>
      <c r="C1414" s="31" t="str">
        <f>IF(指数列表!B1411="","",指数列表!B1411)</f>
        <v/>
      </c>
      <c r="D1414" s="36" t="str">
        <f>IF(C1414="","",[1]!s_info_name(C1414))</f>
        <v/>
      </c>
      <c r="E1414" s="25" t="str">
        <f>IF(C1414="","",[1]!s_dq_close(C1414,$N$1))</f>
        <v/>
      </c>
      <c r="F1414" s="28" t="str">
        <f>IF($C1414=""," ",[1]!i_pq_pctchange($C1414,F$6,$N$1))</f>
        <v xml:space="preserve"> </v>
      </c>
      <c r="G1414" s="28" t="str">
        <f>IF($C1414=""," ",[1]!i_pq_pctchange($C1414,G$6,$N$1))</f>
        <v xml:space="preserve"> </v>
      </c>
      <c r="H1414" s="28" t="str">
        <f>IF($C1414=""," ",[1]!i_pq_pctchange($C1414,H$6,$N$1))</f>
        <v xml:space="preserve"> </v>
      </c>
      <c r="I1414" s="28" t="str">
        <f>IF($C1414=""," ",[1]!i_pq_pctchange($C1414,I$6,$N$1))</f>
        <v xml:space="preserve"> </v>
      </c>
      <c r="J1414" s="28" t="str">
        <f>IF($C1414=""," ",[1]!i_pq_pctchange($C1414,J$6,$N$1))</f>
        <v xml:space="preserve"> </v>
      </c>
      <c r="K1414" s="28" t="str">
        <f>IF($C1414=""," ",[1]!i_pq_pctchange($C1414,K$6,$N$1))</f>
        <v xml:space="preserve"> </v>
      </c>
      <c r="L1414" s="28" t="str">
        <f>IF(C1414=""," ",[1]!s_wq_pctchange($C1414,$N$1))</f>
        <v xml:space="preserve"> </v>
      </c>
      <c r="M1414" s="28" t="str">
        <f>IF(C1414=""," ",[1]!s_mq_pctchange($C1414,$N$1))</f>
        <v xml:space="preserve"> </v>
      </c>
      <c r="N1414" s="28" t="str">
        <f>IF(C1414=""," ",[1]!s_yq_pctchange($C1414,$N$1))</f>
        <v xml:space="preserve"> </v>
      </c>
      <c r="O1414" s="11"/>
      <c r="P1414" s="7"/>
    </row>
    <row r="1415" spans="1:16" x14ac:dyDescent="0.35">
      <c r="A1415" s="7"/>
      <c r="C1415" s="30" t="str">
        <f>IF(指数列表!B1412="","",指数列表!B1412)</f>
        <v/>
      </c>
      <c r="D1415" s="35" t="str">
        <f>IF(C1415="","",[1]!s_info_name(C1415))</f>
        <v/>
      </c>
      <c r="E1415" s="24" t="str">
        <f>IF(C1415="","",[1]!s_dq_close(C1415,$N$1))</f>
        <v/>
      </c>
      <c r="F1415" s="28" t="str">
        <f>IF($C1415=""," ",[1]!i_pq_pctchange($C1415,F$6,$N$1))</f>
        <v xml:space="preserve"> </v>
      </c>
      <c r="G1415" s="28" t="str">
        <f>IF($C1415=""," ",[1]!i_pq_pctchange($C1415,G$6,$N$1))</f>
        <v xml:space="preserve"> </v>
      </c>
      <c r="H1415" s="28" t="str">
        <f>IF($C1415=""," ",[1]!i_pq_pctchange($C1415,H$6,$N$1))</f>
        <v xml:space="preserve"> </v>
      </c>
      <c r="I1415" s="28" t="str">
        <f>IF($C1415=""," ",[1]!i_pq_pctchange($C1415,I$6,$N$1))</f>
        <v xml:space="preserve"> </v>
      </c>
      <c r="J1415" s="28" t="str">
        <f>IF($C1415=""," ",[1]!i_pq_pctchange($C1415,J$6,$N$1))</f>
        <v xml:space="preserve"> </v>
      </c>
      <c r="K1415" s="28" t="str">
        <f>IF($C1415=""," ",[1]!i_pq_pctchange($C1415,K$6,$N$1))</f>
        <v xml:space="preserve"> </v>
      </c>
      <c r="L1415" s="28" t="str">
        <f>IF(C1415=""," ",[1]!s_wq_pctchange($C1415,$N$1))</f>
        <v xml:space="preserve"> </v>
      </c>
      <c r="M1415" s="28" t="str">
        <f>IF(C1415=""," ",[1]!s_mq_pctchange($C1415,$N$1))</f>
        <v xml:space="preserve"> </v>
      </c>
      <c r="N1415" s="28" t="str">
        <f>IF(C1415=""," ",[1]!s_yq_pctchange($C1415,$N$1))</f>
        <v xml:space="preserve"> </v>
      </c>
      <c r="O1415" s="11"/>
      <c r="P1415" s="7"/>
    </row>
    <row r="1416" spans="1:16" x14ac:dyDescent="0.35">
      <c r="A1416" s="7"/>
      <c r="C1416" s="31" t="str">
        <f>IF(指数列表!B1413="","",指数列表!B1413)</f>
        <v/>
      </c>
      <c r="D1416" s="36" t="str">
        <f>IF(C1416="","",[1]!s_info_name(C1416))</f>
        <v/>
      </c>
      <c r="E1416" s="25" t="str">
        <f>IF(C1416="","",[1]!s_dq_close(C1416,$N$1))</f>
        <v/>
      </c>
      <c r="F1416" s="28" t="str">
        <f>IF($C1416=""," ",[1]!i_pq_pctchange($C1416,F$6,$N$1))</f>
        <v xml:space="preserve"> </v>
      </c>
      <c r="G1416" s="28" t="str">
        <f>IF($C1416=""," ",[1]!i_pq_pctchange($C1416,G$6,$N$1))</f>
        <v xml:space="preserve"> </v>
      </c>
      <c r="H1416" s="28" t="str">
        <f>IF($C1416=""," ",[1]!i_pq_pctchange($C1416,H$6,$N$1))</f>
        <v xml:space="preserve"> </v>
      </c>
      <c r="I1416" s="28" t="str">
        <f>IF($C1416=""," ",[1]!i_pq_pctchange($C1416,I$6,$N$1))</f>
        <v xml:space="preserve"> </v>
      </c>
      <c r="J1416" s="28" t="str">
        <f>IF($C1416=""," ",[1]!i_pq_pctchange($C1416,J$6,$N$1))</f>
        <v xml:space="preserve"> </v>
      </c>
      <c r="K1416" s="28" t="str">
        <f>IF($C1416=""," ",[1]!i_pq_pctchange($C1416,K$6,$N$1))</f>
        <v xml:space="preserve"> </v>
      </c>
      <c r="L1416" s="28" t="str">
        <f>IF(C1416=""," ",[1]!s_wq_pctchange($C1416,$N$1))</f>
        <v xml:space="preserve"> </v>
      </c>
      <c r="M1416" s="28" t="str">
        <f>IF(C1416=""," ",[1]!s_mq_pctchange($C1416,$N$1))</f>
        <v xml:space="preserve"> </v>
      </c>
      <c r="N1416" s="28" t="str">
        <f>IF(C1416=""," ",[1]!s_yq_pctchange($C1416,$N$1))</f>
        <v xml:space="preserve"> </v>
      </c>
      <c r="O1416" s="11"/>
      <c r="P1416" s="7"/>
    </row>
    <row r="1417" spans="1:16" x14ac:dyDescent="0.35">
      <c r="A1417" s="7"/>
      <c r="C1417" s="30" t="str">
        <f>IF(指数列表!B1414="","",指数列表!B1414)</f>
        <v/>
      </c>
      <c r="D1417" s="35" t="str">
        <f>IF(C1417="","",[1]!s_info_name(C1417))</f>
        <v/>
      </c>
      <c r="E1417" s="24" t="str">
        <f>IF(C1417="","",[1]!s_dq_close(C1417,$N$1))</f>
        <v/>
      </c>
      <c r="F1417" s="28" t="str">
        <f>IF($C1417=""," ",[1]!i_pq_pctchange($C1417,F$6,$N$1))</f>
        <v xml:space="preserve"> </v>
      </c>
      <c r="G1417" s="28" t="str">
        <f>IF($C1417=""," ",[1]!i_pq_pctchange($C1417,G$6,$N$1))</f>
        <v xml:space="preserve"> </v>
      </c>
      <c r="H1417" s="28" t="str">
        <f>IF($C1417=""," ",[1]!i_pq_pctchange($C1417,H$6,$N$1))</f>
        <v xml:space="preserve"> </v>
      </c>
      <c r="I1417" s="28" t="str">
        <f>IF($C1417=""," ",[1]!i_pq_pctchange($C1417,I$6,$N$1))</f>
        <v xml:space="preserve"> </v>
      </c>
      <c r="J1417" s="28" t="str">
        <f>IF($C1417=""," ",[1]!i_pq_pctchange($C1417,J$6,$N$1))</f>
        <v xml:space="preserve"> </v>
      </c>
      <c r="K1417" s="28" t="str">
        <f>IF($C1417=""," ",[1]!i_pq_pctchange($C1417,K$6,$N$1))</f>
        <v xml:space="preserve"> </v>
      </c>
      <c r="L1417" s="28" t="str">
        <f>IF(C1417=""," ",[1]!s_wq_pctchange($C1417,$N$1))</f>
        <v xml:space="preserve"> </v>
      </c>
      <c r="M1417" s="28" t="str">
        <f>IF(C1417=""," ",[1]!s_mq_pctchange($C1417,$N$1))</f>
        <v xml:space="preserve"> </v>
      </c>
      <c r="N1417" s="28" t="str">
        <f>IF(C1417=""," ",[1]!s_yq_pctchange($C1417,$N$1))</f>
        <v xml:space="preserve"> </v>
      </c>
      <c r="O1417" s="11"/>
      <c r="P1417" s="7"/>
    </row>
    <row r="1418" spans="1:16" x14ac:dyDescent="0.35">
      <c r="A1418" s="7"/>
      <c r="C1418" s="31" t="str">
        <f>IF(指数列表!B1415="","",指数列表!B1415)</f>
        <v/>
      </c>
      <c r="D1418" s="36" t="str">
        <f>IF(C1418="","",[1]!s_info_name(C1418))</f>
        <v/>
      </c>
      <c r="E1418" s="25" t="str">
        <f>IF(C1418="","",[1]!s_dq_close(C1418,$N$1))</f>
        <v/>
      </c>
      <c r="F1418" s="28" t="str">
        <f>IF($C1418=""," ",[1]!i_pq_pctchange($C1418,F$6,$N$1))</f>
        <v xml:space="preserve"> </v>
      </c>
      <c r="G1418" s="28" t="str">
        <f>IF($C1418=""," ",[1]!i_pq_pctchange($C1418,G$6,$N$1))</f>
        <v xml:space="preserve"> </v>
      </c>
      <c r="H1418" s="28" t="str">
        <f>IF($C1418=""," ",[1]!i_pq_pctchange($C1418,H$6,$N$1))</f>
        <v xml:space="preserve"> </v>
      </c>
      <c r="I1418" s="28" t="str">
        <f>IF($C1418=""," ",[1]!i_pq_pctchange($C1418,I$6,$N$1))</f>
        <v xml:space="preserve"> </v>
      </c>
      <c r="J1418" s="28" t="str">
        <f>IF($C1418=""," ",[1]!i_pq_pctchange($C1418,J$6,$N$1))</f>
        <v xml:space="preserve"> </v>
      </c>
      <c r="K1418" s="28" t="str">
        <f>IF($C1418=""," ",[1]!i_pq_pctchange($C1418,K$6,$N$1))</f>
        <v xml:space="preserve"> </v>
      </c>
      <c r="L1418" s="28" t="str">
        <f>IF(C1418=""," ",[1]!s_wq_pctchange($C1418,$N$1))</f>
        <v xml:space="preserve"> </v>
      </c>
      <c r="M1418" s="28" t="str">
        <f>IF(C1418=""," ",[1]!s_mq_pctchange($C1418,$N$1))</f>
        <v xml:space="preserve"> </v>
      </c>
      <c r="N1418" s="28" t="str">
        <f>IF(C1418=""," ",[1]!s_yq_pctchange($C1418,$N$1))</f>
        <v xml:space="preserve"> </v>
      </c>
      <c r="O1418" s="11"/>
      <c r="P1418" s="7"/>
    </row>
    <row r="1419" spans="1:16" x14ac:dyDescent="0.35">
      <c r="A1419" s="7"/>
      <c r="C1419" s="30" t="str">
        <f>IF(指数列表!B1416="","",指数列表!B1416)</f>
        <v/>
      </c>
      <c r="D1419" s="35" t="str">
        <f>IF(C1419="","",[1]!s_info_name(C1419))</f>
        <v/>
      </c>
      <c r="E1419" s="24" t="str">
        <f>IF(C1419="","",[1]!s_dq_close(C1419,$N$1))</f>
        <v/>
      </c>
      <c r="F1419" s="28" t="str">
        <f>IF($C1419=""," ",[1]!i_pq_pctchange($C1419,F$6,$N$1))</f>
        <v xml:space="preserve"> </v>
      </c>
      <c r="G1419" s="28" t="str">
        <f>IF($C1419=""," ",[1]!i_pq_pctchange($C1419,G$6,$N$1))</f>
        <v xml:space="preserve"> </v>
      </c>
      <c r="H1419" s="28" t="str">
        <f>IF($C1419=""," ",[1]!i_pq_pctchange($C1419,H$6,$N$1))</f>
        <v xml:space="preserve"> </v>
      </c>
      <c r="I1419" s="28" t="str">
        <f>IF($C1419=""," ",[1]!i_pq_pctchange($C1419,I$6,$N$1))</f>
        <v xml:space="preserve"> </v>
      </c>
      <c r="J1419" s="28" t="str">
        <f>IF($C1419=""," ",[1]!i_pq_pctchange($C1419,J$6,$N$1))</f>
        <v xml:space="preserve"> </v>
      </c>
      <c r="K1419" s="28" t="str">
        <f>IF($C1419=""," ",[1]!i_pq_pctchange($C1419,K$6,$N$1))</f>
        <v xml:space="preserve"> </v>
      </c>
      <c r="L1419" s="28" t="str">
        <f>IF(C1419=""," ",[1]!s_wq_pctchange($C1419,$N$1))</f>
        <v xml:space="preserve"> </v>
      </c>
      <c r="M1419" s="28" t="str">
        <f>IF(C1419=""," ",[1]!s_mq_pctchange($C1419,$N$1))</f>
        <v xml:space="preserve"> </v>
      </c>
      <c r="N1419" s="28" t="str">
        <f>IF(C1419=""," ",[1]!s_yq_pctchange($C1419,$N$1))</f>
        <v xml:space="preserve"> </v>
      </c>
      <c r="O1419" s="11"/>
      <c r="P1419" s="7"/>
    </row>
    <row r="1420" spans="1:16" x14ac:dyDescent="0.35">
      <c r="A1420" s="7"/>
      <c r="C1420" s="31" t="str">
        <f>IF(指数列表!B1417="","",指数列表!B1417)</f>
        <v/>
      </c>
      <c r="D1420" s="36" t="str">
        <f>IF(C1420="","",[1]!s_info_name(C1420))</f>
        <v/>
      </c>
      <c r="E1420" s="25" t="str">
        <f>IF(C1420="","",[1]!s_dq_close(C1420,$N$1))</f>
        <v/>
      </c>
      <c r="F1420" s="28" t="str">
        <f>IF($C1420=""," ",[1]!i_pq_pctchange($C1420,F$6,$N$1))</f>
        <v xml:space="preserve"> </v>
      </c>
      <c r="G1420" s="28" t="str">
        <f>IF($C1420=""," ",[1]!i_pq_pctchange($C1420,G$6,$N$1))</f>
        <v xml:space="preserve"> </v>
      </c>
      <c r="H1420" s="28" t="str">
        <f>IF($C1420=""," ",[1]!i_pq_pctchange($C1420,H$6,$N$1))</f>
        <v xml:space="preserve"> </v>
      </c>
      <c r="I1420" s="28" t="str">
        <f>IF($C1420=""," ",[1]!i_pq_pctchange($C1420,I$6,$N$1))</f>
        <v xml:space="preserve"> </v>
      </c>
      <c r="J1420" s="28" t="str">
        <f>IF($C1420=""," ",[1]!i_pq_pctchange($C1420,J$6,$N$1))</f>
        <v xml:space="preserve"> </v>
      </c>
      <c r="K1420" s="28" t="str">
        <f>IF($C1420=""," ",[1]!i_pq_pctchange($C1420,K$6,$N$1))</f>
        <v xml:space="preserve"> </v>
      </c>
      <c r="L1420" s="28" t="str">
        <f>IF(C1420=""," ",[1]!s_wq_pctchange($C1420,$N$1))</f>
        <v xml:space="preserve"> </v>
      </c>
      <c r="M1420" s="28" t="str">
        <f>IF(C1420=""," ",[1]!s_mq_pctchange($C1420,$N$1))</f>
        <v xml:space="preserve"> </v>
      </c>
      <c r="N1420" s="28" t="str">
        <f>IF(C1420=""," ",[1]!s_yq_pctchange($C1420,$N$1))</f>
        <v xml:space="preserve"> </v>
      </c>
      <c r="O1420" s="11"/>
      <c r="P1420" s="7"/>
    </row>
    <row r="1421" spans="1:16" x14ac:dyDescent="0.35">
      <c r="A1421" s="7"/>
      <c r="C1421" s="30" t="str">
        <f>IF(指数列表!B1418="","",指数列表!B1418)</f>
        <v/>
      </c>
      <c r="D1421" s="35" t="str">
        <f>IF(C1421="","",[1]!s_info_name(C1421))</f>
        <v/>
      </c>
      <c r="E1421" s="24" t="str">
        <f>IF(C1421="","",[1]!s_dq_close(C1421,$N$1))</f>
        <v/>
      </c>
      <c r="F1421" s="28" t="str">
        <f>IF($C1421=""," ",[1]!i_pq_pctchange($C1421,F$6,$N$1))</f>
        <v xml:space="preserve"> </v>
      </c>
      <c r="G1421" s="28" t="str">
        <f>IF($C1421=""," ",[1]!i_pq_pctchange($C1421,G$6,$N$1))</f>
        <v xml:space="preserve"> </v>
      </c>
      <c r="H1421" s="28" t="str">
        <f>IF($C1421=""," ",[1]!i_pq_pctchange($C1421,H$6,$N$1))</f>
        <v xml:space="preserve"> </v>
      </c>
      <c r="I1421" s="28" t="str">
        <f>IF($C1421=""," ",[1]!i_pq_pctchange($C1421,I$6,$N$1))</f>
        <v xml:space="preserve"> </v>
      </c>
      <c r="J1421" s="28" t="str">
        <f>IF($C1421=""," ",[1]!i_pq_pctchange($C1421,J$6,$N$1))</f>
        <v xml:space="preserve"> </v>
      </c>
      <c r="K1421" s="28" t="str">
        <f>IF($C1421=""," ",[1]!i_pq_pctchange($C1421,K$6,$N$1))</f>
        <v xml:space="preserve"> </v>
      </c>
      <c r="L1421" s="28" t="str">
        <f>IF(C1421=""," ",[1]!s_wq_pctchange($C1421,$N$1))</f>
        <v xml:space="preserve"> </v>
      </c>
      <c r="M1421" s="28" t="str">
        <f>IF(C1421=""," ",[1]!s_mq_pctchange($C1421,$N$1))</f>
        <v xml:space="preserve"> </v>
      </c>
      <c r="N1421" s="28" t="str">
        <f>IF(C1421=""," ",[1]!s_yq_pctchange($C1421,$N$1))</f>
        <v xml:space="preserve"> </v>
      </c>
      <c r="O1421" s="11"/>
      <c r="P1421" s="7"/>
    </row>
    <row r="1422" spans="1:16" x14ac:dyDescent="0.35">
      <c r="A1422" s="7"/>
      <c r="C1422" s="31" t="str">
        <f>IF(指数列表!B1419="","",指数列表!B1419)</f>
        <v/>
      </c>
      <c r="D1422" s="36" t="str">
        <f>IF(C1422="","",[1]!s_info_name(C1422))</f>
        <v/>
      </c>
      <c r="E1422" s="25" t="str">
        <f>IF(C1422="","",[1]!s_dq_close(C1422,$N$1))</f>
        <v/>
      </c>
      <c r="F1422" s="28" t="str">
        <f>IF($C1422=""," ",[1]!i_pq_pctchange($C1422,F$6,$N$1))</f>
        <v xml:space="preserve"> </v>
      </c>
      <c r="G1422" s="28" t="str">
        <f>IF($C1422=""," ",[1]!i_pq_pctchange($C1422,G$6,$N$1))</f>
        <v xml:space="preserve"> </v>
      </c>
      <c r="H1422" s="28" t="str">
        <f>IF($C1422=""," ",[1]!i_pq_pctchange($C1422,H$6,$N$1))</f>
        <v xml:space="preserve"> </v>
      </c>
      <c r="I1422" s="28" t="str">
        <f>IF($C1422=""," ",[1]!i_pq_pctchange($C1422,I$6,$N$1))</f>
        <v xml:space="preserve"> </v>
      </c>
      <c r="J1422" s="28" t="str">
        <f>IF($C1422=""," ",[1]!i_pq_pctchange($C1422,J$6,$N$1))</f>
        <v xml:space="preserve"> </v>
      </c>
      <c r="K1422" s="28" t="str">
        <f>IF($C1422=""," ",[1]!i_pq_pctchange($C1422,K$6,$N$1))</f>
        <v xml:space="preserve"> </v>
      </c>
      <c r="L1422" s="28" t="str">
        <f>IF(C1422=""," ",[1]!s_wq_pctchange($C1422,$N$1))</f>
        <v xml:space="preserve"> </v>
      </c>
      <c r="M1422" s="28" t="str">
        <f>IF(C1422=""," ",[1]!s_mq_pctchange($C1422,$N$1))</f>
        <v xml:space="preserve"> </v>
      </c>
      <c r="N1422" s="28" t="str">
        <f>IF(C1422=""," ",[1]!s_yq_pctchange($C1422,$N$1))</f>
        <v xml:space="preserve"> </v>
      </c>
      <c r="O1422" s="11"/>
      <c r="P1422" s="7"/>
    </row>
    <row r="1423" spans="1:16" x14ac:dyDescent="0.35">
      <c r="A1423" s="7"/>
      <c r="C1423" s="30" t="str">
        <f>IF(指数列表!B1420="","",指数列表!B1420)</f>
        <v/>
      </c>
      <c r="D1423" s="35" t="str">
        <f>IF(C1423="","",[1]!s_info_name(C1423))</f>
        <v/>
      </c>
      <c r="E1423" s="24" t="str">
        <f>IF(C1423="","",[1]!s_dq_close(C1423,$N$1))</f>
        <v/>
      </c>
      <c r="F1423" s="28" t="str">
        <f>IF($C1423=""," ",[1]!i_pq_pctchange($C1423,F$6,$N$1))</f>
        <v xml:space="preserve"> </v>
      </c>
      <c r="G1423" s="28" t="str">
        <f>IF($C1423=""," ",[1]!i_pq_pctchange($C1423,G$6,$N$1))</f>
        <v xml:space="preserve"> </v>
      </c>
      <c r="H1423" s="28" t="str">
        <f>IF($C1423=""," ",[1]!i_pq_pctchange($C1423,H$6,$N$1))</f>
        <v xml:space="preserve"> </v>
      </c>
      <c r="I1423" s="28" t="str">
        <f>IF($C1423=""," ",[1]!i_pq_pctchange($C1423,I$6,$N$1))</f>
        <v xml:space="preserve"> </v>
      </c>
      <c r="J1423" s="28" t="str">
        <f>IF($C1423=""," ",[1]!i_pq_pctchange($C1423,J$6,$N$1))</f>
        <v xml:space="preserve"> </v>
      </c>
      <c r="K1423" s="28" t="str">
        <f>IF($C1423=""," ",[1]!i_pq_pctchange($C1423,K$6,$N$1))</f>
        <v xml:space="preserve"> </v>
      </c>
      <c r="L1423" s="28" t="str">
        <f>IF(C1423=""," ",[1]!s_wq_pctchange($C1423,$N$1))</f>
        <v xml:space="preserve"> </v>
      </c>
      <c r="M1423" s="28" t="str">
        <f>IF(C1423=""," ",[1]!s_mq_pctchange($C1423,$N$1))</f>
        <v xml:space="preserve"> </v>
      </c>
      <c r="N1423" s="28" t="str">
        <f>IF(C1423=""," ",[1]!s_yq_pctchange($C1423,$N$1))</f>
        <v xml:space="preserve"> </v>
      </c>
      <c r="O1423" s="11"/>
      <c r="P1423" s="7"/>
    </row>
    <row r="1424" spans="1:16" x14ac:dyDescent="0.35">
      <c r="A1424" s="7"/>
      <c r="C1424" s="31" t="str">
        <f>IF(指数列表!B1421="","",指数列表!B1421)</f>
        <v/>
      </c>
      <c r="D1424" s="36" t="str">
        <f>IF(C1424="","",[1]!s_info_name(C1424))</f>
        <v/>
      </c>
      <c r="E1424" s="25" t="str">
        <f>IF(C1424="","",[1]!s_dq_close(C1424,$N$1))</f>
        <v/>
      </c>
      <c r="F1424" s="28" t="str">
        <f>IF($C1424=""," ",[1]!i_pq_pctchange($C1424,F$6,$N$1))</f>
        <v xml:space="preserve"> </v>
      </c>
      <c r="G1424" s="28" t="str">
        <f>IF($C1424=""," ",[1]!i_pq_pctchange($C1424,G$6,$N$1))</f>
        <v xml:space="preserve"> </v>
      </c>
      <c r="H1424" s="28" t="str">
        <f>IF($C1424=""," ",[1]!i_pq_pctchange($C1424,H$6,$N$1))</f>
        <v xml:space="preserve"> </v>
      </c>
      <c r="I1424" s="28" t="str">
        <f>IF($C1424=""," ",[1]!i_pq_pctchange($C1424,I$6,$N$1))</f>
        <v xml:space="preserve"> </v>
      </c>
      <c r="J1424" s="28" t="str">
        <f>IF($C1424=""," ",[1]!i_pq_pctchange($C1424,J$6,$N$1))</f>
        <v xml:space="preserve"> </v>
      </c>
      <c r="K1424" s="28" t="str">
        <f>IF($C1424=""," ",[1]!i_pq_pctchange($C1424,K$6,$N$1))</f>
        <v xml:space="preserve"> </v>
      </c>
      <c r="L1424" s="28" t="str">
        <f>IF(C1424=""," ",[1]!s_wq_pctchange($C1424,$N$1))</f>
        <v xml:space="preserve"> </v>
      </c>
      <c r="M1424" s="28" t="str">
        <f>IF(C1424=""," ",[1]!s_mq_pctchange($C1424,$N$1))</f>
        <v xml:space="preserve"> </v>
      </c>
      <c r="N1424" s="28" t="str">
        <f>IF(C1424=""," ",[1]!s_yq_pctchange($C1424,$N$1))</f>
        <v xml:space="preserve"> </v>
      </c>
      <c r="O1424" s="11"/>
      <c r="P1424" s="7"/>
    </row>
    <row r="1425" spans="1:16" x14ac:dyDescent="0.35">
      <c r="A1425" s="7"/>
      <c r="C1425" s="30" t="str">
        <f>IF(指数列表!B1422="","",指数列表!B1422)</f>
        <v/>
      </c>
      <c r="D1425" s="35" t="str">
        <f>IF(C1425="","",[1]!s_info_name(C1425))</f>
        <v/>
      </c>
      <c r="E1425" s="24" t="str">
        <f>IF(C1425="","",[1]!s_dq_close(C1425,$N$1))</f>
        <v/>
      </c>
      <c r="F1425" s="28" t="str">
        <f>IF($C1425=""," ",[1]!i_pq_pctchange($C1425,F$6,$N$1))</f>
        <v xml:space="preserve"> </v>
      </c>
      <c r="G1425" s="28" t="str">
        <f>IF($C1425=""," ",[1]!i_pq_pctchange($C1425,G$6,$N$1))</f>
        <v xml:space="preserve"> </v>
      </c>
      <c r="H1425" s="28" t="str">
        <f>IF($C1425=""," ",[1]!i_pq_pctchange($C1425,H$6,$N$1))</f>
        <v xml:space="preserve"> </v>
      </c>
      <c r="I1425" s="28" t="str">
        <f>IF($C1425=""," ",[1]!i_pq_pctchange($C1425,I$6,$N$1))</f>
        <v xml:space="preserve"> </v>
      </c>
      <c r="J1425" s="28" t="str">
        <f>IF($C1425=""," ",[1]!i_pq_pctchange($C1425,J$6,$N$1))</f>
        <v xml:space="preserve"> </v>
      </c>
      <c r="K1425" s="28" t="str">
        <f>IF($C1425=""," ",[1]!i_pq_pctchange($C1425,K$6,$N$1))</f>
        <v xml:space="preserve"> </v>
      </c>
      <c r="L1425" s="28" t="str">
        <f>IF(C1425=""," ",[1]!s_wq_pctchange($C1425,$N$1))</f>
        <v xml:space="preserve"> </v>
      </c>
      <c r="M1425" s="28" t="str">
        <f>IF(C1425=""," ",[1]!s_mq_pctchange($C1425,$N$1))</f>
        <v xml:space="preserve"> </v>
      </c>
      <c r="N1425" s="28" t="str">
        <f>IF(C1425=""," ",[1]!s_yq_pctchange($C1425,$N$1))</f>
        <v xml:space="preserve"> </v>
      </c>
      <c r="O1425" s="11"/>
      <c r="P1425" s="7"/>
    </row>
    <row r="1426" spans="1:16" x14ac:dyDescent="0.35">
      <c r="A1426" s="7"/>
      <c r="C1426" s="31" t="str">
        <f>IF(指数列表!B1423="","",指数列表!B1423)</f>
        <v/>
      </c>
      <c r="D1426" s="36" t="str">
        <f>IF(C1426="","",[1]!s_info_name(C1426))</f>
        <v/>
      </c>
      <c r="E1426" s="25" t="str">
        <f>IF(C1426="","",[1]!s_dq_close(C1426,$N$1))</f>
        <v/>
      </c>
      <c r="F1426" s="28" t="str">
        <f>IF($C1426=""," ",[1]!i_pq_pctchange($C1426,F$6,$N$1))</f>
        <v xml:space="preserve"> </v>
      </c>
      <c r="G1426" s="28" t="str">
        <f>IF($C1426=""," ",[1]!i_pq_pctchange($C1426,G$6,$N$1))</f>
        <v xml:space="preserve"> </v>
      </c>
      <c r="H1426" s="28" t="str">
        <f>IF($C1426=""," ",[1]!i_pq_pctchange($C1426,H$6,$N$1))</f>
        <v xml:space="preserve"> </v>
      </c>
      <c r="I1426" s="28" t="str">
        <f>IF($C1426=""," ",[1]!i_pq_pctchange($C1426,I$6,$N$1))</f>
        <v xml:space="preserve"> </v>
      </c>
      <c r="J1426" s="28" t="str">
        <f>IF($C1426=""," ",[1]!i_pq_pctchange($C1426,J$6,$N$1))</f>
        <v xml:space="preserve"> </v>
      </c>
      <c r="K1426" s="28" t="str">
        <f>IF($C1426=""," ",[1]!i_pq_pctchange($C1426,K$6,$N$1))</f>
        <v xml:space="preserve"> </v>
      </c>
      <c r="L1426" s="28" t="str">
        <f>IF(C1426=""," ",[1]!s_wq_pctchange($C1426,$N$1))</f>
        <v xml:space="preserve"> </v>
      </c>
      <c r="M1426" s="28" t="str">
        <f>IF(C1426=""," ",[1]!s_mq_pctchange($C1426,$N$1))</f>
        <v xml:space="preserve"> </v>
      </c>
      <c r="N1426" s="28" t="str">
        <f>IF(C1426=""," ",[1]!s_yq_pctchange($C1426,$N$1))</f>
        <v xml:space="preserve"> </v>
      </c>
      <c r="O1426" s="11"/>
      <c r="P1426" s="7"/>
    </row>
    <row r="1427" spans="1:16" x14ac:dyDescent="0.35">
      <c r="A1427" s="7"/>
      <c r="C1427" s="30" t="str">
        <f>IF(指数列表!B1424="","",指数列表!B1424)</f>
        <v/>
      </c>
      <c r="D1427" s="35" t="str">
        <f>IF(C1427="","",[1]!s_info_name(C1427))</f>
        <v/>
      </c>
      <c r="E1427" s="24" t="str">
        <f>IF(C1427="","",[1]!s_dq_close(C1427,$N$1))</f>
        <v/>
      </c>
      <c r="F1427" s="28" t="str">
        <f>IF($C1427=""," ",[1]!i_pq_pctchange($C1427,F$6,$N$1))</f>
        <v xml:space="preserve"> </v>
      </c>
      <c r="G1427" s="28" t="str">
        <f>IF($C1427=""," ",[1]!i_pq_pctchange($C1427,G$6,$N$1))</f>
        <v xml:space="preserve"> </v>
      </c>
      <c r="H1427" s="28" t="str">
        <f>IF($C1427=""," ",[1]!i_pq_pctchange($C1427,H$6,$N$1))</f>
        <v xml:space="preserve"> </v>
      </c>
      <c r="I1427" s="28" t="str">
        <f>IF($C1427=""," ",[1]!i_pq_pctchange($C1427,I$6,$N$1))</f>
        <v xml:space="preserve"> </v>
      </c>
      <c r="J1427" s="28" t="str">
        <f>IF($C1427=""," ",[1]!i_pq_pctchange($C1427,J$6,$N$1))</f>
        <v xml:space="preserve"> </v>
      </c>
      <c r="K1427" s="28" t="str">
        <f>IF($C1427=""," ",[1]!i_pq_pctchange($C1427,K$6,$N$1))</f>
        <v xml:space="preserve"> </v>
      </c>
      <c r="L1427" s="28" t="str">
        <f>IF(C1427=""," ",[1]!s_wq_pctchange($C1427,$N$1))</f>
        <v xml:space="preserve"> </v>
      </c>
      <c r="M1427" s="28" t="str">
        <f>IF(C1427=""," ",[1]!s_mq_pctchange($C1427,$N$1))</f>
        <v xml:space="preserve"> </v>
      </c>
      <c r="N1427" s="28" t="str">
        <f>IF(C1427=""," ",[1]!s_yq_pctchange($C1427,$N$1))</f>
        <v xml:space="preserve"> </v>
      </c>
      <c r="O1427" s="11"/>
      <c r="P1427" s="7"/>
    </row>
    <row r="1428" spans="1:16" x14ac:dyDescent="0.35">
      <c r="A1428" s="7"/>
      <c r="C1428" s="31" t="str">
        <f>IF(指数列表!B1425="","",指数列表!B1425)</f>
        <v/>
      </c>
      <c r="D1428" s="36" t="str">
        <f>IF(C1428="","",[1]!s_info_name(C1428))</f>
        <v/>
      </c>
      <c r="E1428" s="25" t="str">
        <f>IF(C1428="","",[1]!s_dq_close(C1428,$N$1))</f>
        <v/>
      </c>
      <c r="F1428" s="28" t="str">
        <f>IF($C1428=""," ",[1]!i_pq_pctchange($C1428,F$6,$N$1))</f>
        <v xml:space="preserve"> </v>
      </c>
      <c r="G1428" s="28" t="str">
        <f>IF($C1428=""," ",[1]!i_pq_pctchange($C1428,G$6,$N$1))</f>
        <v xml:space="preserve"> </v>
      </c>
      <c r="H1428" s="28" t="str">
        <f>IF($C1428=""," ",[1]!i_pq_pctchange($C1428,H$6,$N$1))</f>
        <v xml:space="preserve"> </v>
      </c>
      <c r="I1428" s="28" t="str">
        <f>IF($C1428=""," ",[1]!i_pq_pctchange($C1428,I$6,$N$1))</f>
        <v xml:space="preserve"> </v>
      </c>
      <c r="J1428" s="28" t="str">
        <f>IF($C1428=""," ",[1]!i_pq_pctchange($C1428,J$6,$N$1))</f>
        <v xml:space="preserve"> </v>
      </c>
      <c r="K1428" s="28" t="str">
        <f>IF($C1428=""," ",[1]!i_pq_pctchange($C1428,K$6,$N$1))</f>
        <v xml:space="preserve"> </v>
      </c>
      <c r="L1428" s="28" t="str">
        <f>IF(C1428=""," ",[1]!s_wq_pctchange($C1428,$N$1))</f>
        <v xml:space="preserve"> </v>
      </c>
      <c r="M1428" s="28" t="str">
        <f>IF(C1428=""," ",[1]!s_mq_pctchange($C1428,$N$1))</f>
        <v xml:space="preserve"> </v>
      </c>
      <c r="N1428" s="28" t="str">
        <f>IF(C1428=""," ",[1]!s_yq_pctchange($C1428,$N$1))</f>
        <v xml:space="preserve"> </v>
      </c>
      <c r="O1428" s="11"/>
      <c r="P1428" s="7"/>
    </row>
    <row r="1429" spans="1:16" x14ac:dyDescent="0.35">
      <c r="A1429" s="7"/>
      <c r="C1429" s="30" t="str">
        <f>IF(指数列表!B1426="","",指数列表!B1426)</f>
        <v/>
      </c>
      <c r="D1429" s="35" t="str">
        <f>IF(C1429="","",[1]!s_info_name(C1429))</f>
        <v/>
      </c>
      <c r="E1429" s="24" t="str">
        <f>IF(C1429="","",[1]!s_dq_close(C1429,$N$1))</f>
        <v/>
      </c>
      <c r="F1429" s="28" t="str">
        <f>IF($C1429=""," ",[1]!i_pq_pctchange($C1429,F$6,$N$1))</f>
        <v xml:space="preserve"> </v>
      </c>
      <c r="G1429" s="28" t="str">
        <f>IF($C1429=""," ",[1]!i_pq_pctchange($C1429,G$6,$N$1))</f>
        <v xml:space="preserve"> </v>
      </c>
      <c r="H1429" s="28" t="str">
        <f>IF($C1429=""," ",[1]!i_pq_pctchange($C1429,H$6,$N$1))</f>
        <v xml:space="preserve"> </v>
      </c>
      <c r="I1429" s="28" t="str">
        <f>IF($C1429=""," ",[1]!i_pq_pctchange($C1429,I$6,$N$1))</f>
        <v xml:space="preserve"> </v>
      </c>
      <c r="J1429" s="28" t="str">
        <f>IF($C1429=""," ",[1]!i_pq_pctchange($C1429,J$6,$N$1))</f>
        <v xml:space="preserve"> </v>
      </c>
      <c r="K1429" s="28" t="str">
        <f>IF($C1429=""," ",[1]!i_pq_pctchange($C1429,K$6,$N$1))</f>
        <v xml:space="preserve"> </v>
      </c>
      <c r="L1429" s="28" t="str">
        <f>IF(C1429=""," ",[1]!s_wq_pctchange($C1429,$N$1))</f>
        <v xml:space="preserve"> </v>
      </c>
      <c r="M1429" s="28" t="str">
        <f>IF(C1429=""," ",[1]!s_mq_pctchange($C1429,$N$1))</f>
        <v xml:space="preserve"> </v>
      </c>
      <c r="N1429" s="28" t="str">
        <f>IF(C1429=""," ",[1]!s_yq_pctchange($C1429,$N$1))</f>
        <v xml:space="preserve"> </v>
      </c>
      <c r="O1429" s="11"/>
      <c r="P1429" s="7"/>
    </row>
    <row r="1430" spans="1:16" x14ac:dyDescent="0.35">
      <c r="A1430" s="7"/>
      <c r="C1430" s="31" t="str">
        <f>IF(指数列表!B1427="","",指数列表!B1427)</f>
        <v/>
      </c>
      <c r="D1430" s="36" t="str">
        <f>IF(C1430="","",[1]!s_info_name(C1430))</f>
        <v/>
      </c>
      <c r="E1430" s="25" t="str">
        <f>IF(C1430="","",[1]!s_dq_close(C1430,$N$1))</f>
        <v/>
      </c>
      <c r="F1430" s="28" t="str">
        <f>IF($C1430=""," ",[1]!i_pq_pctchange($C1430,F$6,$N$1))</f>
        <v xml:space="preserve"> </v>
      </c>
      <c r="G1430" s="28" t="str">
        <f>IF($C1430=""," ",[1]!i_pq_pctchange($C1430,G$6,$N$1))</f>
        <v xml:space="preserve"> </v>
      </c>
      <c r="H1430" s="28" t="str">
        <f>IF($C1430=""," ",[1]!i_pq_pctchange($C1430,H$6,$N$1))</f>
        <v xml:space="preserve"> </v>
      </c>
      <c r="I1430" s="28" t="str">
        <f>IF($C1430=""," ",[1]!i_pq_pctchange($C1430,I$6,$N$1))</f>
        <v xml:space="preserve"> </v>
      </c>
      <c r="J1430" s="28" t="str">
        <f>IF($C1430=""," ",[1]!i_pq_pctchange($C1430,J$6,$N$1))</f>
        <v xml:space="preserve"> </v>
      </c>
      <c r="K1430" s="28" t="str">
        <f>IF($C1430=""," ",[1]!i_pq_pctchange($C1430,K$6,$N$1))</f>
        <v xml:space="preserve"> </v>
      </c>
      <c r="L1430" s="28" t="str">
        <f>IF(C1430=""," ",[1]!s_wq_pctchange($C1430,$N$1))</f>
        <v xml:space="preserve"> </v>
      </c>
      <c r="M1430" s="28" t="str">
        <f>IF(C1430=""," ",[1]!s_mq_pctchange($C1430,$N$1))</f>
        <v xml:space="preserve"> </v>
      </c>
      <c r="N1430" s="28" t="str">
        <f>IF(C1430=""," ",[1]!s_yq_pctchange($C1430,$N$1))</f>
        <v xml:space="preserve"> </v>
      </c>
      <c r="O1430" s="11"/>
      <c r="P1430" s="7"/>
    </row>
    <row r="1431" spans="1:16" x14ac:dyDescent="0.35">
      <c r="A1431" s="7"/>
      <c r="C1431" s="30" t="str">
        <f>IF(指数列表!B1428="","",指数列表!B1428)</f>
        <v/>
      </c>
      <c r="D1431" s="35" t="str">
        <f>IF(C1431="","",[1]!s_info_name(C1431))</f>
        <v/>
      </c>
      <c r="E1431" s="24" t="str">
        <f>IF(C1431="","",[1]!s_dq_close(C1431,$N$1))</f>
        <v/>
      </c>
      <c r="F1431" s="28" t="str">
        <f>IF($C1431=""," ",[1]!i_pq_pctchange($C1431,F$6,$N$1))</f>
        <v xml:space="preserve"> </v>
      </c>
      <c r="G1431" s="28" t="str">
        <f>IF($C1431=""," ",[1]!i_pq_pctchange($C1431,G$6,$N$1))</f>
        <v xml:space="preserve"> </v>
      </c>
      <c r="H1431" s="28" t="str">
        <f>IF($C1431=""," ",[1]!i_pq_pctchange($C1431,H$6,$N$1))</f>
        <v xml:space="preserve"> </v>
      </c>
      <c r="I1431" s="28" t="str">
        <f>IF($C1431=""," ",[1]!i_pq_pctchange($C1431,I$6,$N$1))</f>
        <v xml:space="preserve"> </v>
      </c>
      <c r="J1431" s="28" t="str">
        <f>IF($C1431=""," ",[1]!i_pq_pctchange($C1431,J$6,$N$1))</f>
        <v xml:space="preserve"> </v>
      </c>
      <c r="K1431" s="28" t="str">
        <f>IF($C1431=""," ",[1]!i_pq_pctchange($C1431,K$6,$N$1))</f>
        <v xml:space="preserve"> </v>
      </c>
      <c r="L1431" s="28" t="str">
        <f>IF(C1431=""," ",[1]!s_wq_pctchange($C1431,$N$1))</f>
        <v xml:space="preserve"> </v>
      </c>
      <c r="M1431" s="28" t="str">
        <f>IF(C1431=""," ",[1]!s_mq_pctchange($C1431,$N$1))</f>
        <v xml:space="preserve"> </v>
      </c>
      <c r="N1431" s="28" t="str">
        <f>IF(C1431=""," ",[1]!s_yq_pctchange($C1431,$N$1))</f>
        <v xml:space="preserve"> </v>
      </c>
      <c r="O1431" s="11"/>
      <c r="P1431" s="7"/>
    </row>
    <row r="1432" spans="1:16" x14ac:dyDescent="0.35">
      <c r="A1432" s="7"/>
      <c r="C1432" s="31" t="str">
        <f>IF(指数列表!B1429="","",指数列表!B1429)</f>
        <v/>
      </c>
      <c r="D1432" s="36" t="str">
        <f>IF(C1432="","",[1]!s_info_name(C1432))</f>
        <v/>
      </c>
      <c r="E1432" s="25" t="str">
        <f>IF(C1432="","",[1]!s_dq_close(C1432,$N$1))</f>
        <v/>
      </c>
      <c r="F1432" s="28" t="str">
        <f>IF($C1432=""," ",[1]!i_pq_pctchange($C1432,F$6,$N$1))</f>
        <v xml:space="preserve"> </v>
      </c>
      <c r="G1432" s="28" t="str">
        <f>IF($C1432=""," ",[1]!i_pq_pctchange($C1432,G$6,$N$1))</f>
        <v xml:space="preserve"> </v>
      </c>
      <c r="H1432" s="28" t="str">
        <f>IF($C1432=""," ",[1]!i_pq_pctchange($C1432,H$6,$N$1))</f>
        <v xml:space="preserve"> </v>
      </c>
      <c r="I1432" s="28" t="str">
        <f>IF($C1432=""," ",[1]!i_pq_pctchange($C1432,I$6,$N$1))</f>
        <v xml:space="preserve"> </v>
      </c>
      <c r="J1432" s="28" t="str">
        <f>IF($C1432=""," ",[1]!i_pq_pctchange($C1432,J$6,$N$1))</f>
        <v xml:space="preserve"> </v>
      </c>
      <c r="K1432" s="28" t="str">
        <f>IF($C1432=""," ",[1]!i_pq_pctchange($C1432,K$6,$N$1))</f>
        <v xml:space="preserve"> </v>
      </c>
      <c r="L1432" s="28" t="str">
        <f>IF(C1432=""," ",[1]!s_wq_pctchange($C1432,$N$1))</f>
        <v xml:space="preserve"> </v>
      </c>
      <c r="M1432" s="28" t="str">
        <f>IF(C1432=""," ",[1]!s_mq_pctchange($C1432,$N$1))</f>
        <v xml:space="preserve"> </v>
      </c>
      <c r="N1432" s="28" t="str">
        <f>IF(C1432=""," ",[1]!s_yq_pctchange($C1432,$N$1))</f>
        <v xml:space="preserve"> </v>
      </c>
      <c r="O1432" s="11"/>
      <c r="P1432" s="7"/>
    </row>
    <row r="1433" spans="1:16" x14ac:dyDescent="0.35">
      <c r="A1433" s="7"/>
      <c r="C1433" s="30" t="str">
        <f>IF(指数列表!B1430="","",指数列表!B1430)</f>
        <v/>
      </c>
      <c r="D1433" s="35" t="str">
        <f>IF(C1433="","",[1]!s_info_name(C1433))</f>
        <v/>
      </c>
      <c r="E1433" s="24" t="str">
        <f>IF(C1433="","",[1]!s_dq_close(C1433,$N$1))</f>
        <v/>
      </c>
      <c r="F1433" s="28" t="str">
        <f>IF($C1433=""," ",[1]!i_pq_pctchange($C1433,F$6,$N$1))</f>
        <v xml:space="preserve"> </v>
      </c>
      <c r="G1433" s="28" t="str">
        <f>IF($C1433=""," ",[1]!i_pq_pctchange($C1433,G$6,$N$1))</f>
        <v xml:space="preserve"> </v>
      </c>
      <c r="H1433" s="28" t="str">
        <f>IF($C1433=""," ",[1]!i_pq_pctchange($C1433,H$6,$N$1))</f>
        <v xml:space="preserve"> </v>
      </c>
      <c r="I1433" s="28" t="str">
        <f>IF($C1433=""," ",[1]!i_pq_pctchange($C1433,I$6,$N$1))</f>
        <v xml:space="preserve"> </v>
      </c>
      <c r="J1433" s="28" t="str">
        <f>IF($C1433=""," ",[1]!i_pq_pctchange($C1433,J$6,$N$1))</f>
        <v xml:space="preserve"> </v>
      </c>
      <c r="K1433" s="28" t="str">
        <f>IF($C1433=""," ",[1]!i_pq_pctchange($C1433,K$6,$N$1))</f>
        <v xml:space="preserve"> </v>
      </c>
      <c r="L1433" s="28" t="str">
        <f>IF(C1433=""," ",[1]!s_wq_pctchange($C1433,$N$1))</f>
        <v xml:space="preserve"> </v>
      </c>
      <c r="M1433" s="28" t="str">
        <f>IF(C1433=""," ",[1]!s_mq_pctchange($C1433,$N$1))</f>
        <v xml:space="preserve"> </v>
      </c>
      <c r="N1433" s="28" t="str">
        <f>IF(C1433=""," ",[1]!s_yq_pctchange($C1433,$N$1))</f>
        <v xml:space="preserve"> </v>
      </c>
      <c r="O1433" s="11"/>
      <c r="P1433" s="7"/>
    </row>
    <row r="1434" spans="1:16" x14ac:dyDescent="0.35">
      <c r="A1434" s="7"/>
      <c r="C1434" s="31" t="str">
        <f>IF(指数列表!B1431="","",指数列表!B1431)</f>
        <v/>
      </c>
      <c r="D1434" s="36" t="str">
        <f>IF(C1434="","",[1]!s_info_name(C1434))</f>
        <v/>
      </c>
      <c r="E1434" s="25" t="str">
        <f>IF(C1434="","",[1]!s_dq_close(C1434,$N$1))</f>
        <v/>
      </c>
      <c r="F1434" s="28" t="str">
        <f>IF($C1434=""," ",[1]!i_pq_pctchange($C1434,F$6,$N$1))</f>
        <v xml:space="preserve"> </v>
      </c>
      <c r="G1434" s="28" t="str">
        <f>IF($C1434=""," ",[1]!i_pq_pctchange($C1434,G$6,$N$1))</f>
        <v xml:space="preserve"> </v>
      </c>
      <c r="H1434" s="28" t="str">
        <f>IF($C1434=""," ",[1]!i_pq_pctchange($C1434,H$6,$N$1))</f>
        <v xml:space="preserve"> </v>
      </c>
      <c r="I1434" s="28" t="str">
        <f>IF($C1434=""," ",[1]!i_pq_pctchange($C1434,I$6,$N$1))</f>
        <v xml:space="preserve"> </v>
      </c>
      <c r="J1434" s="28" t="str">
        <f>IF($C1434=""," ",[1]!i_pq_pctchange($C1434,J$6,$N$1))</f>
        <v xml:space="preserve"> </v>
      </c>
      <c r="K1434" s="28" t="str">
        <f>IF($C1434=""," ",[1]!i_pq_pctchange($C1434,K$6,$N$1))</f>
        <v xml:space="preserve"> </v>
      </c>
      <c r="L1434" s="28" t="str">
        <f>IF(C1434=""," ",[1]!s_wq_pctchange($C1434,$N$1))</f>
        <v xml:space="preserve"> </v>
      </c>
      <c r="M1434" s="28" t="str">
        <f>IF(C1434=""," ",[1]!s_mq_pctchange($C1434,$N$1))</f>
        <v xml:space="preserve"> </v>
      </c>
      <c r="N1434" s="28" t="str">
        <f>IF(C1434=""," ",[1]!s_yq_pctchange($C1434,$N$1))</f>
        <v xml:space="preserve"> </v>
      </c>
      <c r="O1434" s="11"/>
      <c r="P1434" s="7"/>
    </row>
    <row r="1435" spans="1:16" x14ac:dyDescent="0.35">
      <c r="A1435" s="7"/>
      <c r="C1435" s="30" t="str">
        <f>IF(指数列表!B1432="","",指数列表!B1432)</f>
        <v/>
      </c>
      <c r="D1435" s="35" t="str">
        <f>IF(C1435="","",[1]!s_info_name(C1435))</f>
        <v/>
      </c>
      <c r="E1435" s="24" t="str">
        <f>IF(C1435="","",[1]!s_dq_close(C1435,$N$1))</f>
        <v/>
      </c>
      <c r="F1435" s="28" t="str">
        <f>IF($C1435=""," ",[1]!i_pq_pctchange($C1435,F$6,$N$1))</f>
        <v xml:space="preserve"> </v>
      </c>
      <c r="G1435" s="28" t="str">
        <f>IF($C1435=""," ",[1]!i_pq_pctchange($C1435,G$6,$N$1))</f>
        <v xml:space="preserve"> </v>
      </c>
      <c r="H1435" s="28" t="str">
        <f>IF($C1435=""," ",[1]!i_pq_pctchange($C1435,H$6,$N$1))</f>
        <v xml:space="preserve"> </v>
      </c>
      <c r="I1435" s="28" t="str">
        <f>IF($C1435=""," ",[1]!i_pq_pctchange($C1435,I$6,$N$1))</f>
        <v xml:space="preserve"> </v>
      </c>
      <c r="J1435" s="28" t="str">
        <f>IF($C1435=""," ",[1]!i_pq_pctchange($C1435,J$6,$N$1))</f>
        <v xml:space="preserve"> </v>
      </c>
      <c r="K1435" s="28" t="str">
        <f>IF($C1435=""," ",[1]!i_pq_pctchange($C1435,K$6,$N$1))</f>
        <v xml:space="preserve"> </v>
      </c>
      <c r="L1435" s="28" t="str">
        <f>IF(C1435=""," ",[1]!s_wq_pctchange($C1435,$N$1))</f>
        <v xml:space="preserve"> </v>
      </c>
      <c r="M1435" s="28" t="str">
        <f>IF(C1435=""," ",[1]!s_mq_pctchange($C1435,$N$1))</f>
        <v xml:space="preserve"> </v>
      </c>
      <c r="N1435" s="28" t="str">
        <f>IF(C1435=""," ",[1]!s_yq_pctchange($C1435,$N$1))</f>
        <v xml:space="preserve"> </v>
      </c>
      <c r="O1435" s="11"/>
      <c r="P1435" s="7"/>
    </row>
    <row r="1436" spans="1:16" x14ac:dyDescent="0.35">
      <c r="A1436" s="7"/>
      <c r="C1436" s="31" t="str">
        <f>IF(指数列表!B1433="","",指数列表!B1433)</f>
        <v/>
      </c>
      <c r="D1436" s="36" t="str">
        <f>IF(C1436="","",[1]!s_info_name(C1436))</f>
        <v/>
      </c>
      <c r="E1436" s="25" t="str">
        <f>IF(C1436="","",[1]!s_dq_close(C1436,$N$1))</f>
        <v/>
      </c>
      <c r="F1436" s="28" t="str">
        <f>IF($C1436=""," ",[1]!i_pq_pctchange($C1436,F$6,$N$1))</f>
        <v xml:space="preserve"> </v>
      </c>
      <c r="G1436" s="28" t="str">
        <f>IF($C1436=""," ",[1]!i_pq_pctchange($C1436,G$6,$N$1))</f>
        <v xml:space="preserve"> </v>
      </c>
      <c r="H1436" s="28" t="str">
        <f>IF($C1436=""," ",[1]!i_pq_pctchange($C1436,H$6,$N$1))</f>
        <v xml:space="preserve"> </v>
      </c>
      <c r="I1436" s="28" t="str">
        <f>IF($C1436=""," ",[1]!i_pq_pctchange($C1436,I$6,$N$1))</f>
        <v xml:space="preserve"> </v>
      </c>
      <c r="J1436" s="28" t="str">
        <f>IF($C1436=""," ",[1]!i_pq_pctchange($C1436,J$6,$N$1))</f>
        <v xml:space="preserve"> </v>
      </c>
      <c r="K1436" s="28" t="str">
        <f>IF($C1436=""," ",[1]!i_pq_pctchange($C1436,K$6,$N$1))</f>
        <v xml:space="preserve"> </v>
      </c>
      <c r="L1436" s="28" t="str">
        <f>IF(C1436=""," ",[1]!s_wq_pctchange($C1436,$N$1))</f>
        <v xml:space="preserve"> </v>
      </c>
      <c r="M1436" s="28" t="str">
        <f>IF(C1436=""," ",[1]!s_mq_pctchange($C1436,$N$1))</f>
        <v xml:space="preserve"> </v>
      </c>
      <c r="N1436" s="28" t="str">
        <f>IF(C1436=""," ",[1]!s_yq_pctchange($C1436,$N$1))</f>
        <v xml:space="preserve"> </v>
      </c>
      <c r="O1436" s="11"/>
      <c r="P1436" s="7"/>
    </row>
    <row r="1437" spans="1:16" x14ac:dyDescent="0.35">
      <c r="A1437" s="7"/>
      <c r="C1437" s="30" t="str">
        <f>IF(指数列表!B1434="","",指数列表!B1434)</f>
        <v/>
      </c>
      <c r="D1437" s="35" t="str">
        <f>IF(C1437="","",[1]!s_info_name(C1437))</f>
        <v/>
      </c>
      <c r="E1437" s="24" t="str">
        <f>IF(C1437="","",[1]!s_dq_close(C1437,$N$1))</f>
        <v/>
      </c>
      <c r="F1437" s="28" t="str">
        <f>IF($C1437=""," ",[1]!i_pq_pctchange($C1437,F$6,$N$1))</f>
        <v xml:space="preserve"> </v>
      </c>
      <c r="G1437" s="28" t="str">
        <f>IF($C1437=""," ",[1]!i_pq_pctchange($C1437,G$6,$N$1))</f>
        <v xml:space="preserve"> </v>
      </c>
      <c r="H1437" s="28" t="str">
        <f>IF($C1437=""," ",[1]!i_pq_pctchange($C1437,H$6,$N$1))</f>
        <v xml:space="preserve"> </v>
      </c>
      <c r="I1437" s="28" t="str">
        <f>IF($C1437=""," ",[1]!i_pq_pctchange($C1437,I$6,$N$1))</f>
        <v xml:space="preserve"> </v>
      </c>
      <c r="J1437" s="28" t="str">
        <f>IF($C1437=""," ",[1]!i_pq_pctchange($C1437,J$6,$N$1))</f>
        <v xml:space="preserve"> </v>
      </c>
      <c r="K1437" s="28" t="str">
        <f>IF($C1437=""," ",[1]!i_pq_pctchange($C1437,K$6,$N$1))</f>
        <v xml:space="preserve"> </v>
      </c>
      <c r="L1437" s="28" t="str">
        <f>IF(C1437=""," ",[1]!s_wq_pctchange($C1437,$N$1))</f>
        <v xml:space="preserve"> </v>
      </c>
      <c r="M1437" s="28" t="str">
        <f>IF(C1437=""," ",[1]!s_mq_pctchange($C1437,$N$1))</f>
        <v xml:space="preserve"> </v>
      </c>
      <c r="N1437" s="28" t="str">
        <f>IF(C1437=""," ",[1]!s_yq_pctchange($C1437,$N$1))</f>
        <v xml:space="preserve"> </v>
      </c>
      <c r="O1437" s="11"/>
      <c r="P1437" s="7"/>
    </row>
    <row r="1438" spans="1:16" x14ac:dyDescent="0.35">
      <c r="A1438" s="7"/>
      <c r="C1438" s="31" t="str">
        <f>IF(指数列表!B1435="","",指数列表!B1435)</f>
        <v/>
      </c>
      <c r="D1438" s="36" t="str">
        <f>IF(C1438="","",[1]!s_info_name(C1438))</f>
        <v/>
      </c>
      <c r="E1438" s="25" t="str">
        <f>IF(C1438="","",[1]!s_dq_close(C1438,$N$1))</f>
        <v/>
      </c>
      <c r="F1438" s="28" t="str">
        <f>IF($C1438=""," ",[1]!i_pq_pctchange($C1438,F$6,$N$1))</f>
        <v xml:space="preserve"> </v>
      </c>
      <c r="G1438" s="28" t="str">
        <f>IF($C1438=""," ",[1]!i_pq_pctchange($C1438,G$6,$N$1))</f>
        <v xml:space="preserve"> </v>
      </c>
      <c r="H1438" s="28" t="str">
        <f>IF($C1438=""," ",[1]!i_pq_pctchange($C1438,H$6,$N$1))</f>
        <v xml:space="preserve"> </v>
      </c>
      <c r="I1438" s="28" t="str">
        <f>IF($C1438=""," ",[1]!i_pq_pctchange($C1438,I$6,$N$1))</f>
        <v xml:space="preserve"> </v>
      </c>
      <c r="J1438" s="28" t="str">
        <f>IF($C1438=""," ",[1]!i_pq_pctchange($C1438,J$6,$N$1))</f>
        <v xml:space="preserve"> </v>
      </c>
      <c r="K1438" s="28" t="str">
        <f>IF($C1438=""," ",[1]!i_pq_pctchange($C1438,K$6,$N$1))</f>
        <v xml:space="preserve"> </v>
      </c>
      <c r="L1438" s="28" t="str">
        <f>IF(C1438=""," ",[1]!s_wq_pctchange($C1438,$N$1))</f>
        <v xml:space="preserve"> </v>
      </c>
      <c r="M1438" s="28" t="str">
        <f>IF(C1438=""," ",[1]!s_mq_pctchange($C1438,$N$1))</f>
        <v xml:space="preserve"> </v>
      </c>
      <c r="N1438" s="28" t="str">
        <f>IF(C1438=""," ",[1]!s_yq_pctchange($C1438,$N$1))</f>
        <v xml:space="preserve"> </v>
      </c>
      <c r="O1438" s="11"/>
      <c r="P1438" s="7"/>
    </row>
    <row r="1439" spans="1:16" x14ac:dyDescent="0.35">
      <c r="A1439" s="7"/>
      <c r="C1439" s="30" t="str">
        <f>IF(指数列表!B1436="","",指数列表!B1436)</f>
        <v/>
      </c>
      <c r="D1439" s="35" t="str">
        <f>IF(C1439="","",[1]!s_info_name(C1439))</f>
        <v/>
      </c>
      <c r="E1439" s="24" t="str">
        <f>IF(C1439="","",[1]!s_dq_close(C1439,$N$1))</f>
        <v/>
      </c>
      <c r="F1439" s="28" t="str">
        <f>IF($C1439=""," ",[1]!i_pq_pctchange($C1439,F$6,$N$1))</f>
        <v xml:space="preserve"> </v>
      </c>
      <c r="G1439" s="28" t="str">
        <f>IF($C1439=""," ",[1]!i_pq_pctchange($C1439,G$6,$N$1))</f>
        <v xml:space="preserve"> </v>
      </c>
      <c r="H1439" s="28" t="str">
        <f>IF($C1439=""," ",[1]!i_pq_pctchange($C1439,H$6,$N$1))</f>
        <v xml:space="preserve"> </v>
      </c>
      <c r="I1439" s="28" t="str">
        <f>IF($C1439=""," ",[1]!i_pq_pctchange($C1439,I$6,$N$1))</f>
        <v xml:space="preserve"> </v>
      </c>
      <c r="J1439" s="28" t="str">
        <f>IF($C1439=""," ",[1]!i_pq_pctchange($C1439,J$6,$N$1))</f>
        <v xml:space="preserve"> </v>
      </c>
      <c r="K1439" s="28" t="str">
        <f>IF($C1439=""," ",[1]!i_pq_pctchange($C1439,K$6,$N$1))</f>
        <v xml:space="preserve"> </v>
      </c>
      <c r="L1439" s="28" t="str">
        <f>IF(C1439=""," ",[1]!s_wq_pctchange($C1439,$N$1))</f>
        <v xml:space="preserve"> </v>
      </c>
      <c r="M1439" s="28" t="str">
        <f>IF(C1439=""," ",[1]!s_mq_pctchange($C1439,$N$1))</f>
        <v xml:space="preserve"> </v>
      </c>
      <c r="N1439" s="28" t="str">
        <f>IF(C1439=""," ",[1]!s_yq_pctchange($C1439,$N$1))</f>
        <v xml:space="preserve"> </v>
      </c>
      <c r="O1439" s="11"/>
      <c r="P1439" s="7"/>
    </row>
    <row r="1440" spans="1:16" x14ac:dyDescent="0.35">
      <c r="A1440" s="7"/>
      <c r="C1440" s="31" t="str">
        <f>IF(指数列表!B1437="","",指数列表!B1437)</f>
        <v/>
      </c>
      <c r="D1440" s="36" t="str">
        <f>IF(C1440="","",[1]!s_info_name(C1440))</f>
        <v/>
      </c>
      <c r="E1440" s="25" t="str">
        <f>IF(C1440="","",[1]!s_dq_close(C1440,$N$1))</f>
        <v/>
      </c>
      <c r="F1440" s="28" t="str">
        <f>IF($C1440=""," ",[1]!i_pq_pctchange($C1440,F$6,$N$1))</f>
        <v xml:space="preserve"> </v>
      </c>
      <c r="G1440" s="28" t="str">
        <f>IF($C1440=""," ",[1]!i_pq_pctchange($C1440,G$6,$N$1))</f>
        <v xml:space="preserve"> </v>
      </c>
      <c r="H1440" s="28" t="str">
        <f>IF($C1440=""," ",[1]!i_pq_pctchange($C1440,H$6,$N$1))</f>
        <v xml:space="preserve"> </v>
      </c>
      <c r="I1440" s="28" t="str">
        <f>IF($C1440=""," ",[1]!i_pq_pctchange($C1440,I$6,$N$1))</f>
        <v xml:space="preserve"> </v>
      </c>
      <c r="J1440" s="28" t="str">
        <f>IF($C1440=""," ",[1]!i_pq_pctchange($C1440,J$6,$N$1))</f>
        <v xml:space="preserve"> </v>
      </c>
      <c r="K1440" s="28" t="str">
        <f>IF($C1440=""," ",[1]!i_pq_pctchange($C1440,K$6,$N$1))</f>
        <v xml:space="preserve"> </v>
      </c>
      <c r="L1440" s="28" t="str">
        <f>IF(C1440=""," ",[1]!s_wq_pctchange($C1440,$N$1))</f>
        <v xml:space="preserve"> </v>
      </c>
      <c r="M1440" s="28" t="str">
        <f>IF(C1440=""," ",[1]!s_mq_pctchange($C1440,$N$1))</f>
        <v xml:space="preserve"> </v>
      </c>
      <c r="N1440" s="28" t="str">
        <f>IF(C1440=""," ",[1]!s_yq_pctchange($C1440,$N$1))</f>
        <v xml:space="preserve"> </v>
      </c>
      <c r="O1440" s="11"/>
      <c r="P1440" s="7"/>
    </row>
    <row r="1441" spans="1:16" x14ac:dyDescent="0.35">
      <c r="A1441" s="7"/>
      <c r="C1441" s="30" t="str">
        <f>IF(指数列表!B1438="","",指数列表!B1438)</f>
        <v/>
      </c>
      <c r="D1441" s="35" t="str">
        <f>IF(C1441="","",[1]!s_info_name(C1441))</f>
        <v/>
      </c>
      <c r="E1441" s="24" t="str">
        <f>IF(C1441="","",[1]!s_dq_close(C1441,$N$1))</f>
        <v/>
      </c>
      <c r="F1441" s="28" t="str">
        <f>IF($C1441=""," ",[1]!i_pq_pctchange($C1441,F$6,$N$1))</f>
        <v xml:space="preserve"> </v>
      </c>
      <c r="G1441" s="28" t="str">
        <f>IF($C1441=""," ",[1]!i_pq_pctchange($C1441,G$6,$N$1))</f>
        <v xml:space="preserve"> </v>
      </c>
      <c r="H1441" s="28" t="str">
        <f>IF($C1441=""," ",[1]!i_pq_pctchange($C1441,H$6,$N$1))</f>
        <v xml:space="preserve"> </v>
      </c>
      <c r="I1441" s="28" t="str">
        <f>IF($C1441=""," ",[1]!i_pq_pctchange($C1441,I$6,$N$1))</f>
        <v xml:space="preserve"> </v>
      </c>
      <c r="J1441" s="28" t="str">
        <f>IF($C1441=""," ",[1]!i_pq_pctchange($C1441,J$6,$N$1))</f>
        <v xml:space="preserve"> </v>
      </c>
      <c r="K1441" s="28" t="str">
        <f>IF($C1441=""," ",[1]!i_pq_pctchange($C1441,K$6,$N$1))</f>
        <v xml:space="preserve"> </v>
      </c>
      <c r="L1441" s="28" t="str">
        <f>IF(C1441=""," ",[1]!s_wq_pctchange($C1441,$N$1))</f>
        <v xml:space="preserve"> </v>
      </c>
      <c r="M1441" s="28" t="str">
        <f>IF(C1441=""," ",[1]!s_mq_pctchange($C1441,$N$1))</f>
        <v xml:space="preserve"> </v>
      </c>
      <c r="N1441" s="28" t="str">
        <f>IF(C1441=""," ",[1]!s_yq_pctchange($C1441,$N$1))</f>
        <v xml:space="preserve"> </v>
      </c>
      <c r="O1441" s="11"/>
      <c r="P1441" s="7"/>
    </row>
    <row r="1442" spans="1:16" x14ac:dyDescent="0.35">
      <c r="A1442" s="7"/>
      <c r="C1442" s="31" t="str">
        <f>IF(指数列表!B1439="","",指数列表!B1439)</f>
        <v/>
      </c>
      <c r="D1442" s="36" t="str">
        <f>IF(C1442="","",[1]!s_info_name(C1442))</f>
        <v/>
      </c>
      <c r="E1442" s="25" t="str">
        <f>IF(C1442="","",[1]!s_dq_close(C1442,$N$1))</f>
        <v/>
      </c>
      <c r="F1442" s="28" t="str">
        <f>IF($C1442=""," ",[1]!i_pq_pctchange($C1442,F$6,$N$1))</f>
        <v xml:space="preserve"> </v>
      </c>
      <c r="G1442" s="28" t="str">
        <f>IF($C1442=""," ",[1]!i_pq_pctchange($C1442,G$6,$N$1))</f>
        <v xml:space="preserve"> </v>
      </c>
      <c r="H1442" s="28" t="str">
        <f>IF($C1442=""," ",[1]!i_pq_pctchange($C1442,H$6,$N$1))</f>
        <v xml:space="preserve"> </v>
      </c>
      <c r="I1442" s="28" t="str">
        <f>IF($C1442=""," ",[1]!i_pq_pctchange($C1442,I$6,$N$1))</f>
        <v xml:space="preserve"> </v>
      </c>
      <c r="J1442" s="28" t="str">
        <f>IF($C1442=""," ",[1]!i_pq_pctchange($C1442,J$6,$N$1))</f>
        <v xml:space="preserve"> </v>
      </c>
      <c r="K1442" s="28" t="str">
        <f>IF($C1442=""," ",[1]!i_pq_pctchange($C1442,K$6,$N$1))</f>
        <v xml:space="preserve"> </v>
      </c>
      <c r="L1442" s="28" t="str">
        <f>IF(C1442=""," ",[1]!s_wq_pctchange($C1442,$N$1))</f>
        <v xml:space="preserve"> </v>
      </c>
      <c r="M1442" s="28" t="str">
        <f>IF(C1442=""," ",[1]!s_mq_pctchange($C1442,$N$1))</f>
        <v xml:space="preserve"> </v>
      </c>
      <c r="N1442" s="28" t="str">
        <f>IF(C1442=""," ",[1]!s_yq_pctchange($C1442,$N$1))</f>
        <v xml:space="preserve"> </v>
      </c>
      <c r="O1442" s="11"/>
      <c r="P1442" s="7"/>
    </row>
    <row r="1443" spans="1:16" x14ac:dyDescent="0.35">
      <c r="A1443" s="7"/>
      <c r="C1443" s="30" t="str">
        <f>IF(指数列表!B1440="","",指数列表!B1440)</f>
        <v/>
      </c>
      <c r="D1443" s="35" t="str">
        <f>IF(C1443="","",[1]!s_info_name(C1443))</f>
        <v/>
      </c>
      <c r="E1443" s="24" t="str">
        <f>IF(C1443="","",[1]!s_dq_close(C1443,$N$1))</f>
        <v/>
      </c>
      <c r="F1443" s="28" t="str">
        <f>IF($C1443=""," ",[1]!i_pq_pctchange($C1443,F$6,$N$1))</f>
        <v xml:space="preserve"> </v>
      </c>
      <c r="G1443" s="28" t="str">
        <f>IF($C1443=""," ",[1]!i_pq_pctchange($C1443,G$6,$N$1))</f>
        <v xml:space="preserve"> </v>
      </c>
      <c r="H1443" s="28" t="str">
        <f>IF($C1443=""," ",[1]!i_pq_pctchange($C1443,H$6,$N$1))</f>
        <v xml:space="preserve"> </v>
      </c>
      <c r="I1443" s="28" t="str">
        <f>IF($C1443=""," ",[1]!i_pq_pctchange($C1443,I$6,$N$1))</f>
        <v xml:space="preserve"> </v>
      </c>
      <c r="J1443" s="28" t="str">
        <f>IF($C1443=""," ",[1]!i_pq_pctchange($C1443,J$6,$N$1))</f>
        <v xml:space="preserve"> </v>
      </c>
      <c r="K1443" s="28" t="str">
        <f>IF($C1443=""," ",[1]!i_pq_pctchange($C1443,K$6,$N$1))</f>
        <v xml:space="preserve"> </v>
      </c>
      <c r="L1443" s="28" t="str">
        <f>IF(C1443=""," ",[1]!s_wq_pctchange($C1443,$N$1))</f>
        <v xml:space="preserve"> </v>
      </c>
      <c r="M1443" s="28" t="str">
        <f>IF(C1443=""," ",[1]!s_mq_pctchange($C1443,$N$1))</f>
        <v xml:space="preserve"> </v>
      </c>
      <c r="N1443" s="28" t="str">
        <f>IF(C1443=""," ",[1]!s_yq_pctchange($C1443,$N$1))</f>
        <v xml:space="preserve"> </v>
      </c>
      <c r="O1443" s="11"/>
      <c r="P1443" s="7"/>
    </row>
    <row r="1444" spans="1:16" x14ac:dyDescent="0.35">
      <c r="A1444" s="7"/>
      <c r="C1444" s="31" t="str">
        <f>IF(指数列表!B1441="","",指数列表!B1441)</f>
        <v/>
      </c>
      <c r="D1444" s="36" t="str">
        <f>IF(C1444="","",[1]!s_info_name(C1444))</f>
        <v/>
      </c>
      <c r="E1444" s="25" t="str">
        <f>IF(C1444="","",[1]!s_dq_close(C1444,$N$1))</f>
        <v/>
      </c>
      <c r="F1444" s="28" t="str">
        <f>IF($C1444=""," ",[1]!i_pq_pctchange($C1444,F$6,$N$1))</f>
        <v xml:space="preserve"> </v>
      </c>
      <c r="G1444" s="28" t="str">
        <f>IF($C1444=""," ",[1]!i_pq_pctchange($C1444,G$6,$N$1))</f>
        <v xml:space="preserve"> </v>
      </c>
      <c r="H1444" s="28" t="str">
        <f>IF($C1444=""," ",[1]!i_pq_pctchange($C1444,H$6,$N$1))</f>
        <v xml:space="preserve"> </v>
      </c>
      <c r="I1444" s="28" t="str">
        <f>IF($C1444=""," ",[1]!i_pq_pctchange($C1444,I$6,$N$1))</f>
        <v xml:space="preserve"> </v>
      </c>
      <c r="J1444" s="28" t="str">
        <f>IF($C1444=""," ",[1]!i_pq_pctchange($C1444,J$6,$N$1))</f>
        <v xml:space="preserve"> </v>
      </c>
      <c r="K1444" s="28" t="str">
        <f>IF($C1444=""," ",[1]!i_pq_pctchange($C1444,K$6,$N$1))</f>
        <v xml:space="preserve"> </v>
      </c>
      <c r="L1444" s="28" t="str">
        <f>IF(C1444=""," ",[1]!s_wq_pctchange($C1444,$N$1))</f>
        <v xml:space="preserve"> </v>
      </c>
      <c r="M1444" s="28" t="str">
        <f>IF(C1444=""," ",[1]!s_mq_pctchange($C1444,$N$1))</f>
        <v xml:space="preserve"> </v>
      </c>
      <c r="N1444" s="28" t="str">
        <f>IF(C1444=""," ",[1]!s_yq_pctchange($C1444,$N$1))</f>
        <v xml:space="preserve"> </v>
      </c>
      <c r="O1444" s="11"/>
      <c r="P1444" s="7"/>
    </row>
    <row r="1445" spans="1:16" x14ac:dyDescent="0.35">
      <c r="A1445" s="7"/>
      <c r="C1445" s="30" t="str">
        <f>IF(指数列表!B1442="","",指数列表!B1442)</f>
        <v/>
      </c>
      <c r="D1445" s="35" t="str">
        <f>IF(C1445="","",[1]!s_info_name(C1445))</f>
        <v/>
      </c>
      <c r="E1445" s="24" t="str">
        <f>IF(C1445="","",[1]!s_dq_close(C1445,$N$1))</f>
        <v/>
      </c>
      <c r="F1445" s="28" t="str">
        <f>IF($C1445=""," ",[1]!i_pq_pctchange($C1445,F$6,$N$1))</f>
        <v xml:space="preserve"> </v>
      </c>
      <c r="G1445" s="28" t="str">
        <f>IF($C1445=""," ",[1]!i_pq_pctchange($C1445,G$6,$N$1))</f>
        <v xml:space="preserve"> </v>
      </c>
      <c r="H1445" s="28" t="str">
        <f>IF($C1445=""," ",[1]!i_pq_pctchange($C1445,H$6,$N$1))</f>
        <v xml:space="preserve"> </v>
      </c>
      <c r="I1445" s="28" t="str">
        <f>IF($C1445=""," ",[1]!i_pq_pctchange($C1445,I$6,$N$1))</f>
        <v xml:space="preserve"> </v>
      </c>
      <c r="J1445" s="28" t="str">
        <f>IF($C1445=""," ",[1]!i_pq_pctchange($C1445,J$6,$N$1))</f>
        <v xml:space="preserve"> </v>
      </c>
      <c r="K1445" s="28" t="str">
        <f>IF($C1445=""," ",[1]!i_pq_pctchange($C1445,K$6,$N$1))</f>
        <v xml:space="preserve"> </v>
      </c>
      <c r="L1445" s="28" t="str">
        <f>IF(C1445=""," ",[1]!s_wq_pctchange($C1445,$N$1))</f>
        <v xml:space="preserve"> </v>
      </c>
      <c r="M1445" s="28" t="str">
        <f>IF(C1445=""," ",[1]!s_mq_pctchange($C1445,$N$1))</f>
        <v xml:space="preserve"> </v>
      </c>
      <c r="N1445" s="28" t="str">
        <f>IF(C1445=""," ",[1]!s_yq_pctchange($C1445,$N$1))</f>
        <v xml:space="preserve"> </v>
      </c>
      <c r="O1445" s="11"/>
      <c r="P1445" s="7"/>
    </row>
    <row r="1446" spans="1:16" x14ac:dyDescent="0.35">
      <c r="A1446" s="7"/>
      <c r="C1446" s="31" t="str">
        <f>IF(指数列表!B1443="","",指数列表!B1443)</f>
        <v/>
      </c>
      <c r="D1446" s="36" t="str">
        <f>IF(C1446="","",[1]!s_info_name(C1446))</f>
        <v/>
      </c>
      <c r="E1446" s="25" t="str">
        <f>IF(C1446="","",[1]!s_dq_close(C1446,$N$1))</f>
        <v/>
      </c>
      <c r="F1446" s="28" t="str">
        <f>IF($C1446=""," ",[1]!i_pq_pctchange($C1446,F$6,$N$1))</f>
        <v xml:space="preserve"> </v>
      </c>
      <c r="G1446" s="28" t="str">
        <f>IF($C1446=""," ",[1]!i_pq_pctchange($C1446,G$6,$N$1))</f>
        <v xml:space="preserve"> </v>
      </c>
      <c r="H1446" s="28" t="str">
        <f>IF($C1446=""," ",[1]!i_pq_pctchange($C1446,H$6,$N$1))</f>
        <v xml:space="preserve"> </v>
      </c>
      <c r="I1446" s="28" t="str">
        <f>IF($C1446=""," ",[1]!i_pq_pctchange($C1446,I$6,$N$1))</f>
        <v xml:space="preserve"> </v>
      </c>
      <c r="J1446" s="28" t="str">
        <f>IF($C1446=""," ",[1]!i_pq_pctchange($C1446,J$6,$N$1))</f>
        <v xml:space="preserve"> </v>
      </c>
      <c r="K1446" s="28" t="str">
        <f>IF($C1446=""," ",[1]!i_pq_pctchange($C1446,K$6,$N$1))</f>
        <v xml:space="preserve"> </v>
      </c>
      <c r="L1446" s="28" t="str">
        <f>IF(C1446=""," ",[1]!s_wq_pctchange($C1446,$N$1))</f>
        <v xml:space="preserve"> </v>
      </c>
      <c r="M1446" s="28" t="str">
        <f>IF(C1446=""," ",[1]!s_mq_pctchange($C1446,$N$1))</f>
        <v xml:space="preserve"> </v>
      </c>
      <c r="N1446" s="28" t="str">
        <f>IF(C1446=""," ",[1]!s_yq_pctchange($C1446,$N$1))</f>
        <v xml:space="preserve"> </v>
      </c>
      <c r="O1446" s="11"/>
      <c r="P1446" s="7"/>
    </row>
    <row r="1447" spans="1:16" x14ac:dyDescent="0.35">
      <c r="A1447" s="7"/>
      <c r="C1447" s="30" t="str">
        <f>IF(指数列表!B1444="","",指数列表!B1444)</f>
        <v/>
      </c>
      <c r="D1447" s="35" t="str">
        <f>IF(C1447="","",[1]!s_info_name(C1447))</f>
        <v/>
      </c>
      <c r="E1447" s="24" t="str">
        <f>IF(C1447="","",[1]!s_dq_close(C1447,$N$1))</f>
        <v/>
      </c>
      <c r="F1447" s="28" t="str">
        <f>IF($C1447=""," ",[1]!i_pq_pctchange($C1447,F$6,$N$1))</f>
        <v xml:space="preserve"> </v>
      </c>
      <c r="G1447" s="28" t="str">
        <f>IF($C1447=""," ",[1]!i_pq_pctchange($C1447,G$6,$N$1))</f>
        <v xml:space="preserve"> </v>
      </c>
      <c r="H1447" s="28" t="str">
        <f>IF($C1447=""," ",[1]!i_pq_pctchange($C1447,H$6,$N$1))</f>
        <v xml:space="preserve"> </v>
      </c>
      <c r="I1447" s="28" t="str">
        <f>IF($C1447=""," ",[1]!i_pq_pctchange($C1447,I$6,$N$1))</f>
        <v xml:space="preserve"> </v>
      </c>
      <c r="J1447" s="28" t="str">
        <f>IF($C1447=""," ",[1]!i_pq_pctchange($C1447,J$6,$N$1))</f>
        <v xml:space="preserve"> </v>
      </c>
      <c r="K1447" s="28" t="str">
        <f>IF($C1447=""," ",[1]!i_pq_pctchange($C1447,K$6,$N$1))</f>
        <v xml:space="preserve"> </v>
      </c>
      <c r="L1447" s="28" t="str">
        <f>IF(C1447=""," ",[1]!s_wq_pctchange($C1447,$N$1))</f>
        <v xml:space="preserve"> </v>
      </c>
      <c r="M1447" s="28" t="str">
        <f>IF(C1447=""," ",[1]!s_mq_pctchange($C1447,$N$1))</f>
        <v xml:space="preserve"> </v>
      </c>
      <c r="N1447" s="28" t="str">
        <f>IF(C1447=""," ",[1]!s_yq_pctchange($C1447,$N$1))</f>
        <v xml:space="preserve"> </v>
      </c>
      <c r="O1447" s="11"/>
      <c r="P1447" s="7"/>
    </row>
    <row r="1448" spans="1:16" x14ac:dyDescent="0.35">
      <c r="A1448" s="7"/>
      <c r="C1448" s="31" t="str">
        <f>IF(指数列表!B1445="","",指数列表!B1445)</f>
        <v/>
      </c>
      <c r="D1448" s="36" t="str">
        <f>IF(C1448="","",[1]!s_info_name(C1448))</f>
        <v/>
      </c>
      <c r="E1448" s="25" t="str">
        <f>IF(C1448="","",[1]!s_dq_close(C1448,$N$1))</f>
        <v/>
      </c>
      <c r="F1448" s="28" t="str">
        <f>IF($C1448=""," ",[1]!i_pq_pctchange($C1448,F$6,$N$1))</f>
        <v xml:space="preserve"> </v>
      </c>
      <c r="G1448" s="28" t="str">
        <f>IF($C1448=""," ",[1]!i_pq_pctchange($C1448,G$6,$N$1))</f>
        <v xml:space="preserve"> </v>
      </c>
      <c r="H1448" s="28" t="str">
        <f>IF($C1448=""," ",[1]!i_pq_pctchange($C1448,H$6,$N$1))</f>
        <v xml:space="preserve"> </v>
      </c>
      <c r="I1448" s="28" t="str">
        <f>IF($C1448=""," ",[1]!i_pq_pctchange($C1448,I$6,$N$1))</f>
        <v xml:space="preserve"> </v>
      </c>
      <c r="J1448" s="28" t="str">
        <f>IF($C1448=""," ",[1]!i_pq_pctchange($C1448,J$6,$N$1))</f>
        <v xml:space="preserve"> </v>
      </c>
      <c r="K1448" s="28" t="str">
        <f>IF($C1448=""," ",[1]!i_pq_pctchange($C1448,K$6,$N$1))</f>
        <v xml:space="preserve"> </v>
      </c>
      <c r="L1448" s="28" t="str">
        <f>IF(C1448=""," ",[1]!s_wq_pctchange($C1448,$N$1))</f>
        <v xml:space="preserve"> </v>
      </c>
      <c r="M1448" s="28" t="str">
        <f>IF(C1448=""," ",[1]!s_mq_pctchange($C1448,$N$1))</f>
        <v xml:space="preserve"> </v>
      </c>
      <c r="N1448" s="28" t="str">
        <f>IF(C1448=""," ",[1]!s_yq_pctchange($C1448,$N$1))</f>
        <v xml:space="preserve"> </v>
      </c>
      <c r="O1448" s="11"/>
      <c r="P1448" s="7"/>
    </row>
    <row r="1449" spans="1:16" x14ac:dyDescent="0.35">
      <c r="A1449" s="7"/>
      <c r="C1449" s="30" t="str">
        <f>IF(指数列表!B1446="","",指数列表!B1446)</f>
        <v/>
      </c>
      <c r="D1449" s="35" t="str">
        <f>IF(C1449="","",[1]!s_info_name(C1449))</f>
        <v/>
      </c>
      <c r="E1449" s="24" t="str">
        <f>IF(C1449="","",[1]!s_dq_close(C1449,$N$1))</f>
        <v/>
      </c>
      <c r="F1449" s="28" t="str">
        <f>IF($C1449=""," ",[1]!i_pq_pctchange($C1449,F$6,$N$1))</f>
        <v xml:space="preserve"> </v>
      </c>
      <c r="G1449" s="28" t="str">
        <f>IF($C1449=""," ",[1]!i_pq_pctchange($C1449,G$6,$N$1))</f>
        <v xml:space="preserve"> </v>
      </c>
      <c r="H1449" s="28" t="str">
        <f>IF($C1449=""," ",[1]!i_pq_pctchange($C1449,H$6,$N$1))</f>
        <v xml:space="preserve"> </v>
      </c>
      <c r="I1449" s="28" t="str">
        <f>IF($C1449=""," ",[1]!i_pq_pctchange($C1449,I$6,$N$1))</f>
        <v xml:space="preserve"> </v>
      </c>
      <c r="J1449" s="28" t="str">
        <f>IF($C1449=""," ",[1]!i_pq_pctchange($C1449,J$6,$N$1))</f>
        <v xml:space="preserve"> </v>
      </c>
      <c r="K1449" s="28" t="str">
        <f>IF($C1449=""," ",[1]!i_pq_pctchange($C1449,K$6,$N$1))</f>
        <v xml:space="preserve"> </v>
      </c>
      <c r="L1449" s="28" t="str">
        <f>IF(C1449=""," ",[1]!s_wq_pctchange($C1449,$N$1))</f>
        <v xml:space="preserve"> </v>
      </c>
      <c r="M1449" s="28" t="str">
        <f>IF(C1449=""," ",[1]!s_mq_pctchange($C1449,$N$1))</f>
        <v xml:space="preserve"> </v>
      </c>
      <c r="N1449" s="28" t="str">
        <f>IF(C1449=""," ",[1]!s_yq_pctchange($C1449,$N$1))</f>
        <v xml:space="preserve"> </v>
      </c>
      <c r="O1449" s="11"/>
      <c r="P1449" s="7"/>
    </row>
    <row r="1450" spans="1:16" x14ac:dyDescent="0.35">
      <c r="A1450" s="7"/>
      <c r="C1450" s="31" t="str">
        <f>IF(指数列表!B1447="","",指数列表!B1447)</f>
        <v/>
      </c>
      <c r="D1450" s="36" t="str">
        <f>IF(C1450="","",[1]!s_info_name(C1450))</f>
        <v/>
      </c>
      <c r="E1450" s="25" t="str">
        <f>IF(C1450="","",[1]!s_dq_close(C1450,$N$1))</f>
        <v/>
      </c>
      <c r="F1450" s="28" t="str">
        <f>IF($C1450=""," ",[1]!i_pq_pctchange($C1450,F$6,$N$1))</f>
        <v xml:space="preserve"> </v>
      </c>
      <c r="G1450" s="28" t="str">
        <f>IF($C1450=""," ",[1]!i_pq_pctchange($C1450,G$6,$N$1))</f>
        <v xml:space="preserve"> </v>
      </c>
      <c r="H1450" s="28" t="str">
        <f>IF($C1450=""," ",[1]!i_pq_pctchange($C1450,H$6,$N$1))</f>
        <v xml:space="preserve"> </v>
      </c>
      <c r="I1450" s="28" t="str">
        <f>IF($C1450=""," ",[1]!i_pq_pctchange($C1450,I$6,$N$1))</f>
        <v xml:space="preserve"> </v>
      </c>
      <c r="J1450" s="28" t="str">
        <f>IF($C1450=""," ",[1]!i_pq_pctchange($C1450,J$6,$N$1))</f>
        <v xml:space="preserve"> </v>
      </c>
      <c r="K1450" s="28" t="str">
        <f>IF($C1450=""," ",[1]!i_pq_pctchange($C1450,K$6,$N$1))</f>
        <v xml:space="preserve"> </v>
      </c>
      <c r="L1450" s="28" t="str">
        <f>IF(C1450=""," ",[1]!s_wq_pctchange($C1450,$N$1))</f>
        <v xml:space="preserve"> </v>
      </c>
      <c r="M1450" s="28" t="str">
        <f>IF(C1450=""," ",[1]!s_mq_pctchange($C1450,$N$1))</f>
        <v xml:space="preserve"> </v>
      </c>
      <c r="N1450" s="28" t="str">
        <f>IF(C1450=""," ",[1]!s_yq_pctchange($C1450,$N$1))</f>
        <v xml:space="preserve"> </v>
      </c>
      <c r="O1450" s="11"/>
      <c r="P1450" s="7"/>
    </row>
    <row r="1451" spans="1:16" x14ac:dyDescent="0.35">
      <c r="A1451" s="7"/>
      <c r="C1451" s="30" t="str">
        <f>IF(指数列表!B1448="","",指数列表!B1448)</f>
        <v/>
      </c>
      <c r="D1451" s="35" t="str">
        <f>IF(C1451="","",[1]!s_info_name(C1451))</f>
        <v/>
      </c>
      <c r="E1451" s="24" t="str">
        <f>IF(C1451="","",[1]!s_dq_close(C1451,$N$1))</f>
        <v/>
      </c>
      <c r="F1451" s="28" t="str">
        <f>IF($C1451=""," ",[1]!i_pq_pctchange($C1451,F$6,$N$1))</f>
        <v xml:space="preserve"> </v>
      </c>
      <c r="G1451" s="28" t="str">
        <f>IF($C1451=""," ",[1]!i_pq_pctchange($C1451,G$6,$N$1))</f>
        <v xml:space="preserve"> </v>
      </c>
      <c r="H1451" s="28" t="str">
        <f>IF($C1451=""," ",[1]!i_pq_pctchange($C1451,H$6,$N$1))</f>
        <v xml:space="preserve"> </v>
      </c>
      <c r="I1451" s="28" t="str">
        <f>IF($C1451=""," ",[1]!i_pq_pctchange($C1451,I$6,$N$1))</f>
        <v xml:space="preserve"> </v>
      </c>
      <c r="J1451" s="28" t="str">
        <f>IF($C1451=""," ",[1]!i_pq_pctchange($C1451,J$6,$N$1))</f>
        <v xml:space="preserve"> </v>
      </c>
      <c r="K1451" s="28" t="str">
        <f>IF($C1451=""," ",[1]!i_pq_pctchange($C1451,K$6,$N$1))</f>
        <v xml:space="preserve"> </v>
      </c>
      <c r="L1451" s="28" t="str">
        <f>IF(C1451=""," ",[1]!s_wq_pctchange($C1451,$N$1))</f>
        <v xml:space="preserve"> </v>
      </c>
      <c r="M1451" s="28" t="str">
        <f>IF(C1451=""," ",[1]!s_mq_pctchange($C1451,$N$1))</f>
        <v xml:space="preserve"> </v>
      </c>
      <c r="N1451" s="28" t="str">
        <f>IF(C1451=""," ",[1]!s_yq_pctchange($C1451,$N$1))</f>
        <v xml:space="preserve"> </v>
      </c>
      <c r="O1451" s="11"/>
      <c r="P1451" s="7"/>
    </row>
    <row r="1452" spans="1:16" x14ac:dyDescent="0.35">
      <c r="A1452" s="7"/>
      <c r="C1452" s="31" t="str">
        <f>IF(指数列表!B1449="","",指数列表!B1449)</f>
        <v/>
      </c>
      <c r="D1452" s="36" t="str">
        <f>IF(C1452="","",[1]!s_info_name(C1452))</f>
        <v/>
      </c>
      <c r="E1452" s="25" t="str">
        <f>IF(C1452="","",[1]!s_dq_close(C1452,$N$1))</f>
        <v/>
      </c>
      <c r="F1452" s="28" t="str">
        <f>IF($C1452=""," ",[1]!i_pq_pctchange($C1452,F$6,$N$1))</f>
        <v xml:space="preserve"> </v>
      </c>
      <c r="G1452" s="28" t="str">
        <f>IF($C1452=""," ",[1]!i_pq_pctchange($C1452,G$6,$N$1))</f>
        <v xml:space="preserve"> </v>
      </c>
      <c r="H1452" s="28" t="str">
        <f>IF($C1452=""," ",[1]!i_pq_pctchange($C1452,H$6,$N$1))</f>
        <v xml:space="preserve"> </v>
      </c>
      <c r="I1452" s="28" t="str">
        <f>IF($C1452=""," ",[1]!i_pq_pctchange($C1452,I$6,$N$1))</f>
        <v xml:space="preserve"> </v>
      </c>
      <c r="J1452" s="28" t="str">
        <f>IF($C1452=""," ",[1]!i_pq_pctchange($C1452,J$6,$N$1))</f>
        <v xml:space="preserve"> </v>
      </c>
      <c r="K1452" s="28" t="str">
        <f>IF($C1452=""," ",[1]!i_pq_pctchange($C1452,K$6,$N$1))</f>
        <v xml:space="preserve"> </v>
      </c>
      <c r="L1452" s="28" t="str">
        <f>IF(C1452=""," ",[1]!s_wq_pctchange($C1452,$N$1))</f>
        <v xml:space="preserve"> </v>
      </c>
      <c r="M1452" s="28" t="str">
        <f>IF(C1452=""," ",[1]!s_mq_pctchange($C1452,$N$1))</f>
        <v xml:space="preserve"> </v>
      </c>
      <c r="N1452" s="28" t="str">
        <f>IF(C1452=""," ",[1]!s_yq_pctchange($C1452,$N$1))</f>
        <v xml:space="preserve"> </v>
      </c>
      <c r="O1452" s="11"/>
      <c r="P1452" s="7"/>
    </row>
    <row r="1453" spans="1:16" x14ac:dyDescent="0.35">
      <c r="A1453" s="7"/>
      <c r="C1453" s="30" t="str">
        <f>IF(指数列表!B1450="","",指数列表!B1450)</f>
        <v/>
      </c>
      <c r="D1453" s="35" t="str">
        <f>IF(C1453="","",[1]!s_info_name(C1453))</f>
        <v/>
      </c>
      <c r="E1453" s="24" t="str">
        <f>IF(C1453="","",[1]!s_dq_close(C1453,$N$1))</f>
        <v/>
      </c>
      <c r="F1453" s="28" t="str">
        <f>IF($C1453=""," ",[1]!i_pq_pctchange($C1453,F$6,$N$1))</f>
        <v xml:space="preserve"> </v>
      </c>
      <c r="G1453" s="28" t="str">
        <f>IF($C1453=""," ",[1]!i_pq_pctchange($C1453,G$6,$N$1))</f>
        <v xml:space="preserve"> </v>
      </c>
      <c r="H1453" s="28" t="str">
        <f>IF($C1453=""," ",[1]!i_pq_pctchange($C1453,H$6,$N$1))</f>
        <v xml:space="preserve"> </v>
      </c>
      <c r="I1453" s="28" t="str">
        <f>IF($C1453=""," ",[1]!i_pq_pctchange($C1453,I$6,$N$1))</f>
        <v xml:space="preserve"> </v>
      </c>
      <c r="J1453" s="28" t="str">
        <f>IF($C1453=""," ",[1]!i_pq_pctchange($C1453,J$6,$N$1))</f>
        <v xml:space="preserve"> </v>
      </c>
      <c r="K1453" s="28" t="str">
        <f>IF($C1453=""," ",[1]!i_pq_pctchange($C1453,K$6,$N$1))</f>
        <v xml:space="preserve"> </v>
      </c>
      <c r="L1453" s="28" t="str">
        <f>IF(C1453=""," ",[1]!s_wq_pctchange($C1453,$N$1))</f>
        <v xml:space="preserve"> </v>
      </c>
      <c r="M1453" s="28" t="str">
        <f>IF(C1453=""," ",[1]!s_mq_pctchange($C1453,$N$1))</f>
        <v xml:space="preserve"> </v>
      </c>
      <c r="N1453" s="28" t="str">
        <f>IF(C1453=""," ",[1]!s_yq_pctchange($C1453,$N$1))</f>
        <v xml:space="preserve"> </v>
      </c>
      <c r="O1453" s="11"/>
      <c r="P1453" s="7"/>
    </row>
    <row r="1454" spans="1:16" x14ac:dyDescent="0.35">
      <c r="A1454" s="7"/>
      <c r="C1454" s="31" t="str">
        <f>IF(指数列表!B1451="","",指数列表!B1451)</f>
        <v/>
      </c>
      <c r="D1454" s="36" t="str">
        <f>IF(C1454="","",[1]!s_info_name(C1454))</f>
        <v/>
      </c>
      <c r="E1454" s="25" t="str">
        <f>IF(C1454="","",[1]!s_dq_close(C1454,$N$1))</f>
        <v/>
      </c>
      <c r="F1454" s="28" t="str">
        <f>IF($C1454=""," ",[1]!i_pq_pctchange($C1454,F$6,$N$1))</f>
        <v xml:space="preserve"> </v>
      </c>
      <c r="G1454" s="28" t="str">
        <f>IF($C1454=""," ",[1]!i_pq_pctchange($C1454,G$6,$N$1))</f>
        <v xml:space="preserve"> </v>
      </c>
      <c r="H1454" s="28" t="str">
        <f>IF($C1454=""," ",[1]!i_pq_pctchange($C1454,H$6,$N$1))</f>
        <v xml:space="preserve"> </v>
      </c>
      <c r="I1454" s="28" t="str">
        <f>IF($C1454=""," ",[1]!i_pq_pctchange($C1454,I$6,$N$1))</f>
        <v xml:space="preserve"> </v>
      </c>
      <c r="J1454" s="28" t="str">
        <f>IF($C1454=""," ",[1]!i_pq_pctchange($C1454,J$6,$N$1))</f>
        <v xml:space="preserve"> </v>
      </c>
      <c r="K1454" s="28" t="str">
        <f>IF($C1454=""," ",[1]!i_pq_pctchange($C1454,K$6,$N$1))</f>
        <v xml:space="preserve"> </v>
      </c>
      <c r="L1454" s="28" t="str">
        <f>IF(C1454=""," ",[1]!s_wq_pctchange($C1454,$N$1))</f>
        <v xml:space="preserve"> </v>
      </c>
      <c r="M1454" s="28" t="str">
        <f>IF(C1454=""," ",[1]!s_mq_pctchange($C1454,$N$1))</f>
        <v xml:space="preserve"> </v>
      </c>
      <c r="N1454" s="28" t="str">
        <f>IF(C1454=""," ",[1]!s_yq_pctchange($C1454,$N$1))</f>
        <v xml:space="preserve"> </v>
      </c>
      <c r="O1454" s="11"/>
      <c r="P1454" s="7"/>
    </row>
    <row r="1455" spans="1:16" x14ac:dyDescent="0.35">
      <c r="A1455" s="7"/>
      <c r="C1455" s="30" t="str">
        <f>IF(指数列表!B1452="","",指数列表!B1452)</f>
        <v/>
      </c>
      <c r="D1455" s="35" t="str">
        <f>IF(C1455="","",[1]!s_info_name(C1455))</f>
        <v/>
      </c>
      <c r="E1455" s="24" t="str">
        <f>IF(C1455="","",[1]!s_dq_close(C1455,$N$1))</f>
        <v/>
      </c>
      <c r="F1455" s="28" t="str">
        <f>IF($C1455=""," ",[1]!i_pq_pctchange($C1455,F$6,$N$1))</f>
        <v xml:space="preserve"> </v>
      </c>
      <c r="G1455" s="28" t="str">
        <f>IF($C1455=""," ",[1]!i_pq_pctchange($C1455,G$6,$N$1))</f>
        <v xml:space="preserve"> </v>
      </c>
      <c r="H1455" s="28" t="str">
        <f>IF($C1455=""," ",[1]!i_pq_pctchange($C1455,H$6,$N$1))</f>
        <v xml:space="preserve"> </v>
      </c>
      <c r="I1455" s="28" t="str">
        <f>IF($C1455=""," ",[1]!i_pq_pctchange($C1455,I$6,$N$1))</f>
        <v xml:space="preserve"> </v>
      </c>
      <c r="J1455" s="28" t="str">
        <f>IF($C1455=""," ",[1]!i_pq_pctchange($C1455,J$6,$N$1))</f>
        <v xml:space="preserve"> </v>
      </c>
      <c r="K1455" s="28" t="str">
        <f>IF($C1455=""," ",[1]!i_pq_pctchange($C1455,K$6,$N$1))</f>
        <v xml:space="preserve"> </v>
      </c>
      <c r="L1455" s="28" t="str">
        <f>IF(C1455=""," ",[1]!s_wq_pctchange($C1455,$N$1))</f>
        <v xml:space="preserve"> </v>
      </c>
      <c r="M1455" s="28" t="str">
        <f>IF(C1455=""," ",[1]!s_mq_pctchange($C1455,$N$1))</f>
        <v xml:space="preserve"> </v>
      </c>
      <c r="N1455" s="28" t="str">
        <f>IF(C1455=""," ",[1]!s_yq_pctchange($C1455,$N$1))</f>
        <v xml:space="preserve"> </v>
      </c>
      <c r="O1455" s="11"/>
      <c r="P1455" s="7"/>
    </row>
    <row r="1456" spans="1:16" x14ac:dyDescent="0.35">
      <c r="A1456" s="7"/>
      <c r="C1456" s="31" t="str">
        <f>IF(指数列表!B1453="","",指数列表!B1453)</f>
        <v/>
      </c>
      <c r="D1456" s="36" t="str">
        <f>IF(C1456="","",[1]!s_info_name(C1456))</f>
        <v/>
      </c>
      <c r="E1456" s="25" t="str">
        <f>IF(C1456="","",[1]!s_dq_close(C1456,$N$1))</f>
        <v/>
      </c>
      <c r="F1456" s="28" t="str">
        <f>IF($C1456=""," ",[1]!i_pq_pctchange($C1456,F$6,$N$1))</f>
        <v xml:space="preserve"> </v>
      </c>
      <c r="G1456" s="28" t="str">
        <f>IF($C1456=""," ",[1]!i_pq_pctchange($C1456,G$6,$N$1))</f>
        <v xml:space="preserve"> </v>
      </c>
      <c r="H1456" s="28" t="str">
        <f>IF($C1456=""," ",[1]!i_pq_pctchange($C1456,H$6,$N$1))</f>
        <v xml:space="preserve"> </v>
      </c>
      <c r="I1456" s="28" t="str">
        <f>IF($C1456=""," ",[1]!i_pq_pctchange($C1456,I$6,$N$1))</f>
        <v xml:space="preserve"> </v>
      </c>
      <c r="J1456" s="28" t="str">
        <f>IF($C1456=""," ",[1]!i_pq_pctchange($C1456,J$6,$N$1))</f>
        <v xml:space="preserve"> </v>
      </c>
      <c r="K1456" s="28" t="str">
        <f>IF($C1456=""," ",[1]!i_pq_pctchange($C1456,K$6,$N$1))</f>
        <v xml:space="preserve"> </v>
      </c>
      <c r="L1456" s="28" t="str">
        <f>IF(C1456=""," ",[1]!s_wq_pctchange($C1456,$N$1))</f>
        <v xml:space="preserve"> </v>
      </c>
      <c r="M1456" s="28" t="str">
        <f>IF(C1456=""," ",[1]!s_mq_pctchange($C1456,$N$1))</f>
        <v xml:space="preserve"> </v>
      </c>
      <c r="N1456" s="28" t="str">
        <f>IF(C1456=""," ",[1]!s_yq_pctchange($C1456,$N$1))</f>
        <v xml:space="preserve"> </v>
      </c>
      <c r="O1456" s="11"/>
      <c r="P1456" s="7"/>
    </row>
    <row r="1457" spans="1:16" x14ac:dyDescent="0.35">
      <c r="A1457" s="7"/>
      <c r="C1457" s="30" t="str">
        <f>IF(指数列表!B1454="","",指数列表!B1454)</f>
        <v/>
      </c>
      <c r="D1457" s="35" t="str">
        <f>IF(C1457="","",[1]!s_info_name(C1457))</f>
        <v/>
      </c>
      <c r="E1457" s="24" t="str">
        <f>IF(C1457="","",[1]!s_dq_close(C1457,$N$1))</f>
        <v/>
      </c>
      <c r="F1457" s="28" t="str">
        <f>IF($C1457=""," ",[1]!i_pq_pctchange($C1457,F$6,$N$1))</f>
        <v xml:space="preserve"> </v>
      </c>
      <c r="G1457" s="28" t="str">
        <f>IF($C1457=""," ",[1]!i_pq_pctchange($C1457,G$6,$N$1))</f>
        <v xml:space="preserve"> </v>
      </c>
      <c r="H1457" s="28" t="str">
        <f>IF($C1457=""," ",[1]!i_pq_pctchange($C1457,H$6,$N$1))</f>
        <v xml:space="preserve"> </v>
      </c>
      <c r="I1457" s="28" t="str">
        <f>IF($C1457=""," ",[1]!i_pq_pctchange($C1457,I$6,$N$1))</f>
        <v xml:space="preserve"> </v>
      </c>
      <c r="J1457" s="28" t="str">
        <f>IF($C1457=""," ",[1]!i_pq_pctchange($C1457,J$6,$N$1))</f>
        <v xml:space="preserve"> </v>
      </c>
      <c r="K1457" s="28" t="str">
        <f>IF($C1457=""," ",[1]!i_pq_pctchange($C1457,K$6,$N$1))</f>
        <v xml:space="preserve"> </v>
      </c>
      <c r="L1457" s="28" t="str">
        <f>IF(C1457=""," ",[1]!s_wq_pctchange($C1457,$N$1))</f>
        <v xml:space="preserve"> </v>
      </c>
      <c r="M1457" s="28" t="str">
        <f>IF(C1457=""," ",[1]!s_mq_pctchange($C1457,$N$1))</f>
        <v xml:space="preserve"> </v>
      </c>
      <c r="N1457" s="28" t="str">
        <f>IF(C1457=""," ",[1]!s_yq_pctchange($C1457,$N$1))</f>
        <v xml:space="preserve"> </v>
      </c>
      <c r="O1457" s="11"/>
      <c r="P1457" s="7"/>
    </row>
    <row r="1458" spans="1:16" x14ac:dyDescent="0.35">
      <c r="A1458" s="7"/>
      <c r="C1458" s="31" t="str">
        <f>IF(指数列表!B1455="","",指数列表!B1455)</f>
        <v/>
      </c>
      <c r="D1458" s="36" t="str">
        <f>IF(C1458="","",[1]!s_info_name(C1458))</f>
        <v/>
      </c>
      <c r="E1458" s="25" t="str">
        <f>IF(C1458="","",[1]!s_dq_close(C1458,$N$1))</f>
        <v/>
      </c>
      <c r="F1458" s="28" t="str">
        <f>IF($C1458=""," ",[1]!i_pq_pctchange($C1458,F$6,$N$1))</f>
        <v xml:space="preserve"> </v>
      </c>
      <c r="G1458" s="28" t="str">
        <f>IF($C1458=""," ",[1]!i_pq_pctchange($C1458,G$6,$N$1))</f>
        <v xml:space="preserve"> </v>
      </c>
      <c r="H1458" s="28" t="str">
        <f>IF($C1458=""," ",[1]!i_pq_pctchange($C1458,H$6,$N$1))</f>
        <v xml:space="preserve"> </v>
      </c>
      <c r="I1458" s="28" t="str">
        <f>IF($C1458=""," ",[1]!i_pq_pctchange($C1458,I$6,$N$1))</f>
        <v xml:space="preserve"> </v>
      </c>
      <c r="J1458" s="28" t="str">
        <f>IF($C1458=""," ",[1]!i_pq_pctchange($C1458,J$6,$N$1))</f>
        <v xml:space="preserve"> </v>
      </c>
      <c r="K1458" s="28" t="str">
        <f>IF($C1458=""," ",[1]!i_pq_pctchange($C1458,K$6,$N$1))</f>
        <v xml:space="preserve"> </v>
      </c>
      <c r="L1458" s="28" t="str">
        <f>IF(C1458=""," ",[1]!s_wq_pctchange($C1458,$N$1))</f>
        <v xml:space="preserve"> </v>
      </c>
      <c r="M1458" s="28" t="str">
        <f>IF(C1458=""," ",[1]!s_mq_pctchange($C1458,$N$1))</f>
        <v xml:space="preserve"> </v>
      </c>
      <c r="N1458" s="28" t="str">
        <f>IF(C1458=""," ",[1]!s_yq_pctchange($C1458,$N$1))</f>
        <v xml:space="preserve"> </v>
      </c>
      <c r="O1458" s="11"/>
      <c r="P1458" s="7"/>
    </row>
    <row r="1459" spans="1:16" x14ac:dyDescent="0.35">
      <c r="A1459" s="7"/>
      <c r="C1459" s="30" t="str">
        <f>IF(指数列表!B1456="","",指数列表!B1456)</f>
        <v/>
      </c>
      <c r="D1459" s="35" t="str">
        <f>IF(C1459="","",[1]!s_info_name(C1459))</f>
        <v/>
      </c>
      <c r="E1459" s="24" t="str">
        <f>IF(C1459="","",[1]!s_dq_close(C1459,$N$1))</f>
        <v/>
      </c>
      <c r="F1459" s="28" t="str">
        <f>IF($C1459=""," ",[1]!i_pq_pctchange($C1459,F$6,$N$1))</f>
        <v xml:space="preserve"> </v>
      </c>
      <c r="G1459" s="28" t="str">
        <f>IF($C1459=""," ",[1]!i_pq_pctchange($C1459,G$6,$N$1))</f>
        <v xml:space="preserve"> </v>
      </c>
      <c r="H1459" s="28" t="str">
        <f>IF($C1459=""," ",[1]!i_pq_pctchange($C1459,H$6,$N$1))</f>
        <v xml:space="preserve"> </v>
      </c>
      <c r="I1459" s="28" t="str">
        <f>IF($C1459=""," ",[1]!i_pq_pctchange($C1459,I$6,$N$1))</f>
        <v xml:space="preserve"> </v>
      </c>
      <c r="J1459" s="28" t="str">
        <f>IF($C1459=""," ",[1]!i_pq_pctchange($C1459,J$6,$N$1))</f>
        <v xml:space="preserve"> </v>
      </c>
      <c r="K1459" s="28" t="str">
        <f>IF($C1459=""," ",[1]!i_pq_pctchange($C1459,K$6,$N$1))</f>
        <v xml:space="preserve"> </v>
      </c>
      <c r="L1459" s="28" t="str">
        <f>IF(C1459=""," ",[1]!s_wq_pctchange($C1459,$N$1))</f>
        <v xml:space="preserve"> </v>
      </c>
      <c r="M1459" s="28" t="str">
        <f>IF(C1459=""," ",[1]!s_mq_pctchange($C1459,$N$1))</f>
        <v xml:space="preserve"> </v>
      </c>
      <c r="N1459" s="28" t="str">
        <f>IF(C1459=""," ",[1]!s_yq_pctchange($C1459,$N$1))</f>
        <v xml:space="preserve"> </v>
      </c>
      <c r="O1459" s="11"/>
      <c r="P1459" s="7"/>
    </row>
    <row r="1460" spans="1:16" x14ac:dyDescent="0.35">
      <c r="A1460" s="7"/>
      <c r="C1460" s="31" t="str">
        <f>IF(指数列表!B1457="","",指数列表!B1457)</f>
        <v/>
      </c>
      <c r="D1460" s="36" t="str">
        <f>IF(C1460="","",[1]!s_info_name(C1460))</f>
        <v/>
      </c>
      <c r="E1460" s="25" t="str">
        <f>IF(C1460="","",[1]!s_dq_close(C1460,$N$1))</f>
        <v/>
      </c>
      <c r="F1460" s="28" t="str">
        <f>IF($C1460=""," ",[1]!i_pq_pctchange($C1460,F$6,$N$1))</f>
        <v xml:space="preserve"> </v>
      </c>
      <c r="G1460" s="28" t="str">
        <f>IF($C1460=""," ",[1]!i_pq_pctchange($C1460,G$6,$N$1))</f>
        <v xml:space="preserve"> </v>
      </c>
      <c r="H1460" s="28" t="str">
        <f>IF($C1460=""," ",[1]!i_pq_pctchange($C1460,H$6,$N$1))</f>
        <v xml:space="preserve"> </v>
      </c>
      <c r="I1460" s="28" t="str">
        <f>IF($C1460=""," ",[1]!i_pq_pctchange($C1460,I$6,$N$1))</f>
        <v xml:space="preserve"> </v>
      </c>
      <c r="J1460" s="28" t="str">
        <f>IF($C1460=""," ",[1]!i_pq_pctchange($C1460,J$6,$N$1))</f>
        <v xml:space="preserve"> </v>
      </c>
      <c r="K1460" s="28" t="str">
        <f>IF($C1460=""," ",[1]!i_pq_pctchange($C1460,K$6,$N$1))</f>
        <v xml:space="preserve"> </v>
      </c>
      <c r="L1460" s="28" t="str">
        <f>IF(C1460=""," ",[1]!s_wq_pctchange($C1460,$N$1))</f>
        <v xml:space="preserve"> </v>
      </c>
      <c r="M1460" s="28" t="str">
        <f>IF(C1460=""," ",[1]!s_mq_pctchange($C1460,$N$1))</f>
        <v xml:space="preserve"> </v>
      </c>
      <c r="N1460" s="28" t="str">
        <f>IF(C1460=""," ",[1]!s_yq_pctchange($C1460,$N$1))</f>
        <v xml:space="preserve"> </v>
      </c>
      <c r="O1460" s="11"/>
      <c r="P1460" s="7"/>
    </row>
    <row r="1461" spans="1:16" x14ac:dyDescent="0.35">
      <c r="A1461" s="7"/>
      <c r="C1461" s="30" t="str">
        <f>IF(指数列表!B1458="","",指数列表!B1458)</f>
        <v/>
      </c>
      <c r="D1461" s="35" t="str">
        <f>IF(C1461="","",[1]!s_info_name(C1461))</f>
        <v/>
      </c>
      <c r="E1461" s="24" t="str">
        <f>IF(C1461="","",[1]!s_dq_close(C1461,$N$1))</f>
        <v/>
      </c>
      <c r="F1461" s="28" t="str">
        <f>IF($C1461=""," ",[1]!i_pq_pctchange($C1461,F$6,$N$1))</f>
        <v xml:space="preserve"> </v>
      </c>
      <c r="G1461" s="28" t="str">
        <f>IF($C1461=""," ",[1]!i_pq_pctchange($C1461,G$6,$N$1))</f>
        <v xml:space="preserve"> </v>
      </c>
      <c r="H1461" s="28" t="str">
        <f>IF($C1461=""," ",[1]!i_pq_pctchange($C1461,H$6,$N$1))</f>
        <v xml:space="preserve"> </v>
      </c>
      <c r="I1461" s="28" t="str">
        <f>IF($C1461=""," ",[1]!i_pq_pctchange($C1461,I$6,$N$1))</f>
        <v xml:space="preserve"> </v>
      </c>
      <c r="J1461" s="28" t="str">
        <f>IF($C1461=""," ",[1]!i_pq_pctchange($C1461,J$6,$N$1))</f>
        <v xml:space="preserve"> </v>
      </c>
      <c r="K1461" s="28" t="str">
        <f>IF($C1461=""," ",[1]!i_pq_pctchange($C1461,K$6,$N$1))</f>
        <v xml:space="preserve"> </v>
      </c>
      <c r="L1461" s="28" t="str">
        <f>IF(C1461=""," ",[1]!s_wq_pctchange($C1461,$N$1))</f>
        <v xml:space="preserve"> </v>
      </c>
      <c r="M1461" s="28" t="str">
        <f>IF(C1461=""," ",[1]!s_mq_pctchange($C1461,$N$1))</f>
        <v xml:space="preserve"> </v>
      </c>
      <c r="N1461" s="28" t="str">
        <f>IF(C1461=""," ",[1]!s_yq_pctchange($C1461,$N$1))</f>
        <v xml:space="preserve"> </v>
      </c>
      <c r="O1461" s="11"/>
      <c r="P1461" s="7"/>
    </row>
    <row r="1462" spans="1:16" x14ac:dyDescent="0.35">
      <c r="A1462" s="7"/>
      <c r="C1462" s="31" t="str">
        <f>IF(指数列表!B1459="","",指数列表!B1459)</f>
        <v/>
      </c>
      <c r="D1462" s="36" t="str">
        <f>IF(C1462="","",[1]!s_info_name(C1462))</f>
        <v/>
      </c>
      <c r="E1462" s="25" t="str">
        <f>IF(C1462="","",[1]!s_dq_close(C1462,$N$1))</f>
        <v/>
      </c>
      <c r="F1462" s="28" t="str">
        <f>IF($C1462=""," ",[1]!i_pq_pctchange($C1462,F$6,$N$1))</f>
        <v xml:space="preserve"> </v>
      </c>
      <c r="G1462" s="28" t="str">
        <f>IF($C1462=""," ",[1]!i_pq_pctchange($C1462,G$6,$N$1))</f>
        <v xml:space="preserve"> </v>
      </c>
      <c r="H1462" s="28" t="str">
        <f>IF($C1462=""," ",[1]!i_pq_pctchange($C1462,H$6,$N$1))</f>
        <v xml:space="preserve"> </v>
      </c>
      <c r="I1462" s="28" t="str">
        <f>IF($C1462=""," ",[1]!i_pq_pctchange($C1462,I$6,$N$1))</f>
        <v xml:space="preserve"> </v>
      </c>
      <c r="J1462" s="28" t="str">
        <f>IF($C1462=""," ",[1]!i_pq_pctchange($C1462,J$6,$N$1))</f>
        <v xml:space="preserve"> </v>
      </c>
      <c r="K1462" s="28" t="str">
        <f>IF($C1462=""," ",[1]!i_pq_pctchange($C1462,K$6,$N$1))</f>
        <v xml:space="preserve"> </v>
      </c>
      <c r="L1462" s="28" t="str">
        <f>IF(C1462=""," ",[1]!s_wq_pctchange($C1462,$N$1))</f>
        <v xml:space="preserve"> </v>
      </c>
      <c r="M1462" s="28" t="str">
        <f>IF(C1462=""," ",[1]!s_mq_pctchange($C1462,$N$1))</f>
        <v xml:space="preserve"> </v>
      </c>
      <c r="N1462" s="28" t="str">
        <f>IF(C1462=""," ",[1]!s_yq_pctchange($C1462,$N$1))</f>
        <v xml:space="preserve"> </v>
      </c>
      <c r="O1462" s="11"/>
      <c r="P1462" s="7"/>
    </row>
    <row r="1463" spans="1:16" x14ac:dyDescent="0.35">
      <c r="A1463" s="7"/>
      <c r="C1463" s="30" t="str">
        <f>IF(指数列表!B1460="","",指数列表!B1460)</f>
        <v/>
      </c>
      <c r="D1463" s="35" t="str">
        <f>IF(C1463="","",[1]!s_info_name(C1463))</f>
        <v/>
      </c>
      <c r="E1463" s="24" t="str">
        <f>IF(C1463="","",[1]!s_dq_close(C1463,$N$1))</f>
        <v/>
      </c>
      <c r="F1463" s="28" t="str">
        <f>IF($C1463=""," ",[1]!i_pq_pctchange($C1463,F$6,$N$1))</f>
        <v xml:space="preserve"> </v>
      </c>
      <c r="G1463" s="28" t="str">
        <f>IF($C1463=""," ",[1]!i_pq_pctchange($C1463,G$6,$N$1))</f>
        <v xml:space="preserve"> </v>
      </c>
      <c r="H1463" s="28" t="str">
        <f>IF($C1463=""," ",[1]!i_pq_pctchange($C1463,H$6,$N$1))</f>
        <v xml:space="preserve"> </v>
      </c>
      <c r="I1463" s="28" t="str">
        <f>IF($C1463=""," ",[1]!i_pq_pctchange($C1463,I$6,$N$1))</f>
        <v xml:space="preserve"> </v>
      </c>
      <c r="J1463" s="28" t="str">
        <f>IF($C1463=""," ",[1]!i_pq_pctchange($C1463,J$6,$N$1))</f>
        <v xml:space="preserve"> </v>
      </c>
      <c r="K1463" s="28" t="str">
        <f>IF($C1463=""," ",[1]!i_pq_pctchange($C1463,K$6,$N$1))</f>
        <v xml:space="preserve"> </v>
      </c>
      <c r="L1463" s="28" t="str">
        <f>IF(C1463=""," ",[1]!s_wq_pctchange($C1463,$N$1))</f>
        <v xml:space="preserve"> </v>
      </c>
      <c r="M1463" s="28" t="str">
        <f>IF(C1463=""," ",[1]!s_mq_pctchange($C1463,$N$1))</f>
        <v xml:space="preserve"> </v>
      </c>
      <c r="N1463" s="28" t="str">
        <f>IF(C1463=""," ",[1]!s_yq_pctchange($C1463,$N$1))</f>
        <v xml:space="preserve"> </v>
      </c>
      <c r="O1463" s="11"/>
      <c r="P1463" s="7"/>
    </row>
    <row r="1464" spans="1:16" x14ac:dyDescent="0.35">
      <c r="A1464" s="7"/>
      <c r="C1464" s="31" t="str">
        <f>IF(指数列表!B1461="","",指数列表!B1461)</f>
        <v/>
      </c>
      <c r="D1464" s="36" t="str">
        <f>IF(C1464="","",[1]!s_info_name(C1464))</f>
        <v/>
      </c>
      <c r="E1464" s="25" t="str">
        <f>IF(C1464="","",[1]!s_dq_close(C1464,$N$1))</f>
        <v/>
      </c>
      <c r="F1464" s="28" t="str">
        <f>IF($C1464=""," ",[1]!i_pq_pctchange($C1464,F$6,$N$1))</f>
        <v xml:space="preserve"> </v>
      </c>
      <c r="G1464" s="28" t="str">
        <f>IF($C1464=""," ",[1]!i_pq_pctchange($C1464,G$6,$N$1))</f>
        <v xml:space="preserve"> </v>
      </c>
      <c r="H1464" s="28" t="str">
        <f>IF($C1464=""," ",[1]!i_pq_pctchange($C1464,H$6,$N$1))</f>
        <v xml:space="preserve"> </v>
      </c>
      <c r="I1464" s="28" t="str">
        <f>IF($C1464=""," ",[1]!i_pq_pctchange($C1464,I$6,$N$1))</f>
        <v xml:space="preserve"> </v>
      </c>
      <c r="J1464" s="28" t="str">
        <f>IF($C1464=""," ",[1]!i_pq_pctchange($C1464,J$6,$N$1))</f>
        <v xml:space="preserve"> </v>
      </c>
      <c r="K1464" s="28" t="str">
        <f>IF($C1464=""," ",[1]!i_pq_pctchange($C1464,K$6,$N$1))</f>
        <v xml:space="preserve"> </v>
      </c>
      <c r="L1464" s="28" t="str">
        <f>IF(C1464=""," ",[1]!s_wq_pctchange($C1464,$N$1))</f>
        <v xml:space="preserve"> </v>
      </c>
      <c r="M1464" s="28" t="str">
        <f>IF(C1464=""," ",[1]!s_mq_pctchange($C1464,$N$1))</f>
        <v xml:space="preserve"> </v>
      </c>
      <c r="N1464" s="28" t="str">
        <f>IF(C1464=""," ",[1]!s_yq_pctchange($C1464,$N$1))</f>
        <v xml:space="preserve"> </v>
      </c>
      <c r="O1464" s="11"/>
      <c r="P1464" s="7"/>
    </row>
    <row r="1465" spans="1:16" x14ac:dyDescent="0.35">
      <c r="A1465" s="7"/>
      <c r="C1465" s="30" t="str">
        <f>IF(指数列表!B1462="","",指数列表!B1462)</f>
        <v/>
      </c>
      <c r="D1465" s="35" t="str">
        <f>IF(C1465="","",[1]!s_info_name(C1465))</f>
        <v/>
      </c>
      <c r="E1465" s="24" t="str">
        <f>IF(C1465="","",[1]!s_dq_close(C1465,$N$1))</f>
        <v/>
      </c>
      <c r="F1465" s="28" t="str">
        <f>IF($C1465=""," ",[1]!i_pq_pctchange($C1465,F$6,$N$1))</f>
        <v xml:space="preserve"> </v>
      </c>
      <c r="G1465" s="28" t="str">
        <f>IF($C1465=""," ",[1]!i_pq_pctchange($C1465,G$6,$N$1))</f>
        <v xml:space="preserve"> </v>
      </c>
      <c r="H1465" s="28" t="str">
        <f>IF($C1465=""," ",[1]!i_pq_pctchange($C1465,H$6,$N$1))</f>
        <v xml:space="preserve"> </v>
      </c>
      <c r="I1465" s="28" t="str">
        <f>IF($C1465=""," ",[1]!i_pq_pctchange($C1465,I$6,$N$1))</f>
        <v xml:space="preserve"> </v>
      </c>
      <c r="J1465" s="28" t="str">
        <f>IF($C1465=""," ",[1]!i_pq_pctchange($C1465,J$6,$N$1))</f>
        <v xml:space="preserve"> </v>
      </c>
      <c r="K1465" s="28" t="str">
        <f>IF($C1465=""," ",[1]!i_pq_pctchange($C1465,K$6,$N$1))</f>
        <v xml:space="preserve"> </v>
      </c>
      <c r="L1465" s="28" t="str">
        <f>IF(C1465=""," ",[1]!s_wq_pctchange($C1465,$N$1))</f>
        <v xml:space="preserve"> </v>
      </c>
      <c r="M1465" s="28" t="str">
        <f>IF(C1465=""," ",[1]!s_mq_pctchange($C1465,$N$1))</f>
        <v xml:space="preserve"> </v>
      </c>
      <c r="N1465" s="28" t="str">
        <f>IF(C1465=""," ",[1]!s_yq_pctchange($C1465,$N$1))</f>
        <v xml:space="preserve"> </v>
      </c>
      <c r="O1465" s="11"/>
      <c r="P1465" s="7"/>
    </row>
    <row r="1466" spans="1:16" x14ac:dyDescent="0.35">
      <c r="A1466" s="7"/>
      <c r="C1466" s="31" t="str">
        <f>IF(指数列表!B1463="","",指数列表!B1463)</f>
        <v/>
      </c>
      <c r="D1466" s="36" t="str">
        <f>IF(C1466="","",[1]!s_info_name(C1466))</f>
        <v/>
      </c>
      <c r="E1466" s="25" t="str">
        <f>IF(C1466="","",[1]!s_dq_close(C1466,$N$1))</f>
        <v/>
      </c>
      <c r="F1466" s="28" t="str">
        <f>IF($C1466=""," ",[1]!i_pq_pctchange($C1466,F$6,$N$1))</f>
        <v xml:space="preserve"> </v>
      </c>
      <c r="G1466" s="28" t="str">
        <f>IF($C1466=""," ",[1]!i_pq_pctchange($C1466,G$6,$N$1))</f>
        <v xml:space="preserve"> </v>
      </c>
      <c r="H1466" s="28" t="str">
        <f>IF($C1466=""," ",[1]!i_pq_pctchange($C1466,H$6,$N$1))</f>
        <v xml:space="preserve"> </v>
      </c>
      <c r="I1466" s="28" t="str">
        <f>IF($C1466=""," ",[1]!i_pq_pctchange($C1466,I$6,$N$1))</f>
        <v xml:space="preserve"> </v>
      </c>
      <c r="J1466" s="28" t="str">
        <f>IF($C1466=""," ",[1]!i_pq_pctchange($C1466,J$6,$N$1))</f>
        <v xml:space="preserve"> </v>
      </c>
      <c r="K1466" s="28" t="str">
        <f>IF($C1466=""," ",[1]!i_pq_pctchange($C1466,K$6,$N$1))</f>
        <v xml:space="preserve"> </v>
      </c>
      <c r="L1466" s="28" t="str">
        <f>IF(C1466=""," ",[1]!s_wq_pctchange($C1466,$N$1))</f>
        <v xml:space="preserve"> </v>
      </c>
      <c r="M1466" s="28" t="str">
        <f>IF(C1466=""," ",[1]!s_mq_pctchange($C1466,$N$1))</f>
        <v xml:space="preserve"> </v>
      </c>
      <c r="N1466" s="28" t="str">
        <f>IF(C1466=""," ",[1]!s_yq_pctchange($C1466,$N$1))</f>
        <v xml:space="preserve"> </v>
      </c>
      <c r="O1466" s="11"/>
      <c r="P1466" s="7"/>
    </row>
    <row r="1467" spans="1:16" x14ac:dyDescent="0.35">
      <c r="A1467" s="7"/>
      <c r="C1467" s="30" t="str">
        <f>IF(指数列表!B1464="","",指数列表!B1464)</f>
        <v/>
      </c>
      <c r="D1467" s="35" t="str">
        <f>IF(C1467="","",[1]!s_info_name(C1467))</f>
        <v/>
      </c>
      <c r="E1467" s="24" t="str">
        <f>IF(C1467="","",[1]!s_dq_close(C1467,$N$1))</f>
        <v/>
      </c>
      <c r="F1467" s="28" t="str">
        <f>IF($C1467=""," ",[1]!i_pq_pctchange($C1467,F$6,$N$1))</f>
        <v xml:space="preserve"> </v>
      </c>
      <c r="G1467" s="28" t="str">
        <f>IF($C1467=""," ",[1]!i_pq_pctchange($C1467,G$6,$N$1))</f>
        <v xml:space="preserve"> </v>
      </c>
      <c r="H1467" s="28" t="str">
        <f>IF($C1467=""," ",[1]!i_pq_pctchange($C1467,H$6,$N$1))</f>
        <v xml:space="preserve"> </v>
      </c>
      <c r="I1467" s="28" t="str">
        <f>IF($C1467=""," ",[1]!i_pq_pctchange($C1467,I$6,$N$1))</f>
        <v xml:space="preserve"> </v>
      </c>
      <c r="J1467" s="28" t="str">
        <f>IF($C1467=""," ",[1]!i_pq_pctchange($C1467,J$6,$N$1))</f>
        <v xml:space="preserve"> </v>
      </c>
      <c r="K1467" s="28" t="str">
        <f>IF($C1467=""," ",[1]!i_pq_pctchange($C1467,K$6,$N$1))</f>
        <v xml:space="preserve"> </v>
      </c>
      <c r="L1467" s="28" t="str">
        <f>IF(C1467=""," ",[1]!s_wq_pctchange($C1467,$N$1))</f>
        <v xml:space="preserve"> </v>
      </c>
      <c r="M1467" s="28" t="str">
        <f>IF(C1467=""," ",[1]!s_mq_pctchange($C1467,$N$1))</f>
        <v xml:space="preserve"> </v>
      </c>
      <c r="N1467" s="28" t="str">
        <f>IF(C1467=""," ",[1]!s_yq_pctchange($C1467,$N$1))</f>
        <v xml:space="preserve"> </v>
      </c>
      <c r="O1467" s="11"/>
      <c r="P1467" s="7"/>
    </row>
    <row r="1468" spans="1:16" x14ac:dyDescent="0.35">
      <c r="A1468" s="7"/>
      <c r="C1468" s="31" t="str">
        <f>IF(指数列表!B1465="","",指数列表!B1465)</f>
        <v/>
      </c>
      <c r="D1468" s="36" t="str">
        <f>IF(C1468="","",[1]!s_info_name(C1468))</f>
        <v/>
      </c>
      <c r="E1468" s="25" t="str">
        <f>IF(C1468="","",[1]!s_dq_close(C1468,$N$1))</f>
        <v/>
      </c>
      <c r="F1468" s="28" t="str">
        <f>IF($C1468=""," ",[1]!i_pq_pctchange($C1468,F$6,$N$1))</f>
        <v xml:space="preserve"> </v>
      </c>
      <c r="G1468" s="28" t="str">
        <f>IF($C1468=""," ",[1]!i_pq_pctchange($C1468,G$6,$N$1))</f>
        <v xml:space="preserve"> </v>
      </c>
      <c r="H1468" s="28" t="str">
        <f>IF($C1468=""," ",[1]!i_pq_pctchange($C1468,H$6,$N$1))</f>
        <v xml:space="preserve"> </v>
      </c>
      <c r="I1468" s="28" t="str">
        <f>IF($C1468=""," ",[1]!i_pq_pctchange($C1468,I$6,$N$1))</f>
        <v xml:space="preserve"> </v>
      </c>
      <c r="J1468" s="28" t="str">
        <f>IF($C1468=""," ",[1]!i_pq_pctchange($C1468,J$6,$N$1))</f>
        <v xml:space="preserve"> </v>
      </c>
      <c r="K1468" s="28" t="str">
        <f>IF($C1468=""," ",[1]!i_pq_pctchange($C1468,K$6,$N$1))</f>
        <v xml:space="preserve"> </v>
      </c>
      <c r="L1468" s="28" t="str">
        <f>IF(C1468=""," ",[1]!s_wq_pctchange($C1468,$N$1))</f>
        <v xml:space="preserve"> </v>
      </c>
      <c r="M1468" s="28" t="str">
        <f>IF(C1468=""," ",[1]!s_mq_pctchange($C1468,$N$1))</f>
        <v xml:space="preserve"> </v>
      </c>
      <c r="N1468" s="28" t="str">
        <f>IF(C1468=""," ",[1]!s_yq_pctchange($C1468,$N$1))</f>
        <v xml:space="preserve"> </v>
      </c>
      <c r="O1468" s="11"/>
      <c r="P1468" s="7"/>
    </row>
    <row r="1469" spans="1:16" x14ac:dyDescent="0.35">
      <c r="A1469" s="7"/>
      <c r="C1469" s="30" t="str">
        <f>IF(指数列表!B1466="","",指数列表!B1466)</f>
        <v/>
      </c>
      <c r="D1469" s="35" t="str">
        <f>IF(C1469="","",[1]!s_info_name(C1469))</f>
        <v/>
      </c>
      <c r="E1469" s="24" t="str">
        <f>IF(C1469="","",[1]!s_dq_close(C1469,$N$1))</f>
        <v/>
      </c>
      <c r="F1469" s="28" t="str">
        <f>IF($C1469=""," ",[1]!i_pq_pctchange($C1469,F$6,$N$1))</f>
        <v xml:space="preserve"> </v>
      </c>
      <c r="G1469" s="28" t="str">
        <f>IF($C1469=""," ",[1]!i_pq_pctchange($C1469,G$6,$N$1))</f>
        <v xml:space="preserve"> </v>
      </c>
      <c r="H1469" s="28" t="str">
        <f>IF($C1469=""," ",[1]!i_pq_pctchange($C1469,H$6,$N$1))</f>
        <v xml:space="preserve"> </v>
      </c>
      <c r="I1469" s="28" t="str">
        <f>IF($C1469=""," ",[1]!i_pq_pctchange($C1469,I$6,$N$1))</f>
        <v xml:space="preserve"> </v>
      </c>
      <c r="J1469" s="28" t="str">
        <f>IF($C1469=""," ",[1]!i_pq_pctchange($C1469,J$6,$N$1))</f>
        <v xml:space="preserve"> </v>
      </c>
      <c r="K1469" s="28" t="str">
        <f>IF($C1469=""," ",[1]!i_pq_pctchange($C1469,K$6,$N$1))</f>
        <v xml:space="preserve"> </v>
      </c>
      <c r="L1469" s="28" t="str">
        <f>IF(C1469=""," ",[1]!s_wq_pctchange($C1469,$N$1))</f>
        <v xml:space="preserve"> </v>
      </c>
      <c r="M1469" s="28" t="str">
        <f>IF(C1469=""," ",[1]!s_mq_pctchange($C1469,$N$1))</f>
        <v xml:space="preserve"> </v>
      </c>
      <c r="N1469" s="28" t="str">
        <f>IF(C1469=""," ",[1]!s_yq_pctchange($C1469,$N$1))</f>
        <v xml:space="preserve"> </v>
      </c>
      <c r="O1469" s="11"/>
      <c r="P1469" s="7"/>
    </row>
    <row r="1470" spans="1:16" x14ac:dyDescent="0.35">
      <c r="A1470" s="7"/>
      <c r="C1470" s="31" t="str">
        <f>IF(指数列表!B1467="","",指数列表!B1467)</f>
        <v/>
      </c>
      <c r="D1470" s="36" t="str">
        <f>IF(C1470="","",[1]!s_info_name(C1470))</f>
        <v/>
      </c>
      <c r="E1470" s="25" t="str">
        <f>IF(C1470="","",[1]!s_dq_close(C1470,$N$1))</f>
        <v/>
      </c>
      <c r="F1470" s="28" t="str">
        <f>IF($C1470=""," ",[1]!i_pq_pctchange($C1470,F$6,$N$1))</f>
        <v xml:space="preserve"> </v>
      </c>
      <c r="G1470" s="28" t="str">
        <f>IF($C1470=""," ",[1]!i_pq_pctchange($C1470,G$6,$N$1))</f>
        <v xml:space="preserve"> </v>
      </c>
      <c r="H1470" s="28" t="str">
        <f>IF($C1470=""," ",[1]!i_pq_pctchange($C1470,H$6,$N$1))</f>
        <v xml:space="preserve"> </v>
      </c>
      <c r="I1470" s="28" t="str">
        <f>IF($C1470=""," ",[1]!i_pq_pctchange($C1470,I$6,$N$1))</f>
        <v xml:space="preserve"> </v>
      </c>
      <c r="J1470" s="28" t="str">
        <f>IF($C1470=""," ",[1]!i_pq_pctchange($C1470,J$6,$N$1))</f>
        <v xml:space="preserve"> </v>
      </c>
      <c r="K1470" s="28" t="str">
        <f>IF($C1470=""," ",[1]!i_pq_pctchange($C1470,K$6,$N$1))</f>
        <v xml:space="preserve"> </v>
      </c>
      <c r="L1470" s="28" t="str">
        <f>IF(C1470=""," ",[1]!s_wq_pctchange($C1470,$N$1))</f>
        <v xml:space="preserve"> </v>
      </c>
      <c r="M1470" s="28" t="str">
        <f>IF(C1470=""," ",[1]!s_mq_pctchange($C1470,$N$1))</f>
        <v xml:space="preserve"> </v>
      </c>
      <c r="N1470" s="28" t="str">
        <f>IF(C1470=""," ",[1]!s_yq_pctchange($C1470,$N$1))</f>
        <v xml:space="preserve"> </v>
      </c>
      <c r="O1470" s="11"/>
      <c r="P1470" s="7"/>
    </row>
    <row r="1471" spans="1:16" x14ac:dyDescent="0.35">
      <c r="A1471" s="7"/>
      <c r="C1471" s="30" t="str">
        <f>IF(指数列表!B1468="","",指数列表!B1468)</f>
        <v/>
      </c>
      <c r="D1471" s="35" t="str">
        <f>IF(C1471="","",[1]!s_info_name(C1471))</f>
        <v/>
      </c>
      <c r="E1471" s="24" t="str">
        <f>IF(C1471="","",[1]!s_dq_close(C1471,$N$1))</f>
        <v/>
      </c>
      <c r="F1471" s="28" t="str">
        <f>IF($C1471=""," ",[1]!i_pq_pctchange($C1471,F$6,$N$1))</f>
        <v xml:space="preserve"> </v>
      </c>
      <c r="G1471" s="28" t="str">
        <f>IF($C1471=""," ",[1]!i_pq_pctchange($C1471,G$6,$N$1))</f>
        <v xml:space="preserve"> </v>
      </c>
      <c r="H1471" s="28" t="str">
        <f>IF($C1471=""," ",[1]!i_pq_pctchange($C1471,H$6,$N$1))</f>
        <v xml:space="preserve"> </v>
      </c>
      <c r="I1471" s="28" t="str">
        <f>IF($C1471=""," ",[1]!i_pq_pctchange($C1471,I$6,$N$1))</f>
        <v xml:space="preserve"> </v>
      </c>
      <c r="J1471" s="28" t="str">
        <f>IF($C1471=""," ",[1]!i_pq_pctchange($C1471,J$6,$N$1))</f>
        <v xml:space="preserve"> </v>
      </c>
      <c r="K1471" s="28" t="str">
        <f>IF($C1471=""," ",[1]!i_pq_pctchange($C1471,K$6,$N$1))</f>
        <v xml:space="preserve"> </v>
      </c>
      <c r="L1471" s="28" t="str">
        <f>IF(C1471=""," ",[1]!s_wq_pctchange($C1471,$N$1))</f>
        <v xml:space="preserve"> </v>
      </c>
      <c r="M1471" s="28" t="str">
        <f>IF(C1471=""," ",[1]!s_mq_pctchange($C1471,$N$1))</f>
        <v xml:space="preserve"> </v>
      </c>
      <c r="N1471" s="28" t="str">
        <f>IF(C1471=""," ",[1]!s_yq_pctchange($C1471,$N$1))</f>
        <v xml:space="preserve"> </v>
      </c>
      <c r="O1471" s="11"/>
      <c r="P1471" s="7"/>
    </row>
    <row r="1472" spans="1:16" x14ac:dyDescent="0.35">
      <c r="A1472" s="7"/>
      <c r="C1472" s="31" t="str">
        <f>IF(指数列表!B1469="","",指数列表!B1469)</f>
        <v/>
      </c>
      <c r="D1472" s="36" t="str">
        <f>IF(C1472="","",[1]!s_info_name(C1472))</f>
        <v/>
      </c>
      <c r="E1472" s="25" t="str">
        <f>IF(C1472="","",[1]!s_dq_close(C1472,$N$1))</f>
        <v/>
      </c>
      <c r="F1472" s="28" t="str">
        <f>IF($C1472=""," ",[1]!i_pq_pctchange($C1472,F$6,$N$1))</f>
        <v xml:space="preserve"> </v>
      </c>
      <c r="G1472" s="28" t="str">
        <f>IF($C1472=""," ",[1]!i_pq_pctchange($C1472,G$6,$N$1))</f>
        <v xml:space="preserve"> </v>
      </c>
      <c r="H1472" s="28" t="str">
        <f>IF($C1472=""," ",[1]!i_pq_pctchange($C1472,H$6,$N$1))</f>
        <v xml:space="preserve"> </v>
      </c>
      <c r="I1472" s="28" t="str">
        <f>IF($C1472=""," ",[1]!i_pq_pctchange($C1472,I$6,$N$1))</f>
        <v xml:space="preserve"> </v>
      </c>
      <c r="J1472" s="28" t="str">
        <f>IF($C1472=""," ",[1]!i_pq_pctchange($C1472,J$6,$N$1))</f>
        <v xml:space="preserve"> </v>
      </c>
      <c r="K1472" s="28" t="str">
        <f>IF($C1472=""," ",[1]!i_pq_pctchange($C1472,K$6,$N$1))</f>
        <v xml:space="preserve"> </v>
      </c>
      <c r="L1472" s="28" t="str">
        <f>IF(C1472=""," ",[1]!s_wq_pctchange($C1472,$N$1))</f>
        <v xml:space="preserve"> </v>
      </c>
      <c r="M1472" s="28" t="str">
        <f>IF(C1472=""," ",[1]!s_mq_pctchange($C1472,$N$1))</f>
        <v xml:space="preserve"> </v>
      </c>
      <c r="N1472" s="28" t="str">
        <f>IF(C1472=""," ",[1]!s_yq_pctchange($C1472,$N$1))</f>
        <v xml:space="preserve"> </v>
      </c>
      <c r="O1472" s="11"/>
      <c r="P1472" s="7"/>
    </row>
    <row r="1473" spans="1:16" x14ac:dyDescent="0.35">
      <c r="A1473" s="7"/>
      <c r="C1473" s="30" t="str">
        <f>IF(指数列表!B1470="","",指数列表!B1470)</f>
        <v/>
      </c>
      <c r="D1473" s="35" t="str">
        <f>IF(C1473="","",[1]!s_info_name(C1473))</f>
        <v/>
      </c>
      <c r="E1473" s="24" t="str">
        <f>IF(C1473="","",[1]!s_dq_close(C1473,$N$1))</f>
        <v/>
      </c>
      <c r="F1473" s="28" t="str">
        <f>IF($C1473=""," ",[1]!i_pq_pctchange($C1473,F$6,$N$1))</f>
        <v xml:space="preserve"> </v>
      </c>
      <c r="G1473" s="28" t="str">
        <f>IF($C1473=""," ",[1]!i_pq_pctchange($C1473,G$6,$N$1))</f>
        <v xml:space="preserve"> </v>
      </c>
      <c r="H1473" s="28" t="str">
        <f>IF($C1473=""," ",[1]!i_pq_pctchange($C1473,H$6,$N$1))</f>
        <v xml:space="preserve"> </v>
      </c>
      <c r="I1473" s="28" t="str">
        <f>IF($C1473=""," ",[1]!i_pq_pctchange($C1473,I$6,$N$1))</f>
        <v xml:space="preserve"> </v>
      </c>
      <c r="J1473" s="28" t="str">
        <f>IF($C1473=""," ",[1]!i_pq_pctchange($C1473,J$6,$N$1))</f>
        <v xml:space="preserve"> </v>
      </c>
      <c r="K1473" s="28" t="str">
        <f>IF($C1473=""," ",[1]!i_pq_pctchange($C1473,K$6,$N$1))</f>
        <v xml:space="preserve"> </v>
      </c>
      <c r="L1473" s="28" t="str">
        <f>IF(C1473=""," ",[1]!s_wq_pctchange($C1473,$N$1))</f>
        <v xml:space="preserve"> </v>
      </c>
      <c r="M1473" s="28" t="str">
        <f>IF(C1473=""," ",[1]!s_mq_pctchange($C1473,$N$1))</f>
        <v xml:space="preserve"> </v>
      </c>
      <c r="N1473" s="28" t="str">
        <f>IF(C1473=""," ",[1]!s_yq_pctchange($C1473,$N$1))</f>
        <v xml:space="preserve"> </v>
      </c>
      <c r="O1473" s="11"/>
      <c r="P1473" s="7"/>
    </row>
    <row r="1474" spans="1:16" x14ac:dyDescent="0.35">
      <c r="A1474" s="7"/>
      <c r="C1474" s="31" t="str">
        <f>IF(指数列表!B1471="","",指数列表!B1471)</f>
        <v/>
      </c>
      <c r="D1474" s="36" t="str">
        <f>IF(C1474="","",[1]!s_info_name(C1474))</f>
        <v/>
      </c>
      <c r="E1474" s="25" t="str">
        <f>IF(C1474="","",[1]!s_dq_close(C1474,$N$1))</f>
        <v/>
      </c>
      <c r="F1474" s="28" t="str">
        <f>IF($C1474=""," ",[1]!i_pq_pctchange($C1474,F$6,$N$1))</f>
        <v xml:space="preserve"> </v>
      </c>
      <c r="G1474" s="28" t="str">
        <f>IF($C1474=""," ",[1]!i_pq_pctchange($C1474,G$6,$N$1))</f>
        <v xml:space="preserve"> </v>
      </c>
      <c r="H1474" s="28" t="str">
        <f>IF($C1474=""," ",[1]!i_pq_pctchange($C1474,H$6,$N$1))</f>
        <v xml:space="preserve"> </v>
      </c>
      <c r="I1474" s="28" t="str">
        <f>IF($C1474=""," ",[1]!i_pq_pctchange($C1474,I$6,$N$1))</f>
        <v xml:space="preserve"> </v>
      </c>
      <c r="J1474" s="28" t="str">
        <f>IF($C1474=""," ",[1]!i_pq_pctchange($C1474,J$6,$N$1))</f>
        <v xml:space="preserve"> </v>
      </c>
      <c r="K1474" s="28" t="str">
        <f>IF($C1474=""," ",[1]!i_pq_pctchange($C1474,K$6,$N$1))</f>
        <v xml:space="preserve"> </v>
      </c>
      <c r="L1474" s="28" t="str">
        <f>IF(C1474=""," ",[1]!s_wq_pctchange($C1474,$N$1))</f>
        <v xml:space="preserve"> </v>
      </c>
      <c r="M1474" s="28" t="str">
        <f>IF(C1474=""," ",[1]!s_mq_pctchange($C1474,$N$1))</f>
        <v xml:space="preserve"> </v>
      </c>
      <c r="N1474" s="28" t="str">
        <f>IF(C1474=""," ",[1]!s_yq_pctchange($C1474,$N$1))</f>
        <v xml:space="preserve"> </v>
      </c>
      <c r="O1474" s="11"/>
      <c r="P1474" s="7"/>
    </row>
    <row r="1475" spans="1:16" x14ac:dyDescent="0.35">
      <c r="A1475" s="7"/>
      <c r="C1475" s="30" t="str">
        <f>IF(指数列表!B1472="","",指数列表!B1472)</f>
        <v/>
      </c>
      <c r="D1475" s="35" t="str">
        <f>IF(C1475="","",[1]!s_info_name(C1475))</f>
        <v/>
      </c>
      <c r="E1475" s="24" t="str">
        <f>IF(C1475="","",[1]!s_dq_close(C1475,$N$1))</f>
        <v/>
      </c>
      <c r="F1475" s="28" t="str">
        <f>IF($C1475=""," ",[1]!i_pq_pctchange($C1475,F$6,$N$1))</f>
        <v xml:space="preserve"> </v>
      </c>
      <c r="G1475" s="28" t="str">
        <f>IF($C1475=""," ",[1]!i_pq_pctchange($C1475,G$6,$N$1))</f>
        <v xml:space="preserve"> </v>
      </c>
      <c r="H1475" s="28" t="str">
        <f>IF($C1475=""," ",[1]!i_pq_pctchange($C1475,H$6,$N$1))</f>
        <v xml:space="preserve"> </v>
      </c>
      <c r="I1475" s="28" t="str">
        <f>IF($C1475=""," ",[1]!i_pq_pctchange($C1475,I$6,$N$1))</f>
        <v xml:space="preserve"> </v>
      </c>
      <c r="J1475" s="28" t="str">
        <f>IF($C1475=""," ",[1]!i_pq_pctchange($C1475,J$6,$N$1))</f>
        <v xml:space="preserve"> </v>
      </c>
      <c r="K1475" s="28" t="str">
        <f>IF($C1475=""," ",[1]!i_pq_pctchange($C1475,K$6,$N$1))</f>
        <v xml:space="preserve"> </v>
      </c>
      <c r="L1475" s="28" t="str">
        <f>IF(C1475=""," ",[1]!s_wq_pctchange($C1475,$N$1))</f>
        <v xml:space="preserve"> </v>
      </c>
      <c r="M1475" s="28" t="str">
        <f>IF(C1475=""," ",[1]!s_mq_pctchange($C1475,$N$1))</f>
        <v xml:space="preserve"> </v>
      </c>
      <c r="N1475" s="28" t="str">
        <f>IF(C1475=""," ",[1]!s_yq_pctchange($C1475,$N$1))</f>
        <v xml:space="preserve"> </v>
      </c>
      <c r="O1475" s="11"/>
      <c r="P1475" s="7"/>
    </row>
    <row r="1476" spans="1:16" x14ac:dyDescent="0.35">
      <c r="A1476" s="7"/>
      <c r="C1476" s="31" t="str">
        <f>IF(指数列表!B1473="","",指数列表!B1473)</f>
        <v/>
      </c>
      <c r="D1476" s="36" t="str">
        <f>IF(C1476="","",[1]!s_info_name(C1476))</f>
        <v/>
      </c>
      <c r="E1476" s="25" t="str">
        <f>IF(C1476="","",[1]!s_dq_close(C1476,$N$1))</f>
        <v/>
      </c>
      <c r="F1476" s="28" t="str">
        <f>IF($C1476=""," ",[1]!i_pq_pctchange($C1476,F$6,$N$1))</f>
        <v xml:space="preserve"> </v>
      </c>
      <c r="G1476" s="28" t="str">
        <f>IF($C1476=""," ",[1]!i_pq_pctchange($C1476,G$6,$N$1))</f>
        <v xml:space="preserve"> </v>
      </c>
      <c r="H1476" s="28" t="str">
        <f>IF($C1476=""," ",[1]!i_pq_pctchange($C1476,H$6,$N$1))</f>
        <v xml:space="preserve"> </v>
      </c>
      <c r="I1476" s="28" t="str">
        <f>IF($C1476=""," ",[1]!i_pq_pctchange($C1476,I$6,$N$1))</f>
        <v xml:space="preserve"> </v>
      </c>
      <c r="J1476" s="28" t="str">
        <f>IF($C1476=""," ",[1]!i_pq_pctchange($C1476,J$6,$N$1))</f>
        <v xml:space="preserve"> </v>
      </c>
      <c r="K1476" s="28" t="str">
        <f>IF($C1476=""," ",[1]!i_pq_pctchange($C1476,K$6,$N$1))</f>
        <v xml:space="preserve"> </v>
      </c>
      <c r="L1476" s="28" t="str">
        <f>IF(C1476=""," ",[1]!s_wq_pctchange($C1476,$N$1))</f>
        <v xml:space="preserve"> </v>
      </c>
      <c r="M1476" s="28" t="str">
        <f>IF(C1476=""," ",[1]!s_mq_pctchange($C1476,$N$1))</f>
        <v xml:space="preserve"> </v>
      </c>
      <c r="N1476" s="28" t="str">
        <f>IF(C1476=""," ",[1]!s_yq_pctchange($C1476,$N$1))</f>
        <v xml:space="preserve"> </v>
      </c>
      <c r="O1476" s="11"/>
      <c r="P1476" s="7"/>
    </row>
    <row r="1477" spans="1:16" x14ac:dyDescent="0.35">
      <c r="A1477" s="7"/>
      <c r="C1477" s="30" t="str">
        <f>IF(指数列表!B1474="","",指数列表!B1474)</f>
        <v/>
      </c>
      <c r="D1477" s="35" t="str">
        <f>IF(C1477="","",[1]!s_info_name(C1477))</f>
        <v/>
      </c>
      <c r="E1477" s="24" t="str">
        <f>IF(C1477="","",[1]!s_dq_close(C1477,$N$1))</f>
        <v/>
      </c>
      <c r="F1477" s="28" t="str">
        <f>IF($C1477=""," ",[1]!i_pq_pctchange($C1477,F$6,$N$1))</f>
        <v xml:space="preserve"> </v>
      </c>
      <c r="G1477" s="28" t="str">
        <f>IF($C1477=""," ",[1]!i_pq_pctchange($C1477,G$6,$N$1))</f>
        <v xml:space="preserve"> </v>
      </c>
      <c r="H1477" s="28" t="str">
        <f>IF($C1477=""," ",[1]!i_pq_pctchange($C1477,H$6,$N$1))</f>
        <v xml:space="preserve"> </v>
      </c>
      <c r="I1477" s="28" t="str">
        <f>IF($C1477=""," ",[1]!i_pq_pctchange($C1477,I$6,$N$1))</f>
        <v xml:space="preserve"> </v>
      </c>
      <c r="J1477" s="28" t="str">
        <f>IF($C1477=""," ",[1]!i_pq_pctchange($C1477,J$6,$N$1))</f>
        <v xml:space="preserve"> </v>
      </c>
      <c r="K1477" s="28" t="str">
        <f>IF($C1477=""," ",[1]!i_pq_pctchange($C1477,K$6,$N$1))</f>
        <v xml:space="preserve"> </v>
      </c>
      <c r="L1477" s="28" t="str">
        <f>IF(C1477=""," ",[1]!s_wq_pctchange($C1477,$N$1))</f>
        <v xml:space="preserve"> </v>
      </c>
      <c r="M1477" s="28" t="str">
        <f>IF(C1477=""," ",[1]!s_mq_pctchange($C1477,$N$1))</f>
        <v xml:space="preserve"> </v>
      </c>
      <c r="N1477" s="28" t="str">
        <f>IF(C1477=""," ",[1]!s_yq_pctchange($C1477,$N$1))</f>
        <v xml:space="preserve"> </v>
      </c>
      <c r="O1477" s="11"/>
      <c r="P1477" s="7"/>
    </row>
    <row r="1478" spans="1:16" x14ac:dyDescent="0.35">
      <c r="A1478" s="7"/>
      <c r="C1478" s="31" t="str">
        <f>IF(指数列表!B1475="","",指数列表!B1475)</f>
        <v/>
      </c>
      <c r="D1478" s="36" t="str">
        <f>IF(C1478="","",[1]!s_info_name(C1478))</f>
        <v/>
      </c>
      <c r="E1478" s="25" t="str">
        <f>IF(C1478="","",[1]!s_dq_close(C1478,$N$1))</f>
        <v/>
      </c>
      <c r="F1478" s="28" t="str">
        <f>IF($C1478=""," ",[1]!i_pq_pctchange($C1478,F$6,$N$1))</f>
        <v xml:space="preserve"> </v>
      </c>
      <c r="G1478" s="28" t="str">
        <f>IF($C1478=""," ",[1]!i_pq_pctchange($C1478,G$6,$N$1))</f>
        <v xml:space="preserve"> </v>
      </c>
      <c r="H1478" s="28" t="str">
        <f>IF($C1478=""," ",[1]!i_pq_pctchange($C1478,H$6,$N$1))</f>
        <v xml:space="preserve"> </v>
      </c>
      <c r="I1478" s="28" t="str">
        <f>IF($C1478=""," ",[1]!i_pq_pctchange($C1478,I$6,$N$1))</f>
        <v xml:space="preserve"> </v>
      </c>
      <c r="J1478" s="28" t="str">
        <f>IF($C1478=""," ",[1]!i_pq_pctchange($C1478,J$6,$N$1))</f>
        <v xml:space="preserve"> </v>
      </c>
      <c r="K1478" s="28" t="str">
        <f>IF($C1478=""," ",[1]!i_pq_pctchange($C1478,K$6,$N$1))</f>
        <v xml:space="preserve"> </v>
      </c>
      <c r="L1478" s="28" t="str">
        <f>IF(C1478=""," ",[1]!s_wq_pctchange($C1478,$N$1))</f>
        <v xml:space="preserve"> </v>
      </c>
      <c r="M1478" s="28" t="str">
        <f>IF(C1478=""," ",[1]!s_mq_pctchange($C1478,$N$1))</f>
        <v xml:space="preserve"> </v>
      </c>
      <c r="N1478" s="28" t="str">
        <f>IF(C1478=""," ",[1]!s_yq_pctchange($C1478,$N$1))</f>
        <v xml:space="preserve"> </v>
      </c>
      <c r="O1478" s="11"/>
      <c r="P1478" s="7"/>
    </row>
    <row r="1479" spans="1:16" x14ac:dyDescent="0.35">
      <c r="A1479" s="7"/>
      <c r="C1479" s="30" t="str">
        <f>IF(指数列表!B1476="","",指数列表!B1476)</f>
        <v/>
      </c>
      <c r="D1479" s="35" t="str">
        <f>IF(C1479="","",[1]!s_info_name(C1479))</f>
        <v/>
      </c>
      <c r="E1479" s="24" t="str">
        <f>IF(C1479="","",[1]!s_dq_close(C1479,$N$1))</f>
        <v/>
      </c>
      <c r="F1479" s="28" t="str">
        <f>IF($C1479=""," ",[1]!i_pq_pctchange($C1479,F$6,$N$1))</f>
        <v xml:space="preserve"> </v>
      </c>
      <c r="G1479" s="28" t="str">
        <f>IF($C1479=""," ",[1]!i_pq_pctchange($C1479,G$6,$N$1))</f>
        <v xml:space="preserve"> </v>
      </c>
      <c r="H1479" s="28" t="str">
        <f>IF($C1479=""," ",[1]!i_pq_pctchange($C1479,H$6,$N$1))</f>
        <v xml:space="preserve"> </v>
      </c>
      <c r="I1479" s="28" t="str">
        <f>IF($C1479=""," ",[1]!i_pq_pctchange($C1479,I$6,$N$1))</f>
        <v xml:space="preserve"> </v>
      </c>
      <c r="J1479" s="28" t="str">
        <f>IF($C1479=""," ",[1]!i_pq_pctchange($C1479,J$6,$N$1))</f>
        <v xml:space="preserve"> </v>
      </c>
      <c r="K1479" s="28" t="str">
        <f>IF($C1479=""," ",[1]!i_pq_pctchange($C1479,K$6,$N$1))</f>
        <v xml:space="preserve"> </v>
      </c>
      <c r="L1479" s="28" t="str">
        <f>IF(C1479=""," ",[1]!s_wq_pctchange($C1479,$N$1))</f>
        <v xml:space="preserve"> </v>
      </c>
      <c r="M1479" s="28" t="str">
        <f>IF(C1479=""," ",[1]!s_mq_pctchange($C1479,$N$1))</f>
        <v xml:space="preserve"> </v>
      </c>
      <c r="N1479" s="28" t="str">
        <f>IF(C1479=""," ",[1]!s_yq_pctchange($C1479,$N$1))</f>
        <v xml:space="preserve"> </v>
      </c>
      <c r="O1479" s="11"/>
      <c r="P1479" s="7"/>
    </row>
    <row r="1480" spans="1:16" x14ac:dyDescent="0.35">
      <c r="A1480" s="7"/>
      <c r="C1480" s="31" t="str">
        <f>IF(指数列表!B1477="","",指数列表!B1477)</f>
        <v/>
      </c>
      <c r="D1480" s="36" t="str">
        <f>IF(C1480="","",[1]!s_info_name(C1480))</f>
        <v/>
      </c>
      <c r="E1480" s="25" t="str">
        <f>IF(C1480="","",[1]!s_dq_close(C1480,$N$1))</f>
        <v/>
      </c>
      <c r="F1480" s="28" t="str">
        <f>IF($C1480=""," ",[1]!i_pq_pctchange($C1480,F$6,$N$1))</f>
        <v xml:space="preserve"> </v>
      </c>
      <c r="G1480" s="28" t="str">
        <f>IF($C1480=""," ",[1]!i_pq_pctchange($C1480,G$6,$N$1))</f>
        <v xml:space="preserve"> </v>
      </c>
      <c r="H1480" s="28" t="str">
        <f>IF($C1480=""," ",[1]!i_pq_pctchange($C1480,H$6,$N$1))</f>
        <v xml:space="preserve"> </v>
      </c>
      <c r="I1480" s="28" t="str">
        <f>IF($C1480=""," ",[1]!i_pq_pctchange($C1480,I$6,$N$1))</f>
        <v xml:space="preserve"> </v>
      </c>
      <c r="J1480" s="28" t="str">
        <f>IF($C1480=""," ",[1]!i_pq_pctchange($C1480,J$6,$N$1))</f>
        <v xml:space="preserve"> </v>
      </c>
      <c r="K1480" s="28" t="str">
        <f>IF($C1480=""," ",[1]!i_pq_pctchange($C1480,K$6,$N$1))</f>
        <v xml:space="preserve"> </v>
      </c>
      <c r="L1480" s="28" t="str">
        <f>IF(C1480=""," ",[1]!s_wq_pctchange($C1480,$N$1))</f>
        <v xml:space="preserve"> </v>
      </c>
      <c r="M1480" s="28" t="str">
        <f>IF(C1480=""," ",[1]!s_mq_pctchange($C1480,$N$1))</f>
        <v xml:space="preserve"> </v>
      </c>
      <c r="N1480" s="28" t="str">
        <f>IF(C1480=""," ",[1]!s_yq_pctchange($C1480,$N$1))</f>
        <v xml:space="preserve"> </v>
      </c>
      <c r="O1480" s="11"/>
      <c r="P1480" s="7"/>
    </row>
    <row r="1481" spans="1:16" x14ac:dyDescent="0.35">
      <c r="A1481" s="7"/>
      <c r="C1481" s="30" t="str">
        <f>IF(指数列表!B1478="","",指数列表!B1478)</f>
        <v/>
      </c>
      <c r="D1481" s="35" t="str">
        <f>IF(C1481="","",[1]!s_info_name(C1481))</f>
        <v/>
      </c>
      <c r="E1481" s="24" t="str">
        <f>IF(C1481="","",[1]!s_dq_close(C1481,$N$1))</f>
        <v/>
      </c>
      <c r="F1481" s="28" t="str">
        <f>IF($C1481=""," ",[1]!i_pq_pctchange($C1481,F$6,$N$1))</f>
        <v xml:space="preserve"> </v>
      </c>
      <c r="G1481" s="28" t="str">
        <f>IF($C1481=""," ",[1]!i_pq_pctchange($C1481,G$6,$N$1))</f>
        <v xml:space="preserve"> </v>
      </c>
      <c r="H1481" s="28" t="str">
        <f>IF($C1481=""," ",[1]!i_pq_pctchange($C1481,H$6,$N$1))</f>
        <v xml:space="preserve"> </v>
      </c>
      <c r="I1481" s="28" t="str">
        <f>IF($C1481=""," ",[1]!i_pq_pctchange($C1481,I$6,$N$1))</f>
        <v xml:space="preserve"> </v>
      </c>
      <c r="J1481" s="28" t="str">
        <f>IF($C1481=""," ",[1]!i_pq_pctchange($C1481,J$6,$N$1))</f>
        <v xml:space="preserve"> </v>
      </c>
      <c r="K1481" s="28" t="str">
        <f>IF($C1481=""," ",[1]!i_pq_pctchange($C1481,K$6,$N$1))</f>
        <v xml:space="preserve"> </v>
      </c>
      <c r="L1481" s="28" t="str">
        <f>IF(C1481=""," ",[1]!s_wq_pctchange($C1481,$N$1))</f>
        <v xml:space="preserve"> </v>
      </c>
      <c r="M1481" s="28" t="str">
        <f>IF(C1481=""," ",[1]!s_mq_pctchange($C1481,$N$1))</f>
        <v xml:space="preserve"> </v>
      </c>
      <c r="N1481" s="28" t="str">
        <f>IF(C1481=""," ",[1]!s_yq_pctchange($C1481,$N$1))</f>
        <v xml:space="preserve"> </v>
      </c>
      <c r="O1481" s="11"/>
      <c r="P1481" s="7"/>
    </row>
    <row r="1482" spans="1:16" x14ac:dyDescent="0.35">
      <c r="A1482" s="7"/>
      <c r="C1482" s="31" t="str">
        <f>IF(指数列表!B1479="","",指数列表!B1479)</f>
        <v/>
      </c>
      <c r="D1482" s="36" t="str">
        <f>IF(C1482="","",[1]!s_info_name(C1482))</f>
        <v/>
      </c>
      <c r="E1482" s="25" t="str">
        <f>IF(C1482="","",[1]!s_dq_close(C1482,$N$1))</f>
        <v/>
      </c>
      <c r="F1482" s="28" t="str">
        <f>IF($C1482=""," ",[1]!i_pq_pctchange($C1482,F$6,$N$1))</f>
        <v xml:space="preserve"> </v>
      </c>
      <c r="G1482" s="28" t="str">
        <f>IF($C1482=""," ",[1]!i_pq_pctchange($C1482,G$6,$N$1))</f>
        <v xml:space="preserve"> </v>
      </c>
      <c r="H1482" s="28" t="str">
        <f>IF($C1482=""," ",[1]!i_pq_pctchange($C1482,H$6,$N$1))</f>
        <v xml:space="preserve"> </v>
      </c>
      <c r="I1482" s="28" t="str">
        <f>IF($C1482=""," ",[1]!i_pq_pctchange($C1482,I$6,$N$1))</f>
        <v xml:space="preserve"> </v>
      </c>
      <c r="J1482" s="28" t="str">
        <f>IF($C1482=""," ",[1]!i_pq_pctchange($C1482,J$6,$N$1))</f>
        <v xml:space="preserve"> </v>
      </c>
      <c r="K1482" s="28" t="str">
        <f>IF($C1482=""," ",[1]!i_pq_pctchange($C1482,K$6,$N$1))</f>
        <v xml:space="preserve"> </v>
      </c>
      <c r="L1482" s="28" t="str">
        <f>IF(C1482=""," ",[1]!s_wq_pctchange($C1482,$N$1))</f>
        <v xml:space="preserve"> </v>
      </c>
      <c r="M1482" s="28" t="str">
        <f>IF(C1482=""," ",[1]!s_mq_pctchange($C1482,$N$1))</f>
        <v xml:space="preserve"> </v>
      </c>
      <c r="N1482" s="28" t="str">
        <f>IF(C1482=""," ",[1]!s_yq_pctchange($C1482,$N$1))</f>
        <v xml:space="preserve"> </v>
      </c>
      <c r="O1482" s="11"/>
      <c r="P1482" s="7"/>
    </row>
    <row r="1483" spans="1:16" x14ac:dyDescent="0.35">
      <c r="A1483" s="7"/>
      <c r="C1483" s="30" t="str">
        <f>IF(指数列表!B1480="","",指数列表!B1480)</f>
        <v/>
      </c>
      <c r="D1483" s="35" t="str">
        <f>IF(C1483="","",[1]!s_info_name(C1483))</f>
        <v/>
      </c>
      <c r="E1483" s="24" t="str">
        <f>IF(C1483="","",[1]!s_dq_close(C1483,$N$1))</f>
        <v/>
      </c>
      <c r="F1483" s="28" t="str">
        <f>IF($C1483=""," ",[1]!i_pq_pctchange($C1483,F$6,$N$1))</f>
        <v xml:space="preserve"> </v>
      </c>
      <c r="G1483" s="28" t="str">
        <f>IF($C1483=""," ",[1]!i_pq_pctchange($C1483,G$6,$N$1))</f>
        <v xml:space="preserve"> </v>
      </c>
      <c r="H1483" s="28" t="str">
        <f>IF($C1483=""," ",[1]!i_pq_pctchange($C1483,H$6,$N$1))</f>
        <v xml:space="preserve"> </v>
      </c>
      <c r="I1483" s="28" t="str">
        <f>IF($C1483=""," ",[1]!i_pq_pctchange($C1483,I$6,$N$1))</f>
        <v xml:space="preserve"> </v>
      </c>
      <c r="J1483" s="28" t="str">
        <f>IF($C1483=""," ",[1]!i_pq_pctchange($C1483,J$6,$N$1))</f>
        <v xml:space="preserve"> </v>
      </c>
      <c r="K1483" s="28" t="str">
        <f>IF($C1483=""," ",[1]!i_pq_pctchange($C1483,K$6,$N$1))</f>
        <v xml:space="preserve"> </v>
      </c>
      <c r="L1483" s="28" t="str">
        <f>IF(C1483=""," ",[1]!s_wq_pctchange($C1483,$N$1))</f>
        <v xml:space="preserve"> </v>
      </c>
      <c r="M1483" s="28" t="str">
        <f>IF(C1483=""," ",[1]!s_mq_pctchange($C1483,$N$1))</f>
        <v xml:space="preserve"> </v>
      </c>
      <c r="N1483" s="28" t="str">
        <f>IF(C1483=""," ",[1]!s_yq_pctchange($C1483,$N$1))</f>
        <v xml:space="preserve"> </v>
      </c>
      <c r="O1483" s="11"/>
      <c r="P1483" s="7"/>
    </row>
    <row r="1484" spans="1:16" x14ac:dyDescent="0.35">
      <c r="A1484" s="7"/>
      <c r="C1484" s="31" t="str">
        <f>IF(指数列表!B1481="","",指数列表!B1481)</f>
        <v/>
      </c>
      <c r="D1484" s="36" t="str">
        <f>IF(C1484="","",[1]!s_info_name(C1484))</f>
        <v/>
      </c>
      <c r="E1484" s="25" t="str">
        <f>IF(C1484="","",[1]!s_dq_close(C1484,$N$1))</f>
        <v/>
      </c>
      <c r="F1484" s="28" t="str">
        <f>IF($C1484=""," ",[1]!i_pq_pctchange($C1484,F$6,$N$1))</f>
        <v xml:space="preserve"> </v>
      </c>
      <c r="G1484" s="28" t="str">
        <f>IF($C1484=""," ",[1]!i_pq_pctchange($C1484,G$6,$N$1))</f>
        <v xml:space="preserve"> </v>
      </c>
      <c r="H1484" s="28" t="str">
        <f>IF($C1484=""," ",[1]!i_pq_pctchange($C1484,H$6,$N$1))</f>
        <v xml:space="preserve"> </v>
      </c>
      <c r="I1484" s="28" t="str">
        <f>IF($C1484=""," ",[1]!i_pq_pctchange($C1484,I$6,$N$1))</f>
        <v xml:space="preserve"> </v>
      </c>
      <c r="J1484" s="28" t="str">
        <f>IF($C1484=""," ",[1]!i_pq_pctchange($C1484,J$6,$N$1))</f>
        <v xml:space="preserve"> </v>
      </c>
      <c r="K1484" s="28" t="str">
        <f>IF($C1484=""," ",[1]!i_pq_pctchange($C1484,K$6,$N$1))</f>
        <v xml:space="preserve"> </v>
      </c>
      <c r="L1484" s="28" t="str">
        <f>IF(C1484=""," ",[1]!s_wq_pctchange($C1484,$N$1))</f>
        <v xml:space="preserve"> </v>
      </c>
      <c r="M1484" s="28" t="str">
        <f>IF(C1484=""," ",[1]!s_mq_pctchange($C1484,$N$1))</f>
        <v xml:space="preserve"> </v>
      </c>
      <c r="N1484" s="28" t="str">
        <f>IF(C1484=""," ",[1]!s_yq_pctchange($C1484,$N$1))</f>
        <v xml:space="preserve"> </v>
      </c>
      <c r="O1484" s="11"/>
      <c r="P1484" s="7"/>
    </row>
    <row r="1485" spans="1:16" x14ac:dyDescent="0.35">
      <c r="A1485" s="7"/>
      <c r="C1485" s="30" t="str">
        <f>IF(指数列表!B1482="","",指数列表!B1482)</f>
        <v/>
      </c>
      <c r="D1485" s="35" t="str">
        <f>IF(C1485="","",[1]!s_info_name(C1485))</f>
        <v/>
      </c>
      <c r="E1485" s="24" t="str">
        <f>IF(C1485="","",[1]!s_dq_close(C1485,$N$1))</f>
        <v/>
      </c>
      <c r="F1485" s="28" t="str">
        <f>IF($C1485=""," ",[1]!i_pq_pctchange($C1485,F$6,$N$1))</f>
        <v xml:space="preserve"> </v>
      </c>
      <c r="G1485" s="28" t="str">
        <f>IF($C1485=""," ",[1]!i_pq_pctchange($C1485,G$6,$N$1))</f>
        <v xml:space="preserve"> </v>
      </c>
      <c r="H1485" s="28" t="str">
        <f>IF($C1485=""," ",[1]!i_pq_pctchange($C1485,H$6,$N$1))</f>
        <v xml:space="preserve"> </v>
      </c>
      <c r="I1485" s="28" t="str">
        <f>IF($C1485=""," ",[1]!i_pq_pctchange($C1485,I$6,$N$1))</f>
        <v xml:space="preserve"> </v>
      </c>
      <c r="J1485" s="28" t="str">
        <f>IF($C1485=""," ",[1]!i_pq_pctchange($C1485,J$6,$N$1))</f>
        <v xml:space="preserve"> </v>
      </c>
      <c r="K1485" s="28" t="str">
        <f>IF($C1485=""," ",[1]!i_pq_pctchange($C1485,K$6,$N$1))</f>
        <v xml:space="preserve"> </v>
      </c>
      <c r="L1485" s="28" t="str">
        <f>IF(C1485=""," ",[1]!s_wq_pctchange($C1485,$N$1))</f>
        <v xml:space="preserve"> </v>
      </c>
      <c r="M1485" s="28" t="str">
        <f>IF(C1485=""," ",[1]!s_mq_pctchange($C1485,$N$1))</f>
        <v xml:space="preserve"> </v>
      </c>
      <c r="N1485" s="28" t="str">
        <f>IF(C1485=""," ",[1]!s_yq_pctchange($C1485,$N$1))</f>
        <v xml:space="preserve"> </v>
      </c>
      <c r="O1485" s="11"/>
      <c r="P1485" s="7"/>
    </row>
    <row r="1486" spans="1:16" x14ac:dyDescent="0.35">
      <c r="A1486" s="7"/>
      <c r="C1486" s="31" t="str">
        <f>IF(指数列表!B1483="","",指数列表!B1483)</f>
        <v/>
      </c>
      <c r="D1486" s="36" t="str">
        <f>IF(C1486="","",[1]!s_info_name(C1486))</f>
        <v/>
      </c>
      <c r="E1486" s="25" t="str">
        <f>IF(C1486="","",[1]!s_dq_close(C1486,$N$1))</f>
        <v/>
      </c>
      <c r="F1486" s="28" t="str">
        <f>IF($C1486=""," ",[1]!i_pq_pctchange($C1486,F$6,$N$1))</f>
        <v xml:space="preserve"> </v>
      </c>
      <c r="G1486" s="28" t="str">
        <f>IF($C1486=""," ",[1]!i_pq_pctchange($C1486,G$6,$N$1))</f>
        <v xml:space="preserve"> </v>
      </c>
      <c r="H1486" s="28" t="str">
        <f>IF($C1486=""," ",[1]!i_pq_pctchange($C1486,H$6,$N$1))</f>
        <v xml:space="preserve"> </v>
      </c>
      <c r="I1486" s="28" t="str">
        <f>IF($C1486=""," ",[1]!i_pq_pctchange($C1486,I$6,$N$1))</f>
        <v xml:space="preserve"> </v>
      </c>
      <c r="J1486" s="28" t="str">
        <f>IF($C1486=""," ",[1]!i_pq_pctchange($C1486,J$6,$N$1))</f>
        <v xml:space="preserve"> </v>
      </c>
      <c r="K1486" s="28" t="str">
        <f>IF($C1486=""," ",[1]!i_pq_pctchange($C1486,K$6,$N$1))</f>
        <v xml:space="preserve"> </v>
      </c>
      <c r="L1486" s="28" t="str">
        <f>IF(C1486=""," ",[1]!s_wq_pctchange($C1486,$N$1))</f>
        <v xml:space="preserve"> </v>
      </c>
      <c r="M1486" s="28" t="str">
        <f>IF(C1486=""," ",[1]!s_mq_pctchange($C1486,$N$1))</f>
        <v xml:space="preserve"> </v>
      </c>
      <c r="N1486" s="28" t="str">
        <f>IF(C1486=""," ",[1]!s_yq_pctchange($C1486,$N$1))</f>
        <v xml:space="preserve"> </v>
      </c>
      <c r="O1486" s="11"/>
      <c r="P1486" s="7"/>
    </row>
    <row r="1487" spans="1:16" x14ac:dyDescent="0.35">
      <c r="A1487" s="7"/>
      <c r="C1487" s="30" t="str">
        <f>IF(指数列表!B1484="","",指数列表!B1484)</f>
        <v/>
      </c>
      <c r="D1487" s="35" t="str">
        <f>IF(C1487="","",[1]!s_info_name(C1487))</f>
        <v/>
      </c>
      <c r="E1487" s="24" t="str">
        <f>IF(C1487="","",[1]!s_dq_close(C1487,$N$1))</f>
        <v/>
      </c>
      <c r="F1487" s="28" t="str">
        <f>IF($C1487=""," ",[1]!i_pq_pctchange($C1487,F$6,$N$1))</f>
        <v xml:space="preserve"> </v>
      </c>
      <c r="G1487" s="28" t="str">
        <f>IF($C1487=""," ",[1]!i_pq_pctchange($C1487,G$6,$N$1))</f>
        <v xml:space="preserve"> </v>
      </c>
      <c r="H1487" s="28" t="str">
        <f>IF($C1487=""," ",[1]!i_pq_pctchange($C1487,H$6,$N$1))</f>
        <v xml:space="preserve"> </v>
      </c>
      <c r="I1487" s="28" t="str">
        <f>IF($C1487=""," ",[1]!i_pq_pctchange($C1487,I$6,$N$1))</f>
        <v xml:space="preserve"> </v>
      </c>
      <c r="J1487" s="28" t="str">
        <f>IF($C1487=""," ",[1]!i_pq_pctchange($C1487,J$6,$N$1))</f>
        <v xml:space="preserve"> </v>
      </c>
      <c r="K1487" s="28" t="str">
        <f>IF($C1487=""," ",[1]!i_pq_pctchange($C1487,K$6,$N$1))</f>
        <v xml:space="preserve"> </v>
      </c>
      <c r="L1487" s="28" t="str">
        <f>IF(C1487=""," ",[1]!s_wq_pctchange($C1487,$N$1))</f>
        <v xml:space="preserve"> </v>
      </c>
      <c r="M1487" s="28" t="str">
        <f>IF(C1487=""," ",[1]!s_mq_pctchange($C1487,$N$1))</f>
        <v xml:space="preserve"> </v>
      </c>
      <c r="N1487" s="28" t="str">
        <f>IF(C1487=""," ",[1]!s_yq_pctchange($C1487,$N$1))</f>
        <v xml:space="preserve"> </v>
      </c>
      <c r="O1487" s="11"/>
      <c r="P1487" s="7"/>
    </row>
    <row r="1488" spans="1:16" x14ac:dyDescent="0.35">
      <c r="A1488" s="7"/>
      <c r="C1488" s="31" t="str">
        <f>IF(指数列表!B1485="","",指数列表!B1485)</f>
        <v/>
      </c>
      <c r="D1488" s="36" t="str">
        <f>IF(C1488="","",[1]!s_info_name(C1488))</f>
        <v/>
      </c>
      <c r="E1488" s="25" t="str">
        <f>IF(C1488="","",[1]!s_dq_close(C1488,$N$1))</f>
        <v/>
      </c>
      <c r="F1488" s="28" t="str">
        <f>IF($C1488=""," ",[1]!i_pq_pctchange($C1488,F$6,$N$1))</f>
        <v xml:space="preserve"> </v>
      </c>
      <c r="G1488" s="28" t="str">
        <f>IF($C1488=""," ",[1]!i_pq_pctchange($C1488,G$6,$N$1))</f>
        <v xml:space="preserve"> </v>
      </c>
      <c r="H1488" s="28" t="str">
        <f>IF($C1488=""," ",[1]!i_pq_pctchange($C1488,H$6,$N$1))</f>
        <v xml:space="preserve"> </v>
      </c>
      <c r="I1488" s="28" t="str">
        <f>IF($C1488=""," ",[1]!i_pq_pctchange($C1488,I$6,$N$1))</f>
        <v xml:space="preserve"> </v>
      </c>
      <c r="J1488" s="28" t="str">
        <f>IF($C1488=""," ",[1]!i_pq_pctchange($C1488,J$6,$N$1))</f>
        <v xml:space="preserve"> </v>
      </c>
      <c r="K1488" s="28" t="str">
        <f>IF($C1488=""," ",[1]!i_pq_pctchange($C1488,K$6,$N$1))</f>
        <v xml:space="preserve"> </v>
      </c>
      <c r="L1488" s="28" t="str">
        <f>IF(C1488=""," ",[1]!s_wq_pctchange($C1488,$N$1))</f>
        <v xml:space="preserve"> </v>
      </c>
      <c r="M1488" s="28" t="str">
        <f>IF(C1488=""," ",[1]!s_mq_pctchange($C1488,$N$1))</f>
        <v xml:space="preserve"> </v>
      </c>
      <c r="N1488" s="28" t="str">
        <f>IF(C1488=""," ",[1]!s_yq_pctchange($C1488,$N$1))</f>
        <v xml:space="preserve"> </v>
      </c>
      <c r="O1488" s="11"/>
      <c r="P1488" s="7"/>
    </row>
    <row r="1489" spans="1:16" x14ac:dyDescent="0.35">
      <c r="A1489" s="7"/>
      <c r="C1489" s="30" t="str">
        <f>IF(指数列表!B1486="","",指数列表!B1486)</f>
        <v/>
      </c>
      <c r="D1489" s="35" t="str">
        <f>IF(C1489="","",[1]!s_info_name(C1489))</f>
        <v/>
      </c>
      <c r="E1489" s="24" t="str">
        <f>IF(C1489="","",[1]!s_dq_close(C1489,$N$1))</f>
        <v/>
      </c>
      <c r="F1489" s="28" t="str">
        <f>IF($C1489=""," ",[1]!i_pq_pctchange($C1489,F$6,$N$1))</f>
        <v xml:space="preserve"> </v>
      </c>
      <c r="G1489" s="28" t="str">
        <f>IF($C1489=""," ",[1]!i_pq_pctchange($C1489,G$6,$N$1))</f>
        <v xml:space="preserve"> </v>
      </c>
      <c r="H1489" s="28" t="str">
        <f>IF($C1489=""," ",[1]!i_pq_pctchange($C1489,H$6,$N$1))</f>
        <v xml:space="preserve"> </v>
      </c>
      <c r="I1489" s="28" t="str">
        <f>IF($C1489=""," ",[1]!i_pq_pctchange($C1489,I$6,$N$1))</f>
        <v xml:space="preserve"> </v>
      </c>
      <c r="J1489" s="28" t="str">
        <f>IF($C1489=""," ",[1]!i_pq_pctchange($C1489,J$6,$N$1))</f>
        <v xml:space="preserve"> </v>
      </c>
      <c r="K1489" s="28" t="str">
        <f>IF($C1489=""," ",[1]!i_pq_pctchange($C1489,K$6,$N$1))</f>
        <v xml:space="preserve"> </v>
      </c>
      <c r="L1489" s="28" t="str">
        <f>IF(C1489=""," ",[1]!s_wq_pctchange($C1489,$N$1))</f>
        <v xml:space="preserve"> </v>
      </c>
      <c r="M1489" s="28" t="str">
        <f>IF(C1489=""," ",[1]!s_mq_pctchange($C1489,$N$1))</f>
        <v xml:space="preserve"> </v>
      </c>
      <c r="N1489" s="28" t="str">
        <f>IF(C1489=""," ",[1]!s_yq_pctchange($C1489,$N$1))</f>
        <v xml:space="preserve"> </v>
      </c>
      <c r="O1489" s="11"/>
      <c r="P1489" s="7"/>
    </row>
    <row r="1490" spans="1:16" x14ac:dyDescent="0.35">
      <c r="A1490" s="7"/>
      <c r="C1490" s="31" t="str">
        <f>IF(指数列表!B1487="","",指数列表!B1487)</f>
        <v/>
      </c>
      <c r="D1490" s="36" t="str">
        <f>IF(C1490="","",[1]!s_info_name(C1490))</f>
        <v/>
      </c>
      <c r="E1490" s="25" t="str">
        <f>IF(C1490="","",[1]!s_dq_close(C1490,$N$1))</f>
        <v/>
      </c>
      <c r="F1490" s="28" t="str">
        <f>IF($C1490=""," ",[1]!i_pq_pctchange($C1490,F$6,$N$1))</f>
        <v xml:space="preserve"> </v>
      </c>
      <c r="G1490" s="28" t="str">
        <f>IF($C1490=""," ",[1]!i_pq_pctchange($C1490,G$6,$N$1))</f>
        <v xml:space="preserve"> </v>
      </c>
      <c r="H1490" s="28" t="str">
        <f>IF($C1490=""," ",[1]!i_pq_pctchange($C1490,H$6,$N$1))</f>
        <v xml:space="preserve"> </v>
      </c>
      <c r="I1490" s="28" t="str">
        <f>IF($C1490=""," ",[1]!i_pq_pctchange($C1490,I$6,$N$1))</f>
        <v xml:space="preserve"> </v>
      </c>
      <c r="J1490" s="28" t="str">
        <f>IF($C1490=""," ",[1]!i_pq_pctchange($C1490,J$6,$N$1))</f>
        <v xml:space="preserve"> </v>
      </c>
      <c r="K1490" s="28" t="str">
        <f>IF($C1490=""," ",[1]!i_pq_pctchange($C1490,K$6,$N$1))</f>
        <v xml:space="preserve"> </v>
      </c>
      <c r="L1490" s="28" t="str">
        <f>IF(C1490=""," ",[1]!s_wq_pctchange($C1490,$N$1))</f>
        <v xml:space="preserve"> </v>
      </c>
      <c r="M1490" s="28" t="str">
        <f>IF(C1490=""," ",[1]!s_mq_pctchange($C1490,$N$1))</f>
        <v xml:space="preserve"> </v>
      </c>
      <c r="N1490" s="28" t="str">
        <f>IF(C1490=""," ",[1]!s_yq_pctchange($C1490,$N$1))</f>
        <v xml:space="preserve"> </v>
      </c>
      <c r="O1490" s="11"/>
      <c r="P1490" s="7"/>
    </row>
    <row r="1491" spans="1:16" x14ac:dyDescent="0.35">
      <c r="A1491" s="7"/>
      <c r="C1491" s="30" t="str">
        <f>IF(指数列表!B1488="","",指数列表!B1488)</f>
        <v/>
      </c>
      <c r="D1491" s="35" t="str">
        <f>IF(C1491="","",[1]!s_info_name(C1491))</f>
        <v/>
      </c>
      <c r="E1491" s="24" t="str">
        <f>IF(C1491="","",[1]!s_dq_close(C1491,$N$1))</f>
        <v/>
      </c>
      <c r="F1491" s="28" t="str">
        <f>IF($C1491=""," ",[1]!i_pq_pctchange($C1491,F$6,$N$1))</f>
        <v xml:space="preserve"> </v>
      </c>
      <c r="G1491" s="28" t="str">
        <f>IF($C1491=""," ",[1]!i_pq_pctchange($C1491,G$6,$N$1))</f>
        <v xml:space="preserve"> </v>
      </c>
      <c r="H1491" s="28" t="str">
        <f>IF($C1491=""," ",[1]!i_pq_pctchange($C1491,H$6,$N$1))</f>
        <v xml:space="preserve"> </v>
      </c>
      <c r="I1491" s="28" t="str">
        <f>IF($C1491=""," ",[1]!i_pq_pctchange($C1491,I$6,$N$1))</f>
        <v xml:space="preserve"> </v>
      </c>
      <c r="J1491" s="28" t="str">
        <f>IF($C1491=""," ",[1]!i_pq_pctchange($C1491,J$6,$N$1))</f>
        <v xml:space="preserve"> </v>
      </c>
      <c r="K1491" s="28" t="str">
        <f>IF($C1491=""," ",[1]!i_pq_pctchange($C1491,K$6,$N$1))</f>
        <v xml:space="preserve"> </v>
      </c>
      <c r="L1491" s="28" t="str">
        <f>IF(C1491=""," ",[1]!s_wq_pctchange($C1491,$N$1))</f>
        <v xml:space="preserve"> </v>
      </c>
      <c r="M1491" s="28" t="str">
        <f>IF(C1491=""," ",[1]!s_mq_pctchange($C1491,$N$1))</f>
        <v xml:space="preserve"> </v>
      </c>
      <c r="N1491" s="28" t="str">
        <f>IF(C1491=""," ",[1]!s_yq_pctchange($C1491,$N$1))</f>
        <v xml:space="preserve"> </v>
      </c>
      <c r="O1491" s="11"/>
      <c r="P1491" s="7"/>
    </row>
    <row r="1492" spans="1:16" x14ac:dyDescent="0.35">
      <c r="A1492" s="7"/>
      <c r="C1492" s="31" t="str">
        <f>IF(指数列表!B1489="","",指数列表!B1489)</f>
        <v/>
      </c>
      <c r="D1492" s="36" t="str">
        <f>IF(C1492="","",[1]!s_info_name(C1492))</f>
        <v/>
      </c>
      <c r="E1492" s="25" t="str">
        <f>IF(C1492="","",[1]!s_dq_close(C1492,$N$1))</f>
        <v/>
      </c>
      <c r="F1492" s="28" t="str">
        <f>IF($C1492=""," ",[1]!i_pq_pctchange($C1492,F$6,$N$1))</f>
        <v xml:space="preserve"> </v>
      </c>
      <c r="G1492" s="28" t="str">
        <f>IF($C1492=""," ",[1]!i_pq_pctchange($C1492,G$6,$N$1))</f>
        <v xml:space="preserve"> </v>
      </c>
      <c r="H1492" s="28" t="str">
        <f>IF($C1492=""," ",[1]!i_pq_pctchange($C1492,H$6,$N$1))</f>
        <v xml:space="preserve"> </v>
      </c>
      <c r="I1492" s="28" t="str">
        <f>IF($C1492=""," ",[1]!i_pq_pctchange($C1492,I$6,$N$1))</f>
        <v xml:space="preserve"> </v>
      </c>
      <c r="J1492" s="28" t="str">
        <f>IF($C1492=""," ",[1]!i_pq_pctchange($C1492,J$6,$N$1))</f>
        <v xml:space="preserve"> </v>
      </c>
      <c r="K1492" s="28" t="str">
        <f>IF($C1492=""," ",[1]!i_pq_pctchange($C1492,K$6,$N$1))</f>
        <v xml:space="preserve"> </v>
      </c>
      <c r="L1492" s="28" t="str">
        <f>IF(C1492=""," ",[1]!s_wq_pctchange($C1492,$N$1))</f>
        <v xml:space="preserve"> </v>
      </c>
      <c r="M1492" s="28" t="str">
        <f>IF(C1492=""," ",[1]!s_mq_pctchange($C1492,$N$1))</f>
        <v xml:space="preserve"> </v>
      </c>
      <c r="N1492" s="28" t="str">
        <f>IF(C1492=""," ",[1]!s_yq_pctchange($C1492,$N$1))</f>
        <v xml:space="preserve"> </v>
      </c>
      <c r="O1492" s="11"/>
      <c r="P1492" s="7"/>
    </row>
    <row r="1493" spans="1:16" x14ac:dyDescent="0.35">
      <c r="A1493" s="7"/>
      <c r="C1493" s="30" t="str">
        <f>IF(指数列表!B1490="","",指数列表!B1490)</f>
        <v/>
      </c>
      <c r="D1493" s="35" t="str">
        <f>IF(C1493="","",[1]!s_info_name(C1493))</f>
        <v/>
      </c>
      <c r="E1493" s="24" t="str">
        <f>IF(C1493="","",[1]!s_dq_close(C1493,$N$1))</f>
        <v/>
      </c>
      <c r="F1493" s="28" t="str">
        <f>IF($C1493=""," ",[1]!i_pq_pctchange($C1493,F$6,$N$1))</f>
        <v xml:space="preserve"> </v>
      </c>
      <c r="G1493" s="28" t="str">
        <f>IF($C1493=""," ",[1]!i_pq_pctchange($C1493,G$6,$N$1))</f>
        <v xml:space="preserve"> </v>
      </c>
      <c r="H1493" s="28" t="str">
        <f>IF($C1493=""," ",[1]!i_pq_pctchange($C1493,H$6,$N$1))</f>
        <v xml:space="preserve"> </v>
      </c>
      <c r="I1493" s="28" t="str">
        <f>IF($C1493=""," ",[1]!i_pq_pctchange($C1493,I$6,$N$1))</f>
        <v xml:space="preserve"> </v>
      </c>
      <c r="J1493" s="28" t="str">
        <f>IF($C1493=""," ",[1]!i_pq_pctchange($C1493,J$6,$N$1))</f>
        <v xml:space="preserve"> </v>
      </c>
      <c r="K1493" s="28" t="str">
        <f>IF($C1493=""," ",[1]!i_pq_pctchange($C1493,K$6,$N$1))</f>
        <v xml:space="preserve"> </v>
      </c>
      <c r="L1493" s="28" t="str">
        <f>IF(C1493=""," ",[1]!s_wq_pctchange($C1493,$N$1))</f>
        <v xml:space="preserve"> </v>
      </c>
      <c r="M1493" s="28" t="str">
        <f>IF(C1493=""," ",[1]!s_mq_pctchange($C1493,$N$1))</f>
        <v xml:space="preserve"> </v>
      </c>
      <c r="N1493" s="28" t="str">
        <f>IF(C1493=""," ",[1]!s_yq_pctchange($C1493,$N$1))</f>
        <v xml:space="preserve"> </v>
      </c>
      <c r="O1493" s="11"/>
      <c r="P1493" s="7"/>
    </row>
    <row r="1494" spans="1:16" x14ac:dyDescent="0.35">
      <c r="A1494" s="7"/>
      <c r="C1494" s="31" t="str">
        <f>IF(指数列表!B1491="","",指数列表!B1491)</f>
        <v/>
      </c>
      <c r="D1494" s="36" t="str">
        <f>IF(C1494="","",[1]!s_info_name(C1494))</f>
        <v/>
      </c>
      <c r="E1494" s="25" t="str">
        <f>IF(C1494="","",[1]!s_dq_close(C1494,$N$1))</f>
        <v/>
      </c>
      <c r="F1494" s="28" t="str">
        <f>IF($C1494=""," ",[1]!i_pq_pctchange($C1494,F$6,$N$1))</f>
        <v xml:space="preserve"> </v>
      </c>
      <c r="G1494" s="28" t="str">
        <f>IF($C1494=""," ",[1]!i_pq_pctchange($C1494,G$6,$N$1))</f>
        <v xml:space="preserve"> </v>
      </c>
      <c r="H1494" s="28" t="str">
        <f>IF($C1494=""," ",[1]!i_pq_pctchange($C1494,H$6,$N$1))</f>
        <v xml:space="preserve"> </v>
      </c>
      <c r="I1494" s="28" t="str">
        <f>IF($C1494=""," ",[1]!i_pq_pctchange($C1494,I$6,$N$1))</f>
        <v xml:space="preserve"> </v>
      </c>
      <c r="J1494" s="28" t="str">
        <f>IF($C1494=""," ",[1]!i_pq_pctchange($C1494,J$6,$N$1))</f>
        <v xml:space="preserve"> </v>
      </c>
      <c r="K1494" s="28" t="str">
        <f>IF($C1494=""," ",[1]!i_pq_pctchange($C1494,K$6,$N$1))</f>
        <v xml:space="preserve"> </v>
      </c>
      <c r="L1494" s="28" t="str">
        <f>IF(C1494=""," ",[1]!s_wq_pctchange($C1494,$N$1))</f>
        <v xml:space="preserve"> </v>
      </c>
      <c r="M1494" s="28" t="str">
        <f>IF(C1494=""," ",[1]!s_mq_pctchange($C1494,$N$1))</f>
        <v xml:space="preserve"> </v>
      </c>
      <c r="N1494" s="28" t="str">
        <f>IF(C1494=""," ",[1]!s_yq_pctchange($C1494,$N$1))</f>
        <v xml:space="preserve"> </v>
      </c>
      <c r="O1494" s="11"/>
      <c r="P1494" s="7"/>
    </row>
    <row r="1495" spans="1:16" x14ac:dyDescent="0.35">
      <c r="A1495" s="7"/>
      <c r="C1495" s="30" t="str">
        <f>IF(指数列表!B1492="","",指数列表!B1492)</f>
        <v/>
      </c>
      <c r="D1495" s="35" t="str">
        <f>IF(C1495="","",[1]!s_info_name(C1495))</f>
        <v/>
      </c>
      <c r="E1495" s="24" t="str">
        <f>IF(C1495="","",[1]!s_dq_close(C1495,$N$1))</f>
        <v/>
      </c>
      <c r="F1495" s="28" t="str">
        <f>IF($C1495=""," ",[1]!i_pq_pctchange($C1495,F$6,$N$1))</f>
        <v xml:space="preserve"> </v>
      </c>
      <c r="G1495" s="28" t="str">
        <f>IF($C1495=""," ",[1]!i_pq_pctchange($C1495,G$6,$N$1))</f>
        <v xml:space="preserve"> </v>
      </c>
      <c r="H1495" s="28" t="str">
        <f>IF($C1495=""," ",[1]!i_pq_pctchange($C1495,H$6,$N$1))</f>
        <v xml:space="preserve"> </v>
      </c>
      <c r="I1495" s="28" t="str">
        <f>IF($C1495=""," ",[1]!i_pq_pctchange($C1495,I$6,$N$1))</f>
        <v xml:space="preserve"> </v>
      </c>
      <c r="J1495" s="28" t="str">
        <f>IF($C1495=""," ",[1]!i_pq_pctchange($C1495,J$6,$N$1))</f>
        <v xml:space="preserve"> </v>
      </c>
      <c r="K1495" s="28" t="str">
        <f>IF($C1495=""," ",[1]!i_pq_pctchange($C1495,K$6,$N$1))</f>
        <v xml:space="preserve"> </v>
      </c>
      <c r="L1495" s="28" t="str">
        <f>IF(C1495=""," ",[1]!s_wq_pctchange($C1495,$N$1))</f>
        <v xml:space="preserve"> </v>
      </c>
      <c r="M1495" s="28" t="str">
        <f>IF(C1495=""," ",[1]!s_mq_pctchange($C1495,$N$1))</f>
        <v xml:space="preserve"> </v>
      </c>
      <c r="N1495" s="28" t="str">
        <f>IF(C1495=""," ",[1]!s_yq_pctchange($C1495,$N$1))</f>
        <v xml:space="preserve"> </v>
      </c>
      <c r="O1495" s="11"/>
      <c r="P1495" s="7"/>
    </row>
    <row r="1496" spans="1:16" x14ac:dyDescent="0.35">
      <c r="A1496" s="7"/>
      <c r="C1496" s="31" t="str">
        <f>IF(指数列表!B1493="","",指数列表!B1493)</f>
        <v/>
      </c>
      <c r="D1496" s="36" t="str">
        <f>IF(C1496="","",[1]!s_info_name(C1496))</f>
        <v/>
      </c>
      <c r="E1496" s="25" t="str">
        <f>IF(C1496="","",[1]!s_dq_close(C1496,$N$1))</f>
        <v/>
      </c>
      <c r="F1496" s="28" t="str">
        <f>IF($C1496=""," ",[1]!i_pq_pctchange($C1496,F$6,$N$1))</f>
        <v xml:space="preserve"> </v>
      </c>
      <c r="G1496" s="28" t="str">
        <f>IF($C1496=""," ",[1]!i_pq_pctchange($C1496,G$6,$N$1))</f>
        <v xml:space="preserve"> </v>
      </c>
      <c r="H1496" s="28" t="str">
        <f>IF($C1496=""," ",[1]!i_pq_pctchange($C1496,H$6,$N$1))</f>
        <v xml:space="preserve"> </v>
      </c>
      <c r="I1496" s="28" t="str">
        <f>IF($C1496=""," ",[1]!i_pq_pctchange($C1496,I$6,$N$1))</f>
        <v xml:space="preserve"> </v>
      </c>
      <c r="J1496" s="28" t="str">
        <f>IF($C1496=""," ",[1]!i_pq_pctchange($C1496,J$6,$N$1))</f>
        <v xml:space="preserve"> </v>
      </c>
      <c r="K1496" s="28" t="str">
        <f>IF($C1496=""," ",[1]!i_pq_pctchange($C1496,K$6,$N$1))</f>
        <v xml:space="preserve"> </v>
      </c>
      <c r="L1496" s="28" t="str">
        <f>IF(C1496=""," ",[1]!s_wq_pctchange($C1496,$N$1))</f>
        <v xml:space="preserve"> </v>
      </c>
      <c r="M1496" s="28" t="str">
        <f>IF(C1496=""," ",[1]!s_mq_pctchange($C1496,$N$1))</f>
        <v xml:space="preserve"> </v>
      </c>
      <c r="N1496" s="28" t="str">
        <f>IF(C1496=""," ",[1]!s_yq_pctchange($C1496,$N$1))</f>
        <v xml:space="preserve"> </v>
      </c>
      <c r="O1496" s="11"/>
      <c r="P1496" s="7"/>
    </row>
    <row r="1497" spans="1:16" x14ac:dyDescent="0.35">
      <c r="A1497" s="7"/>
      <c r="C1497" s="30" t="str">
        <f>IF(指数列表!B1494="","",指数列表!B1494)</f>
        <v/>
      </c>
      <c r="D1497" s="35" t="str">
        <f>IF(C1497="","",[1]!s_info_name(C1497))</f>
        <v/>
      </c>
      <c r="E1497" s="24" t="str">
        <f>IF(C1497="","",[1]!s_dq_close(C1497,$N$1))</f>
        <v/>
      </c>
      <c r="F1497" s="28" t="str">
        <f>IF($C1497=""," ",[1]!i_pq_pctchange($C1497,F$6,$N$1))</f>
        <v xml:space="preserve"> </v>
      </c>
      <c r="G1497" s="28" t="str">
        <f>IF($C1497=""," ",[1]!i_pq_pctchange($C1497,G$6,$N$1))</f>
        <v xml:space="preserve"> </v>
      </c>
      <c r="H1497" s="28" t="str">
        <f>IF($C1497=""," ",[1]!i_pq_pctchange($C1497,H$6,$N$1))</f>
        <v xml:space="preserve"> </v>
      </c>
      <c r="I1497" s="28" t="str">
        <f>IF($C1497=""," ",[1]!i_pq_pctchange($C1497,I$6,$N$1))</f>
        <v xml:space="preserve"> </v>
      </c>
      <c r="J1497" s="28" t="str">
        <f>IF($C1497=""," ",[1]!i_pq_pctchange($C1497,J$6,$N$1))</f>
        <v xml:space="preserve"> </v>
      </c>
      <c r="K1497" s="28" t="str">
        <f>IF($C1497=""," ",[1]!i_pq_pctchange($C1497,K$6,$N$1))</f>
        <v xml:space="preserve"> </v>
      </c>
      <c r="L1497" s="28" t="str">
        <f>IF(C1497=""," ",[1]!s_wq_pctchange($C1497,$N$1))</f>
        <v xml:space="preserve"> </v>
      </c>
      <c r="M1497" s="28" t="str">
        <f>IF(C1497=""," ",[1]!s_mq_pctchange($C1497,$N$1))</f>
        <v xml:space="preserve"> </v>
      </c>
      <c r="N1497" s="28" t="str">
        <f>IF(C1497=""," ",[1]!s_yq_pctchange($C1497,$N$1))</f>
        <v xml:space="preserve"> </v>
      </c>
      <c r="O1497" s="11"/>
      <c r="P1497" s="7"/>
    </row>
    <row r="1498" spans="1:16" x14ac:dyDescent="0.35">
      <c r="A1498" s="7"/>
      <c r="C1498" s="31" t="str">
        <f>IF(指数列表!B1495="","",指数列表!B1495)</f>
        <v/>
      </c>
      <c r="D1498" s="36" t="str">
        <f>IF(C1498="","",[1]!s_info_name(C1498))</f>
        <v/>
      </c>
      <c r="E1498" s="25" t="str">
        <f>IF(C1498="","",[1]!s_dq_close(C1498,$N$1))</f>
        <v/>
      </c>
      <c r="F1498" s="28" t="str">
        <f>IF($C1498=""," ",[1]!i_pq_pctchange($C1498,F$6,$N$1))</f>
        <v xml:space="preserve"> </v>
      </c>
      <c r="G1498" s="28" t="str">
        <f>IF($C1498=""," ",[1]!i_pq_pctchange($C1498,G$6,$N$1))</f>
        <v xml:space="preserve"> </v>
      </c>
      <c r="H1498" s="28" t="str">
        <f>IF($C1498=""," ",[1]!i_pq_pctchange($C1498,H$6,$N$1))</f>
        <v xml:space="preserve"> </v>
      </c>
      <c r="I1498" s="28" t="str">
        <f>IF($C1498=""," ",[1]!i_pq_pctchange($C1498,I$6,$N$1))</f>
        <v xml:space="preserve"> </v>
      </c>
      <c r="J1498" s="28" t="str">
        <f>IF($C1498=""," ",[1]!i_pq_pctchange($C1498,J$6,$N$1))</f>
        <v xml:space="preserve"> </v>
      </c>
      <c r="K1498" s="28" t="str">
        <f>IF($C1498=""," ",[1]!i_pq_pctchange($C1498,K$6,$N$1))</f>
        <v xml:space="preserve"> </v>
      </c>
      <c r="L1498" s="28" t="str">
        <f>IF(C1498=""," ",[1]!s_wq_pctchange($C1498,$N$1))</f>
        <v xml:space="preserve"> </v>
      </c>
      <c r="M1498" s="28" t="str">
        <f>IF(C1498=""," ",[1]!s_mq_pctchange($C1498,$N$1))</f>
        <v xml:space="preserve"> </v>
      </c>
      <c r="N1498" s="28" t="str">
        <f>IF(C1498=""," ",[1]!s_yq_pctchange($C1498,$N$1))</f>
        <v xml:space="preserve"> </v>
      </c>
      <c r="O1498" s="11"/>
      <c r="P1498" s="7"/>
    </row>
    <row r="1499" spans="1:16" x14ac:dyDescent="0.35">
      <c r="A1499" s="7"/>
      <c r="C1499" s="30" t="str">
        <f>IF(指数列表!B1496="","",指数列表!B1496)</f>
        <v/>
      </c>
      <c r="D1499" s="35" t="str">
        <f>IF(C1499="","",[1]!s_info_name(C1499))</f>
        <v/>
      </c>
      <c r="E1499" s="24" t="str">
        <f>IF(C1499="","",[1]!s_dq_close(C1499,$N$1))</f>
        <v/>
      </c>
      <c r="F1499" s="28" t="str">
        <f>IF($C1499=""," ",[1]!i_pq_pctchange($C1499,F$6,$N$1))</f>
        <v xml:space="preserve"> </v>
      </c>
      <c r="G1499" s="28" t="str">
        <f>IF($C1499=""," ",[1]!i_pq_pctchange($C1499,G$6,$N$1))</f>
        <v xml:space="preserve"> </v>
      </c>
      <c r="H1499" s="28" t="str">
        <f>IF($C1499=""," ",[1]!i_pq_pctchange($C1499,H$6,$N$1))</f>
        <v xml:space="preserve"> </v>
      </c>
      <c r="I1499" s="28" t="str">
        <f>IF($C1499=""," ",[1]!i_pq_pctchange($C1499,I$6,$N$1))</f>
        <v xml:space="preserve"> </v>
      </c>
      <c r="J1499" s="28" t="str">
        <f>IF($C1499=""," ",[1]!i_pq_pctchange($C1499,J$6,$N$1))</f>
        <v xml:space="preserve"> </v>
      </c>
      <c r="K1499" s="28" t="str">
        <f>IF($C1499=""," ",[1]!i_pq_pctchange($C1499,K$6,$N$1))</f>
        <v xml:space="preserve"> </v>
      </c>
      <c r="L1499" s="28" t="str">
        <f>IF(C1499=""," ",[1]!s_wq_pctchange($C1499,$N$1))</f>
        <v xml:space="preserve"> </v>
      </c>
      <c r="M1499" s="28" t="str">
        <f>IF(C1499=""," ",[1]!s_mq_pctchange($C1499,$N$1))</f>
        <v xml:space="preserve"> </v>
      </c>
      <c r="N1499" s="28" t="str">
        <f>IF(C1499=""," ",[1]!s_yq_pctchange($C1499,$N$1))</f>
        <v xml:space="preserve"> </v>
      </c>
      <c r="O1499" s="11"/>
      <c r="P1499" s="7"/>
    </row>
    <row r="1500" spans="1:16" x14ac:dyDescent="0.35">
      <c r="A1500" s="7"/>
      <c r="C1500" s="31" t="str">
        <f>IF(指数列表!B1497="","",指数列表!B1497)</f>
        <v/>
      </c>
      <c r="D1500" s="36" t="str">
        <f>IF(C1500="","",[1]!s_info_name(C1500))</f>
        <v/>
      </c>
      <c r="E1500" s="25" t="str">
        <f>IF(C1500="","",[1]!s_dq_close(C1500,$N$1))</f>
        <v/>
      </c>
      <c r="F1500" s="28" t="str">
        <f>IF($C1500=""," ",[1]!i_pq_pctchange($C1500,F$6,$N$1))</f>
        <v xml:space="preserve"> </v>
      </c>
      <c r="G1500" s="28" t="str">
        <f>IF($C1500=""," ",[1]!i_pq_pctchange($C1500,G$6,$N$1))</f>
        <v xml:space="preserve"> </v>
      </c>
      <c r="H1500" s="28" t="str">
        <f>IF($C1500=""," ",[1]!i_pq_pctchange($C1500,H$6,$N$1))</f>
        <v xml:space="preserve"> </v>
      </c>
      <c r="I1500" s="28" t="str">
        <f>IF($C1500=""," ",[1]!i_pq_pctchange($C1500,I$6,$N$1))</f>
        <v xml:space="preserve"> </v>
      </c>
      <c r="J1500" s="28" t="str">
        <f>IF($C1500=""," ",[1]!i_pq_pctchange($C1500,J$6,$N$1))</f>
        <v xml:space="preserve"> </v>
      </c>
      <c r="K1500" s="28" t="str">
        <f>IF($C1500=""," ",[1]!i_pq_pctchange($C1500,K$6,$N$1))</f>
        <v xml:space="preserve"> </v>
      </c>
      <c r="L1500" s="28" t="str">
        <f>IF(C1500=""," ",[1]!s_wq_pctchange($C1500,$N$1))</f>
        <v xml:space="preserve"> </v>
      </c>
      <c r="M1500" s="28" t="str">
        <f>IF(C1500=""," ",[1]!s_mq_pctchange($C1500,$N$1))</f>
        <v xml:space="preserve"> </v>
      </c>
      <c r="N1500" s="28" t="str">
        <f>IF(C1500=""," ",[1]!s_yq_pctchange($C1500,$N$1))</f>
        <v xml:space="preserve"> </v>
      </c>
      <c r="O1500" s="11"/>
      <c r="P1500" s="7"/>
    </row>
    <row r="1501" spans="1:16" x14ac:dyDescent="0.35">
      <c r="A1501" s="7"/>
      <c r="C1501" s="30" t="str">
        <f>IF(指数列表!B1498="","",指数列表!B1498)</f>
        <v/>
      </c>
      <c r="D1501" s="35" t="str">
        <f>IF(C1501="","",[1]!s_info_name(C1501))</f>
        <v/>
      </c>
      <c r="E1501" s="24" t="str">
        <f>IF(C1501="","",[1]!s_dq_close(C1501,$N$1))</f>
        <v/>
      </c>
      <c r="F1501" s="28" t="str">
        <f>IF($C1501=""," ",[1]!i_pq_pctchange($C1501,F$6,$N$1))</f>
        <v xml:space="preserve"> </v>
      </c>
      <c r="G1501" s="28" t="str">
        <f>IF($C1501=""," ",[1]!i_pq_pctchange($C1501,G$6,$N$1))</f>
        <v xml:space="preserve"> </v>
      </c>
      <c r="H1501" s="28" t="str">
        <f>IF($C1501=""," ",[1]!i_pq_pctchange($C1501,H$6,$N$1))</f>
        <v xml:space="preserve"> </v>
      </c>
      <c r="I1501" s="28" t="str">
        <f>IF($C1501=""," ",[1]!i_pq_pctchange($C1501,I$6,$N$1))</f>
        <v xml:space="preserve"> </v>
      </c>
      <c r="J1501" s="28" t="str">
        <f>IF($C1501=""," ",[1]!i_pq_pctchange($C1501,J$6,$N$1))</f>
        <v xml:space="preserve"> </v>
      </c>
      <c r="K1501" s="28" t="str">
        <f>IF($C1501=""," ",[1]!i_pq_pctchange($C1501,K$6,$N$1))</f>
        <v xml:space="preserve"> </v>
      </c>
      <c r="L1501" s="28" t="str">
        <f>IF(C1501=""," ",[1]!s_wq_pctchange($C1501,$N$1))</f>
        <v xml:space="preserve"> </v>
      </c>
      <c r="M1501" s="28" t="str">
        <f>IF(C1501=""," ",[1]!s_mq_pctchange($C1501,$N$1))</f>
        <v xml:space="preserve"> </v>
      </c>
      <c r="N1501" s="28" t="str">
        <f>IF(C1501=""," ",[1]!s_yq_pctchange($C1501,$N$1))</f>
        <v xml:space="preserve"> </v>
      </c>
      <c r="O1501" s="11"/>
      <c r="P1501" s="7"/>
    </row>
    <row r="1502" spans="1:16" x14ac:dyDescent="0.35">
      <c r="A1502" s="7"/>
      <c r="C1502" s="31" t="str">
        <f>IF(指数列表!B1499="","",指数列表!B1499)</f>
        <v/>
      </c>
      <c r="D1502" s="36" t="str">
        <f>IF(C1502="","",[1]!s_info_name(C1502))</f>
        <v/>
      </c>
      <c r="E1502" s="25" t="str">
        <f>IF(C1502="","",[1]!s_dq_close(C1502,$N$1))</f>
        <v/>
      </c>
      <c r="F1502" s="28" t="str">
        <f>IF($C1502=""," ",[1]!i_pq_pctchange($C1502,F$6,$N$1))</f>
        <v xml:space="preserve"> </v>
      </c>
      <c r="G1502" s="28" t="str">
        <f>IF($C1502=""," ",[1]!i_pq_pctchange($C1502,G$6,$N$1))</f>
        <v xml:space="preserve"> </v>
      </c>
      <c r="H1502" s="28" t="str">
        <f>IF($C1502=""," ",[1]!i_pq_pctchange($C1502,H$6,$N$1))</f>
        <v xml:space="preserve"> </v>
      </c>
      <c r="I1502" s="28" t="str">
        <f>IF($C1502=""," ",[1]!i_pq_pctchange($C1502,I$6,$N$1))</f>
        <v xml:space="preserve"> </v>
      </c>
      <c r="J1502" s="28" t="str">
        <f>IF($C1502=""," ",[1]!i_pq_pctchange($C1502,J$6,$N$1))</f>
        <v xml:space="preserve"> </v>
      </c>
      <c r="K1502" s="28" t="str">
        <f>IF($C1502=""," ",[1]!i_pq_pctchange($C1502,K$6,$N$1))</f>
        <v xml:space="preserve"> </v>
      </c>
      <c r="L1502" s="28" t="str">
        <f>IF(C1502=""," ",[1]!s_wq_pctchange($C1502,$N$1))</f>
        <v xml:space="preserve"> </v>
      </c>
      <c r="M1502" s="28" t="str">
        <f>IF(C1502=""," ",[1]!s_mq_pctchange($C1502,$N$1))</f>
        <v xml:space="preserve"> </v>
      </c>
      <c r="N1502" s="28" t="str">
        <f>IF(C1502=""," ",[1]!s_yq_pctchange($C1502,$N$1))</f>
        <v xml:space="preserve"> </v>
      </c>
      <c r="O1502" s="11"/>
      <c r="P1502" s="7"/>
    </row>
    <row r="1503" spans="1:16" x14ac:dyDescent="0.35">
      <c r="A1503" s="7"/>
      <c r="C1503" s="30" t="str">
        <f>IF(指数列表!B1500="","",指数列表!B1500)</f>
        <v/>
      </c>
      <c r="D1503" s="35" t="str">
        <f>IF(C1503="","",[1]!s_info_name(C1503))</f>
        <v/>
      </c>
      <c r="E1503" s="24" t="str">
        <f>IF(C1503="","",[1]!s_dq_close(C1503,$N$1))</f>
        <v/>
      </c>
      <c r="F1503" s="28" t="str">
        <f>IF($C1503=""," ",[1]!i_pq_pctchange($C1503,F$6,$N$1))</f>
        <v xml:space="preserve"> </v>
      </c>
      <c r="G1503" s="28" t="str">
        <f>IF($C1503=""," ",[1]!i_pq_pctchange($C1503,G$6,$N$1))</f>
        <v xml:space="preserve"> </v>
      </c>
      <c r="H1503" s="28" t="str">
        <f>IF($C1503=""," ",[1]!i_pq_pctchange($C1503,H$6,$N$1))</f>
        <v xml:space="preserve"> </v>
      </c>
      <c r="I1503" s="28" t="str">
        <f>IF($C1503=""," ",[1]!i_pq_pctchange($C1503,I$6,$N$1))</f>
        <v xml:space="preserve"> </v>
      </c>
      <c r="J1503" s="28" t="str">
        <f>IF($C1503=""," ",[1]!i_pq_pctchange($C1503,J$6,$N$1))</f>
        <v xml:space="preserve"> </v>
      </c>
      <c r="K1503" s="28" t="str">
        <f>IF($C1503=""," ",[1]!i_pq_pctchange($C1503,K$6,$N$1))</f>
        <v xml:space="preserve"> </v>
      </c>
      <c r="L1503" s="28" t="str">
        <f>IF(C1503=""," ",[1]!s_wq_pctchange($C1503,$N$1))</f>
        <v xml:space="preserve"> </v>
      </c>
      <c r="M1503" s="28" t="str">
        <f>IF(C1503=""," ",[1]!s_mq_pctchange($C1503,$N$1))</f>
        <v xml:space="preserve"> </v>
      </c>
      <c r="N1503" s="28" t="str">
        <f>IF(C1503=""," ",[1]!s_yq_pctchange($C1503,$N$1))</f>
        <v xml:space="preserve"> </v>
      </c>
      <c r="O1503" s="11"/>
      <c r="P1503" s="7"/>
    </row>
    <row r="1504" spans="1:16" x14ac:dyDescent="0.35">
      <c r="A1504" s="7"/>
      <c r="C1504" s="31" t="str">
        <f>IF(指数列表!B1501="","",指数列表!B1501)</f>
        <v/>
      </c>
      <c r="D1504" s="36" t="str">
        <f>IF(C1504="","",[1]!s_info_name(C1504))</f>
        <v/>
      </c>
      <c r="E1504" s="25" t="str">
        <f>IF(C1504="","",[1]!s_dq_close(C1504,$N$1))</f>
        <v/>
      </c>
      <c r="F1504" s="28" t="str">
        <f>IF($C1504=""," ",[1]!i_pq_pctchange($C1504,F$6,$N$1))</f>
        <v xml:space="preserve"> </v>
      </c>
      <c r="G1504" s="28" t="str">
        <f>IF($C1504=""," ",[1]!i_pq_pctchange($C1504,G$6,$N$1))</f>
        <v xml:space="preserve"> </v>
      </c>
      <c r="H1504" s="28" t="str">
        <f>IF($C1504=""," ",[1]!i_pq_pctchange($C1504,H$6,$N$1))</f>
        <v xml:space="preserve"> </v>
      </c>
      <c r="I1504" s="28" t="str">
        <f>IF($C1504=""," ",[1]!i_pq_pctchange($C1504,I$6,$N$1))</f>
        <v xml:space="preserve"> </v>
      </c>
      <c r="J1504" s="28" t="str">
        <f>IF($C1504=""," ",[1]!i_pq_pctchange($C1504,J$6,$N$1))</f>
        <v xml:space="preserve"> </v>
      </c>
      <c r="K1504" s="28" t="str">
        <f>IF($C1504=""," ",[1]!i_pq_pctchange($C1504,K$6,$N$1))</f>
        <v xml:space="preserve"> </v>
      </c>
      <c r="L1504" s="28" t="str">
        <f>IF(C1504=""," ",[1]!s_wq_pctchange($C1504,$N$1))</f>
        <v xml:space="preserve"> </v>
      </c>
      <c r="M1504" s="28" t="str">
        <f>IF(C1504=""," ",[1]!s_mq_pctchange($C1504,$N$1))</f>
        <v xml:space="preserve"> </v>
      </c>
      <c r="N1504" s="28" t="str">
        <f>IF(C1504=""," ",[1]!s_yq_pctchange($C1504,$N$1))</f>
        <v xml:space="preserve"> </v>
      </c>
      <c r="O1504" s="11"/>
      <c r="P1504" s="7"/>
    </row>
    <row r="1505" spans="1:16" x14ac:dyDescent="0.35">
      <c r="A1505" s="7"/>
      <c r="C1505" s="30" t="str">
        <f>IF(指数列表!B1502="","",指数列表!B1502)</f>
        <v/>
      </c>
      <c r="D1505" s="35" t="str">
        <f>IF(C1505="","",[1]!s_info_name(C1505))</f>
        <v/>
      </c>
      <c r="E1505" s="24" t="str">
        <f>IF(C1505="","",[1]!s_dq_close(C1505,$N$1))</f>
        <v/>
      </c>
      <c r="F1505" s="28" t="str">
        <f>IF($C1505=""," ",[1]!i_pq_pctchange($C1505,F$6,$N$1))</f>
        <v xml:space="preserve"> </v>
      </c>
      <c r="G1505" s="28" t="str">
        <f>IF($C1505=""," ",[1]!i_pq_pctchange($C1505,G$6,$N$1))</f>
        <v xml:space="preserve"> </v>
      </c>
      <c r="H1505" s="28" t="str">
        <f>IF($C1505=""," ",[1]!i_pq_pctchange($C1505,H$6,$N$1))</f>
        <v xml:space="preserve"> </v>
      </c>
      <c r="I1505" s="28" t="str">
        <f>IF($C1505=""," ",[1]!i_pq_pctchange($C1505,I$6,$N$1))</f>
        <v xml:space="preserve"> </v>
      </c>
      <c r="J1505" s="28" t="str">
        <f>IF($C1505=""," ",[1]!i_pq_pctchange($C1505,J$6,$N$1))</f>
        <v xml:space="preserve"> </v>
      </c>
      <c r="K1505" s="28" t="str">
        <f>IF($C1505=""," ",[1]!i_pq_pctchange($C1505,K$6,$N$1))</f>
        <v xml:space="preserve"> </v>
      </c>
      <c r="L1505" s="28" t="str">
        <f>IF(C1505=""," ",[1]!s_wq_pctchange($C1505,$N$1))</f>
        <v xml:space="preserve"> </v>
      </c>
      <c r="M1505" s="28" t="str">
        <f>IF(C1505=""," ",[1]!s_mq_pctchange($C1505,$N$1))</f>
        <v xml:space="preserve"> </v>
      </c>
      <c r="N1505" s="28" t="str">
        <f>IF(C1505=""," ",[1]!s_yq_pctchange($C1505,$N$1))</f>
        <v xml:space="preserve"> </v>
      </c>
      <c r="O1505" s="11"/>
      <c r="P1505" s="7"/>
    </row>
    <row r="1506" spans="1:16" x14ac:dyDescent="0.35">
      <c r="A1506" s="7"/>
      <c r="C1506" s="31" t="str">
        <f>IF(指数列表!B1503="","",指数列表!B1503)</f>
        <v/>
      </c>
      <c r="D1506" s="36" t="str">
        <f>IF(C1506="","",[1]!s_info_name(C1506))</f>
        <v/>
      </c>
      <c r="E1506" s="25" t="str">
        <f>IF(C1506="","",[1]!s_dq_close(C1506,$N$1))</f>
        <v/>
      </c>
      <c r="F1506" s="28" t="str">
        <f>IF($C1506=""," ",[1]!i_pq_pctchange($C1506,F$6,$N$1))</f>
        <v xml:space="preserve"> </v>
      </c>
      <c r="G1506" s="28" t="str">
        <f>IF($C1506=""," ",[1]!i_pq_pctchange($C1506,G$6,$N$1))</f>
        <v xml:space="preserve"> </v>
      </c>
      <c r="H1506" s="28" t="str">
        <f>IF($C1506=""," ",[1]!i_pq_pctchange($C1506,H$6,$N$1))</f>
        <v xml:space="preserve"> </v>
      </c>
      <c r="I1506" s="28" t="str">
        <f>IF($C1506=""," ",[1]!i_pq_pctchange($C1506,I$6,$N$1))</f>
        <v xml:space="preserve"> </v>
      </c>
      <c r="J1506" s="28" t="str">
        <f>IF($C1506=""," ",[1]!i_pq_pctchange($C1506,J$6,$N$1))</f>
        <v xml:space="preserve"> </v>
      </c>
      <c r="K1506" s="28" t="str">
        <f>IF($C1506=""," ",[1]!i_pq_pctchange($C1506,K$6,$N$1))</f>
        <v xml:space="preserve"> </v>
      </c>
      <c r="L1506" s="28" t="str">
        <f>IF(C1506=""," ",[1]!s_wq_pctchange($C1506,$N$1))</f>
        <v xml:space="preserve"> </v>
      </c>
      <c r="M1506" s="28" t="str">
        <f>IF(C1506=""," ",[1]!s_mq_pctchange($C1506,$N$1))</f>
        <v xml:space="preserve"> </v>
      </c>
      <c r="N1506" s="28" t="str">
        <f>IF(C1506=""," ",[1]!s_yq_pctchange($C1506,$N$1))</f>
        <v xml:space="preserve"> </v>
      </c>
      <c r="O1506" s="11"/>
      <c r="P1506" s="7"/>
    </row>
    <row r="1507" spans="1:16" x14ac:dyDescent="0.35">
      <c r="A1507" s="7"/>
      <c r="C1507" s="30" t="str">
        <f>IF(指数列表!B1504="","",指数列表!B1504)</f>
        <v/>
      </c>
      <c r="D1507" s="35" t="str">
        <f>IF(C1507="","",[1]!s_info_name(C1507))</f>
        <v/>
      </c>
      <c r="E1507" s="24" t="str">
        <f>IF(C1507="","",[1]!s_dq_close(C1507,$N$1))</f>
        <v/>
      </c>
      <c r="F1507" s="28" t="str">
        <f>IF($C1507=""," ",[1]!i_pq_pctchange($C1507,F$6,$N$1))</f>
        <v xml:space="preserve"> </v>
      </c>
      <c r="G1507" s="28" t="str">
        <f>IF($C1507=""," ",[1]!i_pq_pctchange($C1507,G$6,$N$1))</f>
        <v xml:space="preserve"> </v>
      </c>
      <c r="H1507" s="28" t="str">
        <f>IF($C1507=""," ",[1]!i_pq_pctchange($C1507,H$6,$N$1))</f>
        <v xml:space="preserve"> </v>
      </c>
      <c r="I1507" s="28" t="str">
        <f>IF($C1507=""," ",[1]!i_pq_pctchange($C1507,I$6,$N$1))</f>
        <v xml:space="preserve"> </v>
      </c>
      <c r="J1507" s="28" t="str">
        <f>IF($C1507=""," ",[1]!i_pq_pctchange($C1507,J$6,$N$1))</f>
        <v xml:space="preserve"> </v>
      </c>
      <c r="K1507" s="28" t="str">
        <f>IF($C1507=""," ",[1]!i_pq_pctchange($C1507,K$6,$N$1))</f>
        <v xml:space="preserve"> </v>
      </c>
      <c r="L1507" s="28" t="str">
        <f>IF(C1507=""," ",[1]!s_wq_pctchange($C1507,$N$1))</f>
        <v xml:space="preserve"> </v>
      </c>
      <c r="M1507" s="28" t="str">
        <f>IF(C1507=""," ",[1]!s_mq_pctchange($C1507,$N$1))</f>
        <v xml:space="preserve"> </v>
      </c>
      <c r="N1507" s="28" t="str">
        <f>IF(C1507=""," ",[1]!s_yq_pctchange($C1507,$N$1))</f>
        <v xml:space="preserve"> </v>
      </c>
      <c r="O1507" s="11"/>
      <c r="P1507" s="7"/>
    </row>
    <row r="1508" spans="1:16" x14ac:dyDescent="0.35">
      <c r="A1508" s="7"/>
      <c r="C1508" s="31" t="str">
        <f>IF(指数列表!B1505="","",指数列表!B1505)</f>
        <v/>
      </c>
      <c r="D1508" s="36" t="str">
        <f>IF(C1508="","",[1]!s_info_name(C1508))</f>
        <v/>
      </c>
      <c r="E1508" s="25" t="str">
        <f>IF(C1508="","",[1]!s_dq_close(C1508,$N$1))</f>
        <v/>
      </c>
      <c r="F1508" s="28" t="str">
        <f>IF($C1508=""," ",[1]!i_pq_pctchange($C1508,F$6,$N$1))</f>
        <v xml:space="preserve"> </v>
      </c>
      <c r="G1508" s="28" t="str">
        <f>IF($C1508=""," ",[1]!i_pq_pctchange($C1508,G$6,$N$1))</f>
        <v xml:space="preserve"> </v>
      </c>
      <c r="H1508" s="28" t="str">
        <f>IF($C1508=""," ",[1]!i_pq_pctchange($C1508,H$6,$N$1))</f>
        <v xml:space="preserve"> </v>
      </c>
      <c r="I1508" s="28" t="str">
        <f>IF($C1508=""," ",[1]!i_pq_pctchange($C1508,I$6,$N$1))</f>
        <v xml:space="preserve"> </v>
      </c>
      <c r="J1508" s="28" t="str">
        <f>IF($C1508=""," ",[1]!i_pq_pctchange($C1508,J$6,$N$1))</f>
        <v xml:space="preserve"> </v>
      </c>
      <c r="K1508" s="28" t="str">
        <f>IF($C1508=""," ",[1]!i_pq_pctchange($C1508,K$6,$N$1))</f>
        <v xml:space="preserve"> </v>
      </c>
      <c r="L1508" s="28" t="str">
        <f>IF(C1508=""," ",[1]!s_wq_pctchange($C1508,$N$1))</f>
        <v xml:space="preserve"> </v>
      </c>
      <c r="M1508" s="28" t="str">
        <f>IF(C1508=""," ",[1]!s_mq_pctchange($C1508,$N$1))</f>
        <v xml:space="preserve"> </v>
      </c>
      <c r="N1508" s="28" t="str">
        <f>IF(C1508=""," ",[1]!s_yq_pctchange($C1508,$N$1))</f>
        <v xml:space="preserve"> </v>
      </c>
      <c r="O1508" s="11"/>
      <c r="P1508" s="7"/>
    </row>
    <row r="1509" spans="1:16" x14ac:dyDescent="0.35">
      <c r="A1509" s="7"/>
      <c r="C1509" s="30" t="str">
        <f>IF(指数列表!B1506="","",指数列表!B1506)</f>
        <v/>
      </c>
      <c r="D1509" s="35" t="str">
        <f>IF(C1509="","",[1]!s_info_name(C1509))</f>
        <v/>
      </c>
      <c r="E1509" s="24" t="str">
        <f>IF(C1509="","",[1]!s_dq_close(C1509,$N$1))</f>
        <v/>
      </c>
      <c r="F1509" s="28" t="str">
        <f>IF($C1509=""," ",[1]!i_pq_pctchange($C1509,F$6,$N$1))</f>
        <v xml:space="preserve"> </v>
      </c>
      <c r="G1509" s="28" t="str">
        <f>IF($C1509=""," ",[1]!i_pq_pctchange($C1509,G$6,$N$1))</f>
        <v xml:space="preserve"> </v>
      </c>
      <c r="H1509" s="28" t="str">
        <f>IF($C1509=""," ",[1]!i_pq_pctchange($C1509,H$6,$N$1))</f>
        <v xml:space="preserve"> </v>
      </c>
      <c r="I1509" s="28" t="str">
        <f>IF($C1509=""," ",[1]!i_pq_pctchange($C1509,I$6,$N$1))</f>
        <v xml:space="preserve"> </v>
      </c>
      <c r="J1509" s="28" t="str">
        <f>IF($C1509=""," ",[1]!i_pq_pctchange($C1509,J$6,$N$1))</f>
        <v xml:space="preserve"> </v>
      </c>
      <c r="K1509" s="28" t="str">
        <f>IF($C1509=""," ",[1]!i_pq_pctchange($C1509,K$6,$N$1))</f>
        <v xml:space="preserve"> </v>
      </c>
      <c r="L1509" s="28" t="str">
        <f>IF(C1509=""," ",[1]!s_wq_pctchange($C1509,$N$1))</f>
        <v xml:space="preserve"> </v>
      </c>
      <c r="M1509" s="28" t="str">
        <f>IF(C1509=""," ",[1]!s_mq_pctchange($C1509,$N$1))</f>
        <v xml:space="preserve"> </v>
      </c>
      <c r="N1509" s="28" t="str">
        <f>IF(C1509=""," ",[1]!s_yq_pctchange($C1509,$N$1))</f>
        <v xml:space="preserve"> </v>
      </c>
      <c r="O1509" s="11"/>
      <c r="P1509" s="7"/>
    </row>
    <row r="1510" spans="1:16" x14ac:dyDescent="0.35">
      <c r="A1510" s="7"/>
      <c r="C1510" s="31" t="str">
        <f>IF(指数列表!B1507="","",指数列表!B1507)</f>
        <v/>
      </c>
      <c r="D1510" s="36" t="str">
        <f>IF(C1510="","",[1]!s_info_name(C1510))</f>
        <v/>
      </c>
      <c r="E1510" s="25" t="str">
        <f>IF(C1510="","",[1]!s_dq_close(C1510,$N$1))</f>
        <v/>
      </c>
      <c r="F1510" s="28" t="str">
        <f>IF($C1510=""," ",[1]!i_pq_pctchange($C1510,F$6,$N$1))</f>
        <v xml:space="preserve"> </v>
      </c>
      <c r="G1510" s="28" t="str">
        <f>IF($C1510=""," ",[1]!i_pq_pctchange($C1510,G$6,$N$1))</f>
        <v xml:space="preserve"> </v>
      </c>
      <c r="H1510" s="28" t="str">
        <f>IF($C1510=""," ",[1]!i_pq_pctchange($C1510,H$6,$N$1))</f>
        <v xml:space="preserve"> </v>
      </c>
      <c r="I1510" s="28" t="str">
        <f>IF($C1510=""," ",[1]!i_pq_pctchange($C1510,I$6,$N$1))</f>
        <v xml:space="preserve"> </v>
      </c>
      <c r="J1510" s="28" t="str">
        <f>IF($C1510=""," ",[1]!i_pq_pctchange($C1510,J$6,$N$1))</f>
        <v xml:space="preserve"> </v>
      </c>
      <c r="K1510" s="28" t="str">
        <f>IF($C1510=""," ",[1]!i_pq_pctchange($C1510,K$6,$N$1))</f>
        <v xml:space="preserve"> </v>
      </c>
      <c r="L1510" s="28" t="str">
        <f>IF(C1510=""," ",[1]!s_wq_pctchange($C1510,$N$1))</f>
        <v xml:space="preserve"> </v>
      </c>
      <c r="M1510" s="28" t="str">
        <f>IF(C1510=""," ",[1]!s_mq_pctchange($C1510,$N$1))</f>
        <v xml:space="preserve"> </v>
      </c>
      <c r="N1510" s="28" t="str">
        <f>IF(C1510=""," ",[1]!s_yq_pctchange($C1510,$N$1))</f>
        <v xml:space="preserve"> </v>
      </c>
      <c r="O1510" s="11"/>
      <c r="P1510" s="7"/>
    </row>
    <row r="1511" spans="1:16" x14ac:dyDescent="0.35">
      <c r="A1511" s="7"/>
      <c r="C1511" s="30" t="str">
        <f>IF(指数列表!B1508="","",指数列表!B1508)</f>
        <v/>
      </c>
      <c r="D1511" s="35" t="str">
        <f>IF(C1511="","",[1]!s_info_name(C1511))</f>
        <v/>
      </c>
      <c r="E1511" s="24" t="str">
        <f>IF(C1511="","",[1]!s_dq_close(C1511,$N$1))</f>
        <v/>
      </c>
      <c r="F1511" s="28" t="str">
        <f>IF($C1511=""," ",[1]!i_pq_pctchange($C1511,F$6,$N$1))</f>
        <v xml:space="preserve"> </v>
      </c>
      <c r="G1511" s="28" t="str">
        <f>IF($C1511=""," ",[1]!i_pq_pctchange($C1511,G$6,$N$1))</f>
        <v xml:space="preserve"> </v>
      </c>
      <c r="H1511" s="28" t="str">
        <f>IF($C1511=""," ",[1]!i_pq_pctchange($C1511,H$6,$N$1))</f>
        <v xml:space="preserve"> </v>
      </c>
      <c r="I1511" s="28" t="str">
        <f>IF($C1511=""," ",[1]!i_pq_pctchange($C1511,I$6,$N$1))</f>
        <v xml:space="preserve"> </v>
      </c>
      <c r="J1511" s="28" t="str">
        <f>IF($C1511=""," ",[1]!i_pq_pctchange($C1511,J$6,$N$1))</f>
        <v xml:space="preserve"> </v>
      </c>
      <c r="K1511" s="28" t="str">
        <f>IF($C1511=""," ",[1]!i_pq_pctchange($C1511,K$6,$N$1))</f>
        <v xml:space="preserve"> </v>
      </c>
      <c r="L1511" s="28" t="str">
        <f>IF(C1511=""," ",[1]!s_wq_pctchange($C1511,$N$1))</f>
        <v xml:space="preserve"> </v>
      </c>
      <c r="M1511" s="28" t="str">
        <f>IF(C1511=""," ",[1]!s_mq_pctchange($C1511,$N$1))</f>
        <v xml:space="preserve"> </v>
      </c>
      <c r="N1511" s="28" t="str">
        <f>IF(C1511=""," ",[1]!s_yq_pctchange($C1511,$N$1))</f>
        <v xml:space="preserve"> </v>
      </c>
      <c r="O1511" s="11"/>
      <c r="P1511" s="7"/>
    </row>
    <row r="1512" spans="1:16" x14ac:dyDescent="0.35">
      <c r="A1512" s="7"/>
      <c r="C1512" s="31" t="str">
        <f>IF(指数列表!B1509="","",指数列表!B1509)</f>
        <v/>
      </c>
      <c r="D1512" s="36" t="str">
        <f>IF(C1512="","",[1]!s_info_name(C1512))</f>
        <v/>
      </c>
      <c r="E1512" s="25" t="str">
        <f>IF(C1512="","",[1]!s_dq_close(C1512,$N$1))</f>
        <v/>
      </c>
      <c r="F1512" s="28" t="str">
        <f>IF($C1512=""," ",[1]!i_pq_pctchange($C1512,F$6,$N$1))</f>
        <v xml:space="preserve"> </v>
      </c>
      <c r="G1512" s="28" t="str">
        <f>IF($C1512=""," ",[1]!i_pq_pctchange($C1512,G$6,$N$1))</f>
        <v xml:space="preserve"> </v>
      </c>
      <c r="H1512" s="28" t="str">
        <f>IF($C1512=""," ",[1]!i_pq_pctchange($C1512,H$6,$N$1))</f>
        <v xml:space="preserve"> </v>
      </c>
      <c r="I1512" s="28" t="str">
        <f>IF($C1512=""," ",[1]!i_pq_pctchange($C1512,I$6,$N$1))</f>
        <v xml:space="preserve"> </v>
      </c>
      <c r="J1512" s="28" t="str">
        <f>IF($C1512=""," ",[1]!i_pq_pctchange($C1512,J$6,$N$1))</f>
        <v xml:space="preserve"> </v>
      </c>
      <c r="K1512" s="28" t="str">
        <f>IF($C1512=""," ",[1]!i_pq_pctchange($C1512,K$6,$N$1))</f>
        <v xml:space="preserve"> </v>
      </c>
      <c r="L1512" s="28" t="str">
        <f>IF(C1512=""," ",[1]!s_wq_pctchange($C1512,$N$1))</f>
        <v xml:space="preserve"> </v>
      </c>
      <c r="M1512" s="28" t="str">
        <f>IF(C1512=""," ",[1]!s_mq_pctchange($C1512,$N$1))</f>
        <v xml:space="preserve"> </v>
      </c>
      <c r="N1512" s="28" t="str">
        <f>IF(C1512=""," ",[1]!s_yq_pctchange($C1512,$N$1))</f>
        <v xml:space="preserve"> </v>
      </c>
      <c r="O1512" s="11"/>
      <c r="P1512" s="7"/>
    </row>
    <row r="1513" spans="1:16" x14ac:dyDescent="0.35">
      <c r="A1513" s="7"/>
      <c r="C1513" s="30" t="str">
        <f>IF(指数列表!B1510="","",指数列表!B1510)</f>
        <v/>
      </c>
      <c r="D1513" s="35" t="str">
        <f>IF(C1513="","",[1]!s_info_name(C1513))</f>
        <v/>
      </c>
      <c r="E1513" s="24" t="str">
        <f>IF(C1513="","",[1]!s_dq_close(C1513,$N$1))</f>
        <v/>
      </c>
      <c r="F1513" s="28" t="str">
        <f>IF($C1513=""," ",[1]!i_pq_pctchange($C1513,F$6,$N$1))</f>
        <v xml:space="preserve"> </v>
      </c>
      <c r="G1513" s="28" t="str">
        <f>IF($C1513=""," ",[1]!i_pq_pctchange($C1513,G$6,$N$1))</f>
        <v xml:space="preserve"> </v>
      </c>
      <c r="H1513" s="28" t="str">
        <f>IF($C1513=""," ",[1]!i_pq_pctchange($C1513,H$6,$N$1))</f>
        <v xml:space="preserve"> </v>
      </c>
      <c r="I1513" s="28" t="str">
        <f>IF($C1513=""," ",[1]!i_pq_pctchange($C1513,I$6,$N$1))</f>
        <v xml:space="preserve"> </v>
      </c>
      <c r="J1513" s="28" t="str">
        <f>IF($C1513=""," ",[1]!i_pq_pctchange($C1513,J$6,$N$1))</f>
        <v xml:space="preserve"> </v>
      </c>
      <c r="K1513" s="28" t="str">
        <f>IF($C1513=""," ",[1]!i_pq_pctchange($C1513,K$6,$N$1))</f>
        <v xml:space="preserve"> </v>
      </c>
      <c r="L1513" s="28" t="str">
        <f>IF(C1513=""," ",[1]!s_wq_pctchange($C1513,$N$1))</f>
        <v xml:space="preserve"> </v>
      </c>
      <c r="M1513" s="28" t="str">
        <f>IF(C1513=""," ",[1]!s_mq_pctchange($C1513,$N$1))</f>
        <v xml:space="preserve"> </v>
      </c>
      <c r="N1513" s="28" t="str">
        <f>IF(C1513=""," ",[1]!s_yq_pctchange($C1513,$N$1))</f>
        <v xml:space="preserve"> </v>
      </c>
      <c r="O1513" s="11"/>
      <c r="P1513" s="7"/>
    </row>
    <row r="1514" spans="1:16" x14ac:dyDescent="0.35">
      <c r="A1514" s="7"/>
      <c r="C1514" s="31" t="str">
        <f>IF(指数列表!B1511="","",指数列表!B1511)</f>
        <v/>
      </c>
      <c r="D1514" s="36" t="str">
        <f>IF(C1514="","",[1]!s_info_name(C1514))</f>
        <v/>
      </c>
      <c r="E1514" s="25" t="str">
        <f>IF(C1514="","",[1]!s_dq_close(C1514,$N$1))</f>
        <v/>
      </c>
      <c r="F1514" s="28" t="str">
        <f>IF($C1514=""," ",[1]!i_pq_pctchange($C1514,F$6,$N$1))</f>
        <v xml:space="preserve"> </v>
      </c>
      <c r="G1514" s="28" t="str">
        <f>IF($C1514=""," ",[1]!i_pq_pctchange($C1514,G$6,$N$1))</f>
        <v xml:space="preserve"> </v>
      </c>
      <c r="H1514" s="28" t="str">
        <f>IF($C1514=""," ",[1]!i_pq_pctchange($C1514,H$6,$N$1))</f>
        <v xml:space="preserve"> </v>
      </c>
      <c r="I1514" s="28" t="str">
        <f>IF($C1514=""," ",[1]!i_pq_pctchange($C1514,I$6,$N$1))</f>
        <v xml:space="preserve"> </v>
      </c>
      <c r="J1514" s="28" t="str">
        <f>IF($C1514=""," ",[1]!i_pq_pctchange($C1514,J$6,$N$1))</f>
        <v xml:space="preserve"> </v>
      </c>
      <c r="K1514" s="28" t="str">
        <f>IF($C1514=""," ",[1]!i_pq_pctchange($C1514,K$6,$N$1))</f>
        <v xml:space="preserve"> </v>
      </c>
      <c r="L1514" s="28" t="str">
        <f>IF(C1514=""," ",[1]!s_wq_pctchange($C1514,$N$1))</f>
        <v xml:space="preserve"> </v>
      </c>
      <c r="M1514" s="28" t="str">
        <f>IF(C1514=""," ",[1]!s_mq_pctchange($C1514,$N$1))</f>
        <v xml:space="preserve"> </v>
      </c>
      <c r="N1514" s="28" t="str">
        <f>IF(C1514=""," ",[1]!s_yq_pctchange($C1514,$N$1))</f>
        <v xml:space="preserve"> </v>
      </c>
      <c r="O1514" s="11"/>
      <c r="P1514" s="7"/>
    </row>
    <row r="1515" spans="1:16" x14ac:dyDescent="0.35">
      <c r="A1515" s="7"/>
      <c r="C1515" s="30" t="str">
        <f>IF(指数列表!B1512="","",指数列表!B1512)</f>
        <v/>
      </c>
      <c r="D1515" s="35" t="str">
        <f>IF(C1515="","",[1]!s_info_name(C1515))</f>
        <v/>
      </c>
      <c r="E1515" s="24" t="str">
        <f>IF(C1515="","",[1]!s_dq_close(C1515,$N$1))</f>
        <v/>
      </c>
      <c r="F1515" s="28" t="str">
        <f>IF($C1515=""," ",[1]!i_pq_pctchange($C1515,F$6,$N$1))</f>
        <v xml:space="preserve"> </v>
      </c>
      <c r="G1515" s="28" t="str">
        <f>IF($C1515=""," ",[1]!i_pq_pctchange($C1515,G$6,$N$1))</f>
        <v xml:space="preserve"> </v>
      </c>
      <c r="H1515" s="28" t="str">
        <f>IF($C1515=""," ",[1]!i_pq_pctchange($C1515,H$6,$N$1))</f>
        <v xml:space="preserve"> </v>
      </c>
      <c r="I1515" s="28" t="str">
        <f>IF($C1515=""," ",[1]!i_pq_pctchange($C1515,I$6,$N$1))</f>
        <v xml:space="preserve"> </v>
      </c>
      <c r="J1515" s="28" t="str">
        <f>IF($C1515=""," ",[1]!i_pq_pctchange($C1515,J$6,$N$1))</f>
        <v xml:space="preserve"> </v>
      </c>
      <c r="K1515" s="28" t="str">
        <f>IF($C1515=""," ",[1]!i_pq_pctchange($C1515,K$6,$N$1))</f>
        <v xml:space="preserve"> </v>
      </c>
      <c r="L1515" s="28" t="str">
        <f>IF(C1515=""," ",[1]!s_wq_pctchange($C1515,$N$1))</f>
        <v xml:space="preserve"> </v>
      </c>
      <c r="M1515" s="28" t="str">
        <f>IF(C1515=""," ",[1]!s_mq_pctchange($C1515,$N$1))</f>
        <v xml:space="preserve"> </v>
      </c>
      <c r="N1515" s="28" t="str">
        <f>IF(C1515=""," ",[1]!s_yq_pctchange($C1515,$N$1))</f>
        <v xml:space="preserve"> </v>
      </c>
      <c r="O1515" s="11"/>
      <c r="P1515" s="7"/>
    </row>
    <row r="1516" spans="1:16" x14ac:dyDescent="0.35">
      <c r="A1516" s="7"/>
      <c r="C1516" s="31" t="str">
        <f>IF(指数列表!B1513="","",指数列表!B1513)</f>
        <v/>
      </c>
      <c r="D1516" s="36" t="str">
        <f>IF(C1516="","",[1]!s_info_name(C1516))</f>
        <v/>
      </c>
      <c r="E1516" s="25" t="str">
        <f>IF(C1516="","",[1]!s_dq_close(C1516,$N$1))</f>
        <v/>
      </c>
      <c r="F1516" s="28" t="str">
        <f>IF($C1516=""," ",[1]!i_pq_pctchange($C1516,F$6,$N$1))</f>
        <v xml:space="preserve"> </v>
      </c>
      <c r="G1516" s="28" t="str">
        <f>IF($C1516=""," ",[1]!i_pq_pctchange($C1516,G$6,$N$1))</f>
        <v xml:space="preserve"> </v>
      </c>
      <c r="H1516" s="28" t="str">
        <f>IF($C1516=""," ",[1]!i_pq_pctchange($C1516,H$6,$N$1))</f>
        <v xml:space="preserve"> </v>
      </c>
      <c r="I1516" s="28" t="str">
        <f>IF($C1516=""," ",[1]!i_pq_pctchange($C1516,I$6,$N$1))</f>
        <v xml:space="preserve"> </v>
      </c>
      <c r="J1516" s="28" t="str">
        <f>IF($C1516=""," ",[1]!i_pq_pctchange($C1516,J$6,$N$1))</f>
        <v xml:space="preserve"> </v>
      </c>
      <c r="K1516" s="28" t="str">
        <f>IF($C1516=""," ",[1]!i_pq_pctchange($C1516,K$6,$N$1))</f>
        <v xml:space="preserve"> </v>
      </c>
      <c r="L1516" s="28" t="str">
        <f>IF(C1516=""," ",[1]!s_wq_pctchange($C1516,$N$1))</f>
        <v xml:space="preserve"> </v>
      </c>
      <c r="M1516" s="28" t="str">
        <f>IF(C1516=""," ",[1]!s_mq_pctchange($C1516,$N$1))</f>
        <v xml:space="preserve"> </v>
      </c>
      <c r="N1516" s="28" t="str">
        <f>IF(C1516=""," ",[1]!s_yq_pctchange($C1516,$N$1))</f>
        <v xml:space="preserve"> </v>
      </c>
      <c r="O1516" s="11"/>
      <c r="P1516" s="7"/>
    </row>
    <row r="1517" spans="1:16" x14ac:dyDescent="0.35">
      <c r="A1517" s="7"/>
      <c r="C1517" s="30" t="str">
        <f>IF(指数列表!B1514="","",指数列表!B1514)</f>
        <v/>
      </c>
      <c r="D1517" s="35" t="str">
        <f>IF(C1517="","",[1]!s_info_name(C1517))</f>
        <v/>
      </c>
      <c r="E1517" s="24" t="str">
        <f>IF(C1517="","",[1]!s_dq_close(C1517,$N$1))</f>
        <v/>
      </c>
      <c r="F1517" s="28" t="str">
        <f>IF($C1517=""," ",[1]!i_pq_pctchange($C1517,F$6,$N$1))</f>
        <v xml:space="preserve"> </v>
      </c>
      <c r="G1517" s="28" t="str">
        <f>IF($C1517=""," ",[1]!i_pq_pctchange($C1517,G$6,$N$1))</f>
        <v xml:space="preserve"> </v>
      </c>
      <c r="H1517" s="28" t="str">
        <f>IF($C1517=""," ",[1]!i_pq_pctchange($C1517,H$6,$N$1))</f>
        <v xml:space="preserve"> </v>
      </c>
      <c r="I1517" s="28" t="str">
        <f>IF($C1517=""," ",[1]!i_pq_pctchange($C1517,I$6,$N$1))</f>
        <v xml:space="preserve"> </v>
      </c>
      <c r="J1517" s="28" t="str">
        <f>IF($C1517=""," ",[1]!i_pq_pctchange($C1517,J$6,$N$1))</f>
        <v xml:space="preserve"> </v>
      </c>
      <c r="K1517" s="28" t="str">
        <f>IF($C1517=""," ",[1]!i_pq_pctchange($C1517,K$6,$N$1))</f>
        <v xml:space="preserve"> </v>
      </c>
      <c r="L1517" s="28" t="str">
        <f>IF(C1517=""," ",[1]!s_wq_pctchange($C1517,$N$1))</f>
        <v xml:space="preserve"> </v>
      </c>
      <c r="M1517" s="28" t="str">
        <f>IF(C1517=""," ",[1]!s_mq_pctchange($C1517,$N$1))</f>
        <v xml:space="preserve"> </v>
      </c>
      <c r="N1517" s="28" t="str">
        <f>IF(C1517=""," ",[1]!s_yq_pctchange($C1517,$N$1))</f>
        <v xml:space="preserve"> </v>
      </c>
      <c r="O1517" s="11"/>
      <c r="P1517" s="7"/>
    </row>
    <row r="1518" spans="1:16" x14ac:dyDescent="0.35">
      <c r="A1518" s="7"/>
      <c r="C1518" s="31" t="str">
        <f>IF(指数列表!B1515="","",指数列表!B1515)</f>
        <v/>
      </c>
      <c r="D1518" s="36" t="str">
        <f>IF(C1518="","",[1]!s_info_name(C1518))</f>
        <v/>
      </c>
      <c r="E1518" s="25" t="str">
        <f>IF(C1518="","",[1]!s_dq_close(C1518,$N$1))</f>
        <v/>
      </c>
      <c r="F1518" s="28" t="str">
        <f>IF($C1518=""," ",[1]!i_pq_pctchange($C1518,F$6,$N$1))</f>
        <v xml:space="preserve"> </v>
      </c>
      <c r="G1518" s="28" t="str">
        <f>IF($C1518=""," ",[1]!i_pq_pctchange($C1518,G$6,$N$1))</f>
        <v xml:space="preserve"> </v>
      </c>
      <c r="H1518" s="28" t="str">
        <f>IF($C1518=""," ",[1]!i_pq_pctchange($C1518,H$6,$N$1))</f>
        <v xml:space="preserve"> </v>
      </c>
      <c r="I1518" s="28" t="str">
        <f>IF($C1518=""," ",[1]!i_pq_pctchange($C1518,I$6,$N$1))</f>
        <v xml:space="preserve"> </v>
      </c>
      <c r="J1518" s="28" t="str">
        <f>IF($C1518=""," ",[1]!i_pq_pctchange($C1518,J$6,$N$1))</f>
        <v xml:space="preserve"> </v>
      </c>
      <c r="K1518" s="28" t="str">
        <f>IF($C1518=""," ",[1]!i_pq_pctchange($C1518,K$6,$N$1))</f>
        <v xml:space="preserve"> </v>
      </c>
      <c r="L1518" s="28" t="str">
        <f>IF(C1518=""," ",[1]!s_wq_pctchange($C1518,$N$1))</f>
        <v xml:space="preserve"> </v>
      </c>
      <c r="M1518" s="28" t="str">
        <f>IF(C1518=""," ",[1]!s_mq_pctchange($C1518,$N$1))</f>
        <v xml:space="preserve"> </v>
      </c>
      <c r="N1518" s="28" t="str">
        <f>IF(C1518=""," ",[1]!s_yq_pctchange($C1518,$N$1))</f>
        <v xml:space="preserve"> </v>
      </c>
      <c r="O1518" s="11"/>
      <c r="P1518" s="7"/>
    </row>
    <row r="1519" spans="1:16" x14ac:dyDescent="0.35">
      <c r="A1519" s="7"/>
      <c r="C1519" s="30" t="str">
        <f>IF(指数列表!B1516="","",指数列表!B1516)</f>
        <v/>
      </c>
      <c r="D1519" s="35" t="str">
        <f>IF(C1519="","",[1]!s_info_name(C1519))</f>
        <v/>
      </c>
      <c r="E1519" s="24" t="str">
        <f>IF(C1519="","",[1]!s_dq_close(C1519,$N$1))</f>
        <v/>
      </c>
      <c r="F1519" s="28" t="str">
        <f>IF($C1519=""," ",[1]!i_pq_pctchange($C1519,F$6,$N$1))</f>
        <v xml:space="preserve"> </v>
      </c>
      <c r="G1519" s="28" t="str">
        <f>IF($C1519=""," ",[1]!i_pq_pctchange($C1519,G$6,$N$1))</f>
        <v xml:space="preserve"> </v>
      </c>
      <c r="H1519" s="28" t="str">
        <f>IF($C1519=""," ",[1]!i_pq_pctchange($C1519,H$6,$N$1))</f>
        <v xml:space="preserve"> </v>
      </c>
      <c r="I1519" s="28" t="str">
        <f>IF($C1519=""," ",[1]!i_pq_pctchange($C1519,I$6,$N$1))</f>
        <v xml:space="preserve"> </v>
      </c>
      <c r="J1519" s="28" t="str">
        <f>IF($C1519=""," ",[1]!i_pq_pctchange($C1519,J$6,$N$1))</f>
        <v xml:space="preserve"> </v>
      </c>
      <c r="K1519" s="28" t="str">
        <f>IF($C1519=""," ",[1]!i_pq_pctchange($C1519,K$6,$N$1))</f>
        <v xml:space="preserve"> </v>
      </c>
      <c r="L1519" s="28" t="str">
        <f>IF(C1519=""," ",[1]!s_wq_pctchange($C1519,$N$1))</f>
        <v xml:space="preserve"> </v>
      </c>
      <c r="M1519" s="28" t="str">
        <f>IF(C1519=""," ",[1]!s_mq_pctchange($C1519,$N$1))</f>
        <v xml:space="preserve"> </v>
      </c>
      <c r="N1519" s="28" t="str">
        <f>IF(C1519=""," ",[1]!s_yq_pctchange($C1519,$N$1))</f>
        <v xml:space="preserve"> </v>
      </c>
      <c r="O1519" s="11"/>
      <c r="P1519" s="7"/>
    </row>
    <row r="1520" spans="1:16" x14ac:dyDescent="0.35">
      <c r="A1520" s="7"/>
      <c r="C1520" s="31" t="str">
        <f>IF(指数列表!B1517="","",指数列表!B1517)</f>
        <v/>
      </c>
      <c r="D1520" s="36" t="str">
        <f>IF(C1520="","",[1]!s_info_name(C1520))</f>
        <v/>
      </c>
      <c r="E1520" s="25" t="str">
        <f>IF(C1520="","",[1]!s_dq_close(C1520,$N$1))</f>
        <v/>
      </c>
      <c r="F1520" s="28" t="str">
        <f>IF($C1520=""," ",[1]!i_pq_pctchange($C1520,F$6,$N$1))</f>
        <v xml:space="preserve"> </v>
      </c>
      <c r="G1520" s="28" t="str">
        <f>IF($C1520=""," ",[1]!i_pq_pctchange($C1520,G$6,$N$1))</f>
        <v xml:space="preserve"> </v>
      </c>
      <c r="H1520" s="28" t="str">
        <f>IF($C1520=""," ",[1]!i_pq_pctchange($C1520,H$6,$N$1))</f>
        <v xml:space="preserve"> </v>
      </c>
      <c r="I1520" s="28" t="str">
        <f>IF($C1520=""," ",[1]!i_pq_pctchange($C1520,I$6,$N$1))</f>
        <v xml:space="preserve"> </v>
      </c>
      <c r="J1520" s="28" t="str">
        <f>IF($C1520=""," ",[1]!i_pq_pctchange($C1520,J$6,$N$1))</f>
        <v xml:space="preserve"> </v>
      </c>
      <c r="K1520" s="28" t="str">
        <f>IF($C1520=""," ",[1]!i_pq_pctchange($C1520,K$6,$N$1))</f>
        <v xml:space="preserve"> </v>
      </c>
      <c r="L1520" s="28" t="str">
        <f>IF(C1520=""," ",[1]!s_wq_pctchange($C1520,$N$1))</f>
        <v xml:space="preserve"> </v>
      </c>
      <c r="M1520" s="28" t="str">
        <f>IF(C1520=""," ",[1]!s_mq_pctchange($C1520,$N$1))</f>
        <v xml:space="preserve"> </v>
      </c>
      <c r="N1520" s="28" t="str">
        <f>IF(C1520=""," ",[1]!s_yq_pctchange($C1520,$N$1))</f>
        <v xml:space="preserve"> </v>
      </c>
      <c r="O1520" s="11"/>
      <c r="P1520" s="7"/>
    </row>
    <row r="1521" spans="1:16" x14ac:dyDescent="0.35">
      <c r="A1521" s="7"/>
      <c r="C1521" s="30" t="str">
        <f>IF(指数列表!B1518="","",指数列表!B1518)</f>
        <v/>
      </c>
      <c r="D1521" s="35" t="str">
        <f>IF(C1521="","",[1]!s_info_name(C1521))</f>
        <v/>
      </c>
      <c r="E1521" s="24" t="str">
        <f>IF(C1521="","",[1]!s_dq_close(C1521,$N$1))</f>
        <v/>
      </c>
      <c r="F1521" s="28" t="str">
        <f>IF($C1521=""," ",[1]!i_pq_pctchange($C1521,F$6,$N$1))</f>
        <v xml:space="preserve"> </v>
      </c>
      <c r="G1521" s="28" t="str">
        <f>IF($C1521=""," ",[1]!i_pq_pctchange($C1521,G$6,$N$1))</f>
        <v xml:space="preserve"> </v>
      </c>
      <c r="H1521" s="28" t="str">
        <f>IF($C1521=""," ",[1]!i_pq_pctchange($C1521,H$6,$N$1))</f>
        <v xml:space="preserve"> </v>
      </c>
      <c r="I1521" s="28" t="str">
        <f>IF($C1521=""," ",[1]!i_pq_pctchange($C1521,I$6,$N$1))</f>
        <v xml:space="preserve"> </v>
      </c>
      <c r="J1521" s="28" t="str">
        <f>IF($C1521=""," ",[1]!i_pq_pctchange($C1521,J$6,$N$1))</f>
        <v xml:space="preserve"> </v>
      </c>
      <c r="K1521" s="28" t="str">
        <f>IF($C1521=""," ",[1]!i_pq_pctchange($C1521,K$6,$N$1))</f>
        <v xml:space="preserve"> </v>
      </c>
      <c r="L1521" s="28" t="str">
        <f>IF(C1521=""," ",[1]!s_wq_pctchange($C1521,$N$1))</f>
        <v xml:space="preserve"> </v>
      </c>
      <c r="M1521" s="28" t="str">
        <f>IF(C1521=""," ",[1]!s_mq_pctchange($C1521,$N$1))</f>
        <v xml:space="preserve"> </v>
      </c>
      <c r="N1521" s="28" t="str">
        <f>IF(C1521=""," ",[1]!s_yq_pctchange($C1521,$N$1))</f>
        <v xml:space="preserve"> </v>
      </c>
      <c r="O1521" s="11"/>
      <c r="P1521" s="7"/>
    </row>
    <row r="1522" spans="1:16" x14ac:dyDescent="0.35">
      <c r="A1522" s="7"/>
      <c r="C1522" s="31" t="str">
        <f>IF(指数列表!B1519="","",指数列表!B1519)</f>
        <v/>
      </c>
      <c r="D1522" s="36" t="str">
        <f>IF(C1522="","",[1]!s_info_name(C1522))</f>
        <v/>
      </c>
      <c r="E1522" s="25" t="str">
        <f>IF(C1522="","",[1]!s_dq_close(C1522,$N$1))</f>
        <v/>
      </c>
      <c r="F1522" s="28" t="str">
        <f>IF($C1522=""," ",[1]!i_pq_pctchange($C1522,F$6,$N$1))</f>
        <v xml:space="preserve"> </v>
      </c>
      <c r="G1522" s="28" t="str">
        <f>IF($C1522=""," ",[1]!i_pq_pctchange($C1522,G$6,$N$1))</f>
        <v xml:space="preserve"> </v>
      </c>
      <c r="H1522" s="28" t="str">
        <f>IF($C1522=""," ",[1]!i_pq_pctchange($C1522,H$6,$N$1))</f>
        <v xml:space="preserve"> </v>
      </c>
      <c r="I1522" s="28" t="str">
        <f>IF($C1522=""," ",[1]!i_pq_pctchange($C1522,I$6,$N$1))</f>
        <v xml:space="preserve"> </v>
      </c>
      <c r="J1522" s="28" t="str">
        <f>IF($C1522=""," ",[1]!i_pq_pctchange($C1522,J$6,$N$1))</f>
        <v xml:space="preserve"> </v>
      </c>
      <c r="K1522" s="28" t="str">
        <f>IF($C1522=""," ",[1]!i_pq_pctchange($C1522,K$6,$N$1))</f>
        <v xml:space="preserve"> </v>
      </c>
      <c r="L1522" s="28" t="str">
        <f>IF(C1522=""," ",[1]!s_wq_pctchange($C1522,$N$1))</f>
        <v xml:space="preserve"> </v>
      </c>
      <c r="M1522" s="28" t="str">
        <f>IF(C1522=""," ",[1]!s_mq_pctchange($C1522,$N$1))</f>
        <v xml:space="preserve"> </v>
      </c>
      <c r="N1522" s="28" t="str">
        <f>IF(C1522=""," ",[1]!s_yq_pctchange($C1522,$N$1))</f>
        <v xml:space="preserve"> </v>
      </c>
      <c r="O1522" s="11"/>
      <c r="P1522" s="7"/>
    </row>
    <row r="1523" spans="1:16" x14ac:dyDescent="0.35">
      <c r="A1523" s="7"/>
      <c r="C1523" s="30" t="str">
        <f>IF(指数列表!B1520="","",指数列表!B1520)</f>
        <v/>
      </c>
      <c r="D1523" s="35" t="str">
        <f>IF(C1523="","",[1]!s_info_name(C1523))</f>
        <v/>
      </c>
      <c r="E1523" s="24" t="str">
        <f>IF(C1523="","",[1]!s_dq_close(C1523,$N$1))</f>
        <v/>
      </c>
      <c r="F1523" s="28" t="str">
        <f>IF($C1523=""," ",[1]!i_pq_pctchange($C1523,F$6,$N$1))</f>
        <v xml:space="preserve"> </v>
      </c>
      <c r="G1523" s="28" t="str">
        <f>IF($C1523=""," ",[1]!i_pq_pctchange($C1523,G$6,$N$1))</f>
        <v xml:space="preserve"> </v>
      </c>
      <c r="H1523" s="28" t="str">
        <f>IF($C1523=""," ",[1]!i_pq_pctchange($C1523,H$6,$N$1))</f>
        <v xml:space="preserve"> </v>
      </c>
      <c r="I1523" s="28" t="str">
        <f>IF($C1523=""," ",[1]!i_pq_pctchange($C1523,I$6,$N$1))</f>
        <v xml:space="preserve"> </v>
      </c>
      <c r="J1523" s="28" t="str">
        <f>IF($C1523=""," ",[1]!i_pq_pctchange($C1523,J$6,$N$1))</f>
        <v xml:space="preserve"> </v>
      </c>
      <c r="K1523" s="28" t="str">
        <f>IF($C1523=""," ",[1]!i_pq_pctchange($C1523,K$6,$N$1))</f>
        <v xml:space="preserve"> </v>
      </c>
      <c r="L1523" s="28" t="str">
        <f>IF(C1523=""," ",[1]!s_wq_pctchange($C1523,$N$1))</f>
        <v xml:space="preserve"> </v>
      </c>
      <c r="M1523" s="28" t="str">
        <f>IF(C1523=""," ",[1]!s_mq_pctchange($C1523,$N$1))</f>
        <v xml:space="preserve"> </v>
      </c>
      <c r="N1523" s="28" t="str">
        <f>IF(C1523=""," ",[1]!s_yq_pctchange($C1523,$N$1))</f>
        <v xml:space="preserve"> </v>
      </c>
      <c r="O1523" s="11"/>
      <c r="P1523" s="7"/>
    </row>
    <row r="1524" spans="1:16" x14ac:dyDescent="0.35">
      <c r="A1524" s="7"/>
      <c r="C1524" s="31" t="str">
        <f>IF(指数列表!B1521="","",指数列表!B1521)</f>
        <v/>
      </c>
      <c r="D1524" s="36" t="str">
        <f>IF(C1524="","",[1]!s_info_name(C1524))</f>
        <v/>
      </c>
      <c r="E1524" s="25" t="str">
        <f>IF(C1524="","",[1]!s_dq_close(C1524,$N$1))</f>
        <v/>
      </c>
      <c r="F1524" s="28" t="str">
        <f>IF($C1524=""," ",[1]!i_pq_pctchange($C1524,F$6,$N$1))</f>
        <v xml:space="preserve"> </v>
      </c>
      <c r="G1524" s="28" t="str">
        <f>IF($C1524=""," ",[1]!i_pq_pctchange($C1524,G$6,$N$1))</f>
        <v xml:space="preserve"> </v>
      </c>
      <c r="H1524" s="28" t="str">
        <f>IF($C1524=""," ",[1]!i_pq_pctchange($C1524,H$6,$N$1))</f>
        <v xml:space="preserve"> </v>
      </c>
      <c r="I1524" s="28" t="str">
        <f>IF($C1524=""," ",[1]!i_pq_pctchange($C1524,I$6,$N$1))</f>
        <v xml:space="preserve"> </v>
      </c>
      <c r="J1524" s="28" t="str">
        <f>IF($C1524=""," ",[1]!i_pq_pctchange($C1524,J$6,$N$1))</f>
        <v xml:space="preserve"> </v>
      </c>
      <c r="K1524" s="28" t="str">
        <f>IF($C1524=""," ",[1]!i_pq_pctchange($C1524,K$6,$N$1))</f>
        <v xml:space="preserve"> </v>
      </c>
      <c r="L1524" s="28" t="str">
        <f>IF(C1524=""," ",[1]!s_wq_pctchange($C1524,$N$1))</f>
        <v xml:space="preserve"> </v>
      </c>
      <c r="M1524" s="28" t="str">
        <f>IF(C1524=""," ",[1]!s_mq_pctchange($C1524,$N$1))</f>
        <v xml:space="preserve"> </v>
      </c>
      <c r="N1524" s="28" t="str">
        <f>IF(C1524=""," ",[1]!s_yq_pctchange($C1524,$N$1))</f>
        <v xml:space="preserve"> </v>
      </c>
      <c r="O1524" s="11"/>
      <c r="P1524" s="7"/>
    </row>
    <row r="1525" spans="1:16" x14ac:dyDescent="0.35">
      <c r="A1525" s="7"/>
      <c r="C1525" s="30" t="str">
        <f>IF(指数列表!B1522="","",指数列表!B1522)</f>
        <v/>
      </c>
      <c r="D1525" s="35" t="str">
        <f>IF(C1525="","",[1]!s_info_name(C1525))</f>
        <v/>
      </c>
      <c r="E1525" s="24" t="str">
        <f>IF(C1525="","",[1]!s_dq_close(C1525,$N$1))</f>
        <v/>
      </c>
      <c r="F1525" s="28" t="str">
        <f>IF($C1525=""," ",[1]!i_pq_pctchange($C1525,F$6,$N$1))</f>
        <v xml:space="preserve"> </v>
      </c>
      <c r="G1525" s="28" t="str">
        <f>IF($C1525=""," ",[1]!i_pq_pctchange($C1525,G$6,$N$1))</f>
        <v xml:space="preserve"> </v>
      </c>
      <c r="H1525" s="28" t="str">
        <f>IF($C1525=""," ",[1]!i_pq_pctchange($C1525,H$6,$N$1))</f>
        <v xml:space="preserve"> </v>
      </c>
      <c r="I1525" s="28" t="str">
        <f>IF($C1525=""," ",[1]!i_pq_pctchange($C1525,I$6,$N$1))</f>
        <v xml:space="preserve"> </v>
      </c>
      <c r="J1525" s="28" t="str">
        <f>IF($C1525=""," ",[1]!i_pq_pctchange($C1525,J$6,$N$1))</f>
        <v xml:space="preserve"> </v>
      </c>
      <c r="K1525" s="28" t="str">
        <f>IF($C1525=""," ",[1]!i_pq_pctchange($C1525,K$6,$N$1))</f>
        <v xml:space="preserve"> </v>
      </c>
      <c r="L1525" s="28" t="str">
        <f>IF(C1525=""," ",[1]!s_wq_pctchange($C1525,$N$1))</f>
        <v xml:space="preserve"> </v>
      </c>
      <c r="M1525" s="28" t="str">
        <f>IF(C1525=""," ",[1]!s_mq_pctchange($C1525,$N$1))</f>
        <v xml:space="preserve"> </v>
      </c>
      <c r="N1525" s="28" t="str">
        <f>IF(C1525=""," ",[1]!s_yq_pctchange($C1525,$N$1))</f>
        <v xml:space="preserve"> </v>
      </c>
      <c r="O1525" s="11"/>
      <c r="P1525" s="7"/>
    </row>
    <row r="1526" spans="1:16" x14ac:dyDescent="0.35">
      <c r="A1526" s="7"/>
      <c r="C1526" s="31" t="str">
        <f>IF(指数列表!B1523="","",指数列表!B1523)</f>
        <v/>
      </c>
      <c r="D1526" s="36" t="str">
        <f>IF(C1526="","",[1]!s_info_name(C1526))</f>
        <v/>
      </c>
      <c r="E1526" s="25" t="str">
        <f>IF(C1526="","",[1]!s_dq_close(C1526,$N$1))</f>
        <v/>
      </c>
      <c r="F1526" s="28" t="str">
        <f>IF($C1526=""," ",[1]!i_pq_pctchange($C1526,F$6,$N$1))</f>
        <v xml:space="preserve"> </v>
      </c>
      <c r="G1526" s="28" t="str">
        <f>IF($C1526=""," ",[1]!i_pq_pctchange($C1526,G$6,$N$1))</f>
        <v xml:space="preserve"> </v>
      </c>
      <c r="H1526" s="28" t="str">
        <f>IF($C1526=""," ",[1]!i_pq_pctchange($C1526,H$6,$N$1))</f>
        <v xml:space="preserve"> </v>
      </c>
      <c r="I1526" s="28" t="str">
        <f>IF($C1526=""," ",[1]!i_pq_pctchange($C1526,I$6,$N$1))</f>
        <v xml:space="preserve"> </v>
      </c>
      <c r="J1526" s="28" t="str">
        <f>IF($C1526=""," ",[1]!i_pq_pctchange($C1526,J$6,$N$1))</f>
        <v xml:space="preserve"> </v>
      </c>
      <c r="K1526" s="28" t="str">
        <f>IF($C1526=""," ",[1]!i_pq_pctchange($C1526,K$6,$N$1))</f>
        <v xml:space="preserve"> </v>
      </c>
      <c r="L1526" s="28" t="str">
        <f>IF(C1526=""," ",[1]!s_wq_pctchange($C1526,$N$1))</f>
        <v xml:space="preserve"> </v>
      </c>
      <c r="M1526" s="28" t="str">
        <f>IF(C1526=""," ",[1]!s_mq_pctchange($C1526,$N$1))</f>
        <v xml:space="preserve"> </v>
      </c>
      <c r="N1526" s="28" t="str">
        <f>IF(C1526=""," ",[1]!s_yq_pctchange($C1526,$N$1))</f>
        <v xml:space="preserve"> </v>
      </c>
      <c r="O1526" s="11"/>
      <c r="P1526" s="7"/>
    </row>
    <row r="1527" spans="1:16" x14ac:dyDescent="0.35">
      <c r="A1527" s="7"/>
      <c r="C1527" s="30" t="str">
        <f>IF(指数列表!B1524="","",指数列表!B1524)</f>
        <v/>
      </c>
      <c r="D1527" s="35" t="str">
        <f>IF(C1527="","",[1]!s_info_name(C1527))</f>
        <v/>
      </c>
      <c r="E1527" s="24" t="str">
        <f>IF(C1527="","",[1]!s_dq_close(C1527,$N$1))</f>
        <v/>
      </c>
      <c r="F1527" s="28" t="str">
        <f>IF($C1527=""," ",[1]!i_pq_pctchange($C1527,F$6,$N$1))</f>
        <v xml:space="preserve"> </v>
      </c>
      <c r="G1527" s="28" t="str">
        <f>IF($C1527=""," ",[1]!i_pq_pctchange($C1527,G$6,$N$1))</f>
        <v xml:space="preserve"> </v>
      </c>
      <c r="H1527" s="28" t="str">
        <f>IF($C1527=""," ",[1]!i_pq_pctchange($C1527,H$6,$N$1))</f>
        <v xml:space="preserve"> </v>
      </c>
      <c r="I1527" s="28" t="str">
        <f>IF($C1527=""," ",[1]!i_pq_pctchange($C1527,I$6,$N$1))</f>
        <v xml:space="preserve"> </v>
      </c>
      <c r="J1527" s="28" t="str">
        <f>IF($C1527=""," ",[1]!i_pq_pctchange($C1527,J$6,$N$1))</f>
        <v xml:space="preserve"> </v>
      </c>
      <c r="K1527" s="28" t="str">
        <f>IF($C1527=""," ",[1]!i_pq_pctchange($C1527,K$6,$N$1))</f>
        <v xml:space="preserve"> </v>
      </c>
      <c r="L1527" s="28" t="str">
        <f>IF(C1527=""," ",[1]!s_wq_pctchange($C1527,$N$1))</f>
        <v xml:space="preserve"> </v>
      </c>
      <c r="M1527" s="28" t="str">
        <f>IF(C1527=""," ",[1]!s_mq_pctchange($C1527,$N$1))</f>
        <v xml:space="preserve"> </v>
      </c>
      <c r="N1527" s="28" t="str">
        <f>IF(C1527=""," ",[1]!s_yq_pctchange($C1527,$N$1))</f>
        <v xml:space="preserve"> </v>
      </c>
      <c r="O1527" s="11"/>
      <c r="P1527" s="7"/>
    </row>
    <row r="1528" spans="1:16" x14ac:dyDescent="0.35">
      <c r="A1528" s="7"/>
      <c r="C1528" s="31" t="str">
        <f>IF(指数列表!B1525="","",指数列表!B1525)</f>
        <v/>
      </c>
      <c r="D1528" s="36" t="str">
        <f>IF(C1528="","",[1]!s_info_name(C1528))</f>
        <v/>
      </c>
      <c r="E1528" s="25" t="str">
        <f>IF(C1528="","",[1]!s_dq_close(C1528,$N$1))</f>
        <v/>
      </c>
      <c r="F1528" s="28" t="str">
        <f>IF($C1528=""," ",[1]!i_pq_pctchange($C1528,F$6,$N$1))</f>
        <v xml:space="preserve"> </v>
      </c>
      <c r="G1528" s="28" t="str">
        <f>IF($C1528=""," ",[1]!i_pq_pctchange($C1528,G$6,$N$1))</f>
        <v xml:space="preserve"> </v>
      </c>
      <c r="H1528" s="28" t="str">
        <f>IF($C1528=""," ",[1]!i_pq_pctchange($C1528,H$6,$N$1))</f>
        <v xml:space="preserve"> </v>
      </c>
      <c r="I1528" s="28" t="str">
        <f>IF($C1528=""," ",[1]!i_pq_pctchange($C1528,I$6,$N$1))</f>
        <v xml:space="preserve"> </v>
      </c>
      <c r="J1528" s="28" t="str">
        <f>IF($C1528=""," ",[1]!i_pq_pctchange($C1528,J$6,$N$1))</f>
        <v xml:space="preserve"> </v>
      </c>
      <c r="K1528" s="28" t="str">
        <f>IF($C1528=""," ",[1]!i_pq_pctchange($C1528,K$6,$N$1))</f>
        <v xml:space="preserve"> </v>
      </c>
      <c r="L1528" s="28" t="str">
        <f>IF(C1528=""," ",[1]!s_wq_pctchange($C1528,$N$1))</f>
        <v xml:space="preserve"> </v>
      </c>
      <c r="M1528" s="28" t="str">
        <f>IF(C1528=""," ",[1]!s_mq_pctchange($C1528,$N$1))</f>
        <v xml:space="preserve"> </v>
      </c>
      <c r="N1528" s="28" t="str">
        <f>IF(C1528=""," ",[1]!s_yq_pctchange($C1528,$N$1))</f>
        <v xml:space="preserve"> </v>
      </c>
      <c r="O1528" s="11"/>
      <c r="P1528" s="7"/>
    </row>
    <row r="1529" spans="1:16" x14ac:dyDescent="0.35">
      <c r="A1529" s="7"/>
      <c r="C1529" s="30" t="str">
        <f>IF(指数列表!B1526="","",指数列表!B1526)</f>
        <v/>
      </c>
      <c r="D1529" s="35" t="str">
        <f>IF(C1529="","",[1]!s_info_name(C1529))</f>
        <v/>
      </c>
      <c r="E1529" s="24" t="str">
        <f>IF(C1529="","",[1]!s_dq_close(C1529,$N$1))</f>
        <v/>
      </c>
      <c r="F1529" s="28" t="str">
        <f>IF($C1529=""," ",[1]!i_pq_pctchange($C1529,F$6,$N$1))</f>
        <v xml:space="preserve"> </v>
      </c>
      <c r="G1529" s="28" t="str">
        <f>IF($C1529=""," ",[1]!i_pq_pctchange($C1529,G$6,$N$1))</f>
        <v xml:space="preserve"> </v>
      </c>
      <c r="H1529" s="28" t="str">
        <f>IF($C1529=""," ",[1]!i_pq_pctchange($C1529,H$6,$N$1))</f>
        <v xml:space="preserve"> </v>
      </c>
      <c r="I1529" s="28" t="str">
        <f>IF($C1529=""," ",[1]!i_pq_pctchange($C1529,I$6,$N$1))</f>
        <v xml:space="preserve"> </v>
      </c>
      <c r="J1529" s="28" t="str">
        <f>IF($C1529=""," ",[1]!i_pq_pctchange($C1529,J$6,$N$1))</f>
        <v xml:space="preserve"> </v>
      </c>
      <c r="K1529" s="28" t="str">
        <f>IF($C1529=""," ",[1]!i_pq_pctchange($C1529,K$6,$N$1))</f>
        <v xml:space="preserve"> </v>
      </c>
      <c r="L1529" s="28" t="str">
        <f>IF(C1529=""," ",[1]!s_wq_pctchange($C1529,$N$1))</f>
        <v xml:space="preserve"> </v>
      </c>
      <c r="M1529" s="28" t="str">
        <f>IF(C1529=""," ",[1]!s_mq_pctchange($C1529,$N$1))</f>
        <v xml:space="preserve"> </v>
      </c>
      <c r="N1529" s="28" t="str">
        <f>IF(C1529=""," ",[1]!s_yq_pctchange($C1529,$N$1))</f>
        <v xml:space="preserve"> </v>
      </c>
      <c r="O1529" s="11"/>
      <c r="P1529" s="7"/>
    </row>
    <row r="1530" spans="1:16" x14ac:dyDescent="0.35">
      <c r="A1530" s="7"/>
      <c r="C1530" s="31" t="str">
        <f>IF(指数列表!B1527="","",指数列表!B1527)</f>
        <v/>
      </c>
      <c r="D1530" s="36" t="str">
        <f>IF(C1530="","",[1]!s_info_name(C1530))</f>
        <v/>
      </c>
      <c r="E1530" s="25" t="str">
        <f>IF(C1530="","",[1]!s_dq_close(C1530,$N$1))</f>
        <v/>
      </c>
      <c r="F1530" s="28" t="str">
        <f>IF($C1530=""," ",[1]!i_pq_pctchange($C1530,F$6,$N$1))</f>
        <v xml:space="preserve"> </v>
      </c>
      <c r="G1530" s="28" t="str">
        <f>IF($C1530=""," ",[1]!i_pq_pctchange($C1530,G$6,$N$1))</f>
        <v xml:space="preserve"> </v>
      </c>
      <c r="H1530" s="28" t="str">
        <f>IF($C1530=""," ",[1]!i_pq_pctchange($C1530,H$6,$N$1))</f>
        <v xml:space="preserve"> </v>
      </c>
      <c r="I1530" s="28" t="str">
        <f>IF($C1530=""," ",[1]!i_pq_pctchange($C1530,I$6,$N$1))</f>
        <v xml:space="preserve"> </v>
      </c>
      <c r="J1530" s="28" t="str">
        <f>IF($C1530=""," ",[1]!i_pq_pctchange($C1530,J$6,$N$1))</f>
        <v xml:space="preserve"> </v>
      </c>
      <c r="K1530" s="28" t="str">
        <f>IF($C1530=""," ",[1]!i_pq_pctchange($C1530,K$6,$N$1))</f>
        <v xml:space="preserve"> </v>
      </c>
      <c r="L1530" s="28" t="str">
        <f>IF(C1530=""," ",[1]!s_wq_pctchange($C1530,$N$1))</f>
        <v xml:space="preserve"> </v>
      </c>
      <c r="M1530" s="28" t="str">
        <f>IF(C1530=""," ",[1]!s_mq_pctchange($C1530,$N$1))</f>
        <v xml:space="preserve"> </v>
      </c>
      <c r="N1530" s="28" t="str">
        <f>IF(C1530=""," ",[1]!s_yq_pctchange($C1530,$N$1))</f>
        <v xml:space="preserve"> </v>
      </c>
      <c r="O1530" s="11"/>
      <c r="P1530" s="7"/>
    </row>
    <row r="1531" spans="1:16" x14ac:dyDescent="0.35">
      <c r="A1531" s="7"/>
      <c r="C1531" s="30" t="str">
        <f>IF(指数列表!B1528="","",指数列表!B1528)</f>
        <v/>
      </c>
      <c r="D1531" s="35" t="str">
        <f>IF(C1531="","",[1]!s_info_name(C1531))</f>
        <v/>
      </c>
      <c r="E1531" s="24" t="str">
        <f>IF(C1531="","",[1]!s_dq_close(C1531,$N$1))</f>
        <v/>
      </c>
      <c r="F1531" s="28" t="str">
        <f>IF($C1531=""," ",[1]!i_pq_pctchange($C1531,F$6,$N$1))</f>
        <v xml:space="preserve"> </v>
      </c>
      <c r="G1531" s="28" t="str">
        <f>IF($C1531=""," ",[1]!i_pq_pctchange($C1531,G$6,$N$1))</f>
        <v xml:space="preserve"> </v>
      </c>
      <c r="H1531" s="28" t="str">
        <f>IF($C1531=""," ",[1]!i_pq_pctchange($C1531,H$6,$N$1))</f>
        <v xml:space="preserve"> </v>
      </c>
      <c r="I1531" s="28" t="str">
        <f>IF($C1531=""," ",[1]!i_pq_pctchange($C1531,I$6,$N$1))</f>
        <v xml:space="preserve"> </v>
      </c>
      <c r="J1531" s="28" t="str">
        <f>IF($C1531=""," ",[1]!i_pq_pctchange($C1531,J$6,$N$1))</f>
        <v xml:space="preserve"> </v>
      </c>
      <c r="K1531" s="28" t="str">
        <f>IF($C1531=""," ",[1]!i_pq_pctchange($C1531,K$6,$N$1))</f>
        <v xml:space="preserve"> </v>
      </c>
      <c r="L1531" s="28" t="str">
        <f>IF(C1531=""," ",[1]!s_wq_pctchange($C1531,$N$1))</f>
        <v xml:space="preserve"> </v>
      </c>
      <c r="M1531" s="28" t="str">
        <f>IF(C1531=""," ",[1]!s_mq_pctchange($C1531,$N$1))</f>
        <v xml:space="preserve"> </v>
      </c>
      <c r="N1531" s="28" t="str">
        <f>IF(C1531=""," ",[1]!s_yq_pctchange($C1531,$N$1))</f>
        <v xml:space="preserve"> </v>
      </c>
      <c r="O1531" s="11"/>
      <c r="P1531" s="7"/>
    </row>
    <row r="1532" spans="1:16" x14ac:dyDescent="0.35">
      <c r="A1532" s="7"/>
      <c r="C1532" s="31" t="str">
        <f>IF(指数列表!B1529="","",指数列表!B1529)</f>
        <v/>
      </c>
      <c r="D1532" s="36" t="str">
        <f>IF(C1532="","",[1]!s_info_name(C1532))</f>
        <v/>
      </c>
      <c r="E1532" s="25" t="str">
        <f>IF(C1532="","",[1]!s_dq_close(C1532,$N$1))</f>
        <v/>
      </c>
      <c r="F1532" s="28" t="str">
        <f>IF($C1532=""," ",[1]!i_pq_pctchange($C1532,F$6,$N$1))</f>
        <v xml:space="preserve"> </v>
      </c>
      <c r="G1532" s="28" t="str">
        <f>IF($C1532=""," ",[1]!i_pq_pctchange($C1532,G$6,$N$1))</f>
        <v xml:space="preserve"> </v>
      </c>
      <c r="H1532" s="28" t="str">
        <f>IF($C1532=""," ",[1]!i_pq_pctchange($C1532,H$6,$N$1))</f>
        <v xml:space="preserve"> </v>
      </c>
      <c r="I1532" s="28" t="str">
        <f>IF($C1532=""," ",[1]!i_pq_pctchange($C1532,I$6,$N$1))</f>
        <v xml:space="preserve"> </v>
      </c>
      <c r="J1532" s="28" t="str">
        <f>IF($C1532=""," ",[1]!i_pq_pctchange($C1532,J$6,$N$1))</f>
        <v xml:space="preserve"> </v>
      </c>
      <c r="K1532" s="28" t="str">
        <f>IF($C1532=""," ",[1]!i_pq_pctchange($C1532,K$6,$N$1))</f>
        <v xml:space="preserve"> </v>
      </c>
      <c r="L1532" s="28" t="str">
        <f>IF(C1532=""," ",[1]!s_wq_pctchange($C1532,$N$1))</f>
        <v xml:space="preserve"> </v>
      </c>
      <c r="M1532" s="28" t="str">
        <f>IF(C1532=""," ",[1]!s_mq_pctchange($C1532,$N$1))</f>
        <v xml:space="preserve"> </v>
      </c>
      <c r="N1532" s="28" t="str">
        <f>IF(C1532=""," ",[1]!s_yq_pctchange($C1532,$N$1))</f>
        <v xml:space="preserve"> </v>
      </c>
      <c r="O1532" s="11"/>
      <c r="P1532" s="7"/>
    </row>
    <row r="1533" spans="1:16" x14ac:dyDescent="0.35">
      <c r="A1533" s="7"/>
      <c r="C1533" s="30" t="str">
        <f>IF(指数列表!B1530="","",指数列表!B1530)</f>
        <v/>
      </c>
      <c r="D1533" s="35" t="str">
        <f>IF(C1533="","",[1]!s_info_name(C1533))</f>
        <v/>
      </c>
      <c r="E1533" s="24" t="str">
        <f>IF(C1533="","",[1]!s_dq_close(C1533,$N$1))</f>
        <v/>
      </c>
      <c r="F1533" s="28" t="str">
        <f>IF($C1533=""," ",[1]!i_pq_pctchange($C1533,F$6,$N$1))</f>
        <v xml:space="preserve"> </v>
      </c>
      <c r="G1533" s="28" t="str">
        <f>IF($C1533=""," ",[1]!i_pq_pctchange($C1533,G$6,$N$1))</f>
        <v xml:space="preserve"> </v>
      </c>
      <c r="H1533" s="28" t="str">
        <f>IF($C1533=""," ",[1]!i_pq_pctchange($C1533,H$6,$N$1))</f>
        <v xml:space="preserve"> </v>
      </c>
      <c r="I1533" s="28" t="str">
        <f>IF($C1533=""," ",[1]!i_pq_pctchange($C1533,I$6,$N$1))</f>
        <v xml:space="preserve"> </v>
      </c>
      <c r="J1533" s="28" t="str">
        <f>IF($C1533=""," ",[1]!i_pq_pctchange($C1533,J$6,$N$1))</f>
        <v xml:space="preserve"> </v>
      </c>
      <c r="K1533" s="28" t="str">
        <f>IF($C1533=""," ",[1]!i_pq_pctchange($C1533,K$6,$N$1))</f>
        <v xml:space="preserve"> </v>
      </c>
      <c r="L1533" s="28" t="str">
        <f>IF(C1533=""," ",[1]!s_wq_pctchange($C1533,$N$1))</f>
        <v xml:space="preserve"> </v>
      </c>
      <c r="M1533" s="28" t="str">
        <f>IF(C1533=""," ",[1]!s_mq_pctchange($C1533,$N$1))</f>
        <v xml:space="preserve"> </v>
      </c>
      <c r="N1533" s="28" t="str">
        <f>IF(C1533=""," ",[1]!s_yq_pctchange($C1533,$N$1))</f>
        <v xml:space="preserve"> </v>
      </c>
      <c r="O1533" s="11"/>
      <c r="P1533" s="7"/>
    </row>
    <row r="1534" spans="1:16" x14ac:dyDescent="0.35">
      <c r="A1534" s="7"/>
      <c r="C1534" s="31" t="str">
        <f>IF(指数列表!B1531="","",指数列表!B1531)</f>
        <v/>
      </c>
      <c r="D1534" s="36" t="str">
        <f>IF(C1534="","",[1]!s_info_name(C1534))</f>
        <v/>
      </c>
      <c r="E1534" s="25" t="str">
        <f>IF(C1534="","",[1]!s_dq_close(C1534,$N$1))</f>
        <v/>
      </c>
      <c r="F1534" s="28" t="str">
        <f>IF($C1534=""," ",[1]!i_pq_pctchange($C1534,F$6,$N$1))</f>
        <v xml:space="preserve"> </v>
      </c>
      <c r="G1534" s="28" t="str">
        <f>IF($C1534=""," ",[1]!i_pq_pctchange($C1534,G$6,$N$1))</f>
        <v xml:space="preserve"> </v>
      </c>
      <c r="H1534" s="28" t="str">
        <f>IF($C1534=""," ",[1]!i_pq_pctchange($C1534,H$6,$N$1))</f>
        <v xml:space="preserve"> </v>
      </c>
      <c r="I1534" s="28" t="str">
        <f>IF($C1534=""," ",[1]!i_pq_pctchange($C1534,I$6,$N$1))</f>
        <v xml:space="preserve"> </v>
      </c>
      <c r="J1534" s="28" t="str">
        <f>IF($C1534=""," ",[1]!i_pq_pctchange($C1534,J$6,$N$1))</f>
        <v xml:space="preserve"> </v>
      </c>
      <c r="K1534" s="28" t="str">
        <f>IF($C1534=""," ",[1]!i_pq_pctchange($C1534,K$6,$N$1))</f>
        <v xml:space="preserve"> </v>
      </c>
      <c r="L1534" s="28" t="str">
        <f>IF(C1534=""," ",[1]!s_wq_pctchange($C1534,$N$1))</f>
        <v xml:space="preserve"> </v>
      </c>
      <c r="M1534" s="28" t="str">
        <f>IF(C1534=""," ",[1]!s_mq_pctchange($C1534,$N$1))</f>
        <v xml:space="preserve"> </v>
      </c>
      <c r="N1534" s="28" t="str">
        <f>IF(C1534=""," ",[1]!s_yq_pctchange($C1534,$N$1))</f>
        <v xml:space="preserve"> </v>
      </c>
      <c r="O1534" s="11"/>
      <c r="P1534" s="7"/>
    </row>
    <row r="1535" spans="1:16" x14ac:dyDescent="0.35">
      <c r="A1535" s="7"/>
      <c r="C1535" s="30" t="str">
        <f>IF(指数列表!B1532="","",指数列表!B1532)</f>
        <v/>
      </c>
      <c r="D1535" s="35" t="str">
        <f>IF(C1535="","",[1]!s_info_name(C1535))</f>
        <v/>
      </c>
      <c r="E1535" s="24" t="str">
        <f>IF(C1535="","",[1]!s_dq_close(C1535,$N$1))</f>
        <v/>
      </c>
      <c r="F1535" s="28" t="str">
        <f>IF($C1535=""," ",[1]!i_pq_pctchange($C1535,F$6,$N$1))</f>
        <v xml:space="preserve"> </v>
      </c>
      <c r="G1535" s="28" t="str">
        <f>IF($C1535=""," ",[1]!i_pq_pctchange($C1535,G$6,$N$1))</f>
        <v xml:space="preserve"> </v>
      </c>
      <c r="H1535" s="28" t="str">
        <f>IF($C1535=""," ",[1]!i_pq_pctchange($C1535,H$6,$N$1))</f>
        <v xml:space="preserve"> </v>
      </c>
      <c r="I1535" s="28" t="str">
        <f>IF($C1535=""," ",[1]!i_pq_pctchange($C1535,I$6,$N$1))</f>
        <v xml:space="preserve"> </v>
      </c>
      <c r="J1535" s="28" t="str">
        <f>IF($C1535=""," ",[1]!i_pq_pctchange($C1535,J$6,$N$1))</f>
        <v xml:space="preserve"> </v>
      </c>
      <c r="K1535" s="28" t="str">
        <f>IF($C1535=""," ",[1]!i_pq_pctchange($C1535,K$6,$N$1))</f>
        <v xml:space="preserve"> </v>
      </c>
      <c r="L1535" s="28" t="str">
        <f>IF(C1535=""," ",[1]!s_wq_pctchange($C1535,$N$1))</f>
        <v xml:space="preserve"> </v>
      </c>
      <c r="M1535" s="28" t="str">
        <f>IF(C1535=""," ",[1]!s_mq_pctchange($C1535,$N$1))</f>
        <v xml:space="preserve"> </v>
      </c>
      <c r="N1535" s="28" t="str">
        <f>IF(C1535=""," ",[1]!s_yq_pctchange($C1535,$N$1))</f>
        <v xml:space="preserve"> </v>
      </c>
      <c r="O1535" s="11"/>
      <c r="P1535" s="7"/>
    </row>
    <row r="1536" spans="1:16" x14ac:dyDescent="0.35">
      <c r="A1536" s="7"/>
      <c r="C1536" s="31" t="str">
        <f>IF(指数列表!B1533="","",指数列表!B1533)</f>
        <v/>
      </c>
      <c r="D1536" s="36" t="str">
        <f>IF(C1536="","",[1]!s_info_name(C1536))</f>
        <v/>
      </c>
      <c r="E1536" s="25" t="str">
        <f>IF(C1536="","",[1]!s_dq_close(C1536,$N$1))</f>
        <v/>
      </c>
      <c r="F1536" s="28" t="str">
        <f>IF($C1536=""," ",[1]!i_pq_pctchange($C1536,F$6,$N$1))</f>
        <v xml:space="preserve"> </v>
      </c>
      <c r="G1536" s="28" t="str">
        <f>IF($C1536=""," ",[1]!i_pq_pctchange($C1536,G$6,$N$1))</f>
        <v xml:space="preserve"> </v>
      </c>
      <c r="H1536" s="28" t="str">
        <f>IF($C1536=""," ",[1]!i_pq_pctchange($C1536,H$6,$N$1))</f>
        <v xml:space="preserve"> </v>
      </c>
      <c r="I1536" s="28" t="str">
        <f>IF($C1536=""," ",[1]!i_pq_pctchange($C1536,I$6,$N$1))</f>
        <v xml:space="preserve"> </v>
      </c>
      <c r="J1536" s="28" t="str">
        <f>IF($C1536=""," ",[1]!i_pq_pctchange($C1536,J$6,$N$1))</f>
        <v xml:space="preserve"> </v>
      </c>
      <c r="K1536" s="28" t="str">
        <f>IF($C1536=""," ",[1]!i_pq_pctchange($C1536,K$6,$N$1))</f>
        <v xml:space="preserve"> </v>
      </c>
      <c r="L1536" s="28" t="str">
        <f>IF(C1536=""," ",[1]!s_wq_pctchange($C1536,$N$1))</f>
        <v xml:space="preserve"> </v>
      </c>
      <c r="M1536" s="28" t="str">
        <f>IF(C1536=""," ",[1]!s_mq_pctchange($C1536,$N$1))</f>
        <v xml:space="preserve"> </v>
      </c>
      <c r="N1536" s="28" t="str">
        <f>IF(C1536=""," ",[1]!s_yq_pctchange($C1536,$N$1))</f>
        <v xml:space="preserve"> </v>
      </c>
      <c r="O1536" s="11"/>
      <c r="P1536" s="7"/>
    </row>
    <row r="1537" spans="1:16" x14ac:dyDescent="0.35">
      <c r="A1537" s="7"/>
      <c r="C1537" s="30" t="str">
        <f>IF(指数列表!B1534="","",指数列表!B1534)</f>
        <v/>
      </c>
      <c r="D1537" s="35" t="str">
        <f>IF(C1537="","",[1]!s_info_name(C1537))</f>
        <v/>
      </c>
      <c r="E1537" s="24" t="str">
        <f>IF(C1537="","",[1]!s_dq_close(C1537,$N$1))</f>
        <v/>
      </c>
      <c r="F1537" s="28" t="str">
        <f>IF($C1537=""," ",[1]!i_pq_pctchange($C1537,F$6,$N$1))</f>
        <v xml:space="preserve"> </v>
      </c>
      <c r="G1537" s="28" t="str">
        <f>IF($C1537=""," ",[1]!i_pq_pctchange($C1537,G$6,$N$1))</f>
        <v xml:space="preserve"> </v>
      </c>
      <c r="H1537" s="28" t="str">
        <f>IF($C1537=""," ",[1]!i_pq_pctchange($C1537,H$6,$N$1))</f>
        <v xml:space="preserve"> </v>
      </c>
      <c r="I1537" s="28" t="str">
        <f>IF($C1537=""," ",[1]!i_pq_pctchange($C1537,I$6,$N$1))</f>
        <v xml:space="preserve"> </v>
      </c>
      <c r="J1537" s="28" t="str">
        <f>IF($C1537=""," ",[1]!i_pq_pctchange($C1537,J$6,$N$1))</f>
        <v xml:space="preserve"> </v>
      </c>
      <c r="K1537" s="28" t="str">
        <f>IF($C1537=""," ",[1]!i_pq_pctchange($C1537,K$6,$N$1))</f>
        <v xml:space="preserve"> </v>
      </c>
      <c r="L1537" s="28" t="str">
        <f>IF(C1537=""," ",[1]!s_wq_pctchange($C1537,$N$1))</f>
        <v xml:space="preserve"> </v>
      </c>
      <c r="M1537" s="28" t="str">
        <f>IF(C1537=""," ",[1]!s_mq_pctchange($C1537,$N$1))</f>
        <v xml:space="preserve"> </v>
      </c>
      <c r="N1537" s="28" t="str">
        <f>IF(C1537=""," ",[1]!s_yq_pctchange($C1537,$N$1))</f>
        <v xml:space="preserve"> </v>
      </c>
      <c r="O1537" s="11"/>
      <c r="P1537" s="7"/>
    </row>
    <row r="1538" spans="1:16" x14ac:dyDescent="0.35">
      <c r="A1538" s="7"/>
      <c r="C1538" s="31" t="str">
        <f>IF(指数列表!B1535="","",指数列表!B1535)</f>
        <v/>
      </c>
      <c r="D1538" s="36" t="str">
        <f>IF(C1538="","",[1]!s_info_name(C1538))</f>
        <v/>
      </c>
      <c r="E1538" s="25" t="str">
        <f>IF(C1538="","",[1]!s_dq_close(C1538,$N$1))</f>
        <v/>
      </c>
      <c r="F1538" s="28" t="str">
        <f>IF($C1538=""," ",[1]!i_pq_pctchange($C1538,F$6,$N$1))</f>
        <v xml:space="preserve"> </v>
      </c>
      <c r="G1538" s="28" t="str">
        <f>IF($C1538=""," ",[1]!i_pq_pctchange($C1538,G$6,$N$1))</f>
        <v xml:space="preserve"> </v>
      </c>
      <c r="H1538" s="28" t="str">
        <f>IF($C1538=""," ",[1]!i_pq_pctchange($C1538,H$6,$N$1))</f>
        <v xml:space="preserve"> </v>
      </c>
      <c r="I1538" s="28" t="str">
        <f>IF($C1538=""," ",[1]!i_pq_pctchange($C1538,I$6,$N$1))</f>
        <v xml:space="preserve"> </v>
      </c>
      <c r="J1538" s="28" t="str">
        <f>IF($C1538=""," ",[1]!i_pq_pctchange($C1538,J$6,$N$1))</f>
        <v xml:space="preserve"> </v>
      </c>
      <c r="K1538" s="28" t="str">
        <f>IF($C1538=""," ",[1]!i_pq_pctchange($C1538,K$6,$N$1))</f>
        <v xml:space="preserve"> </v>
      </c>
      <c r="L1538" s="28" t="str">
        <f>IF(C1538=""," ",[1]!s_wq_pctchange($C1538,$N$1))</f>
        <v xml:space="preserve"> </v>
      </c>
      <c r="M1538" s="28" t="str">
        <f>IF(C1538=""," ",[1]!s_mq_pctchange($C1538,$N$1))</f>
        <v xml:space="preserve"> </v>
      </c>
      <c r="N1538" s="28" t="str">
        <f>IF(C1538=""," ",[1]!s_yq_pctchange($C1538,$N$1))</f>
        <v xml:space="preserve"> </v>
      </c>
      <c r="O1538" s="11"/>
      <c r="P1538" s="7"/>
    </row>
    <row r="1539" spans="1:16" x14ac:dyDescent="0.35">
      <c r="A1539" s="7"/>
      <c r="C1539" s="30" t="str">
        <f>IF(指数列表!B1536="","",指数列表!B1536)</f>
        <v/>
      </c>
      <c r="D1539" s="35" t="str">
        <f>IF(C1539="","",[1]!s_info_name(C1539))</f>
        <v/>
      </c>
      <c r="E1539" s="24" t="str">
        <f>IF(C1539="","",[1]!s_dq_close(C1539,$N$1))</f>
        <v/>
      </c>
      <c r="F1539" s="28" t="str">
        <f>IF($C1539=""," ",[1]!i_pq_pctchange($C1539,F$6,$N$1))</f>
        <v xml:space="preserve"> </v>
      </c>
      <c r="G1539" s="28" t="str">
        <f>IF($C1539=""," ",[1]!i_pq_pctchange($C1539,G$6,$N$1))</f>
        <v xml:space="preserve"> </v>
      </c>
      <c r="H1539" s="28" t="str">
        <f>IF($C1539=""," ",[1]!i_pq_pctchange($C1539,H$6,$N$1))</f>
        <v xml:space="preserve"> </v>
      </c>
      <c r="I1539" s="28" t="str">
        <f>IF($C1539=""," ",[1]!i_pq_pctchange($C1539,I$6,$N$1))</f>
        <v xml:space="preserve"> </v>
      </c>
      <c r="J1539" s="28" t="str">
        <f>IF($C1539=""," ",[1]!i_pq_pctchange($C1539,J$6,$N$1))</f>
        <v xml:space="preserve"> </v>
      </c>
      <c r="K1539" s="28" t="str">
        <f>IF($C1539=""," ",[1]!i_pq_pctchange($C1539,K$6,$N$1))</f>
        <v xml:space="preserve"> </v>
      </c>
      <c r="L1539" s="28" t="str">
        <f>IF(C1539=""," ",[1]!s_wq_pctchange($C1539,$N$1))</f>
        <v xml:space="preserve"> </v>
      </c>
      <c r="M1539" s="28" t="str">
        <f>IF(C1539=""," ",[1]!s_mq_pctchange($C1539,$N$1))</f>
        <v xml:space="preserve"> </v>
      </c>
      <c r="N1539" s="28" t="str">
        <f>IF(C1539=""," ",[1]!s_yq_pctchange($C1539,$N$1))</f>
        <v xml:space="preserve"> </v>
      </c>
      <c r="O1539" s="11"/>
      <c r="P1539" s="7"/>
    </row>
    <row r="1540" spans="1:16" x14ac:dyDescent="0.35">
      <c r="A1540" s="7"/>
      <c r="C1540" s="31" t="str">
        <f>IF(指数列表!B1537="","",指数列表!B1537)</f>
        <v/>
      </c>
      <c r="D1540" s="36" t="str">
        <f>IF(C1540="","",[1]!s_info_name(C1540))</f>
        <v/>
      </c>
      <c r="E1540" s="25" t="str">
        <f>IF(C1540="","",[1]!s_dq_close(C1540,$N$1))</f>
        <v/>
      </c>
      <c r="F1540" s="28" t="str">
        <f>IF($C1540=""," ",[1]!i_pq_pctchange($C1540,F$6,$N$1))</f>
        <v xml:space="preserve"> </v>
      </c>
      <c r="G1540" s="28" t="str">
        <f>IF($C1540=""," ",[1]!i_pq_pctchange($C1540,G$6,$N$1))</f>
        <v xml:space="preserve"> </v>
      </c>
      <c r="H1540" s="28" t="str">
        <f>IF($C1540=""," ",[1]!i_pq_pctchange($C1540,H$6,$N$1))</f>
        <v xml:space="preserve"> </v>
      </c>
      <c r="I1540" s="28" t="str">
        <f>IF($C1540=""," ",[1]!i_pq_pctchange($C1540,I$6,$N$1))</f>
        <v xml:space="preserve"> </v>
      </c>
      <c r="J1540" s="28" t="str">
        <f>IF($C1540=""," ",[1]!i_pq_pctchange($C1540,J$6,$N$1))</f>
        <v xml:space="preserve"> </v>
      </c>
      <c r="K1540" s="28" t="str">
        <f>IF($C1540=""," ",[1]!i_pq_pctchange($C1540,K$6,$N$1))</f>
        <v xml:space="preserve"> </v>
      </c>
      <c r="L1540" s="28" t="str">
        <f>IF(C1540=""," ",[1]!s_wq_pctchange($C1540,$N$1))</f>
        <v xml:space="preserve"> </v>
      </c>
      <c r="M1540" s="28" t="str">
        <f>IF(C1540=""," ",[1]!s_mq_pctchange($C1540,$N$1))</f>
        <v xml:space="preserve"> </v>
      </c>
      <c r="N1540" s="28" t="str">
        <f>IF(C1540=""," ",[1]!s_yq_pctchange($C1540,$N$1))</f>
        <v xml:space="preserve"> </v>
      </c>
      <c r="O1540" s="11"/>
      <c r="P1540" s="7"/>
    </row>
    <row r="1541" spans="1:16" x14ac:dyDescent="0.35">
      <c r="A1541" s="7"/>
      <c r="C1541" s="30" t="str">
        <f>IF(指数列表!B1538="","",指数列表!B1538)</f>
        <v/>
      </c>
      <c r="D1541" s="35" t="str">
        <f>IF(C1541="","",[1]!s_info_name(C1541))</f>
        <v/>
      </c>
      <c r="E1541" s="24" t="str">
        <f>IF(C1541="","",[1]!s_dq_close(C1541,$N$1))</f>
        <v/>
      </c>
      <c r="F1541" s="28" t="str">
        <f>IF($C1541=""," ",[1]!i_pq_pctchange($C1541,F$6,$N$1))</f>
        <v xml:space="preserve"> </v>
      </c>
      <c r="G1541" s="28" t="str">
        <f>IF($C1541=""," ",[1]!i_pq_pctchange($C1541,G$6,$N$1))</f>
        <v xml:space="preserve"> </v>
      </c>
      <c r="H1541" s="28" t="str">
        <f>IF($C1541=""," ",[1]!i_pq_pctchange($C1541,H$6,$N$1))</f>
        <v xml:space="preserve"> </v>
      </c>
      <c r="I1541" s="28" t="str">
        <f>IF($C1541=""," ",[1]!i_pq_pctchange($C1541,I$6,$N$1))</f>
        <v xml:space="preserve"> </v>
      </c>
      <c r="J1541" s="28" t="str">
        <f>IF($C1541=""," ",[1]!i_pq_pctchange($C1541,J$6,$N$1))</f>
        <v xml:space="preserve"> </v>
      </c>
      <c r="K1541" s="28" t="str">
        <f>IF($C1541=""," ",[1]!i_pq_pctchange($C1541,K$6,$N$1))</f>
        <v xml:space="preserve"> </v>
      </c>
      <c r="L1541" s="28" t="str">
        <f>IF(C1541=""," ",[1]!s_wq_pctchange($C1541,$N$1))</f>
        <v xml:space="preserve"> </v>
      </c>
      <c r="M1541" s="28" t="str">
        <f>IF(C1541=""," ",[1]!s_mq_pctchange($C1541,$N$1))</f>
        <v xml:space="preserve"> </v>
      </c>
      <c r="N1541" s="28" t="str">
        <f>IF(C1541=""," ",[1]!s_yq_pctchange($C1541,$N$1))</f>
        <v xml:space="preserve"> </v>
      </c>
      <c r="O1541" s="11"/>
      <c r="P1541" s="7"/>
    </row>
    <row r="1542" spans="1:16" x14ac:dyDescent="0.35">
      <c r="A1542" s="7"/>
      <c r="C1542" s="31" t="str">
        <f>IF(指数列表!B1539="","",指数列表!B1539)</f>
        <v/>
      </c>
      <c r="D1542" s="36" t="str">
        <f>IF(C1542="","",[1]!s_info_name(C1542))</f>
        <v/>
      </c>
      <c r="E1542" s="25" t="str">
        <f>IF(C1542="","",[1]!s_dq_close(C1542,$N$1))</f>
        <v/>
      </c>
      <c r="F1542" s="28" t="str">
        <f>IF($C1542=""," ",[1]!i_pq_pctchange($C1542,F$6,$N$1))</f>
        <v xml:space="preserve"> </v>
      </c>
      <c r="G1542" s="28" t="str">
        <f>IF($C1542=""," ",[1]!i_pq_pctchange($C1542,G$6,$N$1))</f>
        <v xml:space="preserve"> </v>
      </c>
      <c r="H1542" s="28" t="str">
        <f>IF($C1542=""," ",[1]!i_pq_pctchange($C1542,H$6,$N$1))</f>
        <v xml:space="preserve"> </v>
      </c>
      <c r="I1542" s="28" t="str">
        <f>IF($C1542=""," ",[1]!i_pq_pctchange($C1542,I$6,$N$1))</f>
        <v xml:space="preserve"> </v>
      </c>
      <c r="J1542" s="28" t="str">
        <f>IF($C1542=""," ",[1]!i_pq_pctchange($C1542,J$6,$N$1))</f>
        <v xml:space="preserve"> </v>
      </c>
      <c r="K1542" s="28" t="str">
        <f>IF($C1542=""," ",[1]!i_pq_pctchange($C1542,K$6,$N$1))</f>
        <v xml:space="preserve"> </v>
      </c>
      <c r="L1542" s="28" t="str">
        <f>IF(C1542=""," ",[1]!s_wq_pctchange($C1542,$N$1))</f>
        <v xml:space="preserve"> </v>
      </c>
      <c r="M1542" s="28" t="str">
        <f>IF(C1542=""," ",[1]!s_mq_pctchange($C1542,$N$1))</f>
        <v xml:space="preserve"> </v>
      </c>
      <c r="N1542" s="28" t="str">
        <f>IF(C1542=""," ",[1]!s_yq_pctchange($C1542,$N$1))</f>
        <v xml:space="preserve"> </v>
      </c>
      <c r="O1542" s="11"/>
      <c r="P1542" s="7"/>
    </row>
    <row r="1543" spans="1:16" x14ac:dyDescent="0.35">
      <c r="A1543" s="7"/>
      <c r="C1543" s="30" t="str">
        <f>IF(指数列表!B1540="","",指数列表!B1540)</f>
        <v/>
      </c>
      <c r="D1543" s="35" t="str">
        <f>IF(C1543="","",[1]!s_info_name(C1543))</f>
        <v/>
      </c>
      <c r="E1543" s="24" t="str">
        <f>IF(C1543="","",[1]!s_dq_close(C1543,$N$1))</f>
        <v/>
      </c>
      <c r="F1543" s="28" t="str">
        <f>IF($C1543=""," ",[1]!i_pq_pctchange($C1543,F$6,$N$1))</f>
        <v xml:space="preserve"> </v>
      </c>
      <c r="G1543" s="28" t="str">
        <f>IF($C1543=""," ",[1]!i_pq_pctchange($C1543,G$6,$N$1))</f>
        <v xml:space="preserve"> </v>
      </c>
      <c r="H1543" s="28" t="str">
        <f>IF($C1543=""," ",[1]!i_pq_pctchange($C1543,H$6,$N$1))</f>
        <v xml:space="preserve"> </v>
      </c>
      <c r="I1543" s="28" t="str">
        <f>IF($C1543=""," ",[1]!i_pq_pctchange($C1543,I$6,$N$1))</f>
        <v xml:space="preserve"> </v>
      </c>
      <c r="J1543" s="28" t="str">
        <f>IF($C1543=""," ",[1]!i_pq_pctchange($C1543,J$6,$N$1))</f>
        <v xml:space="preserve"> </v>
      </c>
      <c r="K1543" s="28" t="str">
        <f>IF($C1543=""," ",[1]!i_pq_pctchange($C1543,K$6,$N$1))</f>
        <v xml:space="preserve"> </v>
      </c>
      <c r="L1543" s="28" t="str">
        <f>IF(C1543=""," ",[1]!s_wq_pctchange($C1543,$N$1))</f>
        <v xml:space="preserve"> </v>
      </c>
      <c r="M1543" s="28" t="str">
        <f>IF(C1543=""," ",[1]!s_mq_pctchange($C1543,$N$1))</f>
        <v xml:space="preserve"> </v>
      </c>
      <c r="N1543" s="28" t="str">
        <f>IF(C1543=""," ",[1]!s_yq_pctchange($C1543,$N$1))</f>
        <v xml:space="preserve"> </v>
      </c>
      <c r="O1543" s="11"/>
      <c r="P1543" s="7"/>
    </row>
    <row r="1544" spans="1:16" x14ac:dyDescent="0.35">
      <c r="A1544" s="7"/>
      <c r="C1544" s="31" t="str">
        <f>IF(指数列表!B1541="","",指数列表!B1541)</f>
        <v/>
      </c>
      <c r="D1544" s="36" t="str">
        <f>IF(C1544="","",[1]!s_info_name(C1544))</f>
        <v/>
      </c>
      <c r="E1544" s="25" t="str">
        <f>IF(C1544="","",[1]!s_dq_close(C1544,$N$1))</f>
        <v/>
      </c>
      <c r="F1544" s="28" t="str">
        <f>IF($C1544=""," ",[1]!i_pq_pctchange($C1544,F$6,$N$1))</f>
        <v xml:space="preserve"> </v>
      </c>
      <c r="G1544" s="28" t="str">
        <f>IF($C1544=""," ",[1]!i_pq_pctchange($C1544,G$6,$N$1))</f>
        <v xml:space="preserve"> </v>
      </c>
      <c r="H1544" s="28" t="str">
        <f>IF($C1544=""," ",[1]!i_pq_pctchange($C1544,H$6,$N$1))</f>
        <v xml:space="preserve"> </v>
      </c>
      <c r="I1544" s="28" t="str">
        <f>IF($C1544=""," ",[1]!i_pq_pctchange($C1544,I$6,$N$1))</f>
        <v xml:space="preserve"> </v>
      </c>
      <c r="J1544" s="28" t="str">
        <f>IF($C1544=""," ",[1]!i_pq_pctchange($C1544,J$6,$N$1))</f>
        <v xml:space="preserve"> </v>
      </c>
      <c r="K1544" s="28" t="str">
        <f>IF($C1544=""," ",[1]!i_pq_pctchange($C1544,K$6,$N$1))</f>
        <v xml:space="preserve"> </v>
      </c>
      <c r="L1544" s="28" t="str">
        <f>IF(C1544=""," ",[1]!s_wq_pctchange($C1544,$N$1))</f>
        <v xml:space="preserve"> </v>
      </c>
      <c r="M1544" s="28" t="str">
        <f>IF(C1544=""," ",[1]!s_mq_pctchange($C1544,$N$1))</f>
        <v xml:space="preserve"> </v>
      </c>
      <c r="N1544" s="28" t="str">
        <f>IF(C1544=""," ",[1]!s_yq_pctchange($C1544,$N$1))</f>
        <v xml:space="preserve"> </v>
      </c>
      <c r="O1544" s="11"/>
      <c r="P1544" s="7"/>
    </row>
    <row r="1545" spans="1:16" x14ac:dyDescent="0.35">
      <c r="A1545" s="7"/>
      <c r="C1545" s="30" t="str">
        <f>IF(指数列表!B1542="","",指数列表!B1542)</f>
        <v/>
      </c>
      <c r="D1545" s="35" t="str">
        <f>IF(C1545="","",[1]!s_info_name(C1545))</f>
        <v/>
      </c>
      <c r="E1545" s="24" t="str">
        <f>IF(C1545="","",[1]!s_dq_close(C1545,$N$1))</f>
        <v/>
      </c>
      <c r="F1545" s="28" t="str">
        <f>IF($C1545=""," ",[1]!i_pq_pctchange($C1545,F$6,$N$1))</f>
        <v xml:space="preserve"> </v>
      </c>
      <c r="G1545" s="28" t="str">
        <f>IF($C1545=""," ",[1]!i_pq_pctchange($C1545,G$6,$N$1))</f>
        <v xml:space="preserve"> </v>
      </c>
      <c r="H1545" s="28" t="str">
        <f>IF($C1545=""," ",[1]!i_pq_pctchange($C1545,H$6,$N$1))</f>
        <v xml:space="preserve"> </v>
      </c>
      <c r="I1545" s="28" t="str">
        <f>IF($C1545=""," ",[1]!i_pq_pctchange($C1545,I$6,$N$1))</f>
        <v xml:space="preserve"> </v>
      </c>
      <c r="J1545" s="28" t="str">
        <f>IF($C1545=""," ",[1]!i_pq_pctchange($C1545,J$6,$N$1))</f>
        <v xml:space="preserve"> </v>
      </c>
      <c r="K1545" s="28" t="str">
        <f>IF($C1545=""," ",[1]!i_pq_pctchange($C1545,K$6,$N$1))</f>
        <v xml:space="preserve"> </v>
      </c>
      <c r="L1545" s="28" t="str">
        <f>IF(C1545=""," ",[1]!s_wq_pctchange($C1545,$N$1))</f>
        <v xml:space="preserve"> </v>
      </c>
      <c r="M1545" s="28" t="str">
        <f>IF(C1545=""," ",[1]!s_mq_pctchange($C1545,$N$1))</f>
        <v xml:space="preserve"> </v>
      </c>
      <c r="N1545" s="28" t="str">
        <f>IF(C1545=""," ",[1]!s_yq_pctchange($C1545,$N$1))</f>
        <v xml:space="preserve"> </v>
      </c>
      <c r="O1545" s="11"/>
      <c r="P1545" s="7"/>
    </row>
    <row r="1546" spans="1:16" x14ac:dyDescent="0.35">
      <c r="A1546" s="7"/>
      <c r="C1546" s="31" t="str">
        <f>IF(指数列表!B1543="","",指数列表!B1543)</f>
        <v/>
      </c>
      <c r="D1546" s="36" t="str">
        <f>IF(C1546="","",[1]!s_info_name(C1546))</f>
        <v/>
      </c>
      <c r="E1546" s="25" t="str">
        <f>IF(C1546="","",[1]!s_dq_close(C1546,$N$1))</f>
        <v/>
      </c>
      <c r="F1546" s="28" t="str">
        <f>IF($C1546=""," ",[1]!i_pq_pctchange($C1546,F$6,$N$1))</f>
        <v xml:space="preserve"> </v>
      </c>
      <c r="G1546" s="28" t="str">
        <f>IF($C1546=""," ",[1]!i_pq_pctchange($C1546,G$6,$N$1))</f>
        <v xml:space="preserve"> </v>
      </c>
      <c r="H1546" s="28" t="str">
        <f>IF($C1546=""," ",[1]!i_pq_pctchange($C1546,H$6,$N$1))</f>
        <v xml:space="preserve"> </v>
      </c>
      <c r="I1546" s="28" t="str">
        <f>IF($C1546=""," ",[1]!i_pq_pctchange($C1546,I$6,$N$1))</f>
        <v xml:space="preserve"> </v>
      </c>
      <c r="J1546" s="28" t="str">
        <f>IF($C1546=""," ",[1]!i_pq_pctchange($C1546,J$6,$N$1))</f>
        <v xml:space="preserve"> </v>
      </c>
      <c r="K1546" s="28" t="str">
        <f>IF($C1546=""," ",[1]!i_pq_pctchange($C1546,K$6,$N$1))</f>
        <v xml:space="preserve"> </v>
      </c>
      <c r="L1546" s="28" t="str">
        <f>IF(C1546=""," ",[1]!s_wq_pctchange($C1546,$N$1))</f>
        <v xml:space="preserve"> </v>
      </c>
      <c r="M1546" s="28" t="str">
        <f>IF(C1546=""," ",[1]!s_mq_pctchange($C1546,$N$1))</f>
        <v xml:space="preserve"> </v>
      </c>
      <c r="N1546" s="28" t="str">
        <f>IF(C1546=""," ",[1]!s_yq_pctchange($C1546,$N$1))</f>
        <v xml:space="preserve"> </v>
      </c>
      <c r="O1546" s="11"/>
      <c r="P1546" s="7"/>
    </row>
    <row r="1547" spans="1:16" x14ac:dyDescent="0.35">
      <c r="A1547" s="7"/>
      <c r="C1547" s="30" t="str">
        <f>IF(指数列表!B1544="","",指数列表!B1544)</f>
        <v/>
      </c>
      <c r="D1547" s="35" t="str">
        <f>IF(C1547="","",[1]!s_info_name(C1547))</f>
        <v/>
      </c>
      <c r="E1547" s="24" t="str">
        <f>IF(C1547="","",[1]!s_dq_close(C1547,$N$1))</f>
        <v/>
      </c>
      <c r="F1547" s="28" t="str">
        <f>IF($C1547=""," ",[1]!i_pq_pctchange($C1547,F$6,$N$1))</f>
        <v xml:space="preserve"> </v>
      </c>
      <c r="G1547" s="28" t="str">
        <f>IF($C1547=""," ",[1]!i_pq_pctchange($C1547,G$6,$N$1))</f>
        <v xml:space="preserve"> </v>
      </c>
      <c r="H1547" s="28" t="str">
        <f>IF($C1547=""," ",[1]!i_pq_pctchange($C1547,H$6,$N$1))</f>
        <v xml:space="preserve"> </v>
      </c>
      <c r="I1547" s="28" t="str">
        <f>IF($C1547=""," ",[1]!i_pq_pctchange($C1547,I$6,$N$1))</f>
        <v xml:space="preserve"> </v>
      </c>
      <c r="J1547" s="28" t="str">
        <f>IF($C1547=""," ",[1]!i_pq_pctchange($C1547,J$6,$N$1))</f>
        <v xml:space="preserve"> </v>
      </c>
      <c r="K1547" s="28" t="str">
        <f>IF($C1547=""," ",[1]!i_pq_pctchange($C1547,K$6,$N$1))</f>
        <v xml:space="preserve"> </v>
      </c>
      <c r="L1547" s="28" t="str">
        <f>IF(C1547=""," ",[1]!s_wq_pctchange($C1547,$N$1))</f>
        <v xml:space="preserve"> </v>
      </c>
      <c r="M1547" s="28" t="str">
        <f>IF(C1547=""," ",[1]!s_mq_pctchange($C1547,$N$1))</f>
        <v xml:space="preserve"> </v>
      </c>
      <c r="N1547" s="28" t="str">
        <f>IF(C1547=""," ",[1]!s_yq_pctchange($C1547,$N$1))</f>
        <v xml:space="preserve"> </v>
      </c>
      <c r="O1547" s="11"/>
      <c r="P1547" s="7"/>
    </row>
    <row r="1548" spans="1:16" x14ac:dyDescent="0.35">
      <c r="A1548" s="7"/>
      <c r="C1548" s="31" t="str">
        <f>IF(指数列表!B1545="","",指数列表!B1545)</f>
        <v/>
      </c>
      <c r="D1548" s="36" t="str">
        <f>IF(C1548="","",[1]!s_info_name(C1548))</f>
        <v/>
      </c>
      <c r="E1548" s="25" t="str">
        <f>IF(C1548="","",[1]!s_dq_close(C1548,$N$1))</f>
        <v/>
      </c>
      <c r="F1548" s="28" t="str">
        <f>IF($C1548=""," ",[1]!i_pq_pctchange($C1548,F$6,$N$1))</f>
        <v xml:space="preserve"> </v>
      </c>
      <c r="G1548" s="28" t="str">
        <f>IF($C1548=""," ",[1]!i_pq_pctchange($C1548,G$6,$N$1))</f>
        <v xml:space="preserve"> </v>
      </c>
      <c r="H1548" s="28" t="str">
        <f>IF($C1548=""," ",[1]!i_pq_pctchange($C1548,H$6,$N$1))</f>
        <v xml:space="preserve"> </v>
      </c>
      <c r="I1548" s="28" t="str">
        <f>IF($C1548=""," ",[1]!i_pq_pctchange($C1548,I$6,$N$1))</f>
        <v xml:space="preserve"> </v>
      </c>
      <c r="J1548" s="28" t="str">
        <f>IF($C1548=""," ",[1]!i_pq_pctchange($C1548,J$6,$N$1))</f>
        <v xml:space="preserve"> </v>
      </c>
      <c r="K1548" s="28" t="str">
        <f>IF($C1548=""," ",[1]!i_pq_pctchange($C1548,K$6,$N$1))</f>
        <v xml:space="preserve"> </v>
      </c>
      <c r="L1548" s="28" t="str">
        <f>IF(C1548=""," ",[1]!s_wq_pctchange($C1548,$N$1))</f>
        <v xml:space="preserve"> </v>
      </c>
      <c r="M1548" s="28" t="str">
        <f>IF(C1548=""," ",[1]!s_mq_pctchange($C1548,$N$1))</f>
        <v xml:space="preserve"> </v>
      </c>
      <c r="N1548" s="28" t="str">
        <f>IF(C1548=""," ",[1]!s_yq_pctchange($C1548,$N$1))</f>
        <v xml:space="preserve"> </v>
      </c>
      <c r="O1548" s="11"/>
      <c r="P1548" s="7"/>
    </row>
    <row r="1549" spans="1:16" x14ac:dyDescent="0.35">
      <c r="A1549" s="7"/>
      <c r="C1549" s="30" t="str">
        <f>IF(指数列表!B1546="","",指数列表!B1546)</f>
        <v/>
      </c>
      <c r="D1549" s="35" t="str">
        <f>IF(C1549="","",[1]!s_info_name(C1549))</f>
        <v/>
      </c>
      <c r="E1549" s="24" t="str">
        <f>IF(C1549="","",[1]!s_dq_close(C1549,$N$1))</f>
        <v/>
      </c>
      <c r="F1549" s="28" t="str">
        <f>IF($C1549=""," ",[1]!i_pq_pctchange($C1549,F$6,$N$1))</f>
        <v xml:space="preserve"> </v>
      </c>
      <c r="G1549" s="28" t="str">
        <f>IF($C1549=""," ",[1]!i_pq_pctchange($C1549,G$6,$N$1))</f>
        <v xml:space="preserve"> </v>
      </c>
      <c r="H1549" s="28" t="str">
        <f>IF($C1549=""," ",[1]!i_pq_pctchange($C1549,H$6,$N$1))</f>
        <v xml:space="preserve"> </v>
      </c>
      <c r="I1549" s="28" t="str">
        <f>IF($C1549=""," ",[1]!i_pq_pctchange($C1549,I$6,$N$1))</f>
        <v xml:space="preserve"> </v>
      </c>
      <c r="J1549" s="28" t="str">
        <f>IF($C1549=""," ",[1]!i_pq_pctchange($C1549,J$6,$N$1))</f>
        <v xml:space="preserve"> </v>
      </c>
      <c r="K1549" s="28" t="str">
        <f>IF($C1549=""," ",[1]!i_pq_pctchange($C1549,K$6,$N$1))</f>
        <v xml:space="preserve"> </v>
      </c>
      <c r="L1549" s="28" t="str">
        <f>IF(C1549=""," ",[1]!s_wq_pctchange($C1549,$N$1))</f>
        <v xml:space="preserve"> </v>
      </c>
      <c r="M1549" s="28" t="str">
        <f>IF(C1549=""," ",[1]!s_mq_pctchange($C1549,$N$1))</f>
        <v xml:space="preserve"> </v>
      </c>
      <c r="N1549" s="28" t="str">
        <f>IF(C1549=""," ",[1]!s_yq_pctchange($C1549,$N$1))</f>
        <v xml:space="preserve"> </v>
      </c>
      <c r="O1549" s="11"/>
      <c r="P1549" s="7"/>
    </row>
    <row r="1550" spans="1:16" x14ac:dyDescent="0.35">
      <c r="A1550" s="7"/>
      <c r="C1550" s="31" t="str">
        <f>IF(指数列表!B1547="","",指数列表!B1547)</f>
        <v/>
      </c>
      <c r="D1550" s="36" t="str">
        <f>IF(C1550="","",[1]!s_info_name(C1550))</f>
        <v/>
      </c>
      <c r="E1550" s="25" t="str">
        <f>IF(C1550="","",[1]!s_dq_close(C1550,$N$1))</f>
        <v/>
      </c>
      <c r="F1550" s="28" t="str">
        <f>IF($C1550=""," ",[1]!i_pq_pctchange($C1550,F$6,$N$1))</f>
        <v xml:space="preserve"> </v>
      </c>
      <c r="G1550" s="28" t="str">
        <f>IF($C1550=""," ",[1]!i_pq_pctchange($C1550,G$6,$N$1))</f>
        <v xml:space="preserve"> </v>
      </c>
      <c r="H1550" s="28" t="str">
        <f>IF($C1550=""," ",[1]!i_pq_pctchange($C1550,H$6,$N$1))</f>
        <v xml:space="preserve"> </v>
      </c>
      <c r="I1550" s="28" t="str">
        <f>IF($C1550=""," ",[1]!i_pq_pctchange($C1550,I$6,$N$1))</f>
        <v xml:space="preserve"> </v>
      </c>
      <c r="J1550" s="28" t="str">
        <f>IF($C1550=""," ",[1]!i_pq_pctchange($C1550,J$6,$N$1))</f>
        <v xml:space="preserve"> </v>
      </c>
      <c r="K1550" s="28" t="str">
        <f>IF($C1550=""," ",[1]!i_pq_pctchange($C1550,K$6,$N$1))</f>
        <v xml:space="preserve"> </v>
      </c>
      <c r="L1550" s="28" t="str">
        <f>IF(C1550=""," ",[1]!s_wq_pctchange($C1550,$N$1))</f>
        <v xml:space="preserve"> </v>
      </c>
      <c r="M1550" s="28" t="str">
        <f>IF(C1550=""," ",[1]!s_mq_pctchange($C1550,$N$1))</f>
        <v xml:space="preserve"> </v>
      </c>
      <c r="N1550" s="28" t="str">
        <f>IF(C1550=""," ",[1]!s_yq_pctchange($C1550,$N$1))</f>
        <v xml:space="preserve"> </v>
      </c>
      <c r="O1550" s="11"/>
      <c r="P1550" s="7"/>
    </row>
    <row r="1551" spans="1:16" x14ac:dyDescent="0.35">
      <c r="A1551" s="7"/>
      <c r="C1551" s="30" t="str">
        <f>IF(指数列表!B1548="","",指数列表!B1548)</f>
        <v/>
      </c>
      <c r="D1551" s="35" t="str">
        <f>IF(C1551="","",[1]!s_info_name(C1551))</f>
        <v/>
      </c>
      <c r="E1551" s="24" t="str">
        <f>IF(C1551="","",[1]!s_dq_close(C1551,$N$1))</f>
        <v/>
      </c>
      <c r="F1551" s="28" t="str">
        <f>IF($C1551=""," ",[1]!i_pq_pctchange($C1551,F$6,$N$1))</f>
        <v xml:space="preserve"> </v>
      </c>
      <c r="G1551" s="28" t="str">
        <f>IF($C1551=""," ",[1]!i_pq_pctchange($C1551,G$6,$N$1))</f>
        <v xml:space="preserve"> </v>
      </c>
      <c r="H1551" s="28" t="str">
        <f>IF($C1551=""," ",[1]!i_pq_pctchange($C1551,H$6,$N$1))</f>
        <v xml:space="preserve"> </v>
      </c>
      <c r="I1551" s="28" t="str">
        <f>IF($C1551=""," ",[1]!i_pq_pctchange($C1551,I$6,$N$1))</f>
        <v xml:space="preserve"> </v>
      </c>
      <c r="J1551" s="28" t="str">
        <f>IF($C1551=""," ",[1]!i_pq_pctchange($C1551,J$6,$N$1))</f>
        <v xml:space="preserve"> </v>
      </c>
      <c r="K1551" s="28" t="str">
        <f>IF($C1551=""," ",[1]!i_pq_pctchange($C1551,K$6,$N$1))</f>
        <v xml:space="preserve"> </v>
      </c>
      <c r="L1551" s="28" t="str">
        <f>IF(C1551=""," ",[1]!s_wq_pctchange($C1551,$N$1))</f>
        <v xml:space="preserve"> </v>
      </c>
      <c r="M1551" s="28" t="str">
        <f>IF(C1551=""," ",[1]!s_mq_pctchange($C1551,$N$1))</f>
        <v xml:space="preserve"> </v>
      </c>
      <c r="N1551" s="28" t="str">
        <f>IF(C1551=""," ",[1]!s_yq_pctchange($C1551,$N$1))</f>
        <v xml:space="preserve"> </v>
      </c>
      <c r="O1551" s="11"/>
      <c r="P1551" s="7"/>
    </row>
    <row r="1552" spans="1:16" x14ac:dyDescent="0.35">
      <c r="A1552" s="7"/>
      <c r="C1552" s="31" t="str">
        <f>IF(指数列表!B1549="","",指数列表!B1549)</f>
        <v/>
      </c>
      <c r="D1552" s="36" t="str">
        <f>IF(C1552="","",[1]!s_info_name(C1552))</f>
        <v/>
      </c>
      <c r="E1552" s="25" t="str">
        <f>IF(C1552="","",[1]!s_dq_close(C1552,$N$1))</f>
        <v/>
      </c>
      <c r="F1552" s="28" t="str">
        <f>IF($C1552=""," ",[1]!i_pq_pctchange($C1552,F$6,$N$1))</f>
        <v xml:space="preserve"> </v>
      </c>
      <c r="G1552" s="28" t="str">
        <f>IF($C1552=""," ",[1]!i_pq_pctchange($C1552,G$6,$N$1))</f>
        <v xml:space="preserve"> </v>
      </c>
      <c r="H1552" s="28" t="str">
        <f>IF($C1552=""," ",[1]!i_pq_pctchange($C1552,H$6,$N$1))</f>
        <v xml:space="preserve"> </v>
      </c>
      <c r="I1552" s="28" t="str">
        <f>IF($C1552=""," ",[1]!i_pq_pctchange($C1552,I$6,$N$1))</f>
        <v xml:space="preserve"> </v>
      </c>
      <c r="J1552" s="28" t="str">
        <f>IF($C1552=""," ",[1]!i_pq_pctchange($C1552,J$6,$N$1))</f>
        <v xml:space="preserve"> </v>
      </c>
      <c r="K1552" s="28" t="str">
        <f>IF($C1552=""," ",[1]!i_pq_pctchange($C1552,K$6,$N$1))</f>
        <v xml:space="preserve"> </v>
      </c>
      <c r="L1552" s="28" t="str">
        <f>IF(C1552=""," ",[1]!s_wq_pctchange($C1552,$N$1))</f>
        <v xml:space="preserve"> </v>
      </c>
      <c r="M1552" s="28" t="str">
        <f>IF(C1552=""," ",[1]!s_mq_pctchange($C1552,$N$1))</f>
        <v xml:space="preserve"> </v>
      </c>
      <c r="N1552" s="28" t="str">
        <f>IF(C1552=""," ",[1]!s_yq_pctchange($C1552,$N$1))</f>
        <v xml:space="preserve"> </v>
      </c>
      <c r="O1552" s="11"/>
      <c r="P1552" s="7"/>
    </row>
    <row r="1553" spans="1:16" x14ac:dyDescent="0.35">
      <c r="A1553" s="7"/>
      <c r="C1553" s="30" t="str">
        <f>IF(指数列表!B1550="","",指数列表!B1550)</f>
        <v/>
      </c>
      <c r="D1553" s="35" t="str">
        <f>IF(C1553="","",[1]!s_info_name(C1553))</f>
        <v/>
      </c>
      <c r="E1553" s="24" t="str">
        <f>IF(C1553="","",[1]!s_dq_close(C1553,$N$1))</f>
        <v/>
      </c>
      <c r="F1553" s="28" t="str">
        <f>IF($C1553=""," ",[1]!i_pq_pctchange($C1553,F$6,$N$1))</f>
        <v xml:space="preserve"> </v>
      </c>
      <c r="G1553" s="28" t="str">
        <f>IF($C1553=""," ",[1]!i_pq_pctchange($C1553,G$6,$N$1))</f>
        <v xml:space="preserve"> </v>
      </c>
      <c r="H1553" s="28" t="str">
        <f>IF($C1553=""," ",[1]!i_pq_pctchange($C1553,H$6,$N$1))</f>
        <v xml:space="preserve"> </v>
      </c>
      <c r="I1553" s="28" t="str">
        <f>IF($C1553=""," ",[1]!i_pq_pctchange($C1553,I$6,$N$1))</f>
        <v xml:space="preserve"> </v>
      </c>
      <c r="J1553" s="28" t="str">
        <f>IF($C1553=""," ",[1]!i_pq_pctchange($C1553,J$6,$N$1))</f>
        <v xml:space="preserve"> </v>
      </c>
      <c r="K1553" s="28" t="str">
        <f>IF($C1553=""," ",[1]!i_pq_pctchange($C1553,K$6,$N$1))</f>
        <v xml:space="preserve"> </v>
      </c>
      <c r="L1553" s="28" t="str">
        <f>IF(C1553=""," ",[1]!s_wq_pctchange($C1553,$N$1))</f>
        <v xml:space="preserve"> </v>
      </c>
      <c r="M1553" s="28" t="str">
        <f>IF(C1553=""," ",[1]!s_mq_pctchange($C1553,$N$1))</f>
        <v xml:space="preserve"> </v>
      </c>
      <c r="N1553" s="28" t="str">
        <f>IF(C1553=""," ",[1]!s_yq_pctchange($C1553,$N$1))</f>
        <v xml:space="preserve"> </v>
      </c>
      <c r="O1553" s="11"/>
      <c r="P1553" s="7"/>
    </row>
    <row r="1554" spans="1:16" x14ac:dyDescent="0.35">
      <c r="A1554" s="7"/>
      <c r="C1554" s="31" t="str">
        <f>IF(指数列表!B1551="","",指数列表!B1551)</f>
        <v/>
      </c>
      <c r="D1554" s="36" t="str">
        <f>IF(C1554="","",[1]!s_info_name(C1554))</f>
        <v/>
      </c>
      <c r="E1554" s="25" t="str">
        <f>IF(C1554="","",[1]!s_dq_close(C1554,$N$1))</f>
        <v/>
      </c>
      <c r="F1554" s="28" t="str">
        <f>IF($C1554=""," ",[1]!i_pq_pctchange($C1554,F$6,$N$1))</f>
        <v xml:space="preserve"> </v>
      </c>
      <c r="G1554" s="28" t="str">
        <f>IF($C1554=""," ",[1]!i_pq_pctchange($C1554,G$6,$N$1))</f>
        <v xml:space="preserve"> </v>
      </c>
      <c r="H1554" s="28" t="str">
        <f>IF($C1554=""," ",[1]!i_pq_pctchange($C1554,H$6,$N$1))</f>
        <v xml:space="preserve"> </v>
      </c>
      <c r="I1554" s="28" t="str">
        <f>IF($C1554=""," ",[1]!i_pq_pctchange($C1554,I$6,$N$1))</f>
        <v xml:space="preserve"> </v>
      </c>
      <c r="J1554" s="28" t="str">
        <f>IF($C1554=""," ",[1]!i_pq_pctchange($C1554,J$6,$N$1))</f>
        <v xml:space="preserve"> </v>
      </c>
      <c r="K1554" s="28" t="str">
        <f>IF($C1554=""," ",[1]!i_pq_pctchange($C1554,K$6,$N$1))</f>
        <v xml:space="preserve"> </v>
      </c>
      <c r="L1554" s="28" t="str">
        <f>IF(C1554=""," ",[1]!s_wq_pctchange($C1554,$N$1))</f>
        <v xml:space="preserve"> </v>
      </c>
      <c r="M1554" s="28" t="str">
        <f>IF(C1554=""," ",[1]!s_mq_pctchange($C1554,$N$1))</f>
        <v xml:space="preserve"> </v>
      </c>
      <c r="N1554" s="28" t="str">
        <f>IF(C1554=""," ",[1]!s_yq_pctchange($C1554,$N$1))</f>
        <v xml:space="preserve"> </v>
      </c>
      <c r="O1554" s="11"/>
      <c r="P1554" s="7"/>
    </row>
    <row r="1555" spans="1:16" x14ac:dyDescent="0.35">
      <c r="A1555" s="7"/>
      <c r="C1555" s="30" t="str">
        <f>IF(指数列表!B1552="","",指数列表!B1552)</f>
        <v/>
      </c>
      <c r="D1555" s="35" t="str">
        <f>IF(C1555="","",[1]!s_info_name(C1555))</f>
        <v/>
      </c>
      <c r="E1555" s="24" t="str">
        <f>IF(C1555="","",[1]!s_dq_close(C1555,$N$1))</f>
        <v/>
      </c>
      <c r="F1555" s="28" t="str">
        <f>IF($C1555=""," ",[1]!i_pq_pctchange($C1555,F$6,$N$1))</f>
        <v xml:space="preserve"> </v>
      </c>
      <c r="G1555" s="28" t="str">
        <f>IF($C1555=""," ",[1]!i_pq_pctchange($C1555,G$6,$N$1))</f>
        <v xml:space="preserve"> </v>
      </c>
      <c r="H1555" s="28" t="str">
        <f>IF($C1555=""," ",[1]!i_pq_pctchange($C1555,H$6,$N$1))</f>
        <v xml:space="preserve"> </v>
      </c>
      <c r="I1555" s="28" t="str">
        <f>IF($C1555=""," ",[1]!i_pq_pctchange($C1555,I$6,$N$1))</f>
        <v xml:space="preserve"> </v>
      </c>
      <c r="J1555" s="28" t="str">
        <f>IF($C1555=""," ",[1]!i_pq_pctchange($C1555,J$6,$N$1))</f>
        <v xml:space="preserve"> </v>
      </c>
      <c r="K1555" s="28" t="str">
        <f>IF($C1555=""," ",[1]!i_pq_pctchange($C1555,K$6,$N$1))</f>
        <v xml:space="preserve"> </v>
      </c>
      <c r="L1555" s="28" t="str">
        <f>IF(C1555=""," ",[1]!s_wq_pctchange($C1555,$N$1))</f>
        <v xml:space="preserve"> </v>
      </c>
      <c r="M1555" s="28" t="str">
        <f>IF(C1555=""," ",[1]!s_mq_pctchange($C1555,$N$1))</f>
        <v xml:space="preserve"> </v>
      </c>
      <c r="N1555" s="28" t="str">
        <f>IF(C1555=""," ",[1]!s_yq_pctchange($C1555,$N$1))</f>
        <v xml:space="preserve"> </v>
      </c>
      <c r="O1555" s="11"/>
      <c r="P1555" s="7"/>
    </row>
    <row r="1556" spans="1:16" x14ac:dyDescent="0.35">
      <c r="A1556" s="7"/>
      <c r="C1556" s="31" t="str">
        <f>IF(指数列表!B1553="","",指数列表!B1553)</f>
        <v/>
      </c>
      <c r="D1556" s="36" t="str">
        <f>IF(C1556="","",[1]!s_info_name(C1556))</f>
        <v/>
      </c>
      <c r="E1556" s="25" t="str">
        <f>IF(C1556="","",[1]!s_dq_close(C1556,$N$1))</f>
        <v/>
      </c>
      <c r="F1556" s="28" t="str">
        <f>IF($C1556=""," ",[1]!i_pq_pctchange($C1556,F$6,$N$1))</f>
        <v xml:space="preserve"> </v>
      </c>
      <c r="G1556" s="28" t="str">
        <f>IF($C1556=""," ",[1]!i_pq_pctchange($C1556,G$6,$N$1))</f>
        <v xml:space="preserve"> </v>
      </c>
      <c r="H1556" s="28" t="str">
        <f>IF($C1556=""," ",[1]!i_pq_pctchange($C1556,H$6,$N$1))</f>
        <v xml:space="preserve"> </v>
      </c>
      <c r="I1556" s="28" t="str">
        <f>IF($C1556=""," ",[1]!i_pq_pctchange($C1556,I$6,$N$1))</f>
        <v xml:space="preserve"> </v>
      </c>
      <c r="J1556" s="28" t="str">
        <f>IF($C1556=""," ",[1]!i_pq_pctchange($C1556,J$6,$N$1))</f>
        <v xml:space="preserve"> </v>
      </c>
      <c r="K1556" s="28" t="str">
        <f>IF($C1556=""," ",[1]!i_pq_pctchange($C1556,K$6,$N$1))</f>
        <v xml:space="preserve"> </v>
      </c>
      <c r="L1556" s="28" t="str">
        <f>IF(C1556=""," ",[1]!s_wq_pctchange($C1556,$N$1))</f>
        <v xml:space="preserve"> </v>
      </c>
      <c r="M1556" s="28" t="str">
        <f>IF(C1556=""," ",[1]!s_mq_pctchange($C1556,$N$1))</f>
        <v xml:space="preserve"> </v>
      </c>
      <c r="N1556" s="28" t="str">
        <f>IF(C1556=""," ",[1]!s_yq_pctchange($C1556,$N$1))</f>
        <v xml:space="preserve"> </v>
      </c>
      <c r="O1556" s="11"/>
      <c r="P1556" s="7"/>
    </row>
    <row r="1557" spans="1:16" x14ac:dyDescent="0.35">
      <c r="A1557" s="7"/>
      <c r="C1557" s="30" t="str">
        <f>IF(指数列表!B1554="","",指数列表!B1554)</f>
        <v/>
      </c>
      <c r="D1557" s="35" t="str">
        <f>IF(C1557="","",[1]!s_info_name(C1557))</f>
        <v/>
      </c>
      <c r="E1557" s="24" t="str">
        <f>IF(C1557="","",[1]!s_dq_close(C1557,$N$1))</f>
        <v/>
      </c>
      <c r="F1557" s="28" t="str">
        <f>IF($C1557=""," ",[1]!i_pq_pctchange($C1557,F$6,$N$1))</f>
        <v xml:space="preserve"> </v>
      </c>
      <c r="G1557" s="28" t="str">
        <f>IF($C1557=""," ",[1]!i_pq_pctchange($C1557,G$6,$N$1))</f>
        <v xml:space="preserve"> </v>
      </c>
      <c r="H1557" s="28" t="str">
        <f>IF($C1557=""," ",[1]!i_pq_pctchange($C1557,H$6,$N$1))</f>
        <v xml:space="preserve"> </v>
      </c>
      <c r="I1557" s="28" t="str">
        <f>IF($C1557=""," ",[1]!i_pq_pctchange($C1557,I$6,$N$1))</f>
        <v xml:space="preserve"> </v>
      </c>
      <c r="J1557" s="28" t="str">
        <f>IF($C1557=""," ",[1]!i_pq_pctchange($C1557,J$6,$N$1))</f>
        <v xml:space="preserve"> </v>
      </c>
      <c r="K1557" s="28" t="str">
        <f>IF($C1557=""," ",[1]!i_pq_pctchange($C1557,K$6,$N$1))</f>
        <v xml:space="preserve"> </v>
      </c>
      <c r="L1557" s="28" t="str">
        <f>IF(C1557=""," ",[1]!s_wq_pctchange($C1557,$N$1))</f>
        <v xml:space="preserve"> </v>
      </c>
      <c r="M1557" s="28" t="str">
        <f>IF(C1557=""," ",[1]!s_mq_pctchange($C1557,$N$1))</f>
        <v xml:space="preserve"> </v>
      </c>
      <c r="N1557" s="28" t="str">
        <f>IF(C1557=""," ",[1]!s_yq_pctchange($C1557,$N$1))</f>
        <v xml:space="preserve"> </v>
      </c>
      <c r="O1557" s="11"/>
      <c r="P1557" s="7"/>
    </row>
    <row r="1558" spans="1:16" x14ac:dyDescent="0.35">
      <c r="A1558" s="7"/>
      <c r="C1558" s="31" t="str">
        <f>IF(指数列表!B1555="","",指数列表!B1555)</f>
        <v/>
      </c>
      <c r="D1558" s="36" t="str">
        <f>IF(C1558="","",[1]!s_info_name(C1558))</f>
        <v/>
      </c>
      <c r="E1558" s="25" t="str">
        <f>IF(C1558="","",[1]!s_dq_close(C1558,$N$1))</f>
        <v/>
      </c>
      <c r="F1558" s="28" t="str">
        <f>IF($C1558=""," ",[1]!i_pq_pctchange($C1558,F$6,$N$1))</f>
        <v xml:space="preserve"> </v>
      </c>
      <c r="G1558" s="28" t="str">
        <f>IF($C1558=""," ",[1]!i_pq_pctchange($C1558,G$6,$N$1))</f>
        <v xml:space="preserve"> </v>
      </c>
      <c r="H1558" s="28" t="str">
        <f>IF($C1558=""," ",[1]!i_pq_pctchange($C1558,H$6,$N$1))</f>
        <v xml:space="preserve"> </v>
      </c>
      <c r="I1558" s="28" t="str">
        <f>IF($C1558=""," ",[1]!i_pq_pctchange($C1558,I$6,$N$1))</f>
        <v xml:space="preserve"> </v>
      </c>
      <c r="J1558" s="28" t="str">
        <f>IF($C1558=""," ",[1]!i_pq_pctchange($C1558,J$6,$N$1))</f>
        <v xml:space="preserve"> </v>
      </c>
      <c r="K1558" s="28" t="str">
        <f>IF($C1558=""," ",[1]!i_pq_pctchange($C1558,K$6,$N$1))</f>
        <v xml:space="preserve"> </v>
      </c>
      <c r="L1558" s="28" t="str">
        <f>IF(C1558=""," ",[1]!s_wq_pctchange($C1558,$N$1))</f>
        <v xml:space="preserve"> </v>
      </c>
      <c r="M1558" s="28" t="str">
        <f>IF(C1558=""," ",[1]!s_mq_pctchange($C1558,$N$1))</f>
        <v xml:space="preserve"> </v>
      </c>
      <c r="N1558" s="28" t="str">
        <f>IF(C1558=""," ",[1]!s_yq_pctchange($C1558,$N$1))</f>
        <v xml:space="preserve"> </v>
      </c>
      <c r="O1558" s="11"/>
      <c r="P1558" s="7"/>
    </row>
    <row r="1559" spans="1:16" x14ac:dyDescent="0.35">
      <c r="A1559" s="7"/>
      <c r="C1559" s="30" t="str">
        <f>IF(指数列表!B1556="","",指数列表!B1556)</f>
        <v/>
      </c>
      <c r="D1559" s="35" t="str">
        <f>IF(C1559="","",[1]!s_info_name(C1559))</f>
        <v/>
      </c>
      <c r="E1559" s="24" t="str">
        <f>IF(C1559="","",[1]!s_dq_close(C1559,$N$1))</f>
        <v/>
      </c>
      <c r="F1559" s="28" t="str">
        <f>IF($C1559=""," ",[1]!i_pq_pctchange($C1559,F$6,$N$1))</f>
        <v xml:space="preserve"> </v>
      </c>
      <c r="G1559" s="28" t="str">
        <f>IF($C1559=""," ",[1]!i_pq_pctchange($C1559,G$6,$N$1))</f>
        <v xml:space="preserve"> </v>
      </c>
      <c r="H1559" s="28" t="str">
        <f>IF($C1559=""," ",[1]!i_pq_pctchange($C1559,H$6,$N$1))</f>
        <v xml:space="preserve"> </v>
      </c>
      <c r="I1559" s="28" t="str">
        <f>IF($C1559=""," ",[1]!i_pq_pctchange($C1559,I$6,$N$1))</f>
        <v xml:space="preserve"> </v>
      </c>
      <c r="J1559" s="28" t="str">
        <f>IF($C1559=""," ",[1]!i_pq_pctchange($C1559,J$6,$N$1))</f>
        <v xml:space="preserve"> </v>
      </c>
      <c r="K1559" s="28" t="str">
        <f>IF($C1559=""," ",[1]!i_pq_pctchange($C1559,K$6,$N$1))</f>
        <v xml:space="preserve"> </v>
      </c>
      <c r="L1559" s="28" t="str">
        <f>IF(C1559=""," ",[1]!s_wq_pctchange($C1559,$N$1))</f>
        <v xml:space="preserve"> </v>
      </c>
      <c r="M1559" s="28" t="str">
        <f>IF(C1559=""," ",[1]!s_mq_pctchange($C1559,$N$1))</f>
        <v xml:space="preserve"> </v>
      </c>
      <c r="N1559" s="28" t="str">
        <f>IF(C1559=""," ",[1]!s_yq_pctchange($C1559,$N$1))</f>
        <v xml:space="preserve"> </v>
      </c>
      <c r="O1559" s="11"/>
      <c r="P1559" s="7"/>
    </row>
    <row r="1560" spans="1:16" x14ac:dyDescent="0.35">
      <c r="A1560" s="7"/>
      <c r="C1560" s="31" t="str">
        <f>IF(指数列表!B1557="","",指数列表!B1557)</f>
        <v/>
      </c>
      <c r="D1560" s="36" t="str">
        <f>IF(C1560="","",[1]!s_info_name(C1560))</f>
        <v/>
      </c>
      <c r="E1560" s="25" t="str">
        <f>IF(C1560="","",[1]!s_dq_close(C1560,$N$1))</f>
        <v/>
      </c>
      <c r="F1560" s="28" t="str">
        <f>IF($C1560=""," ",[1]!i_pq_pctchange($C1560,F$6,$N$1))</f>
        <v xml:space="preserve"> </v>
      </c>
      <c r="G1560" s="28" t="str">
        <f>IF($C1560=""," ",[1]!i_pq_pctchange($C1560,G$6,$N$1))</f>
        <v xml:space="preserve"> </v>
      </c>
      <c r="H1560" s="28" t="str">
        <f>IF($C1560=""," ",[1]!i_pq_pctchange($C1560,H$6,$N$1))</f>
        <v xml:space="preserve"> </v>
      </c>
      <c r="I1560" s="28" t="str">
        <f>IF($C1560=""," ",[1]!i_pq_pctchange($C1560,I$6,$N$1))</f>
        <v xml:space="preserve"> </v>
      </c>
      <c r="J1560" s="28" t="str">
        <f>IF($C1560=""," ",[1]!i_pq_pctchange($C1560,J$6,$N$1))</f>
        <v xml:space="preserve"> </v>
      </c>
      <c r="K1560" s="28" t="str">
        <f>IF($C1560=""," ",[1]!i_pq_pctchange($C1560,K$6,$N$1))</f>
        <v xml:space="preserve"> </v>
      </c>
      <c r="L1560" s="28" t="str">
        <f>IF(C1560=""," ",[1]!s_wq_pctchange($C1560,$N$1))</f>
        <v xml:space="preserve"> </v>
      </c>
      <c r="M1560" s="28" t="str">
        <f>IF(C1560=""," ",[1]!s_mq_pctchange($C1560,$N$1))</f>
        <v xml:space="preserve"> </v>
      </c>
      <c r="N1560" s="28" t="str">
        <f>IF(C1560=""," ",[1]!s_yq_pctchange($C1560,$N$1))</f>
        <v xml:space="preserve"> </v>
      </c>
      <c r="O1560" s="11"/>
      <c r="P1560" s="7"/>
    </row>
    <row r="1561" spans="1:16" x14ac:dyDescent="0.35">
      <c r="A1561" s="7"/>
      <c r="C1561" s="30" t="str">
        <f>IF(指数列表!B1558="","",指数列表!B1558)</f>
        <v/>
      </c>
      <c r="D1561" s="35" t="str">
        <f>IF(C1561="","",[1]!s_info_name(C1561))</f>
        <v/>
      </c>
      <c r="E1561" s="24" t="str">
        <f>IF(C1561="","",[1]!s_dq_close(C1561,$N$1))</f>
        <v/>
      </c>
      <c r="F1561" s="28" t="str">
        <f>IF($C1561=""," ",[1]!i_pq_pctchange($C1561,F$6,$N$1))</f>
        <v xml:space="preserve"> </v>
      </c>
      <c r="G1561" s="28" t="str">
        <f>IF($C1561=""," ",[1]!i_pq_pctchange($C1561,G$6,$N$1))</f>
        <v xml:space="preserve"> </v>
      </c>
      <c r="H1561" s="28" t="str">
        <f>IF($C1561=""," ",[1]!i_pq_pctchange($C1561,H$6,$N$1))</f>
        <v xml:space="preserve"> </v>
      </c>
      <c r="I1561" s="28" t="str">
        <f>IF($C1561=""," ",[1]!i_pq_pctchange($C1561,I$6,$N$1))</f>
        <v xml:space="preserve"> </v>
      </c>
      <c r="J1561" s="28" t="str">
        <f>IF($C1561=""," ",[1]!i_pq_pctchange($C1561,J$6,$N$1))</f>
        <v xml:space="preserve"> </v>
      </c>
      <c r="K1561" s="28" t="str">
        <f>IF($C1561=""," ",[1]!i_pq_pctchange($C1561,K$6,$N$1))</f>
        <v xml:space="preserve"> </v>
      </c>
      <c r="L1561" s="28" t="str">
        <f>IF(C1561=""," ",[1]!s_wq_pctchange($C1561,$N$1))</f>
        <v xml:space="preserve"> </v>
      </c>
      <c r="M1561" s="28" t="str">
        <f>IF(C1561=""," ",[1]!s_mq_pctchange($C1561,$N$1))</f>
        <v xml:space="preserve"> </v>
      </c>
      <c r="N1561" s="28" t="str">
        <f>IF(C1561=""," ",[1]!s_yq_pctchange($C1561,$N$1))</f>
        <v xml:space="preserve"> </v>
      </c>
      <c r="O1561" s="11"/>
      <c r="P1561" s="7"/>
    </row>
    <row r="1562" spans="1:16" x14ac:dyDescent="0.35">
      <c r="A1562" s="7"/>
      <c r="C1562" s="31" t="str">
        <f>IF(指数列表!B1559="","",指数列表!B1559)</f>
        <v/>
      </c>
      <c r="D1562" s="36" t="str">
        <f>IF(C1562="","",[1]!s_info_name(C1562))</f>
        <v/>
      </c>
      <c r="E1562" s="25" t="str">
        <f>IF(C1562="","",[1]!s_dq_close(C1562,$N$1))</f>
        <v/>
      </c>
      <c r="F1562" s="28" t="str">
        <f>IF($C1562=""," ",[1]!i_pq_pctchange($C1562,F$6,$N$1))</f>
        <v xml:space="preserve"> </v>
      </c>
      <c r="G1562" s="28" t="str">
        <f>IF($C1562=""," ",[1]!i_pq_pctchange($C1562,G$6,$N$1))</f>
        <v xml:space="preserve"> </v>
      </c>
      <c r="H1562" s="28" t="str">
        <f>IF($C1562=""," ",[1]!i_pq_pctchange($C1562,H$6,$N$1))</f>
        <v xml:space="preserve"> </v>
      </c>
      <c r="I1562" s="28" t="str">
        <f>IF($C1562=""," ",[1]!i_pq_pctchange($C1562,I$6,$N$1))</f>
        <v xml:space="preserve"> </v>
      </c>
      <c r="J1562" s="28" t="str">
        <f>IF($C1562=""," ",[1]!i_pq_pctchange($C1562,J$6,$N$1))</f>
        <v xml:space="preserve"> </v>
      </c>
      <c r="K1562" s="28" t="str">
        <f>IF($C1562=""," ",[1]!i_pq_pctchange($C1562,K$6,$N$1))</f>
        <v xml:space="preserve"> </v>
      </c>
      <c r="L1562" s="28" t="str">
        <f>IF(C1562=""," ",[1]!s_wq_pctchange($C1562,$N$1))</f>
        <v xml:space="preserve"> </v>
      </c>
      <c r="M1562" s="28" t="str">
        <f>IF(C1562=""," ",[1]!s_mq_pctchange($C1562,$N$1))</f>
        <v xml:space="preserve"> </v>
      </c>
      <c r="N1562" s="28" t="str">
        <f>IF(C1562=""," ",[1]!s_yq_pctchange($C1562,$N$1))</f>
        <v xml:space="preserve"> </v>
      </c>
      <c r="O1562" s="11"/>
      <c r="P1562" s="7"/>
    </row>
    <row r="1563" spans="1:16" x14ac:dyDescent="0.35">
      <c r="A1563" s="7"/>
      <c r="C1563" s="30" t="str">
        <f>IF(指数列表!B1560="","",指数列表!B1560)</f>
        <v/>
      </c>
      <c r="D1563" s="35" t="str">
        <f>IF(C1563="","",[1]!s_info_name(C1563))</f>
        <v/>
      </c>
      <c r="E1563" s="24" t="str">
        <f>IF(C1563="","",[1]!s_dq_close(C1563,$N$1))</f>
        <v/>
      </c>
      <c r="F1563" s="28" t="str">
        <f>IF($C1563=""," ",[1]!i_pq_pctchange($C1563,F$6,$N$1))</f>
        <v xml:space="preserve"> </v>
      </c>
      <c r="G1563" s="28" t="str">
        <f>IF($C1563=""," ",[1]!i_pq_pctchange($C1563,G$6,$N$1))</f>
        <v xml:space="preserve"> </v>
      </c>
      <c r="H1563" s="28" t="str">
        <f>IF($C1563=""," ",[1]!i_pq_pctchange($C1563,H$6,$N$1))</f>
        <v xml:space="preserve"> </v>
      </c>
      <c r="I1563" s="28" t="str">
        <f>IF($C1563=""," ",[1]!i_pq_pctchange($C1563,I$6,$N$1))</f>
        <v xml:space="preserve"> </v>
      </c>
      <c r="J1563" s="28" t="str">
        <f>IF($C1563=""," ",[1]!i_pq_pctchange($C1563,J$6,$N$1))</f>
        <v xml:space="preserve"> </v>
      </c>
      <c r="K1563" s="28" t="str">
        <f>IF($C1563=""," ",[1]!i_pq_pctchange($C1563,K$6,$N$1))</f>
        <v xml:space="preserve"> </v>
      </c>
      <c r="L1563" s="28" t="str">
        <f>IF(C1563=""," ",[1]!s_wq_pctchange($C1563,$N$1))</f>
        <v xml:space="preserve"> </v>
      </c>
      <c r="M1563" s="28" t="str">
        <f>IF(C1563=""," ",[1]!s_mq_pctchange($C1563,$N$1))</f>
        <v xml:space="preserve"> </v>
      </c>
      <c r="N1563" s="28" t="str">
        <f>IF(C1563=""," ",[1]!s_yq_pctchange($C1563,$N$1))</f>
        <v xml:space="preserve"> </v>
      </c>
      <c r="O1563" s="11"/>
      <c r="P1563" s="7"/>
    </row>
    <row r="1564" spans="1:16" x14ac:dyDescent="0.35">
      <c r="A1564" s="7"/>
      <c r="C1564" s="31" t="str">
        <f>IF(指数列表!B1561="","",指数列表!B1561)</f>
        <v/>
      </c>
      <c r="D1564" s="36" t="str">
        <f>IF(C1564="","",[1]!s_info_name(C1564))</f>
        <v/>
      </c>
      <c r="E1564" s="25" t="str">
        <f>IF(C1564="","",[1]!s_dq_close(C1564,$N$1))</f>
        <v/>
      </c>
      <c r="F1564" s="28" t="str">
        <f>IF($C1564=""," ",[1]!i_pq_pctchange($C1564,F$6,$N$1))</f>
        <v xml:space="preserve"> </v>
      </c>
      <c r="G1564" s="28" t="str">
        <f>IF($C1564=""," ",[1]!i_pq_pctchange($C1564,G$6,$N$1))</f>
        <v xml:space="preserve"> </v>
      </c>
      <c r="H1564" s="28" t="str">
        <f>IF($C1564=""," ",[1]!i_pq_pctchange($C1564,H$6,$N$1))</f>
        <v xml:space="preserve"> </v>
      </c>
      <c r="I1564" s="28" t="str">
        <f>IF($C1564=""," ",[1]!i_pq_pctchange($C1564,I$6,$N$1))</f>
        <v xml:space="preserve"> </v>
      </c>
      <c r="J1564" s="28" t="str">
        <f>IF($C1564=""," ",[1]!i_pq_pctchange($C1564,J$6,$N$1))</f>
        <v xml:space="preserve"> </v>
      </c>
      <c r="K1564" s="28" t="str">
        <f>IF($C1564=""," ",[1]!i_pq_pctchange($C1564,K$6,$N$1))</f>
        <v xml:space="preserve"> </v>
      </c>
      <c r="L1564" s="28" t="str">
        <f>IF(C1564=""," ",[1]!s_wq_pctchange($C1564,$N$1))</f>
        <v xml:space="preserve"> </v>
      </c>
      <c r="M1564" s="28" t="str">
        <f>IF(C1564=""," ",[1]!s_mq_pctchange($C1564,$N$1))</f>
        <v xml:space="preserve"> </v>
      </c>
      <c r="N1564" s="28" t="str">
        <f>IF(C1564=""," ",[1]!s_yq_pctchange($C1564,$N$1))</f>
        <v xml:space="preserve"> </v>
      </c>
      <c r="O1564" s="11"/>
      <c r="P1564" s="7"/>
    </row>
    <row r="1565" spans="1:16" x14ac:dyDescent="0.35">
      <c r="A1565" s="7"/>
      <c r="C1565" s="30" t="str">
        <f>IF(指数列表!B1562="","",指数列表!B1562)</f>
        <v/>
      </c>
      <c r="D1565" s="35" t="str">
        <f>IF(C1565="","",[1]!s_info_name(C1565))</f>
        <v/>
      </c>
      <c r="E1565" s="24" t="str">
        <f>IF(C1565="","",[1]!s_dq_close(C1565,$N$1))</f>
        <v/>
      </c>
      <c r="F1565" s="28" t="str">
        <f>IF($C1565=""," ",[1]!i_pq_pctchange($C1565,F$6,$N$1))</f>
        <v xml:space="preserve"> </v>
      </c>
      <c r="G1565" s="28" t="str">
        <f>IF($C1565=""," ",[1]!i_pq_pctchange($C1565,G$6,$N$1))</f>
        <v xml:space="preserve"> </v>
      </c>
      <c r="H1565" s="28" t="str">
        <f>IF($C1565=""," ",[1]!i_pq_pctchange($C1565,H$6,$N$1))</f>
        <v xml:space="preserve"> </v>
      </c>
      <c r="I1565" s="28" t="str">
        <f>IF($C1565=""," ",[1]!i_pq_pctchange($C1565,I$6,$N$1))</f>
        <v xml:space="preserve"> </v>
      </c>
      <c r="J1565" s="28" t="str">
        <f>IF($C1565=""," ",[1]!i_pq_pctchange($C1565,J$6,$N$1))</f>
        <v xml:space="preserve"> </v>
      </c>
      <c r="K1565" s="28" t="str">
        <f>IF($C1565=""," ",[1]!i_pq_pctchange($C1565,K$6,$N$1))</f>
        <v xml:space="preserve"> </v>
      </c>
      <c r="L1565" s="28" t="str">
        <f>IF(C1565=""," ",[1]!s_wq_pctchange($C1565,$N$1))</f>
        <v xml:space="preserve"> </v>
      </c>
      <c r="M1565" s="28" t="str">
        <f>IF(C1565=""," ",[1]!s_mq_pctchange($C1565,$N$1))</f>
        <v xml:space="preserve"> </v>
      </c>
      <c r="N1565" s="28" t="str">
        <f>IF(C1565=""," ",[1]!s_yq_pctchange($C1565,$N$1))</f>
        <v xml:space="preserve"> </v>
      </c>
      <c r="O1565" s="11"/>
      <c r="P1565" s="7"/>
    </row>
    <row r="1566" spans="1:16" x14ac:dyDescent="0.35">
      <c r="A1566" s="7"/>
      <c r="C1566" s="31" t="str">
        <f>IF(指数列表!B1563="","",指数列表!B1563)</f>
        <v/>
      </c>
      <c r="D1566" s="36" t="str">
        <f>IF(C1566="","",[1]!s_info_name(C1566))</f>
        <v/>
      </c>
      <c r="E1566" s="25" t="str">
        <f>IF(C1566="","",[1]!s_dq_close(C1566,$N$1))</f>
        <v/>
      </c>
      <c r="F1566" s="28" t="str">
        <f>IF($C1566=""," ",[1]!i_pq_pctchange($C1566,F$6,$N$1))</f>
        <v xml:space="preserve"> </v>
      </c>
      <c r="G1566" s="28" t="str">
        <f>IF($C1566=""," ",[1]!i_pq_pctchange($C1566,G$6,$N$1))</f>
        <v xml:space="preserve"> </v>
      </c>
      <c r="H1566" s="28" t="str">
        <f>IF($C1566=""," ",[1]!i_pq_pctchange($C1566,H$6,$N$1))</f>
        <v xml:space="preserve"> </v>
      </c>
      <c r="I1566" s="28" t="str">
        <f>IF($C1566=""," ",[1]!i_pq_pctchange($C1566,I$6,$N$1))</f>
        <v xml:space="preserve"> </v>
      </c>
      <c r="J1566" s="28" t="str">
        <f>IF($C1566=""," ",[1]!i_pq_pctchange($C1566,J$6,$N$1))</f>
        <v xml:space="preserve"> </v>
      </c>
      <c r="K1566" s="28" t="str">
        <f>IF($C1566=""," ",[1]!i_pq_pctchange($C1566,K$6,$N$1))</f>
        <v xml:space="preserve"> </v>
      </c>
      <c r="L1566" s="28" t="str">
        <f>IF(C1566=""," ",[1]!s_wq_pctchange($C1566,$N$1))</f>
        <v xml:space="preserve"> </v>
      </c>
      <c r="M1566" s="28" t="str">
        <f>IF(C1566=""," ",[1]!s_mq_pctchange($C1566,$N$1))</f>
        <v xml:space="preserve"> </v>
      </c>
      <c r="N1566" s="28" t="str">
        <f>IF(C1566=""," ",[1]!s_yq_pctchange($C1566,$N$1))</f>
        <v xml:space="preserve"> </v>
      </c>
      <c r="O1566" s="11"/>
      <c r="P1566" s="7"/>
    </row>
    <row r="1567" spans="1:16" x14ac:dyDescent="0.35">
      <c r="A1567" s="7"/>
      <c r="C1567" s="30" t="str">
        <f>IF(指数列表!B1564="","",指数列表!B1564)</f>
        <v/>
      </c>
      <c r="D1567" s="35" t="str">
        <f>IF(C1567="","",[1]!s_info_name(C1567))</f>
        <v/>
      </c>
      <c r="E1567" s="24" t="str">
        <f>IF(C1567="","",[1]!s_dq_close(C1567,$N$1))</f>
        <v/>
      </c>
      <c r="F1567" s="28" t="str">
        <f>IF($C1567=""," ",[1]!i_pq_pctchange($C1567,F$6,$N$1))</f>
        <v xml:space="preserve"> </v>
      </c>
      <c r="G1567" s="28" t="str">
        <f>IF($C1567=""," ",[1]!i_pq_pctchange($C1567,G$6,$N$1))</f>
        <v xml:space="preserve"> </v>
      </c>
      <c r="H1567" s="28" t="str">
        <f>IF($C1567=""," ",[1]!i_pq_pctchange($C1567,H$6,$N$1))</f>
        <v xml:space="preserve"> </v>
      </c>
      <c r="I1567" s="28" t="str">
        <f>IF($C1567=""," ",[1]!i_pq_pctchange($C1567,I$6,$N$1))</f>
        <v xml:space="preserve"> </v>
      </c>
      <c r="J1567" s="28" t="str">
        <f>IF($C1567=""," ",[1]!i_pq_pctchange($C1567,J$6,$N$1))</f>
        <v xml:space="preserve"> </v>
      </c>
      <c r="K1567" s="28" t="str">
        <f>IF($C1567=""," ",[1]!i_pq_pctchange($C1567,K$6,$N$1))</f>
        <v xml:space="preserve"> </v>
      </c>
      <c r="L1567" s="28" t="str">
        <f>IF(C1567=""," ",[1]!s_wq_pctchange($C1567,$N$1))</f>
        <v xml:space="preserve"> </v>
      </c>
      <c r="M1567" s="28" t="str">
        <f>IF(C1567=""," ",[1]!s_mq_pctchange($C1567,$N$1))</f>
        <v xml:space="preserve"> </v>
      </c>
      <c r="N1567" s="28" t="str">
        <f>IF(C1567=""," ",[1]!s_yq_pctchange($C1567,$N$1))</f>
        <v xml:space="preserve"> </v>
      </c>
      <c r="O1567" s="11"/>
      <c r="P1567" s="7"/>
    </row>
    <row r="1568" spans="1:16" x14ac:dyDescent="0.35">
      <c r="A1568" s="7"/>
      <c r="C1568" s="31" t="str">
        <f>IF(指数列表!B1565="","",指数列表!B1565)</f>
        <v/>
      </c>
      <c r="D1568" s="36" t="str">
        <f>IF(C1568="","",[1]!s_info_name(C1568))</f>
        <v/>
      </c>
      <c r="E1568" s="25" t="str">
        <f>IF(C1568="","",[1]!s_dq_close(C1568,$N$1))</f>
        <v/>
      </c>
      <c r="F1568" s="28" t="str">
        <f>IF($C1568=""," ",[1]!i_pq_pctchange($C1568,F$6,$N$1))</f>
        <v xml:space="preserve"> </v>
      </c>
      <c r="G1568" s="28" t="str">
        <f>IF($C1568=""," ",[1]!i_pq_pctchange($C1568,G$6,$N$1))</f>
        <v xml:space="preserve"> </v>
      </c>
      <c r="H1568" s="28" t="str">
        <f>IF($C1568=""," ",[1]!i_pq_pctchange($C1568,H$6,$N$1))</f>
        <v xml:space="preserve"> </v>
      </c>
      <c r="I1568" s="28" t="str">
        <f>IF($C1568=""," ",[1]!i_pq_pctchange($C1568,I$6,$N$1))</f>
        <v xml:space="preserve"> </v>
      </c>
      <c r="J1568" s="28" t="str">
        <f>IF($C1568=""," ",[1]!i_pq_pctchange($C1568,J$6,$N$1))</f>
        <v xml:space="preserve"> </v>
      </c>
      <c r="K1568" s="28" t="str">
        <f>IF($C1568=""," ",[1]!i_pq_pctchange($C1568,K$6,$N$1))</f>
        <v xml:space="preserve"> </v>
      </c>
      <c r="L1568" s="28" t="str">
        <f>IF(C1568=""," ",[1]!s_wq_pctchange($C1568,$N$1))</f>
        <v xml:space="preserve"> </v>
      </c>
      <c r="M1568" s="28" t="str">
        <f>IF(C1568=""," ",[1]!s_mq_pctchange($C1568,$N$1))</f>
        <v xml:space="preserve"> </v>
      </c>
      <c r="N1568" s="28" t="str">
        <f>IF(C1568=""," ",[1]!s_yq_pctchange($C1568,$N$1))</f>
        <v xml:space="preserve"> </v>
      </c>
      <c r="O1568" s="11"/>
      <c r="P1568" s="7"/>
    </row>
    <row r="1569" spans="1:16" x14ac:dyDescent="0.35">
      <c r="A1569" s="7"/>
      <c r="C1569" s="30" t="str">
        <f>IF(指数列表!B1566="","",指数列表!B1566)</f>
        <v/>
      </c>
      <c r="D1569" s="35" t="str">
        <f>IF(C1569="","",[1]!s_info_name(C1569))</f>
        <v/>
      </c>
      <c r="E1569" s="24" t="str">
        <f>IF(C1569="","",[1]!s_dq_close(C1569,$N$1))</f>
        <v/>
      </c>
      <c r="F1569" s="28" t="str">
        <f>IF($C1569=""," ",[1]!i_pq_pctchange($C1569,F$6,$N$1))</f>
        <v xml:space="preserve"> </v>
      </c>
      <c r="G1569" s="28" t="str">
        <f>IF($C1569=""," ",[1]!i_pq_pctchange($C1569,G$6,$N$1))</f>
        <v xml:space="preserve"> </v>
      </c>
      <c r="H1569" s="28" t="str">
        <f>IF($C1569=""," ",[1]!i_pq_pctchange($C1569,H$6,$N$1))</f>
        <v xml:space="preserve"> </v>
      </c>
      <c r="I1569" s="28" t="str">
        <f>IF($C1569=""," ",[1]!i_pq_pctchange($C1569,I$6,$N$1))</f>
        <v xml:space="preserve"> </v>
      </c>
      <c r="J1569" s="28" t="str">
        <f>IF($C1569=""," ",[1]!i_pq_pctchange($C1569,J$6,$N$1))</f>
        <v xml:space="preserve"> </v>
      </c>
      <c r="K1569" s="28" t="str">
        <f>IF($C1569=""," ",[1]!i_pq_pctchange($C1569,K$6,$N$1))</f>
        <v xml:space="preserve"> </v>
      </c>
      <c r="L1569" s="28" t="str">
        <f>IF(C1569=""," ",[1]!s_wq_pctchange($C1569,$N$1))</f>
        <v xml:space="preserve"> </v>
      </c>
      <c r="M1569" s="28" t="str">
        <f>IF(C1569=""," ",[1]!s_mq_pctchange($C1569,$N$1))</f>
        <v xml:space="preserve"> </v>
      </c>
      <c r="N1569" s="28" t="str">
        <f>IF(C1569=""," ",[1]!s_yq_pctchange($C1569,$N$1))</f>
        <v xml:space="preserve"> </v>
      </c>
      <c r="O1569" s="11"/>
      <c r="P1569" s="7"/>
    </row>
    <row r="1570" spans="1:16" x14ac:dyDescent="0.35">
      <c r="A1570" s="7"/>
      <c r="C1570" s="31" t="str">
        <f>IF(指数列表!B1567="","",指数列表!B1567)</f>
        <v/>
      </c>
      <c r="D1570" s="36" t="str">
        <f>IF(C1570="","",[1]!s_info_name(C1570))</f>
        <v/>
      </c>
      <c r="E1570" s="25" t="str">
        <f>IF(C1570="","",[1]!s_dq_close(C1570,$N$1))</f>
        <v/>
      </c>
      <c r="F1570" s="28" t="str">
        <f>IF($C1570=""," ",[1]!i_pq_pctchange($C1570,F$6,$N$1))</f>
        <v xml:space="preserve"> </v>
      </c>
      <c r="G1570" s="28" t="str">
        <f>IF($C1570=""," ",[1]!i_pq_pctchange($C1570,G$6,$N$1))</f>
        <v xml:space="preserve"> </v>
      </c>
      <c r="H1570" s="28" t="str">
        <f>IF($C1570=""," ",[1]!i_pq_pctchange($C1570,H$6,$N$1))</f>
        <v xml:space="preserve"> </v>
      </c>
      <c r="I1570" s="28" t="str">
        <f>IF($C1570=""," ",[1]!i_pq_pctchange($C1570,I$6,$N$1))</f>
        <v xml:space="preserve"> </v>
      </c>
      <c r="J1570" s="28" t="str">
        <f>IF($C1570=""," ",[1]!i_pq_pctchange($C1570,J$6,$N$1))</f>
        <v xml:space="preserve"> </v>
      </c>
      <c r="K1570" s="28" t="str">
        <f>IF($C1570=""," ",[1]!i_pq_pctchange($C1570,K$6,$N$1))</f>
        <v xml:space="preserve"> </v>
      </c>
      <c r="L1570" s="28" t="str">
        <f>IF(C1570=""," ",[1]!s_wq_pctchange($C1570,$N$1))</f>
        <v xml:space="preserve"> </v>
      </c>
      <c r="M1570" s="28" t="str">
        <f>IF(C1570=""," ",[1]!s_mq_pctchange($C1570,$N$1))</f>
        <v xml:space="preserve"> </v>
      </c>
      <c r="N1570" s="28" t="str">
        <f>IF(C1570=""," ",[1]!s_yq_pctchange($C1570,$N$1))</f>
        <v xml:space="preserve"> </v>
      </c>
      <c r="O1570" s="11"/>
      <c r="P1570" s="7"/>
    </row>
    <row r="1571" spans="1:16" x14ac:dyDescent="0.35">
      <c r="A1571" s="7"/>
      <c r="C1571" s="30" t="str">
        <f>IF(指数列表!B1568="","",指数列表!B1568)</f>
        <v/>
      </c>
      <c r="D1571" s="35" t="str">
        <f>IF(C1571="","",[1]!s_info_name(C1571))</f>
        <v/>
      </c>
      <c r="E1571" s="24" t="str">
        <f>IF(C1571="","",[1]!s_dq_close(C1571,$N$1))</f>
        <v/>
      </c>
      <c r="F1571" s="28" t="str">
        <f>IF($C1571=""," ",[1]!i_pq_pctchange($C1571,F$6,$N$1))</f>
        <v xml:space="preserve"> </v>
      </c>
      <c r="G1571" s="28" t="str">
        <f>IF($C1571=""," ",[1]!i_pq_pctchange($C1571,G$6,$N$1))</f>
        <v xml:space="preserve"> </v>
      </c>
      <c r="H1571" s="28" t="str">
        <f>IF($C1571=""," ",[1]!i_pq_pctchange($C1571,H$6,$N$1))</f>
        <v xml:space="preserve"> </v>
      </c>
      <c r="I1571" s="28" t="str">
        <f>IF($C1571=""," ",[1]!i_pq_pctchange($C1571,I$6,$N$1))</f>
        <v xml:space="preserve"> </v>
      </c>
      <c r="J1571" s="28" t="str">
        <f>IF($C1571=""," ",[1]!i_pq_pctchange($C1571,J$6,$N$1))</f>
        <v xml:space="preserve"> </v>
      </c>
      <c r="K1571" s="28" t="str">
        <f>IF($C1571=""," ",[1]!i_pq_pctchange($C1571,K$6,$N$1))</f>
        <v xml:space="preserve"> </v>
      </c>
      <c r="L1571" s="28" t="str">
        <f>IF(C1571=""," ",[1]!s_wq_pctchange($C1571,$N$1))</f>
        <v xml:space="preserve"> </v>
      </c>
      <c r="M1571" s="28" t="str">
        <f>IF(C1571=""," ",[1]!s_mq_pctchange($C1571,$N$1))</f>
        <v xml:space="preserve"> </v>
      </c>
      <c r="N1571" s="28" t="str">
        <f>IF(C1571=""," ",[1]!s_yq_pctchange($C1571,$N$1))</f>
        <v xml:space="preserve"> </v>
      </c>
      <c r="O1571" s="11"/>
      <c r="P1571" s="7"/>
    </row>
    <row r="1572" spans="1:16" x14ac:dyDescent="0.35">
      <c r="A1572" s="7"/>
      <c r="C1572" s="31" t="str">
        <f>IF(指数列表!B1569="","",指数列表!B1569)</f>
        <v/>
      </c>
      <c r="D1572" s="36" t="str">
        <f>IF(C1572="","",[1]!s_info_name(C1572))</f>
        <v/>
      </c>
      <c r="E1572" s="25" t="str">
        <f>IF(C1572="","",[1]!s_dq_close(C1572,$N$1))</f>
        <v/>
      </c>
      <c r="F1572" s="28" t="str">
        <f>IF($C1572=""," ",[1]!i_pq_pctchange($C1572,F$6,$N$1))</f>
        <v xml:space="preserve"> </v>
      </c>
      <c r="G1572" s="28" t="str">
        <f>IF($C1572=""," ",[1]!i_pq_pctchange($C1572,G$6,$N$1))</f>
        <v xml:space="preserve"> </v>
      </c>
      <c r="H1572" s="28" t="str">
        <f>IF($C1572=""," ",[1]!i_pq_pctchange($C1572,H$6,$N$1))</f>
        <v xml:space="preserve"> </v>
      </c>
      <c r="I1572" s="28" t="str">
        <f>IF($C1572=""," ",[1]!i_pq_pctchange($C1572,I$6,$N$1))</f>
        <v xml:space="preserve"> </v>
      </c>
      <c r="J1572" s="28" t="str">
        <f>IF($C1572=""," ",[1]!i_pq_pctchange($C1572,J$6,$N$1))</f>
        <v xml:space="preserve"> </v>
      </c>
      <c r="K1572" s="28" t="str">
        <f>IF($C1572=""," ",[1]!i_pq_pctchange($C1572,K$6,$N$1))</f>
        <v xml:space="preserve"> </v>
      </c>
      <c r="L1572" s="28" t="str">
        <f>IF(C1572=""," ",[1]!s_wq_pctchange($C1572,$N$1))</f>
        <v xml:space="preserve"> </v>
      </c>
      <c r="M1572" s="28" t="str">
        <f>IF(C1572=""," ",[1]!s_mq_pctchange($C1572,$N$1))</f>
        <v xml:space="preserve"> </v>
      </c>
      <c r="N1572" s="28" t="str">
        <f>IF(C1572=""," ",[1]!s_yq_pctchange($C1572,$N$1))</f>
        <v xml:space="preserve"> </v>
      </c>
      <c r="O1572" s="11"/>
      <c r="P1572" s="7"/>
    </row>
    <row r="1573" spans="1:16" x14ac:dyDescent="0.35">
      <c r="A1573" s="7"/>
      <c r="C1573" s="30" t="str">
        <f>IF(指数列表!B1570="","",指数列表!B1570)</f>
        <v/>
      </c>
      <c r="D1573" s="35" t="str">
        <f>IF(C1573="","",[1]!s_info_name(C1573))</f>
        <v/>
      </c>
      <c r="E1573" s="24" t="str">
        <f>IF(C1573="","",[1]!s_dq_close(C1573,$N$1))</f>
        <v/>
      </c>
      <c r="F1573" s="28" t="str">
        <f>IF($C1573=""," ",[1]!i_pq_pctchange($C1573,F$6,$N$1))</f>
        <v xml:space="preserve"> </v>
      </c>
      <c r="G1573" s="28" t="str">
        <f>IF($C1573=""," ",[1]!i_pq_pctchange($C1573,G$6,$N$1))</f>
        <v xml:space="preserve"> </v>
      </c>
      <c r="H1573" s="28" t="str">
        <f>IF($C1573=""," ",[1]!i_pq_pctchange($C1573,H$6,$N$1))</f>
        <v xml:space="preserve"> </v>
      </c>
      <c r="I1573" s="28" t="str">
        <f>IF($C1573=""," ",[1]!i_pq_pctchange($C1573,I$6,$N$1))</f>
        <v xml:space="preserve"> </v>
      </c>
      <c r="J1573" s="28" t="str">
        <f>IF($C1573=""," ",[1]!i_pq_pctchange($C1573,J$6,$N$1))</f>
        <v xml:space="preserve"> </v>
      </c>
      <c r="K1573" s="28" t="str">
        <f>IF($C1573=""," ",[1]!i_pq_pctchange($C1573,K$6,$N$1))</f>
        <v xml:space="preserve"> </v>
      </c>
      <c r="L1573" s="28" t="str">
        <f>IF(C1573=""," ",[1]!s_wq_pctchange($C1573,$N$1))</f>
        <v xml:space="preserve"> </v>
      </c>
      <c r="M1573" s="28" t="str">
        <f>IF(C1573=""," ",[1]!s_mq_pctchange($C1573,$N$1))</f>
        <v xml:space="preserve"> </v>
      </c>
      <c r="N1573" s="28" t="str">
        <f>IF(C1573=""," ",[1]!s_yq_pctchange($C1573,$N$1))</f>
        <v xml:space="preserve"> </v>
      </c>
      <c r="O1573" s="11"/>
      <c r="P1573" s="7"/>
    </row>
    <row r="1574" spans="1:16" x14ac:dyDescent="0.35">
      <c r="A1574" s="7"/>
      <c r="C1574" s="31" t="str">
        <f>IF(指数列表!B1571="","",指数列表!B1571)</f>
        <v/>
      </c>
      <c r="D1574" s="36" t="str">
        <f>IF(C1574="","",[1]!s_info_name(C1574))</f>
        <v/>
      </c>
      <c r="E1574" s="25" t="str">
        <f>IF(C1574="","",[1]!s_dq_close(C1574,$N$1))</f>
        <v/>
      </c>
      <c r="F1574" s="28" t="str">
        <f>IF($C1574=""," ",[1]!i_pq_pctchange($C1574,F$6,$N$1))</f>
        <v xml:space="preserve"> </v>
      </c>
      <c r="G1574" s="28" t="str">
        <f>IF($C1574=""," ",[1]!i_pq_pctchange($C1574,G$6,$N$1))</f>
        <v xml:space="preserve"> </v>
      </c>
      <c r="H1574" s="28" t="str">
        <f>IF($C1574=""," ",[1]!i_pq_pctchange($C1574,H$6,$N$1))</f>
        <v xml:space="preserve"> </v>
      </c>
      <c r="I1574" s="28" t="str">
        <f>IF($C1574=""," ",[1]!i_pq_pctchange($C1574,I$6,$N$1))</f>
        <v xml:space="preserve"> </v>
      </c>
      <c r="J1574" s="28" t="str">
        <f>IF($C1574=""," ",[1]!i_pq_pctchange($C1574,J$6,$N$1))</f>
        <v xml:space="preserve"> </v>
      </c>
      <c r="K1574" s="28" t="str">
        <f>IF($C1574=""," ",[1]!i_pq_pctchange($C1574,K$6,$N$1))</f>
        <v xml:space="preserve"> </v>
      </c>
      <c r="L1574" s="28" t="str">
        <f>IF(C1574=""," ",[1]!s_wq_pctchange($C1574,$N$1))</f>
        <v xml:space="preserve"> </v>
      </c>
      <c r="M1574" s="28" t="str">
        <f>IF(C1574=""," ",[1]!s_mq_pctchange($C1574,$N$1))</f>
        <v xml:space="preserve"> </v>
      </c>
      <c r="N1574" s="28" t="str">
        <f>IF(C1574=""," ",[1]!s_yq_pctchange($C1574,$N$1))</f>
        <v xml:space="preserve"> </v>
      </c>
      <c r="O1574" s="11"/>
      <c r="P1574" s="7"/>
    </row>
    <row r="1575" spans="1:16" x14ac:dyDescent="0.35">
      <c r="A1575" s="7"/>
      <c r="C1575" s="30" t="str">
        <f>IF(指数列表!B1572="","",指数列表!B1572)</f>
        <v/>
      </c>
      <c r="D1575" s="35" t="str">
        <f>IF(C1575="","",[1]!s_info_name(C1575))</f>
        <v/>
      </c>
      <c r="E1575" s="24" t="str">
        <f>IF(C1575="","",[1]!s_dq_close(C1575,$N$1))</f>
        <v/>
      </c>
      <c r="F1575" s="28" t="str">
        <f>IF($C1575=""," ",[1]!i_pq_pctchange($C1575,F$6,$N$1))</f>
        <v xml:space="preserve"> </v>
      </c>
      <c r="G1575" s="28" t="str">
        <f>IF($C1575=""," ",[1]!i_pq_pctchange($C1575,G$6,$N$1))</f>
        <v xml:space="preserve"> </v>
      </c>
      <c r="H1575" s="28" t="str">
        <f>IF($C1575=""," ",[1]!i_pq_pctchange($C1575,H$6,$N$1))</f>
        <v xml:space="preserve"> </v>
      </c>
      <c r="I1575" s="28" t="str">
        <f>IF($C1575=""," ",[1]!i_pq_pctchange($C1575,I$6,$N$1))</f>
        <v xml:space="preserve"> </v>
      </c>
      <c r="J1575" s="28" t="str">
        <f>IF($C1575=""," ",[1]!i_pq_pctchange($C1575,J$6,$N$1))</f>
        <v xml:space="preserve"> </v>
      </c>
      <c r="K1575" s="28" t="str">
        <f>IF($C1575=""," ",[1]!i_pq_pctchange($C1575,K$6,$N$1))</f>
        <v xml:space="preserve"> </v>
      </c>
      <c r="L1575" s="28" t="str">
        <f>IF(C1575=""," ",[1]!s_wq_pctchange($C1575,$N$1))</f>
        <v xml:space="preserve"> </v>
      </c>
      <c r="M1575" s="28" t="str">
        <f>IF(C1575=""," ",[1]!s_mq_pctchange($C1575,$N$1))</f>
        <v xml:space="preserve"> </v>
      </c>
      <c r="N1575" s="28" t="str">
        <f>IF(C1575=""," ",[1]!s_yq_pctchange($C1575,$N$1))</f>
        <v xml:space="preserve"> </v>
      </c>
      <c r="O1575" s="11"/>
      <c r="P1575" s="7"/>
    </row>
    <row r="1576" spans="1:16" x14ac:dyDescent="0.35">
      <c r="A1576" s="7"/>
      <c r="C1576" s="31" t="str">
        <f>IF(指数列表!B1573="","",指数列表!B1573)</f>
        <v/>
      </c>
      <c r="D1576" s="36" t="str">
        <f>IF(C1576="","",[1]!s_info_name(C1576))</f>
        <v/>
      </c>
      <c r="E1576" s="25" t="str">
        <f>IF(C1576="","",[1]!s_dq_close(C1576,$N$1))</f>
        <v/>
      </c>
      <c r="F1576" s="28" t="str">
        <f>IF($C1576=""," ",[1]!i_pq_pctchange($C1576,F$6,$N$1))</f>
        <v xml:space="preserve"> </v>
      </c>
      <c r="G1576" s="28" t="str">
        <f>IF($C1576=""," ",[1]!i_pq_pctchange($C1576,G$6,$N$1))</f>
        <v xml:space="preserve"> </v>
      </c>
      <c r="H1576" s="28" t="str">
        <f>IF($C1576=""," ",[1]!i_pq_pctchange($C1576,H$6,$N$1))</f>
        <v xml:space="preserve"> </v>
      </c>
      <c r="I1576" s="28" t="str">
        <f>IF($C1576=""," ",[1]!i_pq_pctchange($C1576,I$6,$N$1))</f>
        <v xml:space="preserve"> </v>
      </c>
      <c r="J1576" s="28" t="str">
        <f>IF($C1576=""," ",[1]!i_pq_pctchange($C1576,J$6,$N$1))</f>
        <v xml:space="preserve"> </v>
      </c>
      <c r="K1576" s="28" t="str">
        <f>IF($C1576=""," ",[1]!i_pq_pctchange($C1576,K$6,$N$1))</f>
        <v xml:space="preserve"> </v>
      </c>
      <c r="L1576" s="28" t="str">
        <f>IF(C1576=""," ",[1]!s_wq_pctchange($C1576,$N$1))</f>
        <v xml:space="preserve"> </v>
      </c>
      <c r="M1576" s="28" t="str">
        <f>IF(C1576=""," ",[1]!s_mq_pctchange($C1576,$N$1))</f>
        <v xml:space="preserve"> </v>
      </c>
      <c r="N1576" s="28" t="str">
        <f>IF(C1576=""," ",[1]!s_yq_pctchange($C1576,$N$1))</f>
        <v xml:space="preserve"> </v>
      </c>
      <c r="O1576" s="11"/>
      <c r="P1576" s="7"/>
    </row>
    <row r="1577" spans="1:16" x14ac:dyDescent="0.35">
      <c r="A1577" s="7"/>
      <c r="C1577" s="30" t="str">
        <f>IF(指数列表!B1574="","",指数列表!B1574)</f>
        <v/>
      </c>
      <c r="D1577" s="35" t="str">
        <f>IF(C1577="","",[1]!s_info_name(C1577))</f>
        <v/>
      </c>
      <c r="E1577" s="24" t="str">
        <f>IF(C1577="","",[1]!s_dq_close(C1577,$N$1))</f>
        <v/>
      </c>
      <c r="F1577" s="28" t="str">
        <f>IF($C1577=""," ",[1]!i_pq_pctchange($C1577,F$6,$N$1))</f>
        <v xml:space="preserve"> </v>
      </c>
      <c r="G1577" s="28" t="str">
        <f>IF($C1577=""," ",[1]!i_pq_pctchange($C1577,G$6,$N$1))</f>
        <v xml:space="preserve"> </v>
      </c>
      <c r="H1577" s="28" t="str">
        <f>IF($C1577=""," ",[1]!i_pq_pctchange($C1577,H$6,$N$1))</f>
        <v xml:space="preserve"> </v>
      </c>
      <c r="I1577" s="28" t="str">
        <f>IF($C1577=""," ",[1]!i_pq_pctchange($C1577,I$6,$N$1))</f>
        <v xml:space="preserve"> </v>
      </c>
      <c r="J1577" s="28" t="str">
        <f>IF($C1577=""," ",[1]!i_pq_pctchange($C1577,J$6,$N$1))</f>
        <v xml:space="preserve"> </v>
      </c>
      <c r="K1577" s="28" t="str">
        <f>IF($C1577=""," ",[1]!i_pq_pctchange($C1577,K$6,$N$1))</f>
        <v xml:space="preserve"> </v>
      </c>
      <c r="L1577" s="28" t="str">
        <f>IF(C1577=""," ",[1]!s_wq_pctchange($C1577,$N$1))</f>
        <v xml:space="preserve"> </v>
      </c>
      <c r="M1577" s="28" t="str">
        <f>IF(C1577=""," ",[1]!s_mq_pctchange($C1577,$N$1))</f>
        <v xml:space="preserve"> </v>
      </c>
      <c r="N1577" s="28" t="str">
        <f>IF(C1577=""," ",[1]!s_yq_pctchange($C1577,$N$1))</f>
        <v xml:space="preserve"> </v>
      </c>
      <c r="O1577" s="11"/>
      <c r="P1577" s="7"/>
    </row>
    <row r="1578" spans="1:16" x14ac:dyDescent="0.35">
      <c r="A1578" s="7"/>
      <c r="C1578" s="31" t="str">
        <f>IF(指数列表!B1575="","",指数列表!B1575)</f>
        <v/>
      </c>
      <c r="D1578" s="36" t="str">
        <f>IF(C1578="","",[1]!s_info_name(C1578))</f>
        <v/>
      </c>
      <c r="E1578" s="25" t="str">
        <f>IF(C1578="","",[1]!s_dq_close(C1578,$N$1))</f>
        <v/>
      </c>
      <c r="F1578" s="28" t="str">
        <f>IF($C1578=""," ",[1]!i_pq_pctchange($C1578,F$6,$N$1))</f>
        <v xml:space="preserve"> </v>
      </c>
      <c r="G1578" s="28" t="str">
        <f>IF($C1578=""," ",[1]!i_pq_pctchange($C1578,G$6,$N$1))</f>
        <v xml:space="preserve"> </v>
      </c>
      <c r="H1578" s="28" t="str">
        <f>IF($C1578=""," ",[1]!i_pq_pctchange($C1578,H$6,$N$1))</f>
        <v xml:space="preserve"> </v>
      </c>
      <c r="I1578" s="28" t="str">
        <f>IF($C1578=""," ",[1]!i_pq_pctchange($C1578,I$6,$N$1))</f>
        <v xml:space="preserve"> </v>
      </c>
      <c r="J1578" s="28" t="str">
        <f>IF($C1578=""," ",[1]!i_pq_pctchange($C1578,J$6,$N$1))</f>
        <v xml:space="preserve"> </v>
      </c>
      <c r="K1578" s="28" t="str">
        <f>IF($C1578=""," ",[1]!i_pq_pctchange($C1578,K$6,$N$1))</f>
        <v xml:space="preserve"> </v>
      </c>
      <c r="L1578" s="28" t="str">
        <f>IF(C1578=""," ",[1]!s_wq_pctchange($C1578,$N$1))</f>
        <v xml:space="preserve"> </v>
      </c>
      <c r="M1578" s="28" t="str">
        <f>IF(C1578=""," ",[1]!s_mq_pctchange($C1578,$N$1))</f>
        <v xml:space="preserve"> </v>
      </c>
      <c r="N1578" s="28" t="str">
        <f>IF(C1578=""," ",[1]!s_yq_pctchange($C1578,$N$1))</f>
        <v xml:space="preserve"> </v>
      </c>
      <c r="O1578" s="11"/>
      <c r="P1578" s="7"/>
    </row>
    <row r="1579" spans="1:16" x14ac:dyDescent="0.35">
      <c r="A1579" s="7"/>
      <c r="C1579" s="30" t="str">
        <f>IF(指数列表!B1576="","",指数列表!B1576)</f>
        <v/>
      </c>
      <c r="D1579" s="35" t="str">
        <f>IF(C1579="","",[1]!s_info_name(C1579))</f>
        <v/>
      </c>
      <c r="E1579" s="24" t="str">
        <f>IF(C1579="","",[1]!s_dq_close(C1579,$N$1))</f>
        <v/>
      </c>
      <c r="F1579" s="28" t="str">
        <f>IF($C1579=""," ",[1]!i_pq_pctchange($C1579,F$6,$N$1))</f>
        <v xml:space="preserve"> </v>
      </c>
      <c r="G1579" s="28" t="str">
        <f>IF($C1579=""," ",[1]!i_pq_pctchange($C1579,G$6,$N$1))</f>
        <v xml:space="preserve"> </v>
      </c>
      <c r="H1579" s="28" t="str">
        <f>IF($C1579=""," ",[1]!i_pq_pctchange($C1579,H$6,$N$1))</f>
        <v xml:space="preserve"> </v>
      </c>
      <c r="I1579" s="28" t="str">
        <f>IF($C1579=""," ",[1]!i_pq_pctchange($C1579,I$6,$N$1))</f>
        <v xml:space="preserve"> </v>
      </c>
      <c r="J1579" s="28" t="str">
        <f>IF($C1579=""," ",[1]!i_pq_pctchange($C1579,J$6,$N$1))</f>
        <v xml:space="preserve"> </v>
      </c>
      <c r="K1579" s="28" t="str">
        <f>IF($C1579=""," ",[1]!i_pq_pctchange($C1579,K$6,$N$1))</f>
        <v xml:space="preserve"> </v>
      </c>
      <c r="L1579" s="28" t="str">
        <f>IF(C1579=""," ",[1]!s_wq_pctchange($C1579,$N$1))</f>
        <v xml:space="preserve"> </v>
      </c>
      <c r="M1579" s="28" t="str">
        <f>IF(C1579=""," ",[1]!s_mq_pctchange($C1579,$N$1))</f>
        <v xml:space="preserve"> </v>
      </c>
      <c r="N1579" s="28" t="str">
        <f>IF(C1579=""," ",[1]!s_yq_pctchange($C1579,$N$1))</f>
        <v xml:space="preserve"> </v>
      </c>
      <c r="O1579" s="11"/>
      <c r="P1579" s="7"/>
    </row>
    <row r="1580" spans="1:16" x14ac:dyDescent="0.35">
      <c r="A1580" s="7"/>
      <c r="C1580" s="31" t="str">
        <f>IF(指数列表!B1577="","",指数列表!B1577)</f>
        <v/>
      </c>
      <c r="D1580" s="36" t="str">
        <f>IF(C1580="","",[1]!s_info_name(C1580))</f>
        <v/>
      </c>
      <c r="E1580" s="25" t="str">
        <f>IF(C1580="","",[1]!s_dq_close(C1580,$N$1))</f>
        <v/>
      </c>
      <c r="F1580" s="28" t="str">
        <f>IF($C1580=""," ",[1]!i_pq_pctchange($C1580,F$6,$N$1))</f>
        <v xml:space="preserve"> </v>
      </c>
      <c r="G1580" s="28" t="str">
        <f>IF($C1580=""," ",[1]!i_pq_pctchange($C1580,G$6,$N$1))</f>
        <v xml:space="preserve"> </v>
      </c>
      <c r="H1580" s="28" t="str">
        <f>IF($C1580=""," ",[1]!i_pq_pctchange($C1580,H$6,$N$1))</f>
        <v xml:space="preserve"> </v>
      </c>
      <c r="I1580" s="28" t="str">
        <f>IF($C1580=""," ",[1]!i_pq_pctchange($C1580,I$6,$N$1))</f>
        <v xml:space="preserve"> </v>
      </c>
      <c r="J1580" s="28" t="str">
        <f>IF($C1580=""," ",[1]!i_pq_pctchange($C1580,J$6,$N$1))</f>
        <v xml:space="preserve"> </v>
      </c>
      <c r="K1580" s="28" t="str">
        <f>IF($C1580=""," ",[1]!i_pq_pctchange($C1580,K$6,$N$1))</f>
        <v xml:space="preserve"> </v>
      </c>
      <c r="L1580" s="28" t="str">
        <f>IF(C1580=""," ",[1]!s_wq_pctchange($C1580,$N$1))</f>
        <v xml:space="preserve"> </v>
      </c>
      <c r="M1580" s="28" t="str">
        <f>IF(C1580=""," ",[1]!s_mq_pctchange($C1580,$N$1))</f>
        <v xml:space="preserve"> </v>
      </c>
      <c r="N1580" s="28" t="str">
        <f>IF(C1580=""," ",[1]!s_yq_pctchange($C1580,$N$1))</f>
        <v xml:space="preserve"> </v>
      </c>
      <c r="O1580" s="11"/>
      <c r="P1580" s="7"/>
    </row>
    <row r="1581" spans="1:16" x14ac:dyDescent="0.35">
      <c r="A1581" s="7"/>
      <c r="C1581" s="30" t="str">
        <f>IF(指数列表!B1578="","",指数列表!B1578)</f>
        <v/>
      </c>
      <c r="D1581" s="35" t="str">
        <f>IF(C1581="","",[1]!s_info_name(C1581))</f>
        <v/>
      </c>
      <c r="E1581" s="24" t="str">
        <f>IF(C1581="","",[1]!s_dq_close(C1581,$N$1))</f>
        <v/>
      </c>
      <c r="F1581" s="28" t="str">
        <f>IF($C1581=""," ",[1]!i_pq_pctchange($C1581,F$6,$N$1))</f>
        <v xml:space="preserve"> </v>
      </c>
      <c r="G1581" s="28" t="str">
        <f>IF($C1581=""," ",[1]!i_pq_pctchange($C1581,G$6,$N$1))</f>
        <v xml:space="preserve"> </v>
      </c>
      <c r="H1581" s="28" t="str">
        <f>IF($C1581=""," ",[1]!i_pq_pctchange($C1581,H$6,$N$1))</f>
        <v xml:space="preserve"> </v>
      </c>
      <c r="I1581" s="28" t="str">
        <f>IF($C1581=""," ",[1]!i_pq_pctchange($C1581,I$6,$N$1))</f>
        <v xml:space="preserve"> </v>
      </c>
      <c r="J1581" s="28" t="str">
        <f>IF($C1581=""," ",[1]!i_pq_pctchange($C1581,J$6,$N$1))</f>
        <v xml:space="preserve"> </v>
      </c>
      <c r="K1581" s="28" t="str">
        <f>IF($C1581=""," ",[1]!i_pq_pctchange($C1581,K$6,$N$1))</f>
        <v xml:space="preserve"> </v>
      </c>
      <c r="L1581" s="28" t="str">
        <f>IF(C1581=""," ",[1]!s_wq_pctchange($C1581,$N$1))</f>
        <v xml:space="preserve"> </v>
      </c>
      <c r="M1581" s="28" t="str">
        <f>IF(C1581=""," ",[1]!s_mq_pctchange($C1581,$N$1))</f>
        <v xml:space="preserve"> </v>
      </c>
      <c r="N1581" s="28" t="str">
        <f>IF(C1581=""," ",[1]!s_yq_pctchange($C1581,$N$1))</f>
        <v xml:space="preserve"> </v>
      </c>
      <c r="O1581" s="11"/>
      <c r="P1581" s="7"/>
    </row>
    <row r="1582" spans="1:16" x14ac:dyDescent="0.35">
      <c r="A1582" s="7"/>
      <c r="C1582" s="31" t="str">
        <f>IF(指数列表!B1579="","",指数列表!B1579)</f>
        <v/>
      </c>
      <c r="D1582" s="36" t="str">
        <f>IF(C1582="","",[1]!s_info_name(C1582))</f>
        <v/>
      </c>
      <c r="E1582" s="25" t="str">
        <f>IF(C1582="","",[1]!s_dq_close(C1582,$N$1))</f>
        <v/>
      </c>
      <c r="F1582" s="28" t="str">
        <f>IF($C1582=""," ",[1]!i_pq_pctchange($C1582,F$6,$N$1))</f>
        <v xml:space="preserve"> </v>
      </c>
      <c r="G1582" s="28" t="str">
        <f>IF($C1582=""," ",[1]!i_pq_pctchange($C1582,G$6,$N$1))</f>
        <v xml:space="preserve"> </v>
      </c>
      <c r="H1582" s="28" t="str">
        <f>IF($C1582=""," ",[1]!i_pq_pctchange($C1582,H$6,$N$1))</f>
        <v xml:space="preserve"> </v>
      </c>
      <c r="I1582" s="28" t="str">
        <f>IF($C1582=""," ",[1]!i_pq_pctchange($C1582,I$6,$N$1))</f>
        <v xml:space="preserve"> </v>
      </c>
      <c r="J1582" s="28" t="str">
        <f>IF($C1582=""," ",[1]!i_pq_pctchange($C1582,J$6,$N$1))</f>
        <v xml:space="preserve"> </v>
      </c>
      <c r="K1582" s="28" t="str">
        <f>IF($C1582=""," ",[1]!i_pq_pctchange($C1582,K$6,$N$1))</f>
        <v xml:space="preserve"> </v>
      </c>
      <c r="L1582" s="28" t="str">
        <f>IF(C1582=""," ",[1]!s_wq_pctchange($C1582,$N$1))</f>
        <v xml:space="preserve"> </v>
      </c>
      <c r="M1582" s="28" t="str">
        <f>IF(C1582=""," ",[1]!s_mq_pctchange($C1582,$N$1))</f>
        <v xml:space="preserve"> </v>
      </c>
      <c r="N1582" s="28" t="str">
        <f>IF(C1582=""," ",[1]!s_yq_pctchange($C1582,$N$1))</f>
        <v xml:space="preserve"> </v>
      </c>
      <c r="O1582" s="11"/>
      <c r="P1582" s="7"/>
    </row>
    <row r="1583" spans="1:16" x14ac:dyDescent="0.35">
      <c r="A1583" s="7"/>
      <c r="C1583" s="30" t="str">
        <f>IF(指数列表!B1580="","",指数列表!B1580)</f>
        <v/>
      </c>
      <c r="D1583" s="35" t="str">
        <f>IF(C1583="","",[1]!s_info_name(C1583))</f>
        <v/>
      </c>
      <c r="E1583" s="24" t="str">
        <f>IF(C1583="","",[1]!s_dq_close(C1583,$N$1))</f>
        <v/>
      </c>
      <c r="F1583" s="28" t="str">
        <f>IF($C1583=""," ",[1]!i_pq_pctchange($C1583,F$6,$N$1))</f>
        <v xml:space="preserve"> </v>
      </c>
      <c r="G1583" s="28" t="str">
        <f>IF($C1583=""," ",[1]!i_pq_pctchange($C1583,G$6,$N$1))</f>
        <v xml:space="preserve"> </v>
      </c>
      <c r="H1583" s="28" t="str">
        <f>IF($C1583=""," ",[1]!i_pq_pctchange($C1583,H$6,$N$1))</f>
        <v xml:space="preserve"> </v>
      </c>
      <c r="I1583" s="28" t="str">
        <f>IF($C1583=""," ",[1]!i_pq_pctchange($C1583,I$6,$N$1))</f>
        <v xml:space="preserve"> </v>
      </c>
      <c r="J1583" s="28" t="str">
        <f>IF($C1583=""," ",[1]!i_pq_pctchange($C1583,J$6,$N$1))</f>
        <v xml:space="preserve"> </v>
      </c>
      <c r="K1583" s="28" t="str">
        <f>IF($C1583=""," ",[1]!i_pq_pctchange($C1583,K$6,$N$1))</f>
        <v xml:space="preserve"> </v>
      </c>
      <c r="L1583" s="28" t="str">
        <f>IF(C1583=""," ",[1]!s_wq_pctchange($C1583,$N$1))</f>
        <v xml:space="preserve"> </v>
      </c>
      <c r="M1583" s="28" t="str">
        <f>IF(C1583=""," ",[1]!s_mq_pctchange($C1583,$N$1))</f>
        <v xml:space="preserve"> </v>
      </c>
      <c r="N1583" s="28" t="str">
        <f>IF(C1583=""," ",[1]!s_yq_pctchange($C1583,$N$1))</f>
        <v xml:space="preserve"> </v>
      </c>
      <c r="O1583" s="11"/>
      <c r="P1583" s="7"/>
    </row>
    <row r="1584" spans="1:16" x14ac:dyDescent="0.35">
      <c r="A1584" s="7"/>
      <c r="C1584" s="31" t="str">
        <f>IF(指数列表!B1581="","",指数列表!B1581)</f>
        <v/>
      </c>
      <c r="D1584" s="36" t="str">
        <f>IF(C1584="","",[1]!s_info_name(C1584))</f>
        <v/>
      </c>
      <c r="E1584" s="25" t="str">
        <f>IF(C1584="","",[1]!s_dq_close(C1584,$N$1))</f>
        <v/>
      </c>
      <c r="F1584" s="28" t="str">
        <f>IF($C1584=""," ",[1]!i_pq_pctchange($C1584,F$6,$N$1))</f>
        <v xml:space="preserve"> </v>
      </c>
      <c r="G1584" s="28" t="str">
        <f>IF($C1584=""," ",[1]!i_pq_pctchange($C1584,G$6,$N$1))</f>
        <v xml:space="preserve"> </v>
      </c>
      <c r="H1584" s="28" t="str">
        <f>IF($C1584=""," ",[1]!i_pq_pctchange($C1584,H$6,$N$1))</f>
        <v xml:space="preserve"> </v>
      </c>
      <c r="I1584" s="28" t="str">
        <f>IF($C1584=""," ",[1]!i_pq_pctchange($C1584,I$6,$N$1))</f>
        <v xml:space="preserve"> </v>
      </c>
      <c r="J1584" s="28" t="str">
        <f>IF($C1584=""," ",[1]!i_pq_pctchange($C1584,J$6,$N$1))</f>
        <v xml:space="preserve"> </v>
      </c>
      <c r="K1584" s="28" t="str">
        <f>IF($C1584=""," ",[1]!i_pq_pctchange($C1584,K$6,$N$1))</f>
        <v xml:space="preserve"> </v>
      </c>
      <c r="L1584" s="28" t="str">
        <f>IF(C1584=""," ",[1]!s_wq_pctchange($C1584,$N$1))</f>
        <v xml:space="preserve"> </v>
      </c>
      <c r="M1584" s="28" t="str">
        <f>IF(C1584=""," ",[1]!s_mq_pctchange($C1584,$N$1))</f>
        <v xml:space="preserve"> </v>
      </c>
      <c r="N1584" s="28" t="str">
        <f>IF(C1584=""," ",[1]!s_yq_pctchange($C1584,$N$1))</f>
        <v xml:space="preserve"> </v>
      </c>
      <c r="O1584" s="11"/>
      <c r="P1584" s="7"/>
    </row>
    <row r="1585" spans="1:16" x14ac:dyDescent="0.35">
      <c r="A1585" s="7"/>
      <c r="C1585" s="30" t="str">
        <f>IF(指数列表!B1582="","",指数列表!B1582)</f>
        <v/>
      </c>
      <c r="D1585" s="35" t="str">
        <f>IF(C1585="","",[1]!s_info_name(C1585))</f>
        <v/>
      </c>
      <c r="E1585" s="24" t="str">
        <f>IF(C1585="","",[1]!s_dq_close(C1585,$N$1))</f>
        <v/>
      </c>
      <c r="F1585" s="28" t="str">
        <f>IF($C1585=""," ",[1]!i_pq_pctchange($C1585,F$6,$N$1))</f>
        <v xml:space="preserve"> </v>
      </c>
      <c r="G1585" s="28" t="str">
        <f>IF($C1585=""," ",[1]!i_pq_pctchange($C1585,G$6,$N$1))</f>
        <v xml:space="preserve"> </v>
      </c>
      <c r="H1585" s="28" t="str">
        <f>IF($C1585=""," ",[1]!i_pq_pctchange($C1585,H$6,$N$1))</f>
        <v xml:space="preserve"> </v>
      </c>
      <c r="I1585" s="28" t="str">
        <f>IF($C1585=""," ",[1]!i_pq_pctchange($C1585,I$6,$N$1))</f>
        <v xml:space="preserve"> </v>
      </c>
      <c r="J1585" s="28" t="str">
        <f>IF($C1585=""," ",[1]!i_pq_pctchange($C1585,J$6,$N$1))</f>
        <v xml:space="preserve"> </v>
      </c>
      <c r="K1585" s="28" t="str">
        <f>IF($C1585=""," ",[1]!i_pq_pctchange($C1585,K$6,$N$1))</f>
        <v xml:space="preserve"> </v>
      </c>
      <c r="L1585" s="28" t="str">
        <f>IF(C1585=""," ",[1]!s_wq_pctchange($C1585,$N$1))</f>
        <v xml:space="preserve"> </v>
      </c>
      <c r="M1585" s="28" t="str">
        <f>IF(C1585=""," ",[1]!s_mq_pctchange($C1585,$N$1))</f>
        <v xml:space="preserve"> </v>
      </c>
      <c r="N1585" s="28" t="str">
        <f>IF(C1585=""," ",[1]!s_yq_pctchange($C1585,$N$1))</f>
        <v xml:space="preserve"> </v>
      </c>
      <c r="O1585" s="11"/>
      <c r="P1585" s="7"/>
    </row>
    <row r="1586" spans="1:16" x14ac:dyDescent="0.35">
      <c r="A1586" s="7"/>
      <c r="C1586" s="31" t="str">
        <f>IF(指数列表!B1583="","",指数列表!B1583)</f>
        <v/>
      </c>
      <c r="D1586" s="36" t="str">
        <f>IF(C1586="","",[1]!s_info_name(C1586))</f>
        <v/>
      </c>
      <c r="E1586" s="25" t="str">
        <f>IF(C1586="","",[1]!s_dq_close(C1586,$N$1))</f>
        <v/>
      </c>
      <c r="F1586" s="28" t="str">
        <f>IF($C1586=""," ",[1]!i_pq_pctchange($C1586,F$6,$N$1))</f>
        <v xml:space="preserve"> </v>
      </c>
      <c r="G1586" s="28" t="str">
        <f>IF($C1586=""," ",[1]!i_pq_pctchange($C1586,G$6,$N$1))</f>
        <v xml:space="preserve"> </v>
      </c>
      <c r="H1586" s="28" t="str">
        <f>IF($C1586=""," ",[1]!i_pq_pctchange($C1586,H$6,$N$1))</f>
        <v xml:space="preserve"> </v>
      </c>
      <c r="I1586" s="28" t="str">
        <f>IF($C1586=""," ",[1]!i_pq_pctchange($C1586,I$6,$N$1))</f>
        <v xml:space="preserve"> </v>
      </c>
      <c r="J1586" s="28" t="str">
        <f>IF($C1586=""," ",[1]!i_pq_pctchange($C1586,J$6,$N$1))</f>
        <v xml:space="preserve"> </v>
      </c>
      <c r="K1586" s="28" t="str">
        <f>IF($C1586=""," ",[1]!i_pq_pctchange($C1586,K$6,$N$1))</f>
        <v xml:space="preserve"> </v>
      </c>
      <c r="L1586" s="28" t="str">
        <f>IF(C1586=""," ",[1]!s_wq_pctchange($C1586,$N$1))</f>
        <v xml:space="preserve"> </v>
      </c>
      <c r="M1586" s="28" t="str">
        <f>IF(C1586=""," ",[1]!s_mq_pctchange($C1586,$N$1))</f>
        <v xml:space="preserve"> </v>
      </c>
      <c r="N1586" s="28" t="str">
        <f>IF(C1586=""," ",[1]!s_yq_pctchange($C1586,$N$1))</f>
        <v xml:space="preserve"> </v>
      </c>
      <c r="O1586" s="11"/>
      <c r="P1586" s="7"/>
    </row>
    <row r="1587" spans="1:16" x14ac:dyDescent="0.35">
      <c r="A1587" s="7"/>
      <c r="C1587" s="30" t="str">
        <f>IF(指数列表!B1584="","",指数列表!B1584)</f>
        <v/>
      </c>
      <c r="D1587" s="35" t="str">
        <f>IF(C1587="","",[1]!s_info_name(C1587))</f>
        <v/>
      </c>
      <c r="E1587" s="24" t="str">
        <f>IF(C1587="","",[1]!s_dq_close(C1587,$N$1))</f>
        <v/>
      </c>
      <c r="F1587" s="28" t="str">
        <f>IF($C1587=""," ",[1]!i_pq_pctchange($C1587,F$6,$N$1))</f>
        <v xml:space="preserve"> </v>
      </c>
      <c r="G1587" s="28" t="str">
        <f>IF($C1587=""," ",[1]!i_pq_pctchange($C1587,G$6,$N$1))</f>
        <v xml:space="preserve"> </v>
      </c>
      <c r="H1587" s="28" t="str">
        <f>IF($C1587=""," ",[1]!i_pq_pctchange($C1587,H$6,$N$1))</f>
        <v xml:space="preserve"> </v>
      </c>
      <c r="I1587" s="28" t="str">
        <f>IF($C1587=""," ",[1]!i_pq_pctchange($C1587,I$6,$N$1))</f>
        <v xml:space="preserve"> </v>
      </c>
      <c r="J1587" s="28" t="str">
        <f>IF($C1587=""," ",[1]!i_pq_pctchange($C1587,J$6,$N$1))</f>
        <v xml:space="preserve"> </v>
      </c>
      <c r="K1587" s="28" t="str">
        <f>IF($C1587=""," ",[1]!i_pq_pctchange($C1587,K$6,$N$1))</f>
        <v xml:space="preserve"> </v>
      </c>
      <c r="L1587" s="28" t="str">
        <f>IF(C1587=""," ",[1]!s_wq_pctchange($C1587,$N$1))</f>
        <v xml:space="preserve"> </v>
      </c>
      <c r="M1587" s="28" t="str">
        <f>IF(C1587=""," ",[1]!s_mq_pctchange($C1587,$N$1))</f>
        <v xml:space="preserve"> </v>
      </c>
      <c r="N1587" s="28" t="str">
        <f>IF(C1587=""," ",[1]!s_yq_pctchange($C1587,$N$1))</f>
        <v xml:space="preserve"> </v>
      </c>
      <c r="O1587" s="11"/>
      <c r="P1587" s="7"/>
    </row>
    <row r="1588" spans="1:16" x14ac:dyDescent="0.35">
      <c r="A1588" s="7"/>
      <c r="C1588" s="31" t="str">
        <f>IF(指数列表!B1585="","",指数列表!B1585)</f>
        <v/>
      </c>
      <c r="D1588" s="36" t="str">
        <f>IF(C1588="","",[1]!s_info_name(C1588))</f>
        <v/>
      </c>
      <c r="E1588" s="25" t="str">
        <f>IF(C1588="","",[1]!s_dq_close(C1588,$N$1))</f>
        <v/>
      </c>
      <c r="F1588" s="28" t="str">
        <f>IF($C1588=""," ",[1]!i_pq_pctchange($C1588,F$6,$N$1))</f>
        <v xml:space="preserve"> </v>
      </c>
      <c r="G1588" s="28" t="str">
        <f>IF($C1588=""," ",[1]!i_pq_pctchange($C1588,G$6,$N$1))</f>
        <v xml:space="preserve"> </v>
      </c>
      <c r="H1588" s="28" t="str">
        <f>IF($C1588=""," ",[1]!i_pq_pctchange($C1588,H$6,$N$1))</f>
        <v xml:space="preserve"> </v>
      </c>
      <c r="I1588" s="28" t="str">
        <f>IF($C1588=""," ",[1]!i_pq_pctchange($C1588,I$6,$N$1))</f>
        <v xml:space="preserve"> </v>
      </c>
      <c r="J1588" s="28" t="str">
        <f>IF($C1588=""," ",[1]!i_pq_pctchange($C1588,J$6,$N$1))</f>
        <v xml:space="preserve"> </v>
      </c>
      <c r="K1588" s="28" t="str">
        <f>IF($C1588=""," ",[1]!i_pq_pctchange($C1588,K$6,$N$1))</f>
        <v xml:space="preserve"> </v>
      </c>
      <c r="L1588" s="28" t="str">
        <f>IF(C1588=""," ",[1]!s_wq_pctchange($C1588,$N$1))</f>
        <v xml:space="preserve"> </v>
      </c>
      <c r="M1588" s="28" t="str">
        <f>IF(C1588=""," ",[1]!s_mq_pctchange($C1588,$N$1))</f>
        <v xml:space="preserve"> </v>
      </c>
      <c r="N1588" s="28" t="str">
        <f>IF(C1588=""," ",[1]!s_yq_pctchange($C1588,$N$1))</f>
        <v xml:space="preserve"> </v>
      </c>
      <c r="O1588" s="11"/>
      <c r="P1588" s="7"/>
    </row>
    <row r="1589" spans="1:16" x14ac:dyDescent="0.35">
      <c r="A1589" s="7"/>
      <c r="C1589" s="30" t="str">
        <f>IF(指数列表!B1586="","",指数列表!B1586)</f>
        <v/>
      </c>
      <c r="D1589" s="35" t="str">
        <f>IF(C1589="","",[1]!s_info_name(C1589))</f>
        <v/>
      </c>
      <c r="E1589" s="24" t="str">
        <f>IF(C1589="","",[1]!s_dq_close(C1589,$N$1))</f>
        <v/>
      </c>
      <c r="F1589" s="28" t="str">
        <f>IF($C1589=""," ",[1]!i_pq_pctchange($C1589,F$6,$N$1))</f>
        <v xml:space="preserve"> </v>
      </c>
      <c r="G1589" s="28" t="str">
        <f>IF($C1589=""," ",[1]!i_pq_pctchange($C1589,G$6,$N$1))</f>
        <v xml:space="preserve"> </v>
      </c>
      <c r="H1589" s="28" t="str">
        <f>IF($C1589=""," ",[1]!i_pq_pctchange($C1589,H$6,$N$1))</f>
        <v xml:space="preserve"> </v>
      </c>
      <c r="I1589" s="28" t="str">
        <f>IF($C1589=""," ",[1]!i_pq_pctchange($C1589,I$6,$N$1))</f>
        <v xml:space="preserve"> </v>
      </c>
      <c r="J1589" s="28" t="str">
        <f>IF($C1589=""," ",[1]!i_pq_pctchange($C1589,J$6,$N$1))</f>
        <v xml:space="preserve"> </v>
      </c>
      <c r="K1589" s="28" t="str">
        <f>IF($C1589=""," ",[1]!i_pq_pctchange($C1589,K$6,$N$1))</f>
        <v xml:space="preserve"> </v>
      </c>
      <c r="L1589" s="28" t="str">
        <f>IF(C1589=""," ",[1]!s_wq_pctchange($C1589,$N$1))</f>
        <v xml:space="preserve"> </v>
      </c>
      <c r="M1589" s="28" t="str">
        <f>IF(C1589=""," ",[1]!s_mq_pctchange($C1589,$N$1))</f>
        <v xml:space="preserve"> </v>
      </c>
      <c r="N1589" s="28" t="str">
        <f>IF(C1589=""," ",[1]!s_yq_pctchange($C1589,$N$1))</f>
        <v xml:space="preserve"> </v>
      </c>
      <c r="O1589" s="11"/>
      <c r="P1589" s="7"/>
    </row>
    <row r="1590" spans="1:16" x14ac:dyDescent="0.35">
      <c r="A1590" s="7"/>
      <c r="C1590" s="31" t="str">
        <f>IF(指数列表!B1587="","",指数列表!B1587)</f>
        <v/>
      </c>
      <c r="D1590" s="36" t="str">
        <f>IF(C1590="","",[1]!s_info_name(C1590))</f>
        <v/>
      </c>
      <c r="E1590" s="25" t="str">
        <f>IF(C1590="","",[1]!s_dq_close(C1590,$N$1))</f>
        <v/>
      </c>
      <c r="F1590" s="28" t="str">
        <f>IF($C1590=""," ",[1]!i_pq_pctchange($C1590,F$6,$N$1))</f>
        <v xml:space="preserve"> </v>
      </c>
      <c r="G1590" s="28" t="str">
        <f>IF($C1590=""," ",[1]!i_pq_pctchange($C1590,G$6,$N$1))</f>
        <v xml:space="preserve"> </v>
      </c>
      <c r="H1590" s="28" t="str">
        <f>IF($C1590=""," ",[1]!i_pq_pctchange($C1590,H$6,$N$1))</f>
        <v xml:space="preserve"> </v>
      </c>
      <c r="I1590" s="28" t="str">
        <f>IF($C1590=""," ",[1]!i_pq_pctchange($C1590,I$6,$N$1))</f>
        <v xml:space="preserve"> </v>
      </c>
      <c r="J1590" s="28" t="str">
        <f>IF($C1590=""," ",[1]!i_pq_pctchange($C1590,J$6,$N$1))</f>
        <v xml:space="preserve"> </v>
      </c>
      <c r="K1590" s="28" t="str">
        <f>IF($C1590=""," ",[1]!i_pq_pctchange($C1590,K$6,$N$1))</f>
        <v xml:space="preserve"> </v>
      </c>
      <c r="L1590" s="28" t="str">
        <f>IF(C1590=""," ",[1]!s_wq_pctchange($C1590,$N$1))</f>
        <v xml:space="preserve"> </v>
      </c>
      <c r="M1590" s="28" t="str">
        <f>IF(C1590=""," ",[1]!s_mq_pctchange($C1590,$N$1))</f>
        <v xml:space="preserve"> </v>
      </c>
      <c r="N1590" s="28" t="str">
        <f>IF(C1590=""," ",[1]!s_yq_pctchange($C1590,$N$1))</f>
        <v xml:space="preserve"> </v>
      </c>
      <c r="O1590" s="11"/>
      <c r="P1590" s="7"/>
    </row>
    <row r="1591" spans="1:16" x14ac:dyDescent="0.35">
      <c r="A1591" s="7"/>
      <c r="C1591" s="30" t="str">
        <f>IF(指数列表!B1588="","",指数列表!B1588)</f>
        <v/>
      </c>
      <c r="D1591" s="35" t="str">
        <f>IF(C1591="","",[1]!s_info_name(C1591))</f>
        <v/>
      </c>
      <c r="E1591" s="24" t="str">
        <f>IF(C1591="","",[1]!s_dq_close(C1591,$N$1))</f>
        <v/>
      </c>
      <c r="F1591" s="28" t="str">
        <f>IF($C1591=""," ",[1]!i_pq_pctchange($C1591,F$6,$N$1))</f>
        <v xml:space="preserve"> </v>
      </c>
      <c r="G1591" s="28" t="str">
        <f>IF($C1591=""," ",[1]!i_pq_pctchange($C1591,G$6,$N$1))</f>
        <v xml:space="preserve"> </v>
      </c>
      <c r="H1591" s="28" t="str">
        <f>IF($C1591=""," ",[1]!i_pq_pctchange($C1591,H$6,$N$1))</f>
        <v xml:space="preserve"> </v>
      </c>
      <c r="I1591" s="28" t="str">
        <f>IF($C1591=""," ",[1]!i_pq_pctchange($C1591,I$6,$N$1))</f>
        <v xml:space="preserve"> </v>
      </c>
      <c r="J1591" s="28" t="str">
        <f>IF($C1591=""," ",[1]!i_pq_pctchange($C1591,J$6,$N$1))</f>
        <v xml:space="preserve"> </v>
      </c>
      <c r="K1591" s="28" t="str">
        <f>IF($C1591=""," ",[1]!i_pq_pctchange($C1591,K$6,$N$1))</f>
        <v xml:space="preserve"> </v>
      </c>
      <c r="L1591" s="28" t="str">
        <f>IF(C1591=""," ",[1]!s_wq_pctchange($C1591,$N$1))</f>
        <v xml:space="preserve"> </v>
      </c>
      <c r="M1591" s="28" t="str">
        <f>IF(C1591=""," ",[1]!s_mq_pctchange($C1591,$N$1))</f>
        <v xml:space="preserve"> </v>
      </c>
      <c r="N1591" s="28" t="str">
        <f>IF(C1591=""," ",[1]!s_yq_pctchange($C1591,$N$1))</f>
        <v xml:space="preserve"> </v>
      </c>
      <c r="O1591" s="11"/>
      <c r="P1591" s="7"/>
    </row>
    <row r="1592" spans="1:16" x14ac:dyDescent="0.35">
      <c r="A1592" s="7"/>
      <c r="C1592" s="31" t="str">
        <f>IF(指数列表!B1589="","",指数列表!B1589)</f>
        <v/>
      </c>
      <c r="D1592" s="36" t="str">
        <f>IF(C1592="","",[1]!s_info_name(C1592))</f>
        <v/>
      </c>
      <c r="E1592" s="25" t="str">
        <f>IF(C1592="","",[1]!s_dq_close(C1592,$N$1))</f>
        <v/>
      </c>
      <c r="F1592" s="28" t="str">
        <f>IF($C1592=""," ",[1]!i_pq_pctchange($C1592,F$6,$N$1))</f>
        <v xml:space="preserve"> </v>
      </c>
      <c r="G1592" s="28" t="str">
        <f>IF($C1592=""," ",[1]!i_pq_pctchange($C1592,G$6,$N$1))</f>
        <v xml:space="preserve"> </v>
      </c>
      <c r="H1592" s="28" t="str">
        <f>IF($C1592=""," ",[1]!i_pq_pctchange($C1592,H$6,$N$1))</f>
        <v xml:space="preserve"> </v>
      </c>
      <c r="I1592" s="28" t="str">
        <f>IF($C1592=""," ",[1]!i_pq_pctchange($C1592,I$6,$N$1))</f>
        <v xml:space="preserve"> </v>
      </c>
      <c r="J1592" s="28" t="str">
        <f>IF($C1592=""," ",[1]!i_pq_pctchange($C1592,J$6,$N$1))</f>
        <v xml:space="preserve"> </v>
      </c>
      <c r="K1592" s="28" t="str">
        <f>IF($C1592=""," ",[1]!i_pq_pctchange($C1592,K$6,$N$1))</f>
        <v xml:space="preserve"> </v>
      </c>
      <c r="L1592" s="28" t="str">
        <f>IF(C1592=""," ",[1]!s_wq_pctchange($C1592,$N$1))</f>
        <v xml:space="preserve"> </v>
      </c>
      <c r="M1592" s="28" t="str">
        <f>IF(C1592=""," ",[1]!s_mq_pctchange($C1592,$N$1))</f>
        <v xml:space="preserve"> </v>
      </c>
      <c r="N1592" s="28" t="str">
        <f>IF(C1592=""," ",[1]!s_yq_pctchange($C1592,$N$1))</f>
        <v xml:space="preserve"> </v>
      </c>
      <c r="O1592" s="11"/>
      <c r="P1592" s="7"/>
    </row>
    <row r="1593" spans="1:16" x14ac:dyDescent="0.35">
      <c r="A1593" s="7"/>
      <c r="C1593" s="30" t="str">
        <f>IF(指数列表!B1590="","",指数列表!B1590)</f>
        <v/>
      </c>
      <c r="D1593" s="35" t="str">
        <f>IF(C1593="","",[1]!s_info_name(C1593))</f>
        <v/>
      </c>
      <c r="E1593" s="24" t="str">
        <f>IF(C1593="","",[1]!s_dq_close(C1593,$N$1))</f>
        <v/>
      </c>
      <c r="F1593" s="28" t="str">
        <f>IF($C1593=""," ",[1]!i_pq_pctchange($C1593,F$6,$N$1))</f>
        <v xml:space="preserve"> </v>
      </c>
      <c r="G1593" s="28" t="str">
        <f>IF($C1593=""," ",[1]!i_pq_pctchange($C1593,G$6,$N$1))</f>
        <v xml:space="preserve"> </v>
      </c>
      <c r="H1593" s="28" t="str">
        <f>IF($C1593=""," ",[1]!i_pq_pctchange($C1593,H$6,$N$1))</f>
        <v xml:space="preserve"> </v>
      </c>
      <c r="I1593" s="28" t="str">
        <f>IF($C1593=""," ",[1]!i_pq_pctchange($C1593,I$6,$N$1))</f>
        <v xml:space="preserve"> </v>
      </c>
      <c r="J1593" s="28" t="str">
        <f>IF($C1593=""," ",[1]!i_pq_pctchange($C1593,J$6,$N$1))</f>
        <v xml:space="preserve"> </v>
      </c>
      <c r="K1593" s="28" t="str">
        <f>IF($C1593=""," ",[1]!i_pq_pctchange($C1593,K$6,$N$1))</f>
        <v xml:space="preserve"> </v>
      </c>
      <c r="L1593" s="28" t="str">
        <f>IF(C1593=""," ",[1]!s_wq_pctchange($C1593,$N$1))</f>
        <v xml:space="preserve"> </v>
      </c>
      <c r="M1593" s="28" t="str">
        <f>IF(C1593=""," ",[1]!s_mq_pctchange($C1593,$N$1))</f>
        <v xml:space="preserve"> </v>
      </c>
      <c r="N1593" s="28" t="str">
        <f>IF(C1593=""," ",[1]!s_yq_pctchange($C1593,$N$1))</f>
        <v xml:space="preserve"> </v>
      </c>
      <c r="O1593" s="11"/>
      <c r="P1593" s="7"/>
    </row>
    <row r="1594" spans="1:16" x14ac:dyDescent="0.35">
      <c r="A1594" s="7"/>
      <c r="C1594" s="31" t="str">
        <f>IF(指数列表!B1591="","",指数列表!B1591)</f>
        <v/>
      </c>
      <c r="D1594" s="36" t="str">
        <f>IF(C1594="","",[1]!s_info_name(C1594))</f>
        <v/>
      </c>
      <c r="E1594" s="25" t="str">
        <f>IF(C1594="","",[1]!s_dq_close(C1594,$N$1))</f>
        <v/>
      </c>
      <c r="F1594" s="28" t="str">
        <f>IF($C1594=""," ",[1]!i_pq_pctchange($C1594,F$6,$N$1))</f>
        <v xml:space="preserve"> </v>
      </c>
      <c r="G1594" s="28" t="str">
        <f>IF($C1594=""," ",[1]!i_pq_pctchange($C1594,G$6,$N$1))</f>
        <v xml:space="preserve"> </v>
      </c>
      <c r="H1594" s="28" t="str">
        <f>IF($C1594=""," ",[1]!i_pq_pctchange($C1594,H$6,$N$1))</f>
        <v xml:space="preserve"> </v>
      </c>
      <c r="I1594" s="28" t="str">
        <f>IF($C1594=""," ",[1]!i_pq_pctchange($C1594,I$6,$N$1))</f>
        <v xml:space="preserve"> </v>
      </c>
      <c r="J1594" s="28" t="str">
        <f>IF($C1594=""," ",[1]!i_pq_pctchange($C1594,J$6,$N$1))</f>
        <v xml:space="preserve"> </v>
      </c>
      <c r="K1594" s="28" t="str">
        <f>IF($C1594=""," ",[1]!i_pq_pctchange($C1594,K$6,$N$1))</f>
        <v xml:space="preserve"> </v>
      </c>
      <c r="L1594" s="28" t="str">
        <f>IF(C1594=""," ",[1]!s_wq_pctchange($C1594,$N$1))</f>
        <v xml:space="preserve"> </v>
      </c>
      <c r="M1594" s="28" t="str">
        <f>IF(C1594=""," ",[1]!s_mq_pctchange($C1594,$N$1))</f>
        <v xml:space="preserve"> </v>
      </c>
      <c r="N1594" s="28" t="str">
        <f>IF(C1594=""," ",[1]!s_yq_pctchange($C1594,$N$1))</f>
        <v xml:space="preserve"> </v>
      </c>
      <c r="O1594" s="11"/>
      <c r="P1594" s="7"/>
    </row>
    <row r="1595" spans="1:16" x14ac:dyDescent="0.35">
      <c r="A1595" s="7"/>
      <c r="C1595" s="30" t="str">
        <f>IF(指数列表!B1592="","",指数列表!B1592)</f>
        <v/>
      </c>
      <c r="D1595" s="35" t="str">
        <f>IF(C1595="","",[1]!s_info_name(C1595))</f>
        <v/>
      </c>
      <c r="E1595" s="24" t="str">
        <f>IF(C1595="","",[1]!s_dq_close(C1595,$N$1))</f>
        <v/>
      </c>
      <c r="F1595" s="28" t="str">
        <f>IF($C1595=""," ",[1]!i_pq_pctchange($C1595,F$6,$N$1))</f>
        <v xml:space="preserve"> </v>
      </c>
      <c r="G1595" s="28" t="str">
        <f>IF($C1595=""," ",[1]!i_pq_pctchange($C1595,G$6,$N$1))</f>
        <v xml:space="preserve"> </v>
      </c>
      <c r="H1595" s="28" t="str">
        <f>IF($C1595=""," ",[1]!i_pq_pctchange($C1595,H$6,$N$1))</f>
        <v xml:space="preserve"> </v>
      </c>
      <c r="I1595" s="28" t="str">
        <f>IF($C1595=""," ",[1]!i_pq_pctchange($C1595,I$6,$N$1))</f>
        <v xml:space="preserve"> </v>
      </c>
      <c r="J1595" s="28" t="str">
        <f>IF($C1595=""," ",[1]!i_pq_pctchange($C1595,J$6,$N$1))</f>
        <v xml:space="preserve"> </v>
      </c>
      <c r="K1595" s="28" t="str">
        <f>IF($C1595=""," ",[1]!i_pq_pctchange($C1595,K$6,$N$1))</f>
        <v xml:space="preserve"> </v>
      </c>
      <c r="L1595" s="28" t="str">
        <f>IF(C1595=""," ",[1]!s_wq_pctchange($C1595,$N$1))</f>
        <v xml:space="preserve"> </v>
      </c>
      <c r="M1595" s="28" t="str">
        <f>IF(C1595=""," ",[1]!s_mq_pctchange($C1595,$N$1))</f>
        <v xml:space="preserve"> </v>
      </c>
      <c r="N1595" s="28" t="str">
        <f>IF(C1595=""," ",[1]!s_yq_pctchange($C1595,$N$1))</f>
        <v xml:space="preserve"> </v>
      </c>
      <c r="O1595" s="11"/>
      <c r="P1595" s="7"/>
    </row>
    <row r="1596" spans="1:16" x14ac:dyDescent="0.35">
      <c r="A1596" s="7"/>
      <c r="C1596" s="31" t="str">
        <f>IF(指数列表!B1593="","",指数列表!B1593)</f>
        <v/>
      </c>
      <c r="D1596" s="36" t="str">
        <f>IF(C1596="","",[1]!s_info_name(C1596))</f>
        <v/>
      </c>
      <c r="E1596" s="25" t="str">
        <f>IF(C1596="","",[1]!s_dq_close(C1596,$N$1))</f>
        <v/>
      </c>
      <c r="F1596" s="28" t="str">
        <f>IF($C1596=""," ",[1]!i_pq_pctchange($C1596,F$6,$N$1))</f>
        <v xml:space="preserve"> </v>
      </c>
      <c r="G1596" s="28" t="str">
        <f>IF($C1596=""," ",[1]!i_pq_pctchange($C1596,G$6,$N$1))</f>
        <v xml:space="preserve"> </v>
      </c>
      <c r="H1596" s="28" t="str">
        <f>IF($C1596=""," ",[1]!i_pq_pctchange($C1596,H$6,$N$1))</f>
        <v xml:space="preserve"> </v>
      </c>
      <c r="I1596" s="28" t="str">
        <f>IF($C1596=""," ",[1]!i_pq_pctchange($C1596,I$6,$N$1))</f>
        <v xml:space="preserve"> </v>
      </c>
      <c r="J1596" s="28" t="str">
        <f>IF($C1596=""," ",[1]!i_pq_pctchange($C1596,J$6,$N$1))</f>
        <v xml:space="preserve"> </v>
      </c>
      <c r="K1596" s="28" t="str">
        <f>IF($C1596=""," ",[1]!i_pq_pctchange($C1596,K$6,$N$1))</f>
        <v xml:space="preserve"> </v>
      </c>
      <c r="L1596" s="28" t="str">
        <f>IF(C1596=""," ",[1]!s_wq_pctchange($C1596,$N$1))</f>
        <v xml:space="preserve"> </v>
      </c>
      <c r="M1596" s="28" t="str">
        <f>IF(C1596=""," ",[1]!s_mq_pctchange($C1596,$N$1))</f>
        <v xml:space="preserve"> </v>
      </c>
      <c r="N1596" s="28" t="str">
        <f>IF(C1596=""," ",[1]!s_yq_pctchange($C1596,$N$1))</f>
        <v xml:space="preserve"> </v>
      </c>
      <c r="O1596" s="11"/>
      <c r="P1596" s="7"/>
    </row>
    <row r="1597" spans="1:16" x14ac:dyDescent="0.35">
      <c r="A1597" s="7"/>
      <c r="C1597" s="30" t="str">
        <f>IF(指数列表!B1594="","",指数列表!B1594)</f>
        <v/>
      </c>
      <c r="D1597" s="35" t="str">
        <f>IF(C1597="","",[1]!s_info_name(C1597))</f>
        <v/>
      </c>
      <c r="E1597" s="24" t="str">
        <f>IF(C1597="","",[1]!s_dq_close(C1597,$N$1))</f>
        <v/>
      </c>
      <c r="F1597" s="28" t="str">
        <f>IF($C1597=""," ",[1]!i_pq_pctchange($C1597,F$6,$N$1))</f>
        <v xml:space="preserve"> </v>
      </c>
      <c r="G1597" s="28" t="str">
        <f>IF($C1597=""," ",[1]!i_pq_pctchange($C1597,G$6,$N$1))</f>
        <v xml:space="preserve"> </v>
      </c>
      <c r="H1597" s="28" t="str">
        <f>IF($C1597=""," ",[1]!i_pq_pctchange($C1597,H$6,$N$1))</f>
        <v xml:space="preserve"> </v>
      </c>
      <c r="I1597" s="28" t="str">
        <f>IF($C1597=""," ",[1]!i_pq_pctchange($C1597,I$6,$N$1))</f>
        <v xml:space="preserve"> </v>
      </c>
      <c r="J1597" s="28" t="str">
        <f>IF($C1597=""," ",[1]!i_pq_pctchange($C1597,J$6,$N$1))</f>
        <v xml:space="preserve"> </v>
      </c>
      <c r="K1597" s="28" t="str">
        <f>IF($C1597=""," ",[1]!i_pq_pctchange($C1597,K$6,$N$1))</f>
        <v xml:space="preserve"> </v>
      </c>
      <c r="L1597" s="28" t="str">
        <f>IF(C1597=""," ",[1]!s_wq_pctchange($C1597,$N$1))</f>
        <v xml:space="preserve"> </v>
      </c>
      <c r="M1597" s="28" t="str">
        <f>IF(C1597=""," ",[1]!s_mq_pctchange($C1597,$N$1))</f>
        <v xml:space="preserve"> </v>
      </c>
      <c r="N1597" s="28" t="str">
        <f>IF(C1597=""," ",[1]!s_yq_pctchange($C1597,$N$1))</f>
        <v xml:space="preserve"> </v>
      </c>
      <c r="O1597" s="11"/>
      <c r="P1597" s="7"/>
    </row>
    <row r="1598" spans="1:16" x14ac:dyDescent="0.35">
      <c r="A1598" s="7"/>
      <c r="C1598" s="31" t="str">
        <f>IF(指数列表!B1595="","",指数列表!B1595)</f>
        <v/>
      </c>
      <c r="D1598" s="36" t="str">
        <f>IF(C1598="","",[1]!s_info_name(C1598))</f>
        <v/>
      </c>
      <c r="E1598" s="25" t="str">
        <f>IF(C1598="","",[1]!s_dq_close(C1598,$N$1))</f>
        <v/>
      </c>
      <c r="F1598" s="28" t="str">
        <f>IF($C1598=""," ",[1]!i_pq_pctchange($C1598,F$6,$N$1))</f>
        <v xml:space="preserve"> </v>
      </c>
      <c r="G1598" s="28" t="str">
        <f>IF($C1598=""," ",[1]!i_pq_pctchange($C1598,G$6,$N$1))</f>
        <v xml:space="preserve"> </v>
      </c>
      <c r="H1598" s="28" t="str">
        <f>IF($C1598=""," ",[1]!i_pq_pctchange($C1598,H$6,$N$1))</f>
        <v xml:space="preserve"> </v>
      </c>
      <c r="I1598" s="28" t="str">
        <f>IF($C1598=""," ",[1]!i_pq_pctchange($C1598,I$6,$N$1))</f>
        <v xml:space="preserve"> </v>
      </c>
      <c r="J1598" s="28" t="str">
        <f>IF($C1598=""," ",[1]!i_pq_pctchange($C1598,J$6,$N$1))</f>
        <v xml:space="preserve"> </v>
      </c>
      <c r="K1598" s="28" t="str">
        <f>IF($C1598=""," ",[1]!i_pq_pctchange($C1598,K$6,$N$1))</f>
        <v xml:space="preserve"> </v>
      </c>
      <c r="L1598" s="28" t="str">
        <f>IF(C1598=""," ",[1]!s_wq_pctchange($C1598,$N$1))</f>
        <v xml:space="preserve"> </v>
      </c>
      <c r="M1598" s="28" t="str">
        <f>IF(C1598=""," ",[1]!s_mq_pctchange($C1598,$N$1))</f>
        <v xml:space="preserve"> </v>
      </c>
      <c r="N1598" s="28" t="str">
        <f>IF(C1598=""," ",[1]!s_yq_pctchange($C1598,$N$1))</f>
        <v xml:space="preserve"> </v>
      </c>
      <c r="O1598" s="11"/>
      <c r="P1598" s="7"/>
    </row>
    <row r="1599" spans="1:16" x14ac:dyDescent="0.35">
      <c r="A1599" s="7"/>
      <c r="C1599" s="30" t="str">
        <f>IF(指数列表!B1596="","",指数列表!B1596)</f>
        <v/>
      </c>
      <c r="D1599" s="35" t="str">
        <f>IF(C1599="","",[1]!s_info_name(C1599))</f>
        <v/>
      </c>
      <c r="E1599" s="24" t="str">
        <f>IF(C1599="","",[1]!s_dq_close(C1599,$N$1))</f>
        <v/>
      </c>
      <c r="F1599" s="28" t="str">
        <f>IF($C1599=""," ",[1]!i_pq_pctchange($C1599,F$6,$N$1))</f>
        <v xml:space="preserve"> </v>
      </c>
      <c r="G1599" s="28" t="str">
        <f>IF($C1599=""," ",[1]!i_pq_pctchange($C1599,G$6,$N$1))</f>
        <v xml:space="preserve"> </v>
      </c>
      <c r="H1599" s="28" t="str">
        <f>IF($C1599=""," ",[1]!i_pq_pctchange($C1599,H$6,$N$1))</f>
        <v xml:space="preserve"> </v>
      </c>
      <c r="I1599" s="28" t="str">
        <f>IF($C1599=""," ",[1]!i_pq_pctchange($C1599,I$6,$N$1))</f>
        <v xml:space="preserve"> </v>
      </c>
      <c r="J1599" s="28" t="str">
        <f>IF($C1599=""," ",[1]!i_pq_pctchange($C1599,J$6,$N$1))</f>
        <v xml:space="preserve"> </v>
      </c>
      <c r="K1599" s="28" t="str">
        <f>IF($C1599=""," ",[1]!i_pq_pctchange($C1599,K$6,$N$1))</f>
        <v xml:space="preserve"> </v>
      </c>
      <c r="L1599" s="28" t="str">
        <f>IF(C1599=""," ",[1]!s_wq_pctchange($C1599,$N$1))</f>
        <v xml:space="preserve"> </v>
      </c>
      <c r="M1599" s="28" t="str">
        <f>IF(C1599=""," ",[1]!s_mq_pctchange($C1599,$N$1))</f>
        <v xml:space="preserve"> </v>
      </c>
      <c r="N1599" s="28" t="str">
        <f>IF(C1599=""," ",[1]!s_yq_pctchange($C1599,$N$1))</f>
        <v xml:space="preserve"> </v>
      </c>
      <c r="O1599" s="11"/>
      <c r="P1599" s="7"/>
    </row>
    <row r="1600" spans="1:16" x14ac:dyDescent="0.35">
      <c r="A1600" s="7"/>
      <c r="C1600" s="31" t="str">
        <f>IF(指数列表!B1597="","",指数列表!B1597)</f>
        <v/>
      </c>
      <c r="D1600" s="36" t="str">
        <f>IF(C1600="","",[1]!s_info_name(C1600))</f>
        <v/>
      </c>
      <c r="E1600" s="25" t="str">
        <f>IF(C1600="","",[1]!s_dq_close(C1600,$N$1))</f>
        <v/>
      </c>
      <c r="F1600" s="28" t="str">
        <f>IF($C1600=""," ",[1]!i_pq_pctchange($C1600,F$6,$N$1))</f>
        <v xml:space="preserve"> </v>
      </c>
      <c r="G1600" s="28" t="str">
        <f>IF($C1600=""," ",[1]!i_pq_pctchange($C1600,G$6,$N$1))</f>
        <v xml:space="preserve"> </v>
      </c>
      <c r="H1600" s="28" t="str">
        <f>IF($C1600=""," ",[1]!i_pq_pctchange($C1600,H$6,$N$1))</f>
        <v xml:space="preserve"> </v>
      </c>
      <c r="I1600" s="28" t="str">
        <f>IF($C1600=""," ",[1]!i_pq_pctchange($C1600,I$6,$N$1))</f>
        <v xml:space="preserve"> </v>
      </c>
      <c r="J1600" s="28" t="str">
        <f>IF($C1600=""," ",[1]!i_pq_pctchange($C1600,J$6,$N$1))</f>
        <v xml:space="preserve"> </v>
      </c>
      <c r="K1600" s="28" t="str">
        <f>IF($C1600=""," ",[1]!i_pq_pctchange($C1600,K$6,$N$1))</f>
        <v xml:space="preserve"> </v>
      </c>
      <c r="L1600" s="28" t="str">
        <f>IF(C1600=""," ",[1]!s_wq_pctchange($C1600,$N$1))</f>
        <v xml:space="preserve"> </v>
      </c>
      <c r="M1600" s="28" t="str">
        <f>IF(C1600=""," ",[1]!s_mq_pctchange($C1600,$N$1))</f>
        <v xml:space="preserve"> </v>
      </c>
      <c r="N1600" s="28" t="str">
        <f>IF(C1600=""," ",[1]!s_yq_pctchange($C1600,$N$1))</f>
        <v xml:space="preserve"> </v>
      </c>
      <c r="O1600" s="11"/>
      <c r="P1600" s="7"/>
    </row>
    <row r="1601" spans="1:16" x14ac:dyDescent="0.35">
      <c r="A1601" s="7"/>
      <c r="C1601" s="30" t="str">
        <f>IF(指数列表!B1598="","",指数列表!B1598)</f>
        <v/>
      </c>
      <c r="D1601" s="35" t="str">
        <f>IF(C1601="","",[1]!s_info_name(C1601))</f>
        <v/>
      </c>
      <c r="E1601" s="24" t="str">
        <f>IF(C1601="","",[1]!s_dq_close(C1601,$N$1))</f>
        <v/>
      </c>
      <c r="F1601" s="28" t="str">
        <f>IF($C1601=""," ",[1]!i_pq_pctchange($C1601,F$6,$N$1))</f>
        <v xml:space="preserve"> </v>
      </c>
      <c r="G1601" s="28" t="str">
        <f>IF($C1601=""," ",[1]!i_pq_pctchange($C1601,G$6,$N$1))</f>
        <v xml:space="preserve"> </v>
      </c>
      <c r="H1601" s="28" t="str">
        <f>IF($C1601=""," ",[1]!i_pq_pctchange($C1601,H$6,$N$1))</f>
        <v xml:space="preserve"> </v>
      </c>
      <c r="I1601" s="28" t="str">
        <f>IF($C1601=""," ",[1]!i_pq_pctchange($C1601,I$6,$N$1))</f>
        <v xml:space="preserve"> </v>
      </c>
      <c r="J1601" s="28" t="str">
        <f>IF($C1601=""," ",[1]!i_pq_pctchange($C1601,J$6,$N$1))</f>
        <v xml:space="preserve"> </v>
      </c>
      <c r="K1601" s="28" t="str">
        <f>IF($C1601=""," ",[1]!i_pq_pctchange($C1601,K$6,$N$1))</f>
        <v xml:space="preserve"> </v>
      </c>
      <c r="L1601" s="28" t="str">
        <f>IF(C1601=""," ",[1]!s_wq_pctchange($C1601,$N$1))</f>
        <v xml:space="preserve"> </v>
      </c>
      <c r="M1601" s="28" t="str">
        <f>IF(C1601=""," ",[1]!s_mq_pctchange($C1601,$N$1))</f>
        <v xml:space="preserve"> </v>
      </c>
      <c r="N1601" s="28" t="str">
        <f>IF(C1601=""," ",[1]!s_yq_pctchange($C1601,$N$1))</f>
        <v xml:space="preserve"> </v>
      </c>
      <c r="O1601" s="11"/>
      <c r="P1601" s="7"/>
    </row>
    <row r="1602" spans="1:16" x14ac:dyDescent="0.35">
      <c r="A1602" s="7"/>
      <c r="C1602" s="31" t="str">
        <f>IF(指数列表!B1599="","",指数列表!B1599)</f>
        <v/>
      </c>
      <c r="D1602" s="36" t="str">
        <f>IF(C1602="","",[1]!s_info_name(C1602))</f>
        <v/>
      </c>
      <c r="E1602" s="25" t="str">
        <f>IF(C1602="","",[1]!s_dq_close(C1602,$N$1))</f>
        <v/>
      </c>
      <c r="F1602" s="28" t="str">
        <f>IF($C1602=""," ",[1]!i_pq_pctchange($C1602,F$6,$N$1))</f>
        <v xml:space="preserve"> </v>
      </c>
      <c r="G1602" s="28" t="str">
        <f>IF($C1602=""," ",[1]!i_pq_pctchange($C1602,G$6,$N$1))</f>
        <v xml:space="preserve"> </v>
      </c>
      <c r="H1602" s="28" t="str">
        <f>IF($C1602=""," ",[1]!i_pq_pctchange($C1602,H$6,$N$1))</f>
        <v xml:space="preserve"> </v>
      </c>
      <c r="I1602" s="28" t="str">
        <f>IF($C1602=""," ",[1]!i_pq_pctchange($C1602,I$6,$N$1))</f>
        <v xml:space="preserve"> </v>
      </c>
      <c r="J1602" s="28" t="str">
        <f>IF($C1602=""," ",[1]!i_pq_pctchange($C1602,J$6,$N$1))</f>
        <v xml:space="preserve"> </v>
      </c>
      <c r="K1602" s="28" t="str">
        <f>IF($C1602=""," ",[1]!i_pq_pctchange($C1602,K$6,$N$1))</f>
        <v xml:space="preserve"> </v>
      </c>
      <c r="L1602" s="28" t="str">
        <f>IF(C1602=""," ",[1]!s_wq_pctchange($C1602,$N$1))</f>
        <v xml:space="preserve"> </v>
      </c>
      <c r="M1602" s="28" t="str">
        <f>IF(C1602=""," ",[1]!s_mq_pctchange($C1602,$N$1))</f>
        <v xml:space="preserve"> </v>
      </c>
      <c r="N1602" s="28" t="str">
        <f>IF(C1602=""," ",[1]!s_yq_pctchange($C1602,$N$1))</f>
        <v xml:space="preserve"> </v>
      </c>
      <c r="O1602" s="11"/>
      <c r="P1602" s="7"/>
    </row>
    <row r="1603" spans="1:16" x14ac:dyDescent="0.35">
      <c r="A1603" s="7"/>
      <c r="C1603" s="30" t="str">
        <f>IF(指数列表!B1600="","",指数列表!B1600)</f>
        <v/>
      </c>
      <c r="D1603" s="35" t="str">
        <f>IF(C1603="","",[1]!s_info_name(C1603))</f>
        <v/>
      </c>
      <c r="E1603" s="24" t="str">
        <f>IF(C1603="","",[1]!s_dq_close(C1603,$N$1))</f>
        <v/>
      </c>
      <c r="F1603" s="28" t="str">
        <f>IF($C1603=""," ",[1]!i_pq_pctchange($C1603,F$6,$N$1))</f>
        <v xml:space="preserve"> </v>
      </c>
      <c r="G1603" s="28" t="str">
        <f>IF($C1603=""," ",[1]!i_pq_pctchange($C1603,G$6,$N$1))</f>
        <v xml:space="preserve"> </v>
      </c>
      <c r="H1603" s="28" t="str">
        <f>IF($C1603=""," ",[1]!i_pq_pctchange($C1603,H$6,$N$1))</f>
        <v xml:space="preserve"> </v>
      </c>
      <c r="I1603" s="28" t="str">
        <f>IF($C1603=""," ",[1]!i_pq_pctchange($C1603,I$6,$N$1))</f>
        <v xml:space="preserve"> </v>
      </c>
      <c r="J1603" s="28" t="str">
        <f>IF($C1603=""," ",[1]!i_pq_pctchange($C1603,J$6,$N$1))</f>
        <v xml:space="preserve"> </v>
      </c>
      <c r="K1603" s="28" t="str">
        <f>IF($C1603=""," ",[1]!i_pq_pctchange($C1603,K$6,$N$1))</f>
        <v xml:space="preserve"> </v>
      </c>
      <c r="L1603" s="28" t="str">
        <f>IF(C1603=""," ",[1]!s_wq_pctchange($C1603,$N$1))</f>
        <v xml:space="preserve"> </v>
      </c>
      <c r="M1603" s="28" t="str">
        <f>IF(C1603=""," ",[1]!s_mq_pctchange($C1603,$N$1))</f>
        <v xml:space="preserve"> </v>
      </c>
      <c r="N1603" s="28" t="str">
        <f>IF(C1603=""," ",[1]!s_yq_pctchange($C1603,$N$1))</f>
        <v xml:space="preserve"> </v>
      </c>
      <c r="O1603" s="11"/>
      <c r="P1603" s="7"/>
    </row>
    <row r="1604" spans="1:16" x14ac:dyDescent="0.35">
      <c r="A1604" s="7"/>
      <c r="C1604" s="31" t="str">
        <f>IF(指数列表!B1601="","",指数列表!B1601)</f>
        <v/>
      </c>
      <c r="D1604" s="36" t="str">
        <f>IF(C1604="","",[1]!s_info_name(C1604))</f>
        <v/>
      </c>
      <c r="E1604" s="25" t="str">
        <f>IF(C1604="","",[1]!s_dq_close(C1604,$N$1))</f>
        <v/>
      </c>
      <c r="F1604" s="28" t="str">
        <f>IF($C1604=""," ",[1]!i_pq_pctchange($C1604,F$6,$N$1))</f>
        <v xml:space="preserve"> </v>
      </c>
      <c r="G1604" s="28" t="str">
        <f>IF($C1604=""," ",[1]!i_pq_pctchange($C1604,G$6,$N$1))</f>
        <v xml:space="preserve"> </v>
      </c>
      <c r="H1604" s="28" t="str">
        <f>IF($C1604=""," ",[1]!i_pq_pctchange($C1604,H$6,$N$1))</f>
        <v xml:space="preserve"> </v>
      </c>
      <c r="I1604" s="28" t="str">
        <f>IF($C1604=""," ",[1]!i_pq_pctchange($C1604,I$6,$N$1))</f>
        <v xml:space="preserve"> </v>
      </c>
      <c r="J1604" s="28" t="str">
        <f>IF($C1604=""," ",[1]!i_pq_pctchange($C1604,J$6,$N$1))</f>
        <v xml:space="preserve"> </v>
      </c>
      <c r="K1604" s="28" t="str">
        <f>IF($C1604=""," ",[1]!i_pq_pctchange($C1604,K$6,$N$1))</f>
        <v xml:space="preserve"> </v>
      </c>
      <c r="L1604" s="28" t="str">
        <f>IF(C1604=""," ",[1]!s_wq_pctchange($C1604,$N$1))</f>
        <v xml:space="preserve"> </v>
      </c>
      <c r="M1604" s="28" t="str">
        <f>IF(C1604=""," ",[1]!s_mq_pctchange($C1604,$N$1))</f>
        <v xml:space="preserve"> </v>
      </c>
      <c r="N1604" s="28" t="str">
        <f>IF(C1604=""," ",[1]!s_yq_pctchange($C1604,$N$1))</f>
        <v xml:space="preserve"> </v>
      </c>
      <c r="O1604" s="11"/>
      <c r="P1604" s="7"/>
    </row>
    <row r="1605" spans="1:16" x14ac:dyDescent="0.35">
      <c r="A1605" s="7"/>
      <c r="C1605" s="30" t="str">
        <f>IF(指数列表!B1602="","",指数列表!B1602)</f>
        <v/>
      </c>
      <c r="D1605" s="35" t="str">
        <f>IF(C1605="","",[1]!s_info_name(C1605))</f>
        <v/>
      </c>
      <c r="E1605" s="24" t="str">
        <f>IF(C1605="","",[1]!s_dq_close(C1605,$N$1))</f>
        <v/>
      </c>
      <c r="F1605" s="28" t="str">
        <f>IF($C1605=""," ",[1]!i_pq_pctchange($C1605,F$6,$N$1))</f>
        <v xml:space="preserve"> </v>
      </c>
      <c r="G1605" s="28" t="str">
        <f>IF($C1605=""," ",[1]!i_pq_pctchange($C1605,G$6,$N$1))</f>
        <v xml:space="preserve"> </v>
      </c>
      <c r="H1605" s="28" t="str">
        <f>IF($C1605=""," ",[1]!i_pq_pctchange($C1605,H$6,$N$1))</f>
        <v xml:space="preserve"> </v>
      </c>
      <c r="I1605" s="28" t="str">
        <f>IF($C1605=""," ",[1]!i_pq_pctchange($C1605,I$6,$N$1))</f>
        <v xml:space="preserve"> </v>
      </c>
      <c r="J1605" s="28" t="str">
        <f>IF($C1605=""," ",[1]!i_pq_pctchange($C1605,J$6,$N$1))</f>
        <v xml:space="preserve"> </v>
      </c>
      <c r="K1605" s="28" t="str">
        <f>IF($C1605=""," ",[1]!i_pq_pctchange($C1605,K$6,$N$1))</f>
        <v xml:space="preserve"> </v>
      </c>
      <c r="L1605" s="28" t="str">
        <f>IF(C1605=""," ",[1]!s_wq_pctchange($C1605,$N$1))</f>
        <v xml:space="preserve"> </v>
      </c>
      <c r="M1605" s="28" t="str">
        <f>IF(C1605=""," ",[1]!s_mq_pctchange($C1605,$N$1))</f>
        <v xml:space="preserve"> </v>
      </c>
      <c r="N1605" s="28" t="str">
        <f>IF(C1605=""," ",[1]!s_yq_pctchange($C1605,$N$1))</f>
        <v xml:space="preserve"> </v>
      </c>
      <c r="O1605" s="11"/>
      <c r="P1605" s="7"/>
    </row>
    <row r="1606" spans="1:16" x14ac:dyDescent="0.35">
      <c r="A1606" s="7"/>
      <c r="C1606" s="31" t="str">
        <f>IF(指数列表!B1603="","",指数列表!B1603)</f>
        <v/>
      </c>
      <c r="D1606" s="36" t="str">
        <f>IF(C1606="","",[1]!s_info_name(C1606))</f>
        <v/>
      </c>
      <c r="E1606" s="25" t="str">
        <f>IF(C1606="","",[1]!s_dq_close(C1606,$N$1))</f>
        <v/>
      </c>
      <c r="F1606" s="28" t="str">
        <f>IF($C1606=""," ",[1]!i_pq_pctchange($C1606,F$6,$N$1))</f>
        <v xml:space="preserve"> </v>
      </c>
      <c r="G1606" s="28" t="str">
        <f>IF($C1606=""," ",[1]!i_pq_pctchange($C1606,G$6,$N$1))</f>
        <v xml:space="preserve"> </v>
      </c>
      <c r="H1606" s="28" t="str">
        <f>IF($C1606=""," ",[1]!i_pq_pctchange($C1606,H$6,$N$1))</f>
        <v xml:space="preserve"> </v>
      </c>
      <c r="I1606" s="28" t="str">
        <f>IF($C1606=""," ",[1]!i_pq_pctchange($C1606,I$6,$N$1))</f>
        <v xml:space="preserve"> </v>
      </c>
      <c r="J1606" s="28" t="str">
        <f>IF($C1606=""," ",[1]!i_pq_pctchange($C1606,J$6,$N$1))</f>
        <v xml:space="preserve"> </v>
      </c>
      <c r="K1606" s="28" t="str">
        <f>IF($C1606=""," ",[1]!i_pq_pctchange($C1606,K$6,$N$1))</f>
        <v xml:space="preserve"> </v>
      </c>
      <c r="L1606" s="28" t="str">
        <f>IF(C1606=""," ",[1]!s_wq_pctchange($C1606,$N$1))</f>
        <v xml:space="preserve"> </v>
      </c>
      <c r="M1606" s="28" t="str">
        <f>IF(C1606=""," ",[1]!s_mq_pctchange($C1606,$N$1))</f>
        <v xml:space="preserve"> </v>
      </c>
      <c r="N1606" s="28" t="str">
        <f>IF(C1606=""," ",[1]!s_yq_pctchange($C1606,$N$1))</f>
        <v xml:space="preserve"> </v>
      </c>
      <c r="O1606" s="11"/>
      <c r="P1606" s="7"/>
    </row>
    <row r="1607" spans="1:16" x14ac:dyDescent="0.35">
      <c r="A1607" s="7"/>
      <c r="C1607" s="30" t="str">
        <f>IF(指数列表!B1604="","",指数列表!B1604)</f>
        <v/>
      </c>
      <c r="D1607" s="35" t="str">
        <f>IF(C1607="","",[1]!s_info_name(C1607))</f>
        <v/>
      </c>
      <c r="E1607" s="24" t="str">
        <f>IF(C1607="","",[1]!s_dq_close(C1607,$N$1))</f>
        <v/>
      </c>
      <c r="F1607" s="28" t="str">
        <f>IF($C1607=""," ",[1]!i_pq_pctchange($C1607,F$6,$N$1))</f>
        <v xml:space="preserve"> </v>
      </c>
      <c r="G1607" s="28" t="str">
        <f>IF($C1607=""," ",[1]!i_pq_pctchange($C1607,G$6,$N$1))</f>
        <v xml:space="preserve"> </v>
      </c>
      <c r="H1607" s="28" t="str">
        <f>IF($C1607=""," ",[1]!i_pq_pctchange($C1607,H$6,$N$1))</f>
        <v xml:space="preserve"> </v>
      </c>
      <c r="I1607" s="28" t="str">
        <f>IF($C1607=""," ",[1]!i_pq_pctchange($C1607,I$6,$N$1))</f>
        <v xml:space="preserve"> </v>
      </c>
      <c r="J1607" s="28" t="str">
        <f>IF($C1607=""," ",[1]!i_pq_pctchange($C1607,J$6,$N$1))</f>
        <v xml:space="preserve"> </v>
      </c>
      <c r="K1607" s="28" t="str">
        <f>IF($C1607=""," ",[1]!i_pq_pctchange($C1607,K$6,$N$1))</f>
        <v xml:space="preserve"> </v>
      </c>
      <c r="L1607" s="28" t="str">
        <f>IF(C1607=""," ",[1]!s_wq_pctchange($C1607,$N$1))</f>
        <v xml:space="preserve"> </v>
      </c>
      <c r="M1607" s="28" t="str">
        <f>IF(C1607=""," ",[1]!s_mq_pctchange($C1607,$N$1))</f>
        <v xml:space="preserve"> </v>
      </c>
      <c r="N1607" s="28" t="str">
        <f>IF(C1607=""," ",[1]!s_yq_pctchange($C1607,$N$1))</f>
        <v xml:space="preserve"> </v>
      </c>
      <c r="O1607" s="11"/>
      <c r="P1607" s="7"/>
    </row>
    <row r="1608" spans="1:16" x14ac:dyDescent="0.35">
      <c r="A1608" s="7"/>
      <c r="C1608" s="31" t="str">
        <f>IF(指数列表!B1605="","",指数列表!B1605)</f>
        <v/>
      </c>
      <c r="D1608" s="36" t="str">
        <f>IF(C1608="","",[1]!s_info_name(C1608))</f>
        <v/>
      </c>
      <c r="E1608" s="25" t="str">
        <f>IF(C1608="","",[1]!s_dq_close(C1608,$N$1))</f>
        <v/>
      </c>
      <c r="F1608" s="28" t="str">
        <f>IF($C1608=""," ",[1]!i_pq_pctchange($C1608,F$6,$N$1))</f>
        <v xml:space="preserve"> </v>
      </c>
      <c r="G1608" s="28" t="str">
        <f>IF($C1608=""," ",[1]!i_pq_pctchange($C1608,G$6,$N$1))</f>
        <v xml:space="preserve"> </v>
      </c>
      <c r="H1608" s="28" t="str">
        <f>IF($C1608=""," ",[1]!i_pq_pctchange($C1608,H$6,$N$1))</f>
        <v xml:space="preserve"> </v>
      </c>
      <c r="I1608" s="28" t="str">
        <f>IF($C1608=""," ",[1]!i_pq_pctchange($C1608,I$6,$N$1))</f>
        <v xml:space="preserve"> </v>
      </c>
      <c r="J1608" s="28" t="str">
        <f>IF($C1608=""," ",[1]!i_pq_pctchange($C1608,J$6,$N$1))</f>
        <v xml:space="preserve"> </v>
      </c>
      <c r="K1608" s="28" t="str">
        <f>IF($C1608=""," ",[1]!i_pq_pctchange($C1608,K$6,$N$1))</f>
        <v xml:space="preserve"> </v>
      </c>
      <c r="L1608" s="28" t="str">
        <f>IF(C1608=""," ",[1]!s_wq_pctchange($C1608,$N$1))</f>
        <v xml:space="preserve"> </v>
      </c>
      <c r="M1608" s="28" t="str">
        <f>IF(C1608=""," ",[1]!s_mq_pctchange($C1608,$N$1))</f>
        <v xml:space="preserve"> </v>
      </c>
      <c r="N1608" s="28" t="str">
        <f>IF(C1608=""," ",[1]!s_yq_pctchange($C1608,$N$1))</f>
        <v xml:space="preserve"> </v>
      </c>
      <c r="O1608" s="11"/>
      <c r="P1608" s="7"/>
    </row>
    <row r="1609" spans="1:16" x14ac:dyDescent="0.35">
      <c r="A1609" s="7"/>
      <c r="C1609" s="30" t="str">
        <f>IF(指数列表!B1606="","",指数列表!B1606)</f>
        <v/>
      </c>
      <c r="D1609" s="35" t="str">
        <f>IF(C1609="","",[1]!s_info_name(C1609))</f>
        <v/>
      </c>
      <c r="E1609" s="24" t="str">
        <f>IF(C1609="","",[1]!s_dq_close(C1609,$N$1))</f>
        <v/>
      </c>
      <c r="F1609" s="28" t="str">
        <f>IF($C1609=""," ",[1]!i_pq_pctchange($C1609,F$6,$N$1))</f>
        <v xml:space="preserve"> </v>
      </c>
      <c r="G1609" s="28" t="str">
        <f>IF($C1609=""," ",[1]!i_pq_pctchange($C1609,G$6,$N$1))</f>
        <v xml:space="preserve"> </v>
      </c>
      <c r="H1609" s="28" t="str">
        <f>IF($C1609=""," ",[1]!i_pq_pctchange($C1609,H$6,$N$1))</f>
        <v xml:space="preserve"> </v>
      </c>
      <c r="I1609" s="28" t="str">
        <f>IF($C1609=""," ",[1]!i_pq_pctchange($C1609,I$6,$N$1))</f>
        <v xml:space="preserve"> </v>
      </c>
      <c r="J1609" s="28" t="str">
        <f>IF($C1609=""," ",[1]!i_pq_pctchange($C1609,J$6,$N$1))</f>
        <v xml:space="preserve"> </v>
      </c>
      <c r="K1609" s="28" t="str">
        <f>IF($C1609=""," ",[1]!i_pq_pctchange($C1609,K$6,$N$1))</f>
        <v xml:space="preserve"> </v>
      </c>
      <c r="L1609" s="28" t="str">
        <f>IF(C1609=""," ",[1]!s_wq_pctchange($C1609,$N$1))</f>
        <v xml:space="preserve"> </v>
      </c>
      <c r="M1609" s="28" t="str">
        <f>IF(C1609=""," ",[1]!s_mq_pctchange($C1609,$N$1))</f>
        <v xml:space="preserve"> </v>
      </c>
      <c r="N1609" s="28" t="str">
        <f>IF(C1609=""," ",[1]!s_yq_pctchange($C1609,$N$1))</f>
        <v xml:space="preserve"> </v>
      </c>
      <c r="O1609" s="11"/>
      <c r="P1609" s="7"/>
    </row>
    <row r="1610" spans="1:16" x14ac:dyDescent="0.35">
      <c r="A1610" s="7"/>
      <c r="C1610" s="31" t="str">
        <f>IF(指数列表!B1607="","",指数列表!B1607)</f>
        <v/>
      </c>
      <c r="D1610" s="36" t="str">
        <f>IF(C1610="","",[1]!s_info_name(C1610))</f>
        <v/>
      </c>
      <c r="E1610" s="25" t="str">
        <f>IF(C1610="","",[1]!s_dq_close(C1610,$N$1))</f>
        <v/>
      </c>
      <c r="F1610" s="28" t="str">
        <f>IF($C1610=""," ",[1]!i_pq_pctchange($C1610,F$6,$N$1))</f>
        <v xml:space="preserve"> </v>
      </c>
      <c r="G1610" s="28" t="str">
        <f>IF($C1610=""," ",[1]!i_pq_pctchange($C1610,G$6,$N$1))</f>
        <v xml:space="preserve"> </v>
      </c>
      <c r="H1610" s="28" t="str">
        <f>IF($C1610=""," ",[1]!i_pq_pctchange($C1610,H$6,$N$1))</f>
        <v xml:space="preserve"> </v>
      </c>
      <c r="I1610" s="28" t="str">
        <f>IF($C1610=""," ",[1]!i_pq_pctchange($C1610,I$6,$N$1))</f>
        <v xml:space="preserve"> </v>
      </c>
      <c r="J1610" s="28" t="str">
        <f>IF($C1610=""," ",[1]!i_pq_pctchange($C1610,J$6,$N$1))</f>
        <v xml:space="preserve"> </v>
      </c>
      <c r="K1610" s="28" t="str">
        <f>IF($C1610=""," ",[1]!i_pq_pctchange($C1610,K$6,$N$1))</f>
        <v xml:space="preserve"> </v>
      </c>
      <c r="L1610" s="28" t="str">
        <f>IF(C1610=""," ",[1]!s_wq_pctchange($C1610,$N$1))</f>
        <v xml:space="preserve"> </v>
      </c>
      <c r="M1610" s="28" t="str">
        <f>IF(C1610=""," ",[1]!s_mq_pctchange($C1610,$N$1))</f>
        <v xml:space="preserve"> </v>
      </c>
      <c r="N1610" s="28" t="str">
        <f>IF(C1610=""," ",[1]!s_yq_pctchange($C1610,$N$1))</f>
        <v xml:space="preserve"> </v>
      </c>
      <c r="O1610" s="11"/>
      <c r="P1610" s="7"/>
    </row>
    <row r="1611" spans="1:16" x14ac:dyDescent="0.35">
      <c r="A1611" s="7"/>
      <c r="C1611" s="30" t="str">
        <f>IF(指数列表!B1608="","",指数列表!B1608)</f>
        <v/>
      </c>
      <c r="D1611" s="35" t="str">
        <f>IF(C1611="","",[1]!s_info_name(C1611))</f>
        <v/>
      </c>
      <c r="E1611" s="24" t="str">
        <f>IF(C1611="","",[1]!s_dq_close(C1611,$N$1))</f>
        <v/>
      </c>
      <c r="F1611" s="28" t="str">
        <f>IF($C1611=""," ",[1]!i_pq_pctchange($C1611,F$6,$N$1))</f>
        <v xml:space="preserve"> </v>
      </c>
      <c r="G1611" s="28" t="str">
        <f>IF($C1611=""," ",[1]!i_pq_pctchange($C1611,G$6,$N$1))</f>
        <v xml:space="preserve"> </v>
      </c>
      <c r="H1611" s="28" t="str">
        <f>IF($C1611=""," ",[1]!i_pq_pctchange($C1611,H$6,$N$1))</f>
        <v xml:space="preserve"> </v>
      </c>
      <c r="I1611" s="28" t="str">
        <f>IF($C1611=""," ",[1]!i_pq_pctchange($C1611,I$6,$N$1))</f>
        <v xml:space="preserve"> </v>
      </c>
      <c r="J1611" s="28" t="str">
        <f>IF($C1611=""," ",[1]!i_pq_pctchange($C1611,J$6,$N$1))</f>
        <v xml:space="preserve"> </v>
      </c>
      <c r="K1611" s="28" t="str">
        <f>IF($C1611=""," ",[1]!i_pq_pctchange($C1611,K$6,$N$1))</f>
        <v xml:space="preserve"> </v>
      </c>
      <c r="L1611" s="28" t="str">
        <f>IF(C1611=""," ",[1]!s_wq_pctchange($C1611,$N$1))</f>
        <v xml:space="preserve"> </v>
      </c>
      <c r="M1611" s="28" t="str">
        <f>IF(C1611=""," ",[1]!s_mq_pctchange($C1611,$N$1))</f>
        <v xml:space="preserve"> </v>
      </c>
      <c r="N1611" s="28" t="str">
        <f>IF(C1611=""," ",[1]!s_yq_pctchange($C1611,$N$1))</f>
        <v xml:space="preserve"> </v>
      </c>
      <c r="O1611" s="11"/>
      <c r="P1611" s="7"/>
    </row>
    <row r="1612" spans="1:16" x14ac:dyDescent="0.35">
      <c r="A1612" s="7"/>
      <c r="C1612" s="31" t="str">
        <f>IF(指数列表!B1609="","",指数列表!B1609)</f>
        <v/>
      </c>
      <c r="D1612" s="36" t="str">
        <f>IF(C1612="","",[1]!s_info_name(C1612))</f>
        <v/>
      </c>
      <c r="E1612" s="25" t="str">
        <f>IF(C1612="","",[1]!s_dq_close(C1612,$N$1))</f>
        <v/>
      </c>
      <c r="F1612" s="28" t="str">
        <f>IF($C1612=""," ",[1]!i_pq_pctchange($C1612,F$6,$N$1))</f>
        <v xml:space="preserve"> </v>
      </c>
      <c r="G1612" s="28" t="str">
        <f>IF($C1612=""," ",[1]!i_pq_pctchange($C1612,G$6,$N$1))</f>
        <v xml:space="preserve"> </v>
      </c>
      <c r="H1612" s="28" t="str">
        <f>IF($C1612=""," ",[1]!i_pq_pctchange($C1612,H$6,$N$1))</f>
        <v xml:space="preserve"> </v>
      </c>
      <c r="I1612" s="28" t="str">
        <f>IF($C1612=""," ",[1]!i_pq_pctchange($C1612,I$6,$N$1))</f>
        <v xml:space="preserve"> </v>
      </c>
      <c r="J1612" s="28" t="str">
        <f>IF($C1612=""," ",[1]!i_pq_pctchange($C1612,J$6,$N$1))</f>
        <v xml:space="preserve"> </v>
      </c>
      <c r="K1612" s="28" t="str">
        <f>IF($C1612=""," ",[1]!i_pq_pctchange($C1612,K$6,$N$1))</f>
        <v xml:space="preserve"> </v>
      </c>
      <c r="L1612" s="28" t="str">
        <f>IF(C1612=""," ",[1]!s_wq_pctchange($C1612,$N$1))</f>
        <v xml:space="preserve"> </v>
      </c>
      <c r="M1612" s="28" t="str">
        <f>IF(C1612=""," ",[1]!s_mq_pctchange($C1612,$N$1))</f>
        <v xml:space="preserve"> </v>
      </c>
      <c r="N1612" s="28" t="str">
        <f>IF(C1612=""," ",[1]!s_yq_pctchange($C1612,$N$1))</f>
        <v xml:space="preserve"> </v>
      </c>
      <c r="O1612" s="11"/>
      <c r="P1612" s="7"/>
    </row>
    <row r="1613" spans="1:16" x14ac:dyDescent="0.35">
      <c r="A1613" s="7"/>
      <c r="C1613" s="30" t="str">
        <f>IF(指数列表!B1610="","",指数列表!B1610)</f>
        <v/>
      </c>
      <c r="D1613" s="35" t="str">
        <f>IF(C1613="","",[1]!s_info_name(C1613))</f>
        <v/>
      </c>
      <c r="E1613" s="24" t="str">
        <f>IF(C1613="","",[1]!s_dq_close(C1613,$N$1))</f>
        <v/>
      </c>
      <c r="F1613" s="28" t="str">
        <f>IF($C1613=""," ",[1]!i_pq_pctchange($C1613,F$6,$N$1))</f>
        <v xml:space="preserve"> </v>
      </c>
      <c r="G1613" s="28" t="str">
        <f>IF($C1613=""," ",[1]!i_pq_pctchange($C1613,G$6,$N$1))</f>
        <v xml:space="preserve"> </v>
      </c>
      <c r="H1613" s="28" t="str">
        <f>IF($C1613=""," ",[1]!i_pq_pctchange($C1613,H$6,$N$1))</f>
        <v xml:space="preserve"> </v>
      </c>
      <c r="I1613" s="28" t="str">
        <f>IF($C1613=""," ",[1]!i_pq_pctchange($C1613,I$6,$N$1))</f>
        <v xml:space="preserve"> </v>
      </c>
      <c r="J1613" s="28" t="str">
        <f>IF($C1613=""," ",[1]!i_pq_pctchange($C1613,J$6,$N$1))</f>
        <v xml:space="preserve"> </v>
      </c>
      <c r="K1613" s="28" t="str">
        <f>IF($C1613=""," ",[1]!i_pq_pctchange($C1613,K$6,$N$1))</f>
        <v xml:space="preserve"> </v>
      </c>
      <c r="L1613" s="28" t="str">
        <f>IF(C1613=""," ",[1]!s_wq_pctchange($C1613,$N$1))</f>
        <v xml:space="preserve"> </v>
      </c>
      <c r="M1613" s="28" t="str">
        <f>IF(C1613=""," ",[1]!s_mq_pctchange($C1613,$N$1))</f>
        <v xml:space="preserve"> </v>
      </c>
      <c r="N1613" s="28" t="str">
        <f>IF(C1613=""," ",[1]!s_yq_pctchange($C1613,$N$1))</f>
        <v xml:space="preserve"> </v>
      </c>
      <c r="O1613" s="11"/>
      <c r="P1613" s="7"/>
    </row>
    <row r="1614" spans="1:16" x14ac:dyDescent="0.35">
      <c r="A1614" s="7"/>
      <c r="C1614" s="31" t="str">
        <f>IF(指数列表!B1611="","",指数列表!B1611)</f>
        <v/>
      </c>
      <c r="D1614" s="36" t="str">
        <f>IF(C1614="","",[1]!s_info_name(C1614))</f>
        <v/>
      </c>
      <c r="E1614" s="25" t="str">
        <f>IF(C1614="","",[1]!s_dq_close(C1614,$N$1))</f>
        <v/>
      </c>
      <c r="F1614" s="28" t="str">
        <f>IF($C1614=""," ",[1]!i_pq_pctchange($C1614,F$6,$N$1))</f>
        <v xml:space="preserve"> </v>
      </c>
      <c r="G1614" s="28" t="str">
        <f>IF($C1614=""," ",[1]!i_pq_pctchange($C1614,G$6,$N$1))</f>
        <v xml:space="preserve"> </v>
      </c>
      <c r="H1614" s="28" t="str">
        <f>IF($C1614=""," ",[1]!i_pq_pctchange($C1614,H$6,$N$1))</f>
        <v xml:space="preserve"> </v>
      </c>
      <c r="I1614" s="28" t="str">
        <f>IF($C1614=""," ",[1]!i_pq_pctchange($C1614,I$6,$N$1))</f>
        <v xml:space="preserve"> </v>
      </c>
      <c r="J1614" s="28" t="str">
        <f>IF($C1614=""," ",[1]!i_pq_pctchange($C1614,J$6,$N$1))</f>
        <v xml:space="preserve"> </v>
      </c>
      <c r="K1614" s="28" t="str">
        <f>IF($C1614=""," ",[1]!i_pq_pctchange($C1614,K$6,$N$1))</f>
        <v xml:space="preserve"> </v>
      </c>
      <c r="L1614" s="28" t="str">
        <f>IF(C1614=""," ",[1]!s_wq_pctchange($C1614,$N$1))</f>
        <v xml:space="preserve"> </v>
      </c>
      <c r="M1614" s="28" t="str">
        <f>IF(C1614=""," ",[1]!s_mq_pctchange($C1614,$N$1))</f>
        <v xml:space="preserve"> </v>
      </c>
      <c r="N1614" s="28" t="str">
        <f>IF(C1614=""," ",[1]!s_yq_pctchange($C1614,$N$1))</f>
        <v xml:space="preserve"> </v>
      </c>
      <c r="O1614" s="11"/>
      <c r="P1614" s="7"/>
    </row>
    <row r="1615" spans="1:16" x14ac:dyDescent="0.35">
      <c r="A1615" s="7"/>
      <c r="C1615" s="30" t="str">
        <f>IF(指数列表!B1612="","",指数列表!B1612)</f>
        <v/>
      </c>
      <c r="D1615" s="35" t="str">
        <f>IF(C1615="","",[1]!s_info_name(C1615))</f>
        <v/>
      </c>
      <c r="E1615" s="24" t="str">
        <f>IF(C1615="","",[1]!s_dq_close(C1615,$N$1))</f>
        <v/>
      </c>
      <c r="F1615" s="28" t="str">
        <f>IF($C1615=""," ",[1]!i_pq_pctchange($C1615,F$6,$N$1))</f>
        <v xml:space="preserve"> </v>
      </c>
      <c r="G1615" s="28" t="str">
        <f>IF($C1615=""," ",[1]!i_pq_pctchange($C1615,G$6,$N$1))</f>
        <v xml:space="preserve"> </v>
      </c>
      <c r="H1615" s="28" t="str">
        <f>IF($C1615=""," ",[1]!i_pq_pctchange($C1615,H$6,$N$1))</f>
        <v xml:space="preserve"> </v>
      </c>
      <c r="I1615" s="28" t="str">
        <f>IF($C1615=""," ",[1]!i_pq_pctchange($C1615,I$6,$N$1))</f>
        <v xml:space="preserve"> </v>
      </c>
      <c r="J1615" s="28" t="str">
        <f>IF($C1615=""," ",[1]!i_pq_pctchange($C1615,J$6,$N$1))</f>
        <v xml:space="preserve"> </v>
      </c>
      <c r="K1615" s="28" t="str">
        <f>IF($C1615=""," ",[1]!i_pq_pctchange($C1615,K$6,$N$1))</f>
        <v xml:space="preserve"> </v>
      </c>
      <c r="L1615" s="28" t="str">
        <f>IF(C1615=""," ",[1]!s_wq_pctchange($C1615,$N$1))</f>
        <v xml:space="preserve"> </v>
      </c>
      <c r="M1615" s="28" t="str">
        <f>IF(C1615=""," ",[1]!s_mq_pctchange($C1615,$N$1))</f>
        <v xml:space="preserve"> </v>
      </c>
      <c r="N1615" s="28" t="str">
        <f>IF(C1615=""," ",[1]!s_yq_pctchange($C1615,$N$1))</f>
        <v xml:space="preserve"> </v>
      </c>
      <c r="O1615" s="11"/>
      <c r="P1615" s="7"/>
    </row>
    <row r="1616" spans="1:16" x14ac:dyDescent="0.35">
      <c r="A1616" s="7"/>
      <c r="C1616" s="31" t="str">
        <f>IF(指数列表!B1613="","",指数列表!B1613)</f>
        <v/>
      </c>
      <c r="D1616" s="36" t="str">
        <f>IF(C1616="","",[1]!s_info_name(C1616))</f>
        <v/>
      </c>
      <c r="E1616" s="25" t="str">
        <f>IF(C1616="","",[1]!s_dq_close(C1616,$N$1))</f>
        <v/>
      </c>
      <c r="F1616" s="28" t="str">
        <f>IF($C1616=""," ",[1]!i_pq_pctchange($C1616,F$6,$N$1))</f>
        <v xml:space="preserve"> </v>
      </c>
      <c r="G1616" s="28" t="str">
        <f>IF($C1616=""," ",[1]!i_pq_pctchange($C1616,G$6,$N$1))</f>
        <v xml:space="preserve"> </v>
      </c>
      <c r="H1616" s="28" t="str">
        <f>IF($C1616=""," ",[1]!i_pq_pctchange($C1616,H$6,$N$1))</f>
        <v xml:space="preserve"> </v>
      </c>
      <c r="I1616" s="28" t="str">
        <f>IF($C1616=""," ",[1]!i_pq_pctchange($C1616,I$6,$N$1))</f>
        <v xml:space="preserve"> </v>
      </c>
      <c r="J1616" s="28" t="str">
        <f>IF($C1616=""," ",[1]!i_pq_pctchange($C1616,J$6,$N$1))</f>
        <v xml:space="preserve"> </v>
      </c>
      <c r="K1616" s="28" t="str">
        <f>IF($C1616=""," ",[1]!i_pq_pctchange($C1616,K$6,$N$1))</f>
        <v xml:space="preserve"> </v>
      </c>
      <c r="L1616" s="28" t="str">
        <f>IF(C1616=""," ",[1]!s_wq_pctchange($C1616,$N$1))</f>
        <v xml:space="preserve"> </v>
      </c>
      <c r="M1616" s="28" t="str">
        <f>IF(C1616=""," ",[1]!s_mq_pctchange($C1616,$N$1))</f>
        <v xml:space="preserve"> </v>
      </c>
      <c r="N1616" s="28" t="str">
        <f>IF(C1616=""," ",[1]!s_yq_pctchange($C1616,$N$1))</f>
        <v xml:space="preserve"> </v>
      </c>
      <c r="O1616" s="11"/>
      <c r="P1616" s="7"/>
    </row>
    <row r="1617" spans="1:16" x14ac:dyDescent="0.35">
      <c r="A1617" s="7"/>
      <c r="C1617" s="30" t="str">
        <f>IF(指数列表!B1614="","",指数列表!B1614)</f>
        <v/>
      </c>
      <c r="D1617" s="35" t="str">
        <f>IF(C1617="","",[1]!s_info_name(C1617))</f>
        <v/>
      </c>
      <c r="E1617" s="24" t="str">
        <f>IF(C1617="","",[1]!s_dq_close(C1617,$N$1))</f>
        <v/>
      </c>
      <c r="F1617" s="28" t="str">
        <f>IF($C1617=""," ",[1]!i_pq_pctchange($C1617,F$6,$N$1))</f>
        <v xml:space="preserve"> </v>
      </c>
      <c r="G1617" s="28" t="str">
        <f>IF($C1617=""," ",[1]!i_pq_pctchange($C1617,G$6,$N$1))</f>
        <v xml:space="preserve"> </v>
      </c>
      <c r="H1617" s="28" t="str">
        <f>IF($C1617=""," ",[1]!i_pq_pctchange($C1617,H$6,$N$1))</f>
        <v xml:space="preserve"> </v>
      </c>
      <c r="I1617" s="28" t="str">
        <f>IF($C1617=""," ",[1]!i_pq_pctchange($C1617,I$6,$N$1))</f>
        <v xml:space="preserve"> </v>
      </c>
      <c r="J1617" s="28" t="str">
        <f>IF($C1617=""," ",[1]!i_pq_pctchange($C1617,J$6,$N$1))</f>
        <v xml:space="preserve"> </v>
      </c>
      <c r="K1617" s="28" t="str">
        <f>IF($C1617=""," ",[1]!i_pq_pctchange($C1617,K$6,$N$1))</f>
        <v xml:space="preserve"> </v>
      </c>
      <c r="L1617" s="28" t="str">
        <f>IF(C1617=""," ",[1]!s_wq_pctchange($C1617,$N$1))</f>
        <v xml:space="preserve"> </v>
      </c>
      <c r="M1617" s="28" t="str">
        <f>IF(C1617=""," ",[1]!s_mq_pctchange($C1617,$N$1))</f>
        <v xml:space="preserve"> </v>
      </c>
      <c r="N1617" s="28" t="str">
        <f>IF(C1617=""," ",[1]!s_yq_pctchange($C1617,$N$1))</f>
        <v xml:space="preserve"> </v>
      </c>
      <c r="O1617" s="11"/>
      <c r="P1617" s="7"/>
    </row>
    <row r="1618" spans="1:16" x14ac:dyDescent="0.35">
      <c r="A1618" s="7"/>
      <c r="C1618" s="31" t="str">
        <f>IF(指数列表!B1615="","",指数列表!B1615)</f>
        <v/>
      </c>
      <c r="D1618" s="36" t="str">
        <f>IF(C1618="","",[1]!s_info_name(C1618))</f>
        <v/>
      </c>
      <c r="E1618" s="25" t="str">
        <f>IF(C1618="","",[1]!s_dq_close(C1618,$N$1))</f>
        <v/>
      </c>
      <c r="F1618" s="28" t="str">
        <f>IF($C1618=""," ",[1]!i_pq_pctchange($C1618,F$6,$N$1))</f>
        <v xml:space="preserve"> </v>
      </c>
      <c r="G1618" s="28" t="str">
        <f>IF($C1618=""," ",[1]!i_pq_pctchange($C1618,G$6,$N$1))</f>
        <v xml:space="preserve"> </v>
      </c>
      <c r="H1618" s="28" t="str">
        <f>IF($C1618=""," ",[1]!i_pq_pctchange($C1618,H$6,$N$1))</f>
        <v xml:space="preserve"> </v>
      </c>
      <c r="I1618" s="28" t="str">
        <f>IF($C1618=""," ",[1]!i_pq_pctchange($C1618,I$6,$N$1))</f>
        <v xml:space="preserve"> </v>
      </c>
      <c r="J1618" s="28" t="str">
        <f>IF($C1618=""," ",[1]!i_pq_pctchange($C1618,J$6,$N$1))</f>
        <v xml:space="preserve"> </v>
      </c>
      <c r="K1618" s="28" t="str">
        <f>IF($C1618=""," ",[1]!i_pq_pctchange($C1618,K$6,$N$1))</f>
        <v xml:space="preserve"> </v>
      </c>
      <c r="L1618" s="28" t="str">
        <f>IF(C1618=""," ",[1]!s_wq_pctchange($C1618,$N$1))</f>
        <v xml:space="preserve"> </v>
      </c>
      <c r="M1618" s="28" t="str">
        <f>IF(C1618=""," ",[1]!s_mq_pctchange($C1618,$N$1))</f>
        <v xml:space="preserve"> </v>
      </c>
      <c r="N1618" s="28" t="str">
        <f>IF(C1618=""," ",[1]!s_yq_pctchange($C1618,$N$1))</f>
        <v xml:space="preserve"> </v>
      </c>
      <c r="O1618" s="11"/>
      <c r="P1618" s="7"/>
    </row>
    <row r="1619" spans="1:16" x14ac:dyDescent="0.35">
      <c r="A1619" s="7"/>
      <c r="C1619" s="30" t="str">
        <f>IF(指数列表!B1616="","",指数列表!B1616)</f>
        <v/>
      </c>
      <c r="D1619" s="35" t="str">
        <f>IF(C1619="","",[1]!s_info_name(C1619))</f>
        <v/>
      </c>
      <c r="E1619" s="24" t="str">
        <f>IF(C1619="","",[1]!s_dq_close(C1619,$N$1))</f>
        <v/>
      </c>
      <c r="F1619" s="28" t="str">
        <f>IF($C1619=""," ",[1]!i_pq_pctchange($C1619,F$6,$N$1))</f>
        <v xml:space="preserve"> </v>
      </c>
      <c r="G1619" s="28" t="str">
        <f>IF($C1619=""," ",[1]!i_pq_pctchange($C1619,G$6,$N$1))</f>
        <v xml:space="preserve"> </v>
      </c>
      <c r="H1619" s="28" t="str">
        <f>IF($C1619=""," ",[1]!i_pq_pctchange($C1619,H$6,$N$1))</f>
        <v xml:space="preserve"> </v>
      </c>
      <c r="I1619" s="28" t="str">
        <f>IF($C1619=""," ",[1]!i_pq_pctchange($C1619,I$6,$N$1))</f>
        <v xml:space="preserve"> </v>
      </c>
      <c r="J1619" s="28" t="str">
        <f>IF($C1619=""," ",[1]!i_pq_pctchange($C1619,J$6,$N$1))</f>
        <v xml:space="preserve"> </v>
      </c>
      <c r="K1619" s="28" t="str">
        <f>IF($C1619=""," ",[1]!i_pq_pctchange($C1619,K$6,$N$1))</f>
        <v xml:space="preserve"> </v>
      </c>
      <c r="L1619" s="28" t="str">
        <f>IF(C1619=""," ",[1]!s_wq_pctchange($C1619,$N$1))</f>
        <v xml:space="preserve"> </v>
      </c>
      <c r="M1619" s="28" t="str">
        <f>IF(C1619=""," ",[1]!s_mq_pctchange($C1619,$N$1))</f>
        <v xml:space="preserve"> </v>
      </c>
      <c r="N1619" s="28" t="str">
        <f>IF(C1619=""," ",[1]!s_yq_pctchange($C1619,$N$1))</f>
        <v xml:space="preserve"> </v>
      </c>
      <c r="O1619" s="11"/>
      <c r="P1619" s="7"/>
    </row>
    <row r="1620" spans="1:16" x14ac:dyDescent="0.35">
      <c r="A1620" s="7"/>
      <c r="C1620" s="31" t="str">
        <f>IF(指数列表!B1617="","",指数列表!B1617)</f>
        <v/>
      </c>
      <c r="D1620" s="36" t="str">
        <f>IF(C1620="","",[1]!s_info_name(C1620))</f>
        <v/>
      </c>
      <c r="E1620" s="25" t="str">
        <f>IF(C1620="","",[1]!s_dq_close(C1620,$N$1))</f>
        <v/>
      </c>
      <c r="F1620" s="28" t="str">
        <f>IF($C1620=""," ",[1]!i_pq_pctchange($C1620,F$6,$N$1))</f>
        <v xml:space="preserve"> </v>
      </c>
      <c r="G1620" s="28" t="str">
        <f>IF($C1620=""," ",[1]!i_pq_pctchange($C1620,G$6,$N$1))</f>
        <v xml:space="preserve"> </v>
      </c>
      <c r="H1620" s="28" t="str">
        <f>IF($C1620=""," ",[1]!i_pq_pctchange($C1620,H$6,$N$1))</f>
        <v xml:space="preserve"> </v>
      </c>
      <c r="I1620" s="28" t="str">
        <f>IF($C1620=""," ",[1]!i_pq_pctchange($C1620,I$6,$N$1))</f>
        <v xml:space="preserve"> </v>
      </c>
      <c r="J1620" s="28" t="str">
        <f>IF($C1620=""," ",[1]!i_pq_pctchange($C1620,J$6,$N$1))</f>
        <v xml:space="preserve"> </v>
      </c>
      <c r="K1620" s="28" t="str">
        <f>IF($C1620=""," ",[1]!i_pq_pctchange($C1620,K$6,$N$1))</f>
        <v xml:space="preserve"> </v>
      </c>
      <c r="L1620" s="28" t="str">
        <f>IF(C1620=""," ",[1]!s_wq_pctchange($C1620,$N$1))</f>
        <v xml:space="preserve"> </v>
      </c>
      <c r="M1620" s="28" t="str">
        <f>IF(C1620=""," ",[1]!s_mq_pctchange($C1620,$N$1))</f>
        <v xml:space="preserve"> </v>
      </c>
      <c r="N1620" s="28" t="str">
        <f>IF(C1620=""," ",[1]!s_yq_pctchange($C1620,$N$1))</f>
        <v xml:space="preserve"> </v>
      </c>
      <c r="O1620" s="11"/>
      <c r="P1620" s="7"/>
    </row>
    <row r="1621" spans="1:16" x14ac:dyDescent="0.35">
      <c r="A1621" s="7"/>
      <c r="C1621" s="30" t="str">
        <f>IF(指数列表!B1618="","",指数列表!B1618)</f>
        <v/>
      </c>
      <c r="D1621" s="35" t="str">
        <f>IF(C1621="","",[1]!s_info_name(C1621))</f>
        <v/>
      </c>
      <c r="E1621" s="24" t="str">
        <f>IF(C1621="","",[1]!s_dq_close(C1621,$N$1))</f>
        <v/>
      </c>
      <c r="F1621" s="28" t="str">
        <f>IF($C1621=""," ",[1]!i_pq_pctchange($C1621,F$6,$N$1))</f>
        <v xml:space="preserve"> </v>
      </c>
      <c r="G1621" s="28" t="str">
        <f>IF($C1621=""," ",[1]!i_pq_pctchange($C1621,G$6,$N$1))</f>
        <v xml:space="preserve"> </v>
      </c>
      <c r="H1621" s="28" t="str">
        <f>IF($C1621=""," ",[1]!i_pq_pctchange($C1621,H$6,$N$1))</f>
        <v xml:space="preserve"> </v>
      </c>
      <c r="I1621" s="28" t="str">
        <f>IF($C1621=""," ",[1]!i_pq_pctchange($C1621,I$6,$N$1))</f>
        <v xml:space="preserve"> </v>
      </c>
      <c r="J1621" s="28" t="str">
        <f>IF($C1621=""," ",[1]!i_pq_pctchange($C1621,J$6,$N$1))</f>
        <v xml:space="preserve"> </v>
      </c>
      <c r="K1621" s="28" t="str">
        <f>IF($C1621=""," ",[1]!i_pq_pctchange($C1621,K$6,$N$1))</f>
        <v xml:space="preserve"> </v>
      </c>
      <c r="L1621" s="28" t="str">
        <f>IF(C1621=""," ",[1]!s_wq_pctchange($C1621,$N$1))</f>
        <v xml:space="preserve"> </v>
      </c>
      <c r="M1621" s="28" t="str">
        <f>IF(C1621=""," ",[1]!s_mq_pctchange($C1621,$N$1))</f>
        <v xml:space="preserve"> </v>
      </c>
      <c r="N1621" s="28" t="str">
        <f>IF(C1621=""," ",[1]!s_yq_pctchange($C1621,$N$1))</f>
        <v xml:space="preserve"> </v>
      </c>
      <c r="O1621" s="11"/>
      <c r="P1621" s="7"/>
    </row>
    <row r="1622" spans="1:16" x14ac:dyDescent="0.35">
      <c r="A1622" s="7"/>
      <c r="C1622" s="31" t="str">
        <f>IF(指数列表!B1619="","",指数列表!B1619)</f>
        <v/>
      </c>
      <c r="D1622" s="36" t="str">
        <f>IF(C1622="","",[1]!s_info_name(C1622))</f>
        <v/>
      </c>
      <c r="E1622" s="25" t="str">
        <f>IF(C1622="","",[1]!s_dq_close(C1622,$N$1))</f>
        <v/>
      </c>
      <c r="F1622" s="28" t="str">
        <f>IF($C1622=""," ",[1]!i_pq_pctchange($C1622,F$6,$N$1))</f>
        <v xml:space="preserve"> </v>
      </c>
      <c r="G1622" s="28" t="str">
        <f>IF($C1622=""," ",[1]!i_pq_pctchange($C1622,G$6,$N$1))</f>
        <v xml:space="preserve"> </v>
      </c>
      <c r="H1622" s="28" t="str">
        <f>IF($C1622=""," ",[1]!i_pq_pctchange($C1622,H$6,$N$1))</f>
        <v xml:space="preserve"> </v>
      </c>
      <c r="I1622" s="28" t="str">
        <f>IF($C1622=""," ",[1]!i_pq_pctchange($C1622,I$6,$N$1))</f>
        <v xml:space="preserve"> </v>
      </c>
      <c r="J1622" s="28" t="str">
        <f>IF($C1622=""," ",[1]!i_pq_pctchange($C1622,J$6,$N$1))</f>
        <v xml:space="preserve"> </v>
      </c>
      <c r="K1622" s="28" t="str">
        <f>IF($C1622=""," ",[1]!i_pq_pctchange($C1622,K$6,$N$1))</f>
        <v xml:space="preserve"> </v>
      </c>
      <c r="L1622" s="28" t="str">
        <f>IF(C1622=""," ",[1]!s_wq_pctchange($C1622,$N$1))</f>
        <v xml:space="preserve"> </v>
      </c>
      <c r="M1622" s="28" t="str">
        <f>IF(C1622=""," ",[1]!s_mq_pctchange($C1622,$N$1))</f>
        <v xml:space="preserve"> </v>
      </c>
      <c r="N1622" s="28" t="str">
        <f>IF(C1622=""," ",[1]!s_yq_pctchange($C1622,$N$1))</f>
        <v xml:space="preserve"> </v>
      </c>
      <c r="O1622" s="11"/>
      <c r="P1622" s="7"/>
    </row>
    <row r="1623" spans="1:16" x14ac:dyDescent="0.35">
      <c r="A1623" s="7"/>
      <c r="C1623" s="30" t="str">
        <f>IF(指数列表!B1620="","",指数列表!B1620)</f>
        <v/>
      </c>
      <c r="D1623" s="35" t="str">
        <f>IF(C1623="","",[1]!s_info_name(C1623))</f>
        <v/>
      </c>
      <c r="E1623" s="24" t="str">
        <f>IF(C1623="","",[1]!s_dq_close(C1623,$N$1))</f>
        <v/>
      </c>
      <c r="F1623" s="28" t="str">
        <f>IF($C1623=""," ",[1]!i_pq_pctchange($C1623,F$6,$N$1))</f>
        <v xml:space="preserve"> </v>
      </c>
      <c r="G1623" s="28" t="str">
        <f>IF($C1623=""," ",[1]!i_pq_pctchange($C1623,G$6,$N$1))</f>
        <v xml:space="preserve"> </v>
      </c>
      <c r="H1623" s="28" t="str">
        <f>IF($C1623=""," ",[1]!i_pq_pctchange($C1623,H$6,$N$1))</f>
        <v xml:space="preserve"> </v>
      </c>
      <c r="I1623" s="28" t="str">
        <f>IF($C1623=""," ",[1]!i_pq_pctchange($C1623,I$6,$N$1))</f>
        <v xml:space="preserve"> </v>
      </c>
      <c r="J1623" s="28" t="str">
        <f>IF($C1623=""," ",[1]!i_pq_pctchange($C1623,J$6,$N$1))</f>
        <v xml:space="preserve"> </v>
      </c>
      <c r="K1623" s="28" t="str">
        <f>IF($C1623=""," ",[1]!i_pq_pctchange($C1623,K$6,$N$1))</f>
        <v xml:space="preserve"> </v>
      </c>
      <c r="L1623" s="28" t="str">
        <f>IF(C1623=""," ",[1]!s_wq_pctchange($C1623,$N$1))</f>
        <v xml:space="preserve"> </v>
      </c>
      <c r="M1623" s="28" t="str">
        <f>IF(C1623=""," ",[1]!s_mq_pctchange($C1623,$N$1))</f>
        <v xml:space="preserve"> </v>
      </c>
      <c r="N1623" s="28" t="str">
        <f>IF(C1623=""," ",[1]!s_yq_pctchange($C1623,$N$1))</f>
        <v xml:space="preserve"> </v>
      </c>
      <c r="O1623" s="11"/>
      <c r="P1623" s="7"/>
    </row>
    <row r="1624" spans="1:16" x14ac:dyDescent="0.35">
      <c r="A1624" s="7"/>
      <c r="C1624" s="31" t="str">
        <f>IF(指数列表!B1621="","",指数列表!B1621)</f>
        <v/>
      </c>
      <c r="D1624" s="36" t="str">
        <f>IF(C1624="","",[1]!s_info_name(C1624))</f>
        <v/>
      </c>
      <c r="E1624" s="25" t="str">
        <f>IF(C1624="","",[1]!s_dq_close(C1624,$N$1))</f>
        <v/>
      </c>
      <c r="F1624" s="28" t="str">
        <f>IF($C1624=""," ",[1]!i_pq_pctchange($C1624,F$6,$N$1))</f>
        <v xml:space="preserve"> </v>
      </c>
      <c r="G1624" s="28" t="str">
        <f>IF($C1624=""," ",[1]!i_pq_pctchange($C1624,G$6,$N$1))</f>
        <v xml:space="preserve"> </v>
      </c>
      <c r="H1624" s="28" t="str">
        <f>IF($C1624=""," ",[1]!i_pq_pctchange($C1624,H$6,$N$1))</f>
        <v xml:space="preserve"> </v>
      </c>
      <c r="I1624" s="28" t="str">
        <f>IF($C1624=""," ",[1]!i_pq_pctchange($C1624,I$6,$N$1))</f>
        <v xml:space="preserve"> </v>
      </c>
      <c r="J1624" s="28" t="str">
        <f>IF($C1624=""," ",[1]!i_pq_pctchange($C1624,J$6,$N$1))</f>
        <v xml:space="preserve"> </v>
      </c>
      <c r="K1624" s="28" t="str">
        <f>IF($C1624=""," ",[1]!i_pq_pctchange($C1624,K$6,$N$1))</f>
        <v xml:space="preserve"> </v>
      </c>
      <c r="L1624" s="28" t="str">
        <f>IF(C1624=""," ",[1]!s_wq_pctchange($C1624,$N$1))</f>
        <v xml:space="preserve"> </v>
      </c>
      <c r="M1624" s="28" t="str">
        <f>IF(C1624=""," ",[1]!s_mq_pctchange($C1624,$N$1))</f>
        <v xml:space="preserve"> </v>
      </c>
      <c r="N1624" s="28" t="str">
        <f>IF(C1624=""," ",[1]!s_yq_pctchange($C1624,$N$1))</f>
        <v xml:space="preserve"> </v>
      </c>
      <c r="O1624" s="11"/>
      <c r="P1624" s="7"/>
    </row>
    <row r="1625" spans="1:16" x14ac:dyDescent="0.35">
      <c r="A1625" s="7"/>
      <c r="C1625" s="30" t="str">
        <f>IF(指数列表!B1622="","",指数列表!B1622)</f>
        <v/>
      </c>
      <c r="D1625" s="35" t="str">
        <f>IF(C1625="","",[1]!s_info_name(C1625))</f>
        <v/>
      </c>
      <c r="E1625" s="24" t="str">
        <f>IF(C1625="","",[1]!s_dq_close(C1625,$N$1))</f>
        <v/>
      </c>
      <c r="F1625" s="28" t="str">
        <f>IF($C1625=""," ",[1]!i_pq_pctchange($C1625,F$6,$N$1))</f>
        <v xml:space="preserve"> </v>
      </c>
      <c r="G1625" s="28" t="str">
        <f>IF($C1625=""," ",[1]!i_pq_pctchange($C1625,G$6,$N$1))</f>
        <v xml:space="preserve"> </v>
      </c>
      <c r="H1625" s="28" t="str">
        <f>IF($C1625=""," ",[1]!i_pq_pctchange($C1625,H$6,$N$1))</f>
        <v xml:space="preserve"> </v>
      </c>
      <c r="I1625" s="28" t="str">
        <f>IF($C1625=""," ",[1]!i_pq_pctchange($C1625,I$6,$N$1))</f>
        <v xml:space="preserve"> </v>
      </c>
      <c r="J1625" s="28" t="str">
        <f>IF($C1625=""," ",[1]!i_pq_pctchange($C1625,J$6,$N$1))</f>
        <v xml:space="preserve"> </v>
      </c>
      <c r="K1625" s="28" t="str">
        <f>IF($C1625=""," ",[1]!i_pq_pctchange($C1625,K$6,$N$1))</f>
        <v xml:space="preserve"> </v>
      </c>
      <c r="L1625" s="28" t="str">
        <f>IF(C1625=""," ",[1]!s_wq_pctchange($C1625,$N$1))</f>
        <v xml:space="preserve"> </v>
      </c>
      <c r="M1625" s="28" t="str">
        <f>IF(C1625=""," ",[1]!s_mq_pctchange($C1625,$N$1))</f>
        <v xml:space="preserve"> </v>
      </c>
      <c r="N1625" s="28" t="str">
        <f>IF(C1625=""," ",[1]!s_yq_pctchange($C1625,$N$1))</f>
        <v xml:space="preserve"> </v>
      </c>
      <c r="O1625" s="11"/>
      <c r="P1625" s="7"/>
    </row>
    <row r="1626" spans="1:16" x14ac:dyDescent="0.35">
      <c r="A1626" s="7"/>
      <c r="C1626" s="31" t="str">
        <f>IF(指数列表!B1623="","",指数列表!B1623)</f>
        <v/>
      </c>
      <c r="D1626" s="36" t="str">
        <f>IF(C1626="","",[1]!s_info_name(C1626))</f>
        <v/>
      </c>
      <c r="E1626" s="25" t="str">
        <f>IF(C1626="","",[1]!s_dq_close(C1626,$N$1))</f>
        <v/>
      </c>
      <c r="F1626" s="28" t="str">
        <f>IF($C1626=""," ",[1]!i_pq_pctchange($C1626,F$6,$N$1))</f>
        <v xml:space="preserve"> </v>
      </c>
      <c r="G1626" s="28" t="str">
        <f>IF($C1626=""," ",[1]!i_pq_pctchange($C1626,G$6,$N$1))</f>
        <v xml:space="preserve"> </v>
      </c>
      <c r="H1626" s="28" t="str">
        <f>IF($C1626=""," ",[1]!i_pq_pctchange($C1626,H$6,$N$1))</f>
        <v xml:space="preserve"> </v>
      </c>
      <c r="I1626" s="28" t="str">
        <f>IF($C1626=""," ",[1]!i_pq_pctchange($C1626,I$6,$N$1))</f>
        <v xml:space="preserve"> </v>
      </c>
      <c r="J1626" s="28" t="str">
        <f>IF($C1626=""," ",[1]!i_pq_pctchange($C1626,J$6,$N$1))</f>
        <v xml:space="preserve"> </v>
      </c>
      <c r="K1626" s="28" t="str">
        <f>IF($C1626=""," ",[1]!i_pq_pctchange($C1626,K$6,$N$1))</f>
        <v xml:space="preserve"> </v>
      </c>
      <c r="L1626" s="28" t="str">
        <f>IF(C1626=""," ",[1]!s_wq_pctchange($C1626,$N$1))</f>
        <v xml:space="preserve"> </v>
      </c>
      <c r="M1626" s="28" t="str">
        <f>IF(C1626=""," ",[1]!s_mq_pctchange($C1626,$N$1))</f>
        <v xml:space="preserve"> </v>
      </c>
      <c r="N1626" s="28" t="str">
        <f>IF(C1626=""," ",[1]!s_yq_pctchange($C1626,$N$1))</f>
        <v xml:space="preserve"> </v>
      </c>
      <c r="O1626" s="11"/>
      <c r="P1626" s="7"/>
    </row>
    <row r="1627" spans="1:16" x14ac:dyDescent="0.35">
      <c r="A1627" s="7"/>
      <c r="C1627" s="30" t="str">
        <f>IF(指数列表!B1624="","",指数列表!B1624)</f>
        <v/>
      </c>
      <c r="D1627" s="35" t="str">
        <f>IF(C1627="","",[1]!s_info_name(C1627))</f>
        <v/>
      </c>
      <c r="E1627" s="24" t="str">
        <f>IF(C1627="","",[1]!s_dq_close(C1627,$N$1))</f>
        <v/>
      </c>
      <c r="F1627" s="28" t="str">
        <f>IF($C1627=""," ",[1]!i_pq_pctchange($C1627,F$6,$N$1))</f>
        <v xml:space="preserve"> </v>
      </c>
      <c r="G1627" s="28" t="str">
        <f>IF($C1627=""," ",[1]!i_pq_pctchange($C1627,G$6,$N$1))</f>
        <v xml:space="preserve"> </v>
      </c>
      <c r="H1627" s="28" t="str">
        <f>IF($C1627=""," ",[1]!i_pq_pctchange($C1627,H$6,$N$1))</f>
        <v xml:space="preserve"> </v>
      </c>
      <c r="I1627" s="28" t="str">
        <f>IF($C1627=""," ",[1]!i_pq_pctchange($C1627,I$6,$N$1))</f>
        <v xml:space="preserve"> </v>
      </c>
      <c r="J1627" s="28" t="str">
        <f>IF($C1627=""," ",[1]!i_pq_pctchange($C1627,J$6,$N$1))</f>
        <v xml:space="preserve"> </v>
      </c>
      <c r="K1627" s="28" t="str">
        <f>IF($C1627=""," ",[1]!i_pq_pctchange($C1627,K$6,$N$1))</f>
        <v xml:space="preserve"> </v>
      </c>
      <c r="L1627" s="28" t="str">
        <f>IF(C1627=""," ",[1]!s_wq_pctchange($C1627,$N$1))</f>
        <v xml:space="preserve"> </v>
      </c>
      <c r="M1627" s="28" t="str">
        <f>IF(C1627=""," ",[1]!s_mq_pctchange($C1627,$N$1))</f>
        <v xml:space="preserve"> </v>
      </c>
      <c r="N1627" s="28" t="str">
        <f>IF(C1627=""," ",[1]!s_yq_pctchange($C1627,$N$1))</f>
        <v xml:space="preserve"> </v>
      </c>
      <c r="O1627" s="11"/>
      <c r="P1627" s="7"/>
    </row>
    <row r="1628" spans="1:16" x14ac:dyDescent="0.35">
      <c r="A1628" s="7"/>
      <c r="C1628" s="31" t="str">
        <f>IF(指数列表!B1625="","",指数列表!B1625)</f>
        <v/>
      </c>
      <c r="D1628" s="36" t="str">
        <f>IF(C1628="","",[1]!s_info_name(C1628))</f>
        <v/>
      </c>
      <c r="E1628" s="25" t="str">
        <f>IF(C1628="","",[1]!s_dq_close(C1628,$N$1))</f>
        <v/>
      </c>
      <c r="F1628" s="28" t="str">
        <f>IF($C1628=""," ",[1]!i_pq_pctchange($C1628,F$6,$N$1))</f>
        <v xml:space="preserve"> </v>
      </c>
      <c r="G1628" s="28" t="str">
        <f>IF($C1628=""," ",[1]!i_pq_pctchange($C1628,G$6,$N$1))</f>
        <v xml:space="preserve"> </v>
      </c>
      <c r="H1628" s="28" t="str">
        <f>IF($C1628=""," ",[1]!i_pq_pctchange($C1628,H$6,$N$1))</f>
        <v xml:space="preserve"> </v>
      </c>
      <c r="I1628" s="28" t="str">
        <f>IF($C1628=""," ",[1]!i_pq_pctchange($C1628,I$6,$N$1))</f>
        <v xml:space="preserve"> </v>
      </c>
      <c r="J1628" s="28" t="str">
        <f>IF($C1628=""," ",[1]!i_pq_pctchange($C1628,J$6,$N$1))</f>
        <v xml:space="preserve"> </v>
      </c>
      <c r="K1628" s="28" t="str">
        <f>IF($C1628=""," ",[1]!i_pq_pctchange($C1628,K$6,$N$1))</f>
        <v xml:space="preserve"> </v>
      </c>
      <c r="L1628" s="28" t="str">
        <f>IF(C1628=""," ",[1]!s_wq_pctchange($C1628,$N$1))</f>
        <v xml:space="preserve"> </v>
      </c>
      <c r="M1628" s="28" t="str">
        <f>IF(C1628=""," ",[1]!s_mq_pctchange($C1628,$N$1))</f>
        <v xml:space="preserve"> </v>
      </c>
      <c r="N1628" s="28" t="str">
        <f>IF(C1628=""," ",[1]!s_yq_pctchange($C1628,$N$1))</f>
        <v xml:space="preserve"> </v>
      </c>
      <c r="O1628" s="11"/>
      <c r="P1628" s="7"/>
    </row>
    <row r="1629" spans="1:16" x14ac:dyDescent="0.35">
      <c r="A1629" s="7"/>
      <c r="C1629" s="30" t="str">
        <f>IF(指数列表!B1626="","",指数列表!B1626)</f>
        <v/>
      </c>
      <c r="D1629" s="35" t="str">
        <f>IF(C1629="","",[1]!s_info_name(C1629))</f>
        <v/>
      </c>
      <c r="E1629" s="24" t="str">
        <f>IF(C1629="","",[1]!s_dq_close(C1629,$N$1))</f>
        <v/>
      </c>
      <c r="F1629" s="28" t="str">
        <f>IF($C1629=""," ",[1]!i_pq_pctchange($C1629,F$6,$N$1))</f>
        <v xml:space="preserve"> </v>
      </c>
      <c r="G1629" s="28" t="str">
        <f>IF($C1629=""," ",[1]!i_pq_pctchange($C1629,G$6,$N$1))</f>
        <v xml:space="preserve"> </v>
      </c>
      <c r="H1629" s="28" t="str">
        <f>IF($C1629=""," ",[1]!i_pq_pctchange($C1629,H$6,$N$1))</f>
        <v xml:space="preserve"> </v>
      </c>
      <c r="I1629" s="28" t="str">
        <f>IF($C1629=""," ",[1]!i_pq_pctchange($C1629,I$6,$N$1))</f>
        <v xml:space="preserve"> </v>
      </c>
      <c r="J1629" s="28" t="str">
        <f>IF($C1629=""," ",[1]!i_pq_pctchange($C1629,J$6,$N$1))</f>
        <v xml:space="preserve"> </v>
      </c>
      <c r="K1629" s="28" t="str">
        <f>IF($C1629=""," ",[1]!i_pq_pctchange($C1629,K$6,$N$1))</f>
        <v xml:space="preserve"> </v>
      </c>
      <c r="L1629" s="28" t="str">
        <f>IF(C1629=""," ",[1]!s_wq_pctchange($C1629,$N$1))</f>
        <v xml:space="preserve"> </v>
      </c>
      <c r="M1629" s="28" t="str">
        <f>IF(C1629=""," ",[1]!s_mq_pctchange($C1629,$N$1))</f>
        <v xml:space="preserve"> </v>
      </c>
      <c r="N1629" s="28" t="str">
        <f>IF(C1629=""," ",[1]!s_yq_pctchange($C1629,$N$1))</f>
        <v xml:space="preserve"> </v>
      </c>
      <c r="O1629" s="11"/>
      <c r="P1629" s="7"/>
    </row>
    <row r="1630" spans="1:16" x14ac:dyDescent="0.35">
      <c r="A1630" s="7"/>
      <c r="C1630" s="31" t="str">
        <f>IF(指数列表!B1627="","",指数列表!B1627)</f>
        <v/>
      </c>
      <c r="D1630" s="36" t="str">
        <f>IF(C1630="","",[1]!s_info_name(C1630))</f>
        <v/>
      </c>
      <c r="E1630" s="25" t="str">
        <f>IF(C1630="","",[1]!s_dq_close(C1630,$N$1))</f>
        <v/>
      </c>
      <c r="F1630" s="28" t="str">
        <f>IF($C1630=""," ",[1]!i_pq_pctchange($C1630,F$6,$N$1))</f>
        <v xml:space="preserve"> </v>
      </c>
      <c r="G1630" s="28" t="str">
        <f>IF($C1630=""," ",[1]!i_pq_pctchange($C1630,G$6,$N$1))</f>
        <v xml:space="preserve"> </v>
      </c>
      <c r="H1630" s="28" t="str">
        <f>IF($C1630=""," ",[1]!i_pq_pctchange($C1630,H$6,$N$1))</f>
        <v xml:space="preserve"> </v>
      </c>
      <c r="I1630" s="28" t="str">
        <f>IF($C1630=""," ",[1]!i_pq_pctchange($C1630,I$6,$N$1))</f>
        <v xml:space="preserve"> </v>
      </c>
      <c r="J1630" s="28" t="str">
        <f>IF($C1630=""," ",[1]!i_pq_pctchange($C1630,J$6,$N$1))</f>
        <v xml:space="preserve"> </v>
      </c>
      <c r="K1630" s="28" t="str">
        <f>IF($C1630=""," ",[1]!i_pq_pctchange($C1630,K$6,$N$1))</f>
        <v xml:space="preserve"> </v>
      </c>
      <c r="L1630" s="28" t="str">
        <f>IF(C1630=""," ",[1]!s_wq_pctchange($C1630,$N$1))</f>
        <v xml:space="preserve"> </v>
      </c>
      <c r="M1630" s="28" t="str">
        <f>IF(C1630=""," ",[1]!s_mq_pctchange($C1630,$N$1))</f>
        <v xml:space="preserve"> </v>
      </c>
      <c r="N1630" s="28" t="str">
        <f>IF(C1630=""," ",[1]!s_yq_pctchange($C1630,$N$1))</f>
        <v xml:space="preserve"> </v>
      </c>
      <c r="O1630" s="11"/>
      <c r="P1630" s="7"/>
    </row>
    <row r="1631" spans="1:16" x14ac:dyDescent="0.35">
      <c r="A1631" s="7"/>
      <c r="C1631" s="30" t="str">
        <f>IF(指数列表!B1628="","",指数列表!B1628)</f>
        <v/>
      </c>
      <c r="D1631" s="35" t="str">
        <f>IF(C1631="","",[1]!s_info_name(C1631))</f>
        <v/>
      </c>
      <c r="E1631" s="24" t="str">
        <f>IF(C1631="","",[1]!s_dq_close(C1631,$N$1))</f>
        <v/>
      </c>
      <c r="F1631" s="28" t="str">
        <f>IF($C1631=""," ",[1]!i_pq_pctchange($C1631,F$6,$N$1))</f>
        <v xml:space="preserve"> </v>
      </c>
      <c r="G1631" s="28" t="str">
        <f>IF($C1631=""," ",[1]!i_pq_pctchange($C1631,G$6,$N$1))</f>
        <v xml:space="preserve"> </v>
      </c>
      <c r="H1631" s="28" t="str">
        <f>IF($C1631=""," ",[1]!i_pq_pctchange($C1631,H$6,$N$1))</f>
        <v xml:space="preserve"> </v>
      </c>
      <c r="I1631" s="28" t="str">
        <f>IF($C1631=""," ",[1]!i_pq_pctchange($C1631,I$6,$N$1))</f>
        <v xml:space="preserve"> </v>
      </c>
      <c r="J1631" s="28" t="str">
        <f>IF($C1631=""," ",[1]!i_pq_pctchange($C1631,J$6,$N$1))</f>
        <v xml:space="preserve"> </v>
      </c>
      <c r="K1631" s="28" t="str">
        <f>IF($C1631=""," ",[1]!i_pq_pctchange($C1631,K$6,$N$1))</f>
        <v xml:space="preserve"> </v>
      </c>
      <c r="L1631" s="28" t="str">
        <f>IF(C1631=""," ",[1]!s_wq_pctchange($C1631,$N$1))</f>
        <v xml:space="preserve"> </v>
      </c>
      <c r="M1631" s="28" t="str">
        <f>IF(C1631=""," ",[1]!s_mq_pctchange($C1631,$N$1))</f>
        <v xml:space="preserve"> </v>
      </c>
      <c r="N1631" s="28" t="str">
        <f>IF(C1631=""," ",[1]!s_yq_pctchange($C1631,$N$1))</f>
        <v xml:space="preserve"> </v>
      </c>
      <c r="O1631" s="11"/>
      <c r="P1631" s="7"/>
    </row>
    <row r="1632" spans="1:16" x14ac:dyDescent="0.35">
      <c r="A1632" s="7"/>
      <c r="C1632" s="31" t="str">
        <f>IF(指数列表!B1629="","",指数列表!B1629)</f>
        <v/>
      </c>
      <c r="D1632" s="36" t="str">
        <f>IF(C1632="","",[1]!s_info_name(C1632))</f>
        <v/>
      </c>
      <c r="E1632" s="25" t="str">
        <f>IF(C1632="","",[1]!s_dq_close(C1632,$N$1))</f>
        <v/>
      </c>
      <c r="F1632" s="28" t="str">
        <f>IF($C1632=""," ",[1]!i_pq_pctchange($C1632,F$6,$N$1))</f>
        <v xml:space="preserve"> </v>
      </c>
      <c r="G1632" s="28" t="str">
        <f>IF($C1632=""," ",[1]!i_pq_pctchange($C1632,G$6,$N$1))</f>
        <v xml:space="preserve"> </v>
      </c>
      <c r="H1632" s="28" t="str">
        <f>IF($C1632=""," ",[1]!i_pq_pctchange($C1632,H$6,$N$1))</f>
        <v xml:space="preserve"> </v>
      </c>
      <c r="I1632" s="28" t="str">
        <f>IF($C1632=""," ",[1]!i_pq_pctchange($C1632,I$6,$N$1))</f>
        <v xml:space="preserve"> </v>
      </c>
      <c r="J1632" s="28" t="str">
        <f>IF($C1632=""," ",[1]!i_pq_pctchange($C1632,J$6,$N$1))</f>
        <v xml:space="preserve"> </v>
      </c>
      <c r="K1632" s="28" t="str">
        <f>IF($C1632=""," ",[1]!i_pq_pctchange($C1632,K$6,$N$1))</f>
        <v xml:space="preserve"> </v>
      </c>
      <c r="L1632" s="28" t="str">
        <f>IF(C1632=""," ",[1]!s_wq_pctchange($C1632,$N$1))</f>
        <v xml:space="preserve"> </v>
      </c>
      <c r="M1632" s="28" t="str">
        <f>IF(C1632=""," ",[1]!s_mq_pctchange($C1632,$N$1))</f>
        <v xml:space="preserve"> </v>
      </c>
      <c r="N1632" s="28" t="str">
        <f>IF(C1632=""," ",[1]!s_yq_pctchange($C1632,$N$1))</f>
        <v xml:space="preserve"> </v>
      </c>
      <c r="O1632" s="11"/>
      <c r="P1632" s="7"/>
    </row>
    <row r="1633" spans="1:16" x14ac:dyDescent="0.35">
      <c r="A1633" s="7"/>
      <c r="C1633" s="30" t="str">
        <f>IF(指数列表!B1630="","",指数列表!B1630)</f>
        <v/>
      </c>
      <c r="D1633" s="35" t="str">
        <f>IF(C1633="","",[1]!s_info_name(C1633))</f>
        <v/>
      </c>
      <c r="E1633" s="24" t="str">
        <f>IF(C1633="","",[1]!s_dq_close(C1633,$N$1))</f>
        <v/>
      </c>
      <c r="F1633" s="28" t="str">
        <f>IF($C1633=""," ",[1]!i_pq_pctchange($C1633,F$6,$N$1))</f>
        <v xml:space="preserve"> </v>
      </c>
      <c r="G1633" s="28" t="str">
        <f>IF($C1633=""," ",[1]!i_pq_pctchange($C1633,G$6,$N$1))</f>
        <v xml:space="preserve"> </v>
      </c>
      <c r="H1633" s="28" t="str">
        <f>IF($C1633=""," ",[1]!i_pq_pctchange($C1633,H$6,$N$1))</f>
        <v xml:space="preserve"> </v>
      </c>
      <c r="I1633" s="28" t="str">
        <f>IF($C1633=""," ",[1]!i_pq_pctchange($C1633,I$6,$N$1))</f>
        <v xml:space="preserve"> </v>
      </c>
      <c r="J1633" s="28" t="str">
        <f>IF($C1633=""," ",[1]!i_pq_pctchange($C1633,J$6,$N$1))</f>
        <v xml:space="preserve"> </v>
      </c>
      <c r="K1633" s="28" t="str">
        <f>IF($C1633=""," ",[1]!i_pq_pctchange($C1633,K$6,$N$1))</f>
        <v xml:space="preserve"> </v>
      </c>
      <c r="L1633" s="28" t="str">
        <f>IF(C1633=""," ",[1]!s_wq_pctchange($C1633,$N$1))</f>
        <v xml:space="preserve"> </v>
      </c>
      <c r="M1633" s="28" t="str">
        <f>IF(C1633=""," ",[1]!s_mq_pctchange($C1633,$N$1))</f>
        <v xml:space="preserve"> </v>
      </c>
      <c r="N1633" s="28" t="str">
        <f>IF(C1633=""," ",[1]!s_yq_pctchange($C1633,$N$1))</f>
        <v xml:space="preserve"> </v>
      </c>
      <c r="O1633" s="11"/>
      <c r="P1633" s="7"/>
    </row>
    <row r="1634" spans="1:16" x14ac:dyDescent="0.35">
      <c r="A1634" s="7"/>
      <c r="C1634" s="31" t="str">
        <f>IF(指数列表!B1631="","",指数列表!B1631)</f>
        <v/>
      </c>
      <c r="D1634" s="36" t="str">
        <f>IF(C1634="","",[1]!s_info_name(C1634))</f>
        <v/>
      </c>
      <c r="E1634" s="25" t="str">
        <f>IF(C1634="","",[1]!s_dq_close(C1634,$N$1))</f>
        <v/>
      </c>
      <c r="F1634" s="28" t="str">
        <f>IF($C1634=""," ",[1]!i_pq_pctchange($C1634,F$6,$N$1))</f>
        <v xml:space="preserve"> </v>
      </c>
      <c r="G1634" s="28" t="str">
        <f>IF($C1634=""," ",[1]!i_pq_pctchange($C1634,G$6,$N$1))</f>
        <v xml:space="preserve"> </v>
      </c>
      <c r="H1634" s="28" t="str">
        <f>IF($C1634=""," ",[1]!i_pq_pctchange($C1634,H$6,$N$1))</f>
        <v xml:space="preserve"> </v>
      </c>
      <c r="I1634" s="28" t="str">
        <f>IF($C1634=""," ",[1]!i_pq_pctchange($C1634,I$6,$N$1))</f>
        <v xml:space="preserve"> </v>
      </c>
      <c r="J1634" s="28" t="str">
        <f>IF($C1634=""," ",[1]!i_pq_pctchange($C1634,J$6,$N$1))</f>
        <v xml:space="preserve"> </v>
      </c>
      <c r="K1634" s="28" t="str">
        <f>IF($C1634=""," ",[1]!i_pq_pctchange($C1634,K$6,$N$1))</f>
        <v xml:space="preserve"> </v>
      </c>
      <c r="L1634" s="28" t="str">
        <f>IF(C1634=""," ",[1]!s_wq_pctchange($C1634,$N$1))</f>
        <v xml:space="preserve"> </v>
      </c>
      <c r="M1634" s="28" t="str">
        <f>IF(C1634=""," ",[1]!s_mq_pctchange($C1634,$N$1))</f>
        <v xml:space="preserve"> </v>
      </c>
      <c r="N1634" s="28" t="str">
        <f>IF(C1634=""," ",[1]!s_yq_pctchange($C1634,$N$1))</f>
        <v xml:space="preserve"> </v>
      </c>
      <c r="O1634" s="11"/>
      <c r="P1634" s="7"/>
    </row>
    <row r="1635" spans="1:16" x14ac:dyDescent="0.35">
      <c r="A1635" s="7"/>
      <c r="C1635" s="30" t="str">
        <f>IF(指数列表!B1632="","",指数列表!B1632)</f>
        <v/>
      </c>
      <c r="D1635" s="35" t="str">
        <f>IF(C1635="","",[1]!s_info_name(C1635))</f>
        <v/>
      </c>
      <c r="E1635" s="24" t="str">
        <f>IF(C1635="","",[1]!s_dq_close(C1635,$N$1))</f>
        <v/>
      </c>
      <c r="F1635" s="28" t="str">
        <f>IF($C1635=""," ",[1]!i_pq_pctchange($C1635,F$6,$N$1))</f>
        <v xml:space="preserve"> </v>
      </c>
      <c r="G1635" s="28" t="str">
        <f>IF($C1635=""," ",[1]!i_pq_pctchange($C1635,G$6,$N$1))</f>
        <v xml:space="preserve"> </v>
      </c>
      <c r="H1635" s="28" t="str">
        <f>IF($C1635=""," ",[1]!i_pq_pctchange($C1635,H$6,$N$1))</f>
        <v xml:space="preserve"> </v>
      </c>
      <c r="I1635" s="28" t="str">
        <f>IF($C1635=""," ",[1]!i_pq_pctchange($C1635,I$6,$N$1))</f>
        <v xml:space="preserve"> </v>
      </c>
      <c r="J1635" s="28" t="str">
        <f>IF($C1635=""," ",[1]!i_pq_pctchange($C1635,J$6,$N$1))</f>
        <v xml:space="preserve"> </v>
      </c>
      <c r="K1635" s="28" t="str">
        <f>IF($C1635=""," ",[1]!i_pq_pctchange($C1635,K$6,$N$1))</f>
        <v xml:space="preserve"> </v>
      </c>
      <c r="L1635" s="28" t="str">
        <f>IF(C1635=""," ",[1]!s_wq_pctchange($C1635,$N$1))</f>
        <v xml:space="preserve"> </v>
      </c>
      <c r="M1635" s="28" t="str">
        <f>IF(C1635=""," ",[1]!s_mq_pctchange($C1635,$N$1))</f>
        <v xml:space="preserve"> </v>
      </c>
      <c r="N1635" s="28" t="str">
        <f>IF(C1635=""," ",[1]!s_yq_pctchange($C1635,$N$1))</f>
        <v xml:space="preserve"> </v>
      </c>
      <c r="O1635" s="11"/>
      <c r="P1635" s="7"/>
    </row>
    <row r="1636" spans="1:16" x14ac:dyDescent="0.35">
      <c r="A1636" s="7"/>
      <c r="C1636" s="31" t="str">
        <f>IF(指数列表!B1633="","",指数列表!B1633)</f>
        <v/>
      </c>
      <c r="D1636" s="36" t="str">
        <f>IF(C1636="","",[1]!s_info_name(C1636))</f>
        <v/>
      </c>
      <c r="E1636" s="25" t="str">
        <f>IF(C1636="","",[1]!s_dq_close(C1636,$N$1))</f>
        <v/>
      </c>
      <c r="F1636" s="28" t="str">
        <f>IF($C1636=""," ",[1]!i_pq_pctchange($C1636,F$6,$N$1))</f>
        <v xml:space="preserve"> </v>
      </c>
      <c r="G1636" s="28" t="str">
        <f>IF($C1636=""," ",[1]!i_pq_pctchange($C1636,G$6,$N$1))</f>
        <v xml:space="preserve"> </v>
      </c>
      <c r="H1636" s="28" t="str">
        <f>IF($C1636=""," ",[1]!i_pq_pctchange($C1636,H$6,$N$1))</f>
        <v xml:space="preserve"> </v>
      </c>
      <c r="I1636" s="28" t="str">
        <f>IF($C1636=""," ",[1]!i_pq_pctchange($C1636,I$6,$N$1))</f>
        <v xml:space="preserve"> </v>
      </c>
      <c r="J1636" s="28" t="str">
        <f>IF($C1636=""," ",[1]!i_pq_pctchange($C1636,J$6,$N$1))</f>
        <v xml:space="preserve"> </v>
      </c>
      <c r="K1636" s="28" t="str">
        <f>IF($C1636=""," ",[1]!i_pq_pctchange($C1636,K$6,$N$1))</f>
        <v xml:space="preserve"> </v>
      </c>
      <c r="L1636" s="28" t="str">
        <f>IF(C1636=""," ",[1]!s_wq_pctchange($C1636,$N$1))</f>
        <v xml:space="preserve"> </v>
      </c>
      <c r="M1636" s="28" t="str">
        <f>IF(C1636=""," ",[1]!s_mq_pctchange($C1636,$N$1))</f>
        <v xml:space="preserve"> </v>
      </c>
      <c r="N1636" s="28" t="str">
        <f>IF(C1636=""," ",[1]!s_yq_pctchange($C1636,$N$1))</f>
        <v xml:space="preserve"> </v>
      </c>
      <c r="O1636" s="11"/>
      <c r="P1636" s="7"/>
    </row>
    <row r="1637" spans="1:16" x14ac:dyDescent="0.35">
      <c r="A1637" s="7"/>
      <c r="C1637" s="30" t="str">
        <f>IF(指数列表!B1634="","",指数列表!B1634)</f>
        <v/>
      </c>
      <c r="D1637" s="35" t="str">
        <f>IF(C1637="","",[1]!s_info_name(C1637))</f>
        <v/>
      </c>
      <c r="E1637" s="24" t="str">
        <f>IF(C1637="","",[1]!s_dq_close(C1637,$N$1))</f>
        <v/>
      </c>
      <c r="F1637" s="28" t="str">
        <f>IF($C1637=""," ",[1]!i_pq_pctchange($C1637,F$6,$N$1))</f>
        <v xml:space="preserve"> </v>
      </c>
      <c r="G1637" s="28" t="str">
        <f>IF($C1637=""," ",[1]!i_pq_pctchange($C1637,G$6,$N$1))</f>
        <v xml:space="preserve"> </v>
      </c>
      <c r="H1637" s="28" t="str">
        <f>IF($C1637=""," ",[1]!i_pq_pctchange($C1637,H$6,$N$1))</f>
        <v xml:space="preserve"> </v>
      </c>
      <c r="I1637" s="28" t="str">
        <f>IF($C1637=""," ",[1]!i_pq_pctchange($C1637,I$6,$N$1))</f>
        <v xml:space="preserve"> </v>
      </c>
      <c r="J1637" s="28" t="str">
        <f>IF($C1637=""," ",[1]!i_pq_pctchange($C1637,J$6,$N$1))</f>
        <v xml:space="preserve"> </v>
      </c>
      <c r="K1637" s="28" t="str">
        <f>IF($C1637=""," ",[1]!i_pq_pctchange($C1637,K$6,$N$1))</f>
        <v xml:space="preserve"> </v>
      </c>
      <c r="L1637" s="28" t="str">
        <f>IF(C1637=""," ",[1]!s_wq_pctchange($C1637,$N$1))</f>
        <v xml:space="preserve"> </v>
      </c>
      <c r="M1637" s="28" t="str">
        <f>IF(C1637=""," ",[1]!s_mq_pctchange($C1637,$N$1))</f>
        <v xml:space="preserve"> </v>
      </c>
      <c r="N1637" s="28" t="str">
        <f>IF(C1637=""," ",[1]!s_yq_pctchange($C1637,$N$1))</f>
        <v xml:space="preserve"> </v>
      </c>
      <c r="O1637" s="11"/>
      <c r="P1637" s="7"/>
    </row>
    <row r="1638" spans="1:16" x14ac:dyDescent="0.35">
      <c r="A1638" s="7"/>
      <c r="C1638" s="31" t="str">
        <f>IF(指数列表!B1635="","",指数列表!B1635)</f>
        <v/>
      </c>
      <c r="D1638" s="36" t="str">
        <f>IF(C1638="","",[1]!s_info_name(C1638))</f>
        <v/>
      </c>
      <c r="E1638" s="25" t="str">
        <f>IF(C1638="","",[1]!s_dq_close(C1638,$N$1))</f>
        <v/>
      </c>
      <c r="F1638" s="28" t="str">
        <f>IF($C1638=""," ",[1]!i_pq_pctchange($C1638,F$6,$N$1))</f>
        <v xml:space="preserve"> </v>
      </c>
      <c r="G1638" s="28" t="str">
        <f>IF($C1638=""," ",[1]!i_pq_pctchange($C1638,G$6,$N$1))</f>
        <v xml:space="preserve"> </v>
      </c>
      <c r="H1638" s="28" t="str">
        <f>IF($C1638=""," ",[1]!i_pq_pctchange($C1638,H$6,$N$1))</f>
        <v xml:space="preserve"> </v>
      </c>
      <c r="I1638" s="28" t="str">
        <f>IF($C1638=""," ",[1]!i_pq_pctchange($C1638,I$6,$N$1))</f>
        <v xml:space="preserve"> </v>
      </c>
      <c r="J1638" s="28" t="str">
        <f>IF($C1638=""," ",[1]!i_pq_pctchange($C1638,J$6,$N$1))</f>
        <v xml:space="preserve"> </v>
      </c>
      <c r="K1638" s="28" t="str">
        <f>IF($C1638=""," ",[1]!i_pq_pctchange($C1638,K$6,$N$1))</f>
        <v xml:space="preserve"> </v>
      </c>
      <c r="L1638" s="28" t="str">
        <f>IF(C1638=""," ",[1]!s_wq_pctchange($C1638,$N$1))</f>
        <v xml:space="preserve"> </v>
      </c>
      <c r="M1638" s="28" t="str">
        <f>IF(C1638=""," ",[1]!s_mq_pctchange($C1638,$N$1))</f>
        <v xml:space="preserve"> </v>
      </c>
      <c r="N1638" s="28" t="str">
        <f>IF(C1638=""," ",[1]!s_yq_pctchange($C1638,$N$1))</f>
        <v xml:space="preserve"> </v>
      </c>
      <c r="O1638" s="11"/>
      <c r="P1638" s="7"/>
    </row>
    <row r="1639" spans="1:16" x14ac:dyDescent="0.35">
      <c r="A1639" s="7"/>
      <c r="C1639" s="30" t="str">
        <f>IF(指数列表!B1636="","",指数列表!B1636)</f>
        <v/>
      </c>
      <c r="D1639" s="35" t="str">
        <f>IF(C1639="","",[1]!s_info_name(C1639))</f>
        <v/>
      </c>
      <c r="E1639" s="24" t="str">
        <f>IF(C1639="","",[1]!s_dq_close(C1639,$N$1))</f>
        <v/>
      </c>
      <c r="F1639" s="28" t="str">
        <f>IF($C1639=""," ",[1]!i_pq_pctchange($C1639,F$6,$N$1))</f>
        <v xml:space="preserve"> </v>
      </c>
      <c r="G1639" s="28" t="str">
        <f>IF($C1639=""," ",[1]!i_pq_pctchange($C1639,G$6,$N$1))</f>
        <v xml:space="preserve"> </v>
      </c>
      <c r="H1639" s="28" t="str">
        <f>IF($C1639=""," ",[1]!i_pq_pctchange($C1639,H$6,$N$1))</f>
        <v xml:space="preserve"> </v>
      </c>
      <c r="I1639" s="28" t="str">
        <f>IF($C1639=""," ",[1]!i_pq_pctchange($C1639,I$6,$N$1))</f>
        <v xml:space="preserve"> </v>
      </c>
      <c r="J1639" s="28" t="str">
        <f>IF($C1639=""," ",[1]!i_pq_pctchange($C1639,J$6,$N$1))</f>
        <v xml:space="preserve"> </v>
      </c>
      <c r="K1639" s="28" t="str">
        <f>IF($C1639=""," ",[1]!i_pq_pctchange($C1639,K$6,$N$1))</f>
        <v xml:space="preserve"> </v>
      </c>
      <c r="L1639" s="28" t="str">
        <f>IF(C1639=""," ",[1]!s_wq_pctchange($C1639,$N$1))</f>
        <v xml:space="preserve"> </v>
      </c>
      <c r="M1639" s="28" t="str">
        <f>IF(C1639=""," ",[1]!s_mq_pctchange($C1639,$N$1))</f>
        <v xml:space="preserve"> </v>
      </c>
      <c r="N1639" s="28" t="str">
        <f>IF(C1639=""," ",[1]!s_yq_pctchange($C1639,$N$1))</f>
        <v xml:space="preserve"> </v>
      </c>
      <c r="O1639" s="11"/>
      <c r="P1639" s="7"/>
    </row>
    <row r="1640" spans="1:16" x14ac:dyDescent="0.35">
      <c r="A1640" s="7"/>
      <c r="C1640" s="31" t="str">
        <f>IF(指数列表!B1637="","",指数列表!B1637)</f>
        <v/>
      </c>
      <c r="D1640" s="36" t="str">
        <f>IF(C1640="","",[1]!s_info_name(C1640))</f>
        <v/>
      </c>
      <c r="E1640" s="25" t="str">
        <f>IF(C1640="","",[1]!s_dq_close(C1640,$N$1))</f>
        <v/>
      </c>
      <c r="F1640" s="28" t="str">
        <f>IF($C1640=""," ",[1]!i_pq_pctchange($C1640,F$6,$N$1))</f>
        <v xml:space="preserve"> </v>
      </c>
      <c r="G1640" s="28" t="str">
        <f>IF($C1640=""," ",[1]!i_pq_pctchange($C1640,G$6,$N$1))</f>
        <v xml:space="preserve"> </v>
      </c>
      <c r="H1640" s="28" t="str">
        <f>IF($C1640=""," ",[1]!i_pq_pctchange($C1640,H$6,$N$1))</f>
        <v xml:space="preserve"> </v>
      </c>
      <c r="I1640" s="28" t="str">
        <f>IF($C1640=""," ",[1]!i_pq_pctchange($C1640,I$6,$N$1))</f>
        <v xml:space="preserve"> </v>
      </c>
      <c r="J1640" s="28" t="str">
        <f>IF($C1640=""," ",[1]!i_pq_pctchange($C1640,J$6,$N$1))</f>
        <v xml:space="preserve"> </v>
      </c>
      <c r="K1640" s="28" t="str">
        <f>IF($C1640=""," ",[1]!i_pq_pctchange($C1640,K$6,$N$1))</f>
        <v xml:space="preserve"> </v>
      </c>
      <c r="L1640" s="28" t="str">
        <f>IF(C1640=""," ",[1]!s_wq_pctchange($C1640,$N$1))</f>
        <v xml:space="preserve"> </v>
      </c>
      <c r="M1640" s="28" t="str">
        <f>IF(C1640=""," ",[1]!s_mq_pctchange($C1640,$N$1))</f>
        <v xml:space="preserve"> </v>
      </c>
      <c r="N1640" s="28" t="str">
        <f>IF(C1640=""," ",[1]!s_yq_pctchange($C1640,$N$1))</f>
        <v xml:space="preserve"> </v>
      </c>
      <c r="O1640" s="11"/>
      <c r="P1640" s="7"/>
    </row>
    <row r="1641" spans="1:16" x14ac:dyDescent="0.35">
      <c r="A1641" s="7"/>
      <c r="C1641" s="30" t="str">
        <f>IF(指数列表!B1638="","",指数列表!B1638)</f>
        <v/>
      </c>
      <c r="D1641" s="35" t="str">
        <f>IF(C1641="","",[1]!s_info_name(C1641))</f>
        <v/>
      </c>
      <c r="E1641" s="24" t="str">
        <f>IF(C1641="","",[1]!s_dq_close(C1641,$N$1))</f>
        <v/>
      </c>
      <c r="F1641" s="28" t="str">
        <f>IF($C1641=""," ",[1]!i_pq_pctchange($C1641,F$6,$N$1))</f>
        <v xml:space="preserve"> </v>
      </c>
      <c r="G1641" s="28" t="str">
        <f>IF($C1641=""," ",[1]!i_pq_pctchange($C1641,G$6,$N$1))</f>
        <v xml:space="preserve"> </v>
      </c>
      <c r="H1641" s="28" t="str">
        <f>IF($C1641=""," ",[1]!i_pq_pctchange($C1641,H$6,$N$1))</f>
        <v xml:space="preserve"> </v>
      </c>
      <c r="I1641" s="28" t="str">
        <f>IF($C1641=""," ",[1]!i_pq_pctchange($C1641,I$6,$N$1))</f>
        <v xml:space="preserve"> </v>
      </c>
      <c r="J1641" s="28" t="str">
        <f>IF($C1641=""," ",[1]!i_pq_pctchange($C1641,J$6,$N$1))</f>
        <v xml:space="preserve"> </v>
      </c>
      <c r="K1641" s="28" t="str">
        <f>IF($C1641=""," ",[1]!i_pq_pctchange($C1641,K$6,$N$1))</f>
        <v xml:space="preserve"> </v>
      </c>
      <c r="L1641" s="28" t="str">
        <f>IF(C1641=""," ",[1]!s_wq_pctchange($C1641,$N$1))</f>
        <v xml:space="preserve"> </v>
      </c>
      <c r="M1641" s="28" t="str">
        <f>IF(C1641=""," ",[1]!s_mq_pctchange($C1641,$N$1))</f>
        <v xml:space="preserve"> </v>
      </c>
      <c r="N1641" s="28" t="str">
        <f>IF(C1641=""," ",[1]!s_yq_pctchange($C1641,$N$1))</f>
        <v xml:space="preserve"> </v>
      </c>
      <c r="O1641" s="11"/>
      <c r="P1641" s="7"/>
    </row>
    <row r="1642" spans="1:16" x14ac:dyDescent="0.35">
      <c r="A1642" s="7"/>
      <c r="C1642" s="31" t="str">
        <f>IF(指数列表!B1639="","",指数列表!B1639)</f>
        <v/>
      </c>
      <c r="D1642" s="36" t="str">
        <f>IF(C1642="","",[1]!s_info_name(C1642))</f>
        <v/>
      </c>
      <c r="E1642" s="25" t="str">
        <f>IF(C1642="","",[1]!s_dq_close(C1642,$N$1))</f>
        <v/>
      </c>
      <c r="F1642" s="28" t="str">
        <f>IF($C1642=""," ",[1]!i_pq_pctchange($C1642,F$6,$N$1))</f>
        <v xml:space="preserve"> </v>
      </c>
      <c r="G1642" s="28" t="str">
        <f>IF($C1642=""," ",[1]!i_pq_pctchange($C1642,G$6,$N$1))</f>
        <v xml:space="preserve"> </v>
      </c>
      <c r="H1642" s="28" t="str">
        <f>IF($C1642=""," ",[1]!i_pq_pctchange($C1642,H$6,$N$1))</f>
        <v xml:space="preserve"> </v>
      </c>
      <c r="I1642" s="28" t="str">
        <f>IF($C1642=""," ",[1]!i_pq_pctchange($C1642,I$6,$N$1))</f>
        <v xml:space="preserve"> </v>
      </c>
      <c r="J1642" s="28" t="str">
        <f>IF($C1642=""," ",[1]!i_pq_pctchange($C1642,J$6,$N$1))</f>
        <v xml:space="preserve"> </v>
      </c>
      <c r="K1642" s="28" t="str">
        <f>IF($C1642=""," ",[1]!i_pq_pctchange($C1642,K$6,$N$1))</f>
        <v xml:space="preserve"> </v>
      </c>
      <c r="L1642" s="28" t="str">
        <f>IF(C1642=""," ",[1]!s_wq_pctchange($C1642,$N$1))</f>
        <v xml:space="preserve"> </v>
      </c>
      <c r="M1642" s="28" t="str">
        <f>IF(C1642=""," ",[1]!s_mq_pctchange($C1642,$N$1))</f>
        <v xml:space="preserve"> </v>
      </c>
      <c r="N1642" s="28" t="str">
        <f>IF(C1642=""," ",[1]!s_yq_pctchange($C1642,$N$1))</f>
        <v xml:space="preserve"> </v>
      </c>
      <c r="O1642" s="11"/>
      <c r="P1642" s="7"/>
    </row>
    <row r="1643" spans="1:16" x14ac:dyDescent="0.35">
      <c r="A1643" s="7"/>
      <c r="C1643" s="30" t="str">
        <f>IF(指数列表!B1640="","",指数列表!B1640)</f>
        <v/>
      </c>
      <c r="D1643" s="35" t="str">
        <f>IF(C1643="","",[1]!s_info_name(C1643))</f>
        <v/>
      </c>
      <c r="E1643" s="24" t="str">
        <f>IF(C1643="","",[1]!s_dq_close(C1643,$N$1))</f>
        <v/>
      </c>
      <c r="F1643" s="28" t="str">
        <f>IF($C1643=""," ",[1]!i_pq_pctchange($C1643,F$6,$N$1))</f>
        <v xml:space="preserve"> </v>
      </c>
      <c r="G1643" s="28" t="str">
        <f>IF($C1643=""," ",[1]!i_pq_pctchange($C1643,G$6,$N$1))</f>
        <v xml:space="preserve"> </v>
      </c>
      <c r="H1643" s="28" t="str">
        <f>IF($C1643=""," ",[1]!i_pq_pctchange($C1643,H$6,$N$1))</f>
        <v xml:space="preserve"> </v>
      </c>
      <c r="I1643" s="28" t="str">
        <f>IF($C1643=""," ",[1]!i_pq_pctchange($C1643,I$6,$N$1))</f>
        <v xml:space="preserve"> </v>
      </c>
      <c r="J1643" s="28" t="str">
        <f>IF($C1643=""," ",[1]!i_pq_pctchange($C1643,J$6,$N$1))</f>
        <v xml:space="preserve"> </v>
      </c>
      <c r="K1643" s="28" t="str">
        <f>IF($C1643=""," ",[1]!i_pq_pctchange($C1643,K$6,$N$1))</f>
        <v xml:space="preserve"> </v>
      </c>
      <c r="L1643" s="28" t="str">
        <f>IF(C1643=""," ",[1]!s_wq_pctchange($C1643,$N$1))</f>
        <v xml:space="preserve"> </v>
      </c>
      <c r="M1643" s="28" t="str">
        <f>IF(C1643=""," ",[1]!s_mq_pctchange($C1643,$N$1))</f>
        <v xml:space="preserve"> </v>
      </c>
      <c r="N1643" s="28" t="str">
        <f>IF(C1643=""," ",[1]!s_yq_pctchange($C1643,$N$1))</f>
        <v xml:space="preserve"> </v>
      </c>
      <c r="O1643" s="11"/>
      <c r="P1643" s="7"/>
    </row>
    <row r="1644" spans="1:16" x14ac:dyDescent="0.35">
      <c r="A1644" s="7"/>
      <c r="C1644" s="31" t="str">
        <f>IF(指数列表!B1641="","",指数列表!B1641)</f>
        <v/>
      </c>
      <c r="D1644" s="36" t="str">
        <f>IF(C1644="","",[1]!s_info_name(C1644))</f>
        <v/>
      </c>
      <c r="E1644" s="25" t="str">
        <f>IF(C1644="","",[1]!s_dq_close(C1644,$N$1))</f>
        <v/>
      </c>
      <c r="F1644" s="28" t="str">
        <f>IF($C1644=""," ",[1]!i_pq_pctchange($C1644,F$6,$N$1))</f>
        <v xml:space="preserve"> </v>
      </c>
      <c r="G1644" s="28" t="str">
        <f>IF($C1644=""," ",[1]!i_pq_pctchange($C1644,G$6,$N$1))</f>
        <v xml:space="preserve"> </v>
      </c>
      <c r="H1644" s="28" t="str">
        <f>IF($C1644=""," ",[1]!i_pq_pctchange($C1644,H$6,$N$1))</f>
        <v xml:space="preserve"> </v>
      </c>
      <c r="I1644" s="28" t="str">
        <f>IF($C1644=""," ",[1]!i_pq_pctchange($C1644,I$6,$N$1))</f>
        <v xml:space="preserve"> </v>
      </c>
      <c r="J1644" s="28" t="str">
        <f>IF($C1644=""," ",[1]!i_pq_pctchange($C1644,J$6,$N$1))</f>
        <v xml:space="preserve"> </v>
      </c>
      <c r="K1644" s="28" t="str">
        <f>IF($C1644=""," ",[1]!i_pq_pctchange($C1644,K$6,$N$1))</f>
        <v xml:space="preserve"> </v>
      </c>
      <c r="L1644" s="28" t="str">
        <f>IF(C1644=""," ",[1]!s_wq_pctchange($C1644,$N$1))</f>
        <v xml:space="preserve"> </v>
      </c>
      <c r="M1644" s="28" t="str">
        <f>IF(C1644=""," ",[1]!s_mq_pctchange($C1644,$N$1))</f>
        <v xml:space="preserve"> </v>
      </c>
      <c r="N1644" s="28" t="str">
        <f>IF(C1644=""," ",[1]!s_yq_pctchange($C1644,$N$1))</f>
        <v xml:space="preserve"> </v>
      </c>
      <c r="O1644" s="11"/>
      <c r="P1644" s="7"/>
    </row>
    <row r="1645" spans="1:16" x14ac:dyDescent="0.35">
      <c r="A1645" s="7"/>
      <c r="C1645" s="30" t="str">
        <f>IF(指数列表!B1642="","",指数列表!B1642)</f>
        <v/>
      </c>
      <c r="D1645" s="35" t="str">
        <f>IF(C1645="","",[1]!s_info_name(C1645))</f>
        <v/>
      </c>
      <c r="E1645" s="24" t="str">
        <f>IF(C1645="","",[1]!s_dq_close(C1645,$N$1))</f>
        <v/>
      </c>
      <c r="F1645" s="28" t="str">
        <f>IF($C1645=""," ",[1]!i_pq_pctchange($C1645,F$6,$N$1))</f>
        <v xml:space="preserve"> </v>
      </c>
      <c r="G1645" s="28" t="str">
        <f>IF($C1645=""," ",[1]!i_pq_pctchange($C1645,G$6,$N$1))</f>
        <v xml:space="preserve"> </v>
      </c>
      <c r="H1645" s="28" t="str">
        <f>IF($C1645=""," ",[1]!i_pq_pctchange($C1645,H$6,$N$1))</f>
        <v xml:space="preserve"> </v>
      </c>
      <c r="I1645" s="28" t="str">
        <f>IF($C1645=""," ",[1]!i_pq_pctchange($C1645,I$6,$N$1))</f>
        <v xml:space="preserve"> </v>
      </c>
      <c r="J1645" s="28" t="str">
        <f>IF($C1645=""," ",[1]!i_pq_pctchange($C1645,J$6,$N$1))</f>
        <v xml:space="preserve"> </v>
      </c>
      <c r="K1645" s="28" t="str">
        <f>IF($C1645=""," ",[1]!i_pq_pctchange($C1645,K$6,$N$1))</f>
        <v xml:space="preserve"> </v>
      </c>
      <c r="L1645" s="28" t="str">
        <f>IF(C1645=""," ",[1]!s_wq_pctchange($C1645,$N$1))</f>
        <v xml:space="preserve"> </v>
      </c>
      <c r="M1645" s="28" t="str">
        <f>IF(C1645=""," ",[1]!s_mq_pctchange($C1645,$N$1))</f>
        <v xml:space="preserve"> </v>
      </c>
      <c r="N1645" s="28" t="str">
        <f>IF(C1645=""," ",[1]!s_yq_pctchange($C1645,$N$1))</f>
        <v xml:space="preserve"> </v>
      </c>
      <c r="O1645" s="11"/>
      <c r="P1645" s="7"/>
    </row>
    <row r="1646" spans="1:16" x14ac:dyDescent="0.35">
      <c r="A1646" s="7"/>
      <c r="C1646" s="31" t="str">
        <f>IF(指数列表!B1643="","",指数列表!B1643)</f>
        <v/>
      </c>
      <c r="D1646" s="36" t="str">
        <f>IF(C1646="","",[1]!s_info_name(C1646))</f>
        <v/>
      </c>
      <c r="E1646" s="25" t="str">
        <f>IF(C1646="","",[1]!s_dq_close(C1646,$N$1))</f>
        <v/>
      </c>
      <c r="F1646" s="28" t="str">
        <f>IF($C1646=""," ",[1]!i_pq_pctchange($C1646,F$6,$N$1))</f>
        <v xml:space="preserve"> </v>
      </c>
      <c r="G1646" s="28" t="str">
        <f>IF($C1646=""," ",[1]!i_pq_pctchange($C1646,G$6,$N$1))</f>
        <v xml:space="preserve"> </v>
      </c>
      <c r="H1646" s="28" t="str">
        <f>IF($C1646=""," ",[1]!i_pq_pctchange($C1646,H$6,$N$1))</f>
        <v xml:space="preserve"> </v>
      </c>
      <c r="I1646" s="28" t="str">
        <f>IF($C1646=""," ",[1]!i_pq_pctchange($C1646,I$6,$N$1))</f>
        <v xml:space="preserve"> </v>
      </c>
      <c r="J1646" s="28" t="str">
        <f>IF($C1646=""," ",[1]!i_pq_pctchange($C1646,J$6,$N$1))</f>
        <v xml:space="preserve"> </v>
      </c>
      <c r="K1646" s="28" t="str">
        <f>IF($C1646=""," ",[1]!i_pq_pctchange($C1646,K$6,$N$1))</f>
        <v xml:space="preserve"> </v>
      </c>
      <c r="L1646" s="28" t="str">
        <f>IF(C1646=""," ",[1]!s_wq_pctchange($C1646,$N$1))</f>
        <v xml:space="preserve"> </v>
      </c>
      <c r="M1646" s="28" t="str">
        <f>IF(C1646=""," ",[1]!s_mq_pctchange($C1646,$N$1))</f>
        <v xml:space="preserve"> </v>
      </c>
      <c r="N1646" s="28" t="str">
        <f>IF(C1646=""," ",[1]!s_yq_pctchange($C1646,$N$1))</f>
        <v xml:space="preserve"> </v>
      </c>
      <c r="O1646" s="11"/>
      <c r="P1646" s="7"/>
    </row>
    <row r="1647" spans="1:16" x14ac:dyDescent="0.35">
      <c r="A1647" s="7"/>
      <c r="C1647" s="30" t="str">
        <f>IF(指数列表!B1644="","",指数列表!B1644)</f>
        <v/>
      </c>
      <c r="D1647" s="35" t="str">
        <f>IF(C1647="","",[1]!s_info_name(C1647))</f>
        <v/>
      </c>
      <c r="E1647" s="24" t="str">
        <f>IF(C1647="","",[1]!s_dq_close(C1647,$N$1))</f>
        <v/>
      </c>
      <c r="F1647" s="28" t="str">
        <f>IF($C1647=""," ",[1]!i_pq_pctchange($C1647,F$6,$N$1))</f>
        <v xml:space="preserve"> </v>
      </c>
      <c r="G1647" s="28" t="str">
        <f>IF($C1647=""," ",[1]!i_pq_pctchange($C1647,G$6,$N$1))</f>
        <v xml:space="preserve"> </v>
      </c>
      <c r="H1647" s="28" t="str">
        <f>IF($C1647=""," ",[1]!i_pq_pctchange($C1647,H$6,$N$1))</f>
        <v xml:space="preserve"> </v>
      </c>
      <c r="I1647" s="28" t="str">
        <f>IF($C1647=""," ",[1]!i_pq_pctchange($C1647,I$6,$N$1))</f>
        <v xml:space="preserve"> </v>
      </c>
      <c r="J1647" s="28" t="str">
        <f>IF($C1647=""," ",[1]!i_pq_pctchange($C1647,J$6,$N$1))</f>
        <v xml:space="preserve"> </v>
      </c>
      <c r="K1647" s="28" t="str">
        <f>IF($C1647=""," ",[1]!i_pq_pctchange($C1647,K$6,$N$1))</f>
        <v xml:space="preserve"> </v>
      </c>
      <c r="L1647" s="28" t="str">
        <f>IF(C1647=""," ",[1]!s_wq_pctchange($C1647,$N$1))</f>
        <v xml:space="preserve"> </v>
      </c>
      <c r="M1647" s="28" t="str">
        <f>IF(C1647=""," ",[1]!s_mq_pctchange($C1647,$N$1))</f>
        <v xml:space="preserve"> </v>
      </c>
      <c r="N1647" s="28" t="str">
        <f>IF(C1647=""," ",[1]!s_yq_pctchange($C1647,$N$1))</f>
        <v xml:space="preserve"> </v>
      </c>
      <c r="O1647" s="11"/>
      <c r="P1647" s="7"/>
    </row>
    <row r="1648" spans="1:16" x14ac:dyDescent="0.35">
      <c r="A1648" s="7"/>
      <c r="C1648" s="31" t="str">
        <f>IF(指数列表!B1645="","",指数列表!B1645)</f>
        <v/>
      </c>
      <c r="D1648" s="36" t="str">
        <f>IF(C1648="","",[1]!s_info_name(C1648))</f>
        <v/>
      </c>
      <c r="E1648" s="25" t="str">
        <f>IF(C1648="","",[1]!s_dq_close(C1648,$N$1))</f>
        <v/>
      </c>
      <c r="F1648" s="28" t="str">
        <f>IF($C1648=""," ",[1]!i_pq_pctchange($C1648,F$6,$N$1))</f>
        <v xml:space="preserve"> </v>
      </c>
      <c r="G1648" s="28" t="str">
        <f>IF($C1648=""," ",[1]!i_pq_pctchange($C1648,G$6,$N$1))</f>
        <v xml:space="preserve"> </v>
      </c>
      <c r="H1648" s="28" t="str">
        <f>IF($C1648=""," ",[1]!i_pq_pctchange($C1648,H$6,$N$1))</f>
        <v xml:space="preserve"> </v>
      </c>
      <c r="I1648" s="28" t="str">
        <f>IF($C1648=""," ",[1]!i_pq_pctchange($C1648,I$6,$N$1))</f>
        <v xml:space="preserve"> </v>
      </c>
      <c r="J1648" s="28" t="str">
        <f>IF($C1648=""," ",[1]!i_pq_pctchange($C1648,J$6,$N$1))</f>
        <v xml:space="preserve"> </v>
      </c>
      <c r="K1648" s="28" t="str">
        <f>IF($C1648=""," ",[1]!i_pq_pctchange($C1648,K$6,$N$1))</f>
        <v xml:space="preserve"> </v>
      </c>
      <c r="L1648" s="28" t="str">
        <f>IF(C1648=""," ",[1]!s_wq_pctchange($C1648,$N$1))</f>
        <v xml:space="preserve"> </v>
      </c>
      <c r="M1648" s="28" t="str">
        <f>IF(C1648=""," ",[1]!s_mq_pctchange($C1648,$N$1))</f>
        <v xml:space="preserve"> </v>
      </c>
      <c r="N1648" s="28" t="str">
        <f>IF(C1648=""," ",[1]!s_yq_pctchange($C1648,$N$1))</f>
        <v xml:space="preserve"> </v>
      </c>
      <c r="O1648" s="11"/>
      <c r="P1648" s="7"/>
    </row>
    <row r="1649" spans="1:16" x14ac:dyDescent="0.35">
      <c r="A1649" s="7"/>
      <c r="C1649" s="30" t="str">
        <f>IF(指数列表!B1646="","",指数列表!B1646)</f>
        <v/>
      </c>
      <c r="D1649" s="35" t="str">
        <f>IF(C1649="","",[1]!s_info_name(C1649))</f>
        <v/>
      </c>
      <c r="E1649" s="24" t="str">
        <f>IF(C1649="","",[1]!s_dq_close(C1649,$N$1))</f>
        <v/>
      </c>
      <c r="F1649" s="28" t="str">
        <f>IF($C1649=""," ",[1]!i_pq_pctchange($C1649,F$6,$N$1))</f>
        <v xml:space="preserve"> </v>
      </c>
      <c r="G1649" s="28" t="str">
        <f>IF($C1649=""," ",[1]!i_pq_pctchange($C1649,G$6,$N$1))</f>
        <v xml:space="preserve"> </v>
      </c>
      <c r="H1649" s="28" t="str">
        <f>IF($C1649=""," ",[1]!i_pq_pctchange($C1649,H$6,$N$1))</f>
        <v xml:space="preserve"> </v>
      </c>
      <c r="I1649" s="28" t="str">
        <f>IF($C1649=""," ",[1]!i_pq_pctchange($C1649,I$6,$N$1))</f>
        <v xml:space="preserve"> </v>
      </c>
      <c r="J1649" s="28" t="str">
        <f>IF($C1649=""," ",[1]!i_pq_pctchange($C1649,J$6,$N$1))</f>
        <v xml:space="preserve"> </v>
      </c>
      <c r="K1649" s="28" t="str">
        <f>IF($C1649=""," ",[1]!i_pq_pctchange($C1649,K$6,$N$1))</f>
        <v xml:space="preserve"> </v>
      </c>
      <c r="L1649" s="28" t="str">
        <f>IF(C1649=""," ",[1]!s_wq_pctchange($C1649,$N$1))</f>
        <v xml:space="preserve"> </v>
      </c>
      <c r="M1649" s="28" t="str">
        <f>IF(C1649=""," ",[1]!s_mq_pctchange($C1649,$N$1))</f>
        <v xml:space="preserve"> </v>
      </c>
      <c r="N1649" s="28" t="str">
        <f>IF(C1649=""," ",[1]!s_yq_pctchange($C1649,$N$1))</f>
        <v xml:space="preserve"> </v>
      </c>
      <c r="O1649" s="11"/>
      <c r="P1649" s="7"/>
    </row>
    <row r="1650" spans="1:16" x14ac:dyDescent="0.35">
      <c r="A1650" s="7"/>
      <c r="C1650" s="31" t="str">
        <f>IF(指数列表!B1647="","",指数列表!B1647)</f>
        <v/>
      </c>
      <c r="D1650" s="36" t="str">
        <f>IF(C1650="","",[1]!s_info_name(C1650))</f>
        <v/>
      </c>
      <c r="E1650" s="25" t="str">
        <f>IF(C1650="","",[1]!s_dq_close(C1650,$N$1))</f>
        <v/>
      </c>
      <c r="F1650" s="28" t="str">
        <f>IF($C1650=""," ",[1]!i_pq_pctchange($C1650,F$6,$N$1))</f>
        <v xml:space="preserve"> </v>
      </c>
      <c r="G1650" s="28" t="str">
        <f>IF($C1650=""," ",[1]!i_pq_pctchange($C1650,G$6,$N$1))</f>
        <v xml:space="preserve"> </v>
      </c>
      <c r="H1650" s="28" t="str">
        <f>IF($C1650=""," ",[1]!i_pq_pctchange($C1650,H$6,$N$1))</f>
        <v xml:space="preserve"> </v>
      </c>
      <c r="I1650" s="28" t="str">
        <f>IF($C1650=""," ",[1]!i_pq_pctchange($C1650,I$6,$N$1))</f>
        <v xml:space="preserve"> </v>
      </c>
      <c r="J1650" s="28" t="str">
        <f>IF($C1650=""," ",[1]!i_pq_pctchange($C1650,J$6,$N$1))</f>
        <v xml:space="preserve"> </v>
      </c>
      <c r="K1650" s="28" t="str">
        <f>IF($C1650=""," ",[1]!i_pq_pctchange($C1650,K$6,$N$1))</f>
        <v xml:space="preserve"> </v>
      </c>
      <c r="L1650" s="28" t="str">
        <f>IF(C1650=""," ",[1]!s_wq_pctchange($C1650,$N$1))</f>
        <v xml:space="preserve"> </v>
      </c>
      <c r="M1650" s="28" t="str">
        <f>IF(C1650=""," ",[1]!s_mq_pctchange($C1650,$N$1))</f>
        <v xml:space="preserve"> </v>
      </c>
      <c r="N1650" s="28" t="str">
        <f>IF(C1650=""," ",[1]!s_yq_pctchange($C1650,$N$1))</f>
        <v xml:space="preserve"> </v>
      </c>
      <c r="O1650" s="11"/>
      <c r="P1650" s="7"/>
    </row>
    <row r="1651" spans="1:16" x14ac:dyDescent="0.35">
      <c r="A1651" s="7"/>
      <c r="C1651" s="30" t="str">
        <f>IF(指数列表!B1648="","",指数列表!B1648)</f>
        <v/>
      </c>
      <c r="D1651" s="35" t="str">
        <f>IF(C1651="","",[1]!s_info_name(C1651))</f>
        <v/>
      </c>
      <c r="E1651" s="24" t="str">
        <f>IF(C1651="","",[1]!s_dq_close(C1651,$N$1))</f>
        <v/>
      </c>
      <c r="F1651" s="28" t="str">
        <f>IF($C1651=""," ",[1]!i_pq_pctchange($C1651,F$6,$N$1))</f>
        <v xml:space="preserve"> </v>
      </c>
      <c r="G1651" s="28" t="str">
        <f>IF($C1651=""," ",[1]!i_pq_pctchange($C1651,G$6,$N$1))</f>
        <v xml:space="preserve"> </v>
      </c>
      <c r="H1651" s="28" t="str">
        <f>IF($C1651=""," ",[1]!i_pq_pctchange($C1651,H$6,$N$1))</f>
        <v xml:space="preserve"> </v>
      </c>
      <c r="I1651" s="28" t="str">
        <f>IF($C1651=""," ",[1]!i_pq_pctchange($C1651,I$6,$N$1))</f>
        <v xml:space="preserve"> </v>
      </c>
      <c r="J1651" s="28" t="str">
        <f>IF($C1651=""," ",[1]!i_pq_pctchange($C1651,J$6,$N$1))</f>
        <v xml:space="preserve"> </v>
      </c>
      <c r="K1651" s="28" t="str">
        <f>IF($C1651=""," ",[1]!i_pq_pctchange($C1651,K$6,$N$1))</f>
        <v xml:space="preserve"> </v>
      </c>
      <c r="L1651" s="28" t="str">
        <f>IF(C1651=""," ",[1]!s_wq_pctchange($C1651,$N$1))</f>
        <v xml:space="preserve"> </v>
      </c>
      <c r="M1651" s="28" t="str">
        <f>IF(C1651=""," ",[1]!s_mq_pctchange($C1651,$N$1))</f>
        <v xml:space="preserve"> </v>
      </c>
      <c r="N1651" s="28" t="str">
        <f>IF(C1651=""," ",[1]!s_yq_pctchange($C1651,$N$1))</f>
        <v xml:space="preserve"> </v>
      </c>
      <c r="O1651" s="11"/>
      <c r="P1651" s="7"/>
    </row>
    <row r="1652" spans="1:16" x14ac:dyDescent="0.35">
      <c r="A1652" s="7"/>
      <c r="C1652" s="31" t="str">
        <f>IF(指数列表!B1649="","",指数列表!B1649)</f>
        <v/>
      </c>
      <c r="D1652" s="36" t="str">
        <f>IF(C1652="","",[1]!s_info_name(C1652))</f>
        <v/>
      </c>
      <c r="E1652" s="25" t="str">
        <f>IF(C1652="","",[1]!s_dq_close(C1652,$N$1))</f>
        <v/>
      </c>
      <c r="F1652" s="28" t="str">
        <f>IF($C1652=""," ",[1]!i_pq_pctchange($C1652,F$6,$N$1))</f>
        <v xml:space="preserve"> </v>
      </c>
      <c r="G1652" s="28" t="str">
        <f>IF($C1652=""," ",[1]!i_pq_pctchange($C1652,G$6,$N$1))</f>
        <v xml:space="preserve"> </v>
      </c>
      <c r="H1652" s="28" t="str">
        <f>IF($C1652=""," ",[1]!i_pq_pctchange($C1652,H$6,$N$1))</f>
        <v xml:space="preserve"> </v>
      </c>
      <c r="I1652" s="28" t="str">
        <f>IF($C1652=""," ",[1]!i_pq_pctchange($C1652,I$6,$N$1))</f>
        <v xml:space="preserve"> </v>
      </c>
      <c r="J1652" s="28" t="str">
        <f>IF($C1652=""," ",[1]!i_pq_pctchange($C1652,J$6,$N$1))</f>
        <v xml:space="preserve"> </v>
      </c>
      <c r="K1652" s="28" t="str">
        <f>IF($C1652=""," ",[1]!i_pq_pctchange($C1652,K$6,$N$1))</f>
        <v xml:space="preserve"> </v>
      </c>
      <c r="L1652" s="28" t="str">
        <f>IF(C1652=""," ",[1]!s_wq_pctchange($C1652,$N$1))</f>
        <v xml:space="preserve"> </v>
      </c>
      <c r="M1652" s="28" t="str">
        <f>IF(C1652=""," ",[1]!s_mq_pctchange($C1652,$N$1))</f>
        <v xml:space="preserve"> </v>
      </c>
      <c r="N1652" s="28" t="str">
        <f>IF(C1652=""," ",[1]!s_yq_pctchange($C1652,$N$1))</f>
        <v xml:space="preserve"> </v>
      </c>
      <c r="O1652" s="11"/>
      <c r="P1652" s="7"/>
    </row>
    <row r="1653" spans="1:16" x14ac:dyDescent="0.35">
      <c r="A1653" s="7"/>
      <c r="C1653" s="30" t="str">
        <f>IF(指数列表!B1650="","",指数列表!B1650)</f>
        <v/>
      </c>
      <c r="D1653" s="35" t="str">
        <f>IF(C1653="","",[1]!s_info_name(C1653))</f>
        <v/>
      </c>
      <c r="E1653" s="24" t="str">
        <f>IF(C1653="","",[1]!s_dq_close(C1653,$N$1))</f>
        <v/>
      </c>
      <c r="F1653" s="28" t="str">
        <f>IF($C1653=""," ",[1]!i_pq_pctchange($C1653,F$6,$N$1))</f>
        <v xml:space="preserve"> </v>
      </c>
      <c r="G1653" s="28" t="str">
        <f>IF($C1653=""," ",[1]!i_pq_pctchange($C1653,G$6,$N$1))</f>
        <v xml:space="preserve"> </v>
      </c>
      <c r="H1653" s="28" t="str">
        <f>IF($C1653=""," ",[1]!i_pq_pctchange($C1653,H$6,$N$1))</f>
        <v xml:space="preserve"> </v>
      </c>
      <c r="I1653" s="28" t="str">
        <f>IF($C1653=""," ",[1]!i_pq_pctchange($C1653,I$6,$N$1))</f>
        <v xml:space="preserve"> </v>
      </c>
      <c r="J1653" s="28" t="str">
        <f>IF($C1653=""," ",[1]!i_pq_pctchange($C1653,J$6,$N$1))</f>
        <v xml:space="preserve"> </v>
      </c>
      <c r="K1653" s="28" t="str">
        <f>IF($C1653=""," ",[1]!i_pq_pctchange($C1653,K$6,$N$1))</f>
        <v xml:space="preserve"> </v>
      </c>
      <c r="L1653" s="28" t="str">
        <f>IF(C1653=""," ",[1]!s_wq_pctchange($C1653,$N$1))</f>
        <v xml:space="preserve"> </v>
      </c>
      <c r="M1653" s="28" t="str">
        <f>IF(C1653=""," ",[1]!s_mq_pctchange($C1653,$N$1))</f>
        <v xml:space="preserve"> </v>
      </c>
      <c r="N1653" s="28" t="str">
        <f>IF(C1653=""," ",[1]!s_yq_pctchange($C1653,$N$1))</f>
        <v xml:space="preserve"> </v>
      </c>
      <c r="O1653" s="11"/>
      <c r="P1653" s="7"/>
    </row>
    <row r="1654" spans="1:16" x14ac:dyDescent="0.35">
      <c r="A1654" s="7"/>
      <c r="C1654" s="31" t="str">
        <f>IF(指数列表!B1651="","",指数列表!B1651)</f>
        <v/>
      </c>
      <c r="D1654" s="36" t="str">
        <f>IF(C1654="","",[1]!s_info_name(C1654))</f>
        <v/>
      </c>
      <c r="E1654" s="25" t="str">
        <f>IF(C1654="","",[1]!s_dq_close(C1654,$N$1))</f>
        <v/>
      </c>
      <c r="F1654" s="28" t="str">
        <f>IF($C1654=""," ",[1]!i_pq_pctchange($C1654,F$6,$N$1))</f>
        <v xml:space="preserve"> </v>
      </c>
      <c r="G1654" s="28" t="str">
        <f>IF($C1654=""," ",[1]!i_pq_pctchange($C1654,G$6,$N$1))</f>
        <v xml:space="preserve"> </v>
      </c>
      <c r="H1654" s="28" t="str">
        <f>IF($C1654=""," ",[1]!i_pq_pctchange($C1654,H$6,$N$1))</f>
        <v xml:space="preserve"> </v>
      </c>
      <c r="I1654" s="28" t="str">
        <f>IF($C1654=""," ",[1]!i_pq_pctchange($C1654,I$6,$N$1))</f>
        <v xml:space="preserve"> </v>
      </c>
      <c r="J1654" s="28" t="str">
        <f>IF($C1654=""," ",[1]!i_pq_pctchange($C1654,J$6,$N$1))</f>
        <v xml:space="preserve"> </v>
      </c>
      <c r="K1654" s="28" t="str">
        <f>IF($C1654=""," ",[1]!i_pq_pctchange($C1654,K$6,$N$1))</f>
        <v xml:space="preserve"> </v>
      </c>
      <c r="L1654" s="28" t="str">
        <f>IF(C1654=""," ",[1]!s_wq_pctchange($C1654,$N$1))</f>
        <v xml:space="preserve"> </v>
      </c>
      <c r="M1654" s="28" t="str">
        <f>IF(C1654=""," ",[1]!s_mq_pctchange($C1654,$N$1))</f>
        <v xml:space="preserve"> </v>
      </c>
      <c r="N1654" s="28" t="str">
        <f>IF(C1654=""," ",[1]!s_yq_pctchange($C1654,$N$1))</f>
        <v xml:space="preserve"> </v>
      </c>
      <c r="O1654" s="11"/>
      <c r="P1654" s="7"/>
    </row>
    <row r="1655" spans="1:16" x14ac:dyDescent="0.35">
      <c r="A1655" s="7"/>
      <c r="C1655" s="30" t="str">
        <f>IF(指数列表!B1652="","",指数列表!B1652)</f>
        <v/>
      </c>
      <c r="D1655" s="35" t="str">
        <f>IF(C1655="","",[1]!s_info_name(C1655))</f>
        <v/>
      </c>
      <c r="E1655" s="24" t="str">
        <f>IF(C1655="","",[1]!s_dq_close(C1655,$N$1))</f>
        <v/>
      </c>
      <c r="F1655" s="28" t="str">
        <f>IF($C1655=""," ",[1]!i_pq_pctchange($C1655,F$6,$N$1))</f>
        <v xml:space="preserve"> </v>
      </c>
      <c r="G1655" s="28" t="str">
        <f>IF($C1655=""," ",[1]!i_pq_pctchange($C1655,G$6,$N$1))</f>
        <v xml:space="preserve"> </v>
      </c>
      <c r="H1655" s="28" t="str">
        <f>IF($C1655=""," ",[1]!i_pq_pctchange($C1655,H$6,$N$1))</f>
        <v xml:space="preserve"> </v>
      </c>
      <c r="I1655" s="28" t="str">
        <f>IF($C1655=""," ",[1]!i_pq_pctchange($C1655,I$6,$N$1))</f>
        <v xml:space="preserve"> </v>
      </c>
      <c r="J1655" s="28" t="str">
        <f>IF($C1655=""," ",[1]!i_pq_pctchange($C1655,J$6,$N$1))</f>
        <v xml:space="preserve"> </v>
      </c>
      <c r="K1655" s="28" t="str">
        <f>IF($C1655=""," ",[1]!i_pq_pctchange($C1655,K$6,$N$1))</f>
        <v xml:space="preserve"> </v>
      </c>
      <c r="L1655" s="28" t="str">
        <f>IF(C1655=""," ",[1]!s_wq_pctchange($C1655,$N$1))</f>
        <v xml:space="preserve"> </v>
      </c>
      <c r="M1655" s="28" t="str">
        <f>IF(C1655=""," ",[1]!s_mq_pctchange($C1655,$N$1))</f>
        <v xml:space="preserve"> </v>
      </c>
      <c r="N1655" s="28" t="str">
        <f>IF(C1655=""," ",[1]!s_yq_pctchange($C1655,$N$1))</f>
        <v xml:space="preserve"> </v>
      </c>
      <c r="O1655" s="11"/>
      <c r="P1655" s="7"/>
    </row>
    <row r="1656" spans="1:16" x14ac:dyDescent="0.35">
      <c r="A1656" s="7"/>
      <c r="C1656" s="31" t="str">
        <f>IF(指数列表!B1653="","",指数列表!B1653)</f>
        <v/>
      </c>
      <c r="D1656" s="36" t="str">
        <f>IF(C1656="","",[1]!s_info_name(C1656))</f>
        <v/>
      </c>
      <c r="E1656" s="25" t="str">
        <f>IF(C1656="","",[1]!s_dq_close(C1656,$N$1))</f>
        <v/>
      </c>
      <c r="F1656" s="28" t="str">
        <f>IF($C1656=""," ",[1]!i_pq_pctchange($C1656,F$6,$N$1))</f>
        <v xml:space="preserve"> </v>
      </c>
      <c r="G1656" s="28" t="str">
        <f>IF($C1656=""," ",[1]!i_pq_pctchange($C1656,G$6,$N$1))</f>
        <v xml:space="preserve"> </v>
      </c>
      <c r="H1656" s="28" t="str">
        <f>IF($C1656=""," ",[1]!i_pq_pctchange($C1656,H$6,$N$1))</f>
        <v xml:space="preserve"> </v>
      </c>
      <c r="I1656" s="28" t="str">
        <f>IF($C1656=""," ",[1]!i_pq_pctchange($C1656,I$6,$N$1))</f>
        <v xml:space="preserve"> </v>
      </c>
      <c r="J1656" s="28" t="str">
        <f>IF($C1656=""," ",[1]!i_pq_pctchange($C1656,J$6,$N$1))</f>
        <v xml:space="preserve"> </v>
      </c>
      <c r="K1656" s="28" t="str">
        <f>IF($C1656=""," ",[1]!i_pq_pctchange($C1656,K$6,$N$1))</f>
        <v xml:space="preserve"> </v>
      </c>
      <c r="L1656" s="28" t="str">
        <f>IF(C1656=""," ",[1]!s_wq_pctchange($C1656,$N$1))</f>
        <v xml:space="preserve"> </v>
      </c>
      <c r="M1656" s="28" t="str">
        <f>IF(C1656=""," ",[1]!s_mq_pctchange($C1656,$N$1))</f>
        <v xml:space="preserve"> </v>
      </c>
      <c r="N1656" s="28" t="str">
        <f>IF(C1656=""," ",[1]!s_yq_pctchange($C1656,$N$1))</f>
        <v xml:space="preserve"> </v>
      </c>
      <c r="O1656" s="11"/>
      <c r="P1656" s="7"/>
    </row>
    <row r="1657" spans="1:16" x14ac:dyDescent="0.35">
      <c r="A1657" s="7"/>
      <c r="C1657" s="30" t="str">
        <f>IF(指数列表!B1654="","",指数列表!B1654)</f>
        <v/>
      </c>
      <c r="D1657" s="35" t="str">
        <f>IF(C1657="","",[1]!s_info_name(C1657))</f>
        <v/>
      </c>
      <c r="E1657" s="24" t="str">
        <f>IF(C1657="","",[1]!s_dq_close(C1657,$N$1))</f>
        <v/>
      </c>
      <c r="F1657" s="28" t="str">
        <f>IF($C1657=""," ",[1]!i_pq_pctchange($C1657,F$6,$N$1))</f>
        <v xml:space="preserve"> </v>
      </c>
      <c r="G1657" s="28" t="str">
        <f>IF($C1657=""," ",[1]!i_pq_pctchange($C1657,G$6,$N$1))</f>
        <v xml:space="preserve"> </v>
      </c>
      <c r="H1657" s="28" t="str">
        <f>IF($C1657=""," ",[1]!i_pq_pctchange($C1657,H$6,$N$1))</f>
        <v xml:space="preserve"> </v>
      </c>
      <c r="I1657" s="28" t="str">
        <f>IF($C1657=""," ",[1]!i_pq_pctchange($C1657,I$6,$N$1))</f>
        <v xml:space="preserve"> </v>
      </c>
      <c r="J1657" s="28" t="str">
        <f>IF($C1657=""," ",[1]!i_pq_pctchange($C1657,J$6,$N$1))</f>
        <v xml:space="preserve"> </v>
      </c>
      <c r="K1657" s="28" t="str">
        <f>IF($C1657=""," ",[1]!i_pq_pctchange($C1657,K$6,$N$1))</f>
        <v xml:space="preserve"> </v>
      </c>
      <c r="L1657" s="28" t="str">
        <f>IF(C1657=""," ",[1]!s_wq_pctchange($C1657,$N$1))</f>
        <v xml:space="preserve"> </v>
      </c>
      <c r="M1657" s="28" t="str">
        <f>IF(C1657=""," ",[1]!s_mq_pctchange($C1657,$N$1))</f>
        <v xml:space="preserve"> </v>
      </c>
      <c r="N1657" s="28" t="str">
        <f>IF(C1657=""," ",[1]!s_yq_pctchange($C1657,$N$1))</f>
        <v xml:space="preserve"> </v>
      </c>
      <c r="O1657" s="11"/>
      <c r="P1657" s="7"/>
    </row>
    <row r="1658" spans="1:16" x14ac:dyDescent="0.35">
      <c r="A1658" s="7"/>
      <c r="C1658" s="31" t="str">
        <f>IF(指数列表!B1655="","",指数列表!B1655)</f>
        <v/>
      </c>
      <c r="D1658" s="36" t="str">
        <f>IF(C1658="","",[1]!s_info_name(C1658))</f>
        <v/>
      </c>
      <c r="E1658" s="25" t="str">
        <f>IF(C1658="","",[1]!s_dq_close(C1658,$N$1))</f>
        <v/>
      </c>
      <c r="F1658" s="28" t="str">
        <f>IF($C1658=""," ",[1]!i_pq_pctchange($C1658,F$6,$N$1))</f>
        <v xml:space="preserve"> </v>
      </c>
      <c r="G1658" s="28" t="str">
        <f>IF($C1658=""," ",[1]!i_pq_pctchange($C1658,G$6,$N$1))</f>
        <v xml:space="preserve"> </v>
      </c>
      <c r="H1658" s="28" t="str">
        <f>IF($C1658=""," ",[1]!i_pq_pctchange($C1658,H$6,$N$1))</f>
        <v xml:space="preserve"> </v>
      </c>
      <c r="I1658" s="28" t="str">
        <f>IF($C1658=""," ",[1]!i_pq_pctchange($C1658,I$6,$N$1))</f>
        <v xml:space="preserve"> </v>
      </c>
      <c r="J1658" s="28" t="str">
        <f>IF($C1658=""," ",[1]!i_pq_pctchange($C1658,J$6,$N$1))</f>
        <v xml:space="preserve"> </v>
      </c>
      <c r="K1658" s="28" t="str">
        <f>IF($C1658=""," ",[1]!i_pq_pctchange($C1658,K$6,$N$1))</f>
        <v xml:space="preserve"> </v>
      </c>
      <c r="L1658" s="28" t="str">
        <f>IF(C1658=""," ",[1]!s_wq_pctchange($C1658,$N$1))</f>
        <v xml:space="preserve"> </v>
      </c>
      <c r="M1658" s="28" t="str">
        <f>IF(C1658=""," ",[1]!s_mq_pctchange($C1658,$N$1))</f>
        <v xml:space="preserve"> </v>
      </c>
      <c r="N1658" s="28" t="str">
        <f>IF(C1658=""," ",[1]!s_yq_pctchange($C1658,$N$1))</f>
        <v xml:space="preserve"> </v>
      </c>
      <c r="O1658" s="11"/>
      <c r="P1658" s="7"/>
    </row>
    <row r="1659" spans="1:16" x14ac:dyDescent="0.35">
      <c r="A1659" s="7"/>
      <c r="C1659" s="30" t="str">
        <f>IF(指数列表!B1656="","",指数列表!B1656)</f>
        <v/>
      </c>
      <c r="D1659" s="35" t="str">
        <f>IF(C1659="","",[1]!s_info_name(C1659))</f>
        <v/>
      </c>
      <c r="E1659" s="24" t="str">
        <f>IF(C1659="","",[1]!s_dq_close(C1659,$N$1))</f>
        <v/>
      </c>
      <c r="F1659" s="28" t="str">
        <f>IF($C1659=""," ",[1]!i_pq_pctchange($C1659,F$6,$N$1))</f>
        <v xml:space="preserve"> </v>
      </c>
      <c r="G1659" s="28" t="str">
        <f>IF($C1659=""," ",[1]!i_pq_pctchange($C1659,G$6,$N$1))</f>
        <v xml:space="preserve"> </v>
      </c>
      <c r="H1659" s="28" t="str">
        <f>IF($C1659=""," ",[1]!i_pq_pctchange($C1659,H$6,$N$1))</f>
        <v xml:space="preserve"> </v>
      </c>
      <c r="I1659" s="28" t="str">
        <f>IF($C1659=""," ",[1]!i_pq_pctchange($C1659,I$6,$N$1))</f>
        <v xml:space="preserve"> </v>
      </c>
      <c r="J1659" s="28" t="str">
        <f>IF($C1659=""," ",[1]!i_pq_pctchange($C1659,J$6,$N$1))</f>
        <v xml:space="preserve"> </v>
      </c>
      <c r="K1659" s="28" t="str">
        <f>IF($C1659=""," ",[1]!i_pq_pctchange($C1659,K$6,$N$1))</f>
        <v xml:space="preserve"> </v>
      </c>
      <c r="L1659" s="28" t="str">
        <f>IF(C1659=""," ",[1]!s_wq_pctchange($C1659,$N$1))</f>
        <v xml:space="preserve"> </v>
      </c>
      <c r="M1659" s="28" t="str">
        <f>IF(C1659=""," ",[1]!s_mq_pctchange($C1659,$N$1))</f>
        <v xml:space="preserve"> </v>
      </c>
      <c r="N1659" s="28" t="str">
        <f>IF(C1659=""," ",[1]!s_yq_pctchange($C1659,$N$1))</f>
        <v xml:space="preserve"> </v>
      </c>
      <c r="O1659" s="11"/>
      <c r="P1659" s="7"/>
    </row>
    <row r="1660" spans="1:16" x14ac:dyDescent="0.35">
      <c r="A1660" s="7"/>
      <c r="C1660" s="31" t="str">
        <f>IF(指数列表!B1657="","",指数列表!B1657)</f>
        <v/>
      </c>
      <c r="D1660" s="36" t="str">
        <f>IF(C1660="","",[1]!s_info_name(C1660))</f>
        <v/>
      </c>
      <c r="E1660" s="25" t="str">
        <f>IF(C1660="","",[1]!s_dq_close(C1660,$N$1))</f>
        <v/>
      </c>
      <c r="F1660" s="28" t="str">
        <f>IF($C1660=""," ",[1]!i_pq_pctchange($C1660,F$6,$N$1))</f>
        <v xml:space="preserve"> </v>
      </c>
      <c r="G1660" s="28" t="str">
        <f>IF($C1660=""," ",[1]!i_pq_pctchange($C1660,G$6,$N$1))</f>
        <v xml:space="preserve"> </v>
      </c>
      <c r="H1660" s="28" t="str">
        <f>IF($C1660=""," ",[1]!i_pq_pctchange($C1660,H$6,$N$1))</f>
        <v xml:space="preserve"> </v>
      </c>
      <c r="I1660" s="28" t="str">
        <f>IF($C1660=""," ",[1]!i_pq_pctchange($C1660,I$6,$N$1))</f>
        <v xml:space="preserve"> </v>
      </c>
      <c r="J1660" s="28" t="str">
        <f>IF($C1660=""," ",[1]!i_pq_pctchange($C1660,J$6,$N$1))</f>
        <v xml:space="preserve"> </v>
      </c>
      <c r="K1660" s="28" t="str">
        <f>IF($C1660=""," ",[1]!i_pq_pctchange($C1660,K$6,$N$1))</f>
        <v xml:space="preserve"> </v>
      </c>
      <c r="L1660" s="28" t="str">
        <f>IF(C1660=""," ",[1]!s_wq_pctchange($C1660,$N$1))</f>
        <v xml:space="preserve"> </v>
      </c>
      <c r="M1660" s="28" t="str">
        <f>IF(C1660=""," ",[1]!s_mq_pctchange($C1660,$N$1))</f>
        <v xml:space="preserve"> </v>
      </c>
      <c r="N1660" s="28" t="str">
        <f>IF(C1660=""," ",[1]!s_yq_pctchange($C1660,$N$1))</f>
        <v xml:space="preserve"> </v>
      </c>
      <c r="O1660" s="11"/>
      <c r="P1660" s="7"/>
    </row>
    <row r="1661" spans="1:16" x14ac:dyDescent="0.35">
      <c r="A1661" s="7"/>
      <c r="C1661" s="30" t="str">
        <f>IF(指数列表!B1658="","",指数列表!B1658)</f>
        <v/>
      </c>
      <c r="D1661" s="35" t="str">
        <f>IF(C1661="","",[1]!s_info_name(C1661))</f>
        <v/>
      </c>
      <c r="E1661" s="24" t="str">
        <f>IF(C1661="","",[1]!s_dq_close(C1661,$N$1))</f>
        <v/>
      </c>
      <c r="F1661" s="28" t="str">
        <f>IF($C1661=""," ",[1]!i_pq_pctchange($C1661,F$6,$N$1))</f>
        <v xml:space="preserve"> </v>
      </c>
      <c r="G1661" s="28" t="str">
        <f>IF($C1661=""," ",[1]!i_pq_pctchange($C1661,G$6,$N$1))</f>
        <v xml:space="preserve"> </v>
      </c>
      <c r="H1661" s="28" t="str">
        <f>IF($C1661=""," ",[1]!i_pq_pctchange($C1661,H$6,$N$1))</f>
        <v xml:space="preserve"> </v>
      </c>
      <c r="I1661" s="28" t="str">
        <f>IF($C1661=""," ",[1]!i_pq_pctchange($C1661,I$6,$N$1))</f>
        <v xml:space="preserve"> </v>
      </c>
      <c r="J1661" s="28" t="str">
        <f>IF($C1661=""," ",[1]!i_pq_pctchange($C1661,J$6,$N$1))</f>
        <v xml:space="preserve"> </v>
      </c>
      <c r="K1661" s="28" t="str">
        <f>IF($C1661=""," ",[1]!i_pq_pctchange($C1661,K$6,$N$1))</f>
        <v xml:space="preserve"> </v>
      </c>
      <c r="L1661" s="28" t="str">
        <f>IF(C1661=""," ",[1]!s_wq_pctchange($C1661,$N$1))</f>
        <v xml:space="preserve"> </v>
      </c>
      <c r="M1661" s="28" t="str">
        <f>IF(C1661=""," ",[1]!s_mq_pctchange($C1661,$N$1))</f>
        <v xml:space="preserve"> </v>
      </c>
      <c r="N1661" s="28" t="str">
        <f>IF(C1661=""," ",[1]!s_yq_pctchange($C1661,$N$1))</f>
        <v xml:space="preserve"> </v>
      </c>
      <c r="O1661" s="11"/>
      <c r="P1661" s="7"/>
    </row>
    <row r="1662" spans="1:16" x14ac:dyDescent="0.35">
      <c r="A1662" s="7"/>
      <c r="C1662" s="31" t="str">
        <f>IF(指数列表!B1659="","",指数列表!B1659)</f>
        <v/>
      </c>
      <c r="D1662" s="36" t="str">
        <f>IF(C1662="","",[1]!s_info_name(C1662))</f>
        <v/>
      </c>
      <c r="E1662" s="25" t="str">
        <f>IF(C1662="","",[1]!s_dq_close(C1662,$N$1))</f>
        <v/>
      </c>
      <c r="F1662" s="28" t="str">
        <f>IF($C1662=""," ",[1]!i_pq_pctchange($C1662,F$6,$N$1))</f>
        <v xml:space="preserve"> </v>
      </c>
      <c r="G1662" s="28" t="str">
        <f>IF($C1662=""," ",[1]!i_pq_pctchange($C1662,G$6,$N$1))</f>
        <v xml:space="preserve"> </v>
      </c>
      <c r="H1662" s="28" t="str">
        <f>IF($C1662=""," ",[1]!i_pq_pctchange($C1662,H$6,$N$1))</f>
        <v xml:space="preserve"> </v>
      </c>
      <c r="I1662" s="28" t="str">
        <f>IF($C1662=""," ",[1]!i_pq_pctchange($C1662,I$6,$N$1))</f>
        <v xml:space="preserve"> </v>
      </c>
      <c r="J1662" s="28" t="str">
        <f>IF($C1662=""," ",[1]!i_pq_pctchange($C1662,J$6,$N$1))</f>
        <v xml:space="preserve"> </v>
      </c>
      <c r="K1662" s="28" t="str">
        <f>IF($C1662=""," ",[1]!i_pq_pctchange($C1662,K$6,$N$1))</f>
        <v xml:space="preserve"> </v>
      </c>
      <c r="L1662" s="28" t="str">
        <f>IF(C1662=""," ",[1]!s_wq_pctchange($C1662,$N$1))</f>
        <v xml:space="preserve"> </v>
      </c>
      <c r="M1662" s="28" t="str">
        <f>IF(C1662=""," ",[1]!s_mq_pctchange($C1662,$N$1))</f>
        <v xml:space="preserve"> </v>
      </c>
      <c r="N1662" s="28" t="str">
        <f>IF(C1662=""," ",[1]!s_yq_pctchange($C1662,$N$1))</f>
        <v xml:space="preserve"> </v>
      </c>
      <c r="O1662" s="11"/>
      <c r="P1662" s="7"/>
    </row>
    <row r="1663" spans="1:16" x14ac:dyDescent="0.35">
      <c r="A1663" s="7"/>
      <c r="C1663" s="30" t="str">
        <f>IF(指数列表!B1660="","",指数列表!B1660)</f>
        <v/>
      </c>
      <c r="D1663" s="35" t="str">
        <f>IF(C1663="","",[1]!s_info_name(C1663))</f>
        <v/>
      </c>
      <c r="E1663" s="24" t="str">
        <f>IF(C1663="","",[1]!s_dq_close(C1663,$N$1))</f>
        <v/>
      </c>
      <c r="F1663" s="28" t="str">
        <f>IF($C1663=""," ",[1]!i_pq_pctchange($C1663,F$6,$N$1))</f>
        <v xml:space="preserve"> </v>
      </c>
      <c r="G1663" s="28" t="str">
        <f>IF($C1663=""," ",[1]!i_pq_pctchange($C1663,G$6,$N$1))</f>
        <v xml:space="preserve"> </v>
      </c>
      <c r="H1663" s="28" t="str">
        <f>IF($C1663=""," ",[1]!i_pq_pctchange($C1663,H$6,$N$1))</f>
        <v xml:space="preserve"> </v>
      </c>
      <c r="I1663" s="28" t="str">
        <f>IF($C1663=""," ",[1]!i_pq_pctchange($C1663,I$6,$N$1))</f>
        <v xml:space="preserve"> </v>
      </c>
      <c r="J1663" s="28" t="str">
        <f>IF($C1663=""," ",[1]!i_pq_pctchange($C1663,J$6,$N$1))</f>
        <v xml:space="preserve"> </v>
      </c>
      <c r="K1663" s="28" t="str">
        <f>IF($C1663=""," ",[1]!i_pq_pctchange($C1663,K$6,$N$1))</f>
        <v xml:space="preserve"> </v>
      </c>
      <c r="L1663" s="28" t="str">
        <f>IF(C1663=""," ",[1]!s_wq_pctchange($C1663,$N$1))</f>
        <v xml:space="preserve"> </v>
      </c>
      <c r="M1663" s="28" t="str">
        <f>IF(C1663=""," ",[1]!s_mq_pctchange($C1663,$N$1))</f>
        <v xml:space="preserve"> </v>
      </c>
      <c r="N1663" s="28" t="str">
        <f>IF(C1663=""," ",[1]!s_yq_pctchange($C1663,$N$1))</f>
        <v xml:space="preserve"> </v>
      </c>
      <c r="O1663" s="11"/>
      <c r="P1663" s="7"/>
    </row>
    <row r="1664" spans="1:16" x14ac:dyDescent="0.35">
      <c r="A1664" s="7"/>
      <c r="C1664" s="31" t="str">
        <f>IF(指数列表!B1661="","",指数列表!B1661)</f>
        <v/>
      </c>
      <c r="D1664" s="36" t="str">
        <f>IF(C1664="","",[1]!s_info_name(C1664))</f>
        <v/>
      </c>
      <c r="E1664" s="25" t="str">
        <f>IF(C1664="","",[1]!s_dq_close(C1664,$N$1))</f>
        <v/>
      </c>
      <c r="F1664" s="28" t="str">
        <f>IF($C1664=""," ",[1]!i_pq_pctchange($C1664,F$6,$N$1))</f>
        <v xml:space="preserve"> </v>
      </c>
      <c r="G1664" s="28" t="str">
        <f>IF($C1664=""," ",[1]!i_pq_pctchange($C1664,G$6,$N$1))</f>
        <v xml:space="preserve"> </v>
      </c>
      <c r="H1664" s="28" t="str">
        <f>IF($C1664=""," ",[1]!i_pq_pctchange($C1664,H$6,$N$1))</f>
        <v xml:space="preserve"> </v>
      </c>
      <c r="I1664" s="28" t="str">
        <f>IF($C1664=""," ",[1]!i_pq_pctchange($C1664,I$6,$N$1))</f>
        <v xml:space="preserve"> </v>
      </c>
      <c r="J1664" s="28" t="str">
        <f>IF($C1664=""," ",[1]!i_pq_pctchange($C1664,J$6,$N$1))</f>
        <v xml:space="preserve"> </v>
      </c>
      <c r="K1664" s="28" t="str">
        <f>IF($C1664=""," ",[1]!i_pq_pctchange($C1664,K$6,$N$1))</f>
        <v xml:space="preserve"> </v>
      </c>
      <c r="L1664" s="28" t="str">
        <f>IF(C1664=""," ",[1]!s_wq_pctchange($C1664,$N$1))</f>
        <v xml:space="preserve"> </v>
      </c>
      <c r="M1664" s="28" t="str">
        <f>IF(C1664=""," ",[1]!s_mq_pctchange($C1664,$N$1))</f>
        <v xml:space="preserve"> </v>
      </c>
      <c r="N1664" s="28" t="str">
        <f>IF(C1664=""," ",[1]!s_yq_pctchange($C1664,$N$1))</f>
        <v xml:space="preserve"> </v>
      </c>
      <c r="O1664" s="11"/>
      <c r="P1664" s="7"/>
    </row>
    <row r="1665" spans="1:16" x14ac:dyDescent="0.35">
      <c r="A1665" s="7"/>
      <c r="C1665" s="30" t="str">
        <f>IF(指数列表!B1662="","",指数列表!B1662)</f>
        <v/>
      </c>
      <c r="D1665" s="35" t="str">
        <f>IF(C1665="","",[1]!s_info_name(C1665))</f>
        <v/>
      </c>
      <c r="E1665" s="24" t="str">
        <f>IF(C1665="","",[1]!s_dq_close(C1665,$N$1))</f>
        <v/>
      </c>
      <c r="F1665" s="28" t="str">
        <f>IF($C1665=""," ",[1]!i_pq_pctchange($C1665,F$6,$N$1))</f>
        <v xml:space="preserve"> </v>
      </c>
      <c r="G1665" s="28" t="str">
        <f>IF($C1665=""," ",[1]!i_pq_pctchange($C1665,G$6,$N$1))</f>
        <v xml:space="preserve"> </v>
      </c>
      <c r="H1665" s="28" t="str">
        <f>IF($C1665=""," ",[1]!i_pq_pctchange($C1665,H$6,$N$1))</f>
        <v xml:space="preserve"> </v>
      </c>
      <c r="I1665" s="28" t="str">
        <f>IF($C1665=""," ",[1]!i_pq_pctchange($C1665,I$6,$N$1))</f>
        <v xml:space="preserve"> </v>
      </c>
      <c r="J1665" s="28" t="str">
        <f>IF($C1665=""," ",[1]!i_pq_pctchange($C1665,J$6,$N$1))</f>
        <v xml:space="preserve"> </v>
      </c>
      <c r="K1665" s="28" t="str">
        <f>IF($C1665=""," ",[1]!i_pq_pctchange($C1665,K$6,$N$1))</f>
        <v xml:space="preserve"> </v>
      </c>
      <c r="L1665" s="28" t="str">
        <f>IF(C1665=""," ",[1]!s_wq_pctchange($C1665,$N$1))</f>
        <v xml:space="preserve"> </v>
      </c>
      <c r="M1665" s="28" t="str">
        <f>IF(C1665=""," ",[1]!s_mq_pctchange($C1665,$N$1))</f>
        <v xml:space="preserve"> </v>
      </c>
      <c r="N1665" s="28" t="str">
        <f>IF(C1665=""," ",[1]!s_yq_pctchange($C1665,$N$1))</f>
        <v xml:space="preserve"> </v>
      </c>
      <c r="O1665" s="11"/>
      <c r="P1665" s="7"/>
    </row>
    <row r="1666" spans="1:16" x14ac:dyDescent="0.35">
      <c r="A1666" s="7"/>
      <c r="C1666" s="31" t="str">
        <f>IF(指数列表!B1663="","",指数列表!B1663)</f>
        <v/>
      </c>
      <c r="D1666" s="36" t="str">
        <f>IF(C1666="","",[1]!s_info_name(C1666))</f>
        <v/>
      </c>
      <c r="E1666" s="25" t="str">
        <f>IF(C1666="","",[1]!s_dq_close(C1666,$N$1))</f>
        <v/>
      </c>
      <c r="F1666" s="28" t="str">
        <f>IF($C1666=""," ",[1]!i_pq_pctchange($C1666,F$6,$N$1))</f>
        <v xml:space="preserve"> </v>
      </c>
      <c r="G1666" s="28" t="str">
        <f>IF($C1666=""," ",[1]!i_pq_pctchange($C1666,G$6,$N$1))</f>
        <v xml:space="preserve"> </v>
      </c>
      <c r="H1666" s="28" t="str">
        <f>IF($C1666=""," ",[1]!i_pq_pctchange($C1666,H$6,$N$1))</f>
        <v xml:space="preserve"> </v>
      </c>
      <c r="I1666" s="28" t="str">
        <f>IF($C1666=""," ",[1]!i_pq_pctchange($C1666,I$6,$N$1))</f>
        <v xml:space="preserve"> </v>
      </c>
      <c r="J1666" s="28" t="str">
        <f>IF($C1666=""," ",[1]!i_pq_pctchange($C1666,J$6,$N$1))</f>
        <v xml:space="preserve"> </v>
      </c>
      <c r="K1666" s="28" t="str">
        <f>IF($C1666=""," ",[1]!i_pq_pctchange($C1666,K$6,$N$1))</f>
        <v xml:space="preserve"> </v>
      </c>
      <c r="L1666" s="28" t="str">
        <f>IF(C1666=""," ",[1]!s_wq_pctchange($C1666,$N$1))</f>
        <v xml:space="preserve"> </v>
      </c>
      <c r="M1666" s="28" t="str">
        <f>IF(C1666=""," ",[1]!s_mq_pctchange($C1666,$N$1))</f>
        <v xml:space="preserve"> </v>
      </c>
      <c r="N1666" s="28" t="str">
        <f>IF(C1666=""," ",[1]!s_yq_pctchange($C1666,$N$1))</f>
        <v xml:space="preserve"> </v>
      </c>
      <c r="O1666" s="11"/>
      <c r="P1666" s="7"/>
    </row>
    <row r="1667" spans="1:16" x14ac:dyDescent="0.35">
      <c r="A1667" s="7"/>
      <c r="C1667" s="30" t="str">
        <f>IF(指数列表!B1664="","",指数列表!B1664)</f>
        <v/>
      </c>
      <c r="D1667" s="35" t="str">
        <f>IF(C1667="","",[1]!s_info_name(C1667))</f>
        <v/>
      </c>
      <c r="E1667" s="24" t="str">
        <f>IF(C1667="","",[1]!s_dq_close(C1667,$N$1))</f>
        <v/>
      </c>
      <c r="F1667" s="28" t="str">
        <f>IF($C1667=""," ",[1]!i_pq_pctchange($C1667,F$6,$N$1))</f>
        <v xml:space="preserve"> </v>
      </c>
      <c r="G1667" s="28" t="str">
        <f>IF($C1667=""," ",[1]!i_pq_pctchange($C1667,G$6,$N$1))</f>
        <v xml:space="preserve"> </v>
      </c>
      <c r="H1667" s="28" t="str">
        <f>IF($C1667=""," ",[1]!i_pq_pctchange($C1667,H$6,$N$1))</f>
        <v xml:space="preserve"> </v>
      </c>
      <c r="I1667" s="28" t="str">
        <f>IF($C1667=""," ",[1]!i_pq_pctchange($C1667,I$6,$N$1))</f>
        <v xml:space="preserve"> </v>
      </c>
      <c r="J1667" s="28" t="str">
        <f>IF($C1667=""," ",[1]!i_pq_pctchange($C1667,J$6,$N$1))</f>
        <v xml:space="preserve"> </v>
      </c>
      <c r="K1667" s="28" t="str">
        <f>IF($C1667=""," ",[1]!i_pq_pctchange($C1667,K$6,$N$1))</f>
        <v xml:space="preserve"> </v>
      </c>
      <c r="L1667" s="28" t="str">
        <f>IF(C1667=""," ",[1]!s_wq_pctchange($C1667,$N$1))</f>
        <v xml:space="preserve"> </v>
      </c>
      <c r="M1667" s="28" t="str">
        <f>IF(C1667=""," ",[1]!s_mq_pctchange($C1667,$N$1))</f>
        <v xml:space="preserve"> </v>
      </c>
      <c r="N1667" s="28" t="str">
        <f>IF(C1667=""," ",[1]!s_yq_pctchange($C1667,$N$1))</f>
        <v xml:space="preserve"> </v>
      </c>
      <c r="O1667" s="11"/>
      <c r="P1667" s="7"/>
    </row>
    <row r="1668" spans="1:16" x14ac:dyDescent="0.35">
      <c r="A1668" s="7"/>
      <c r="C1668" s="31" t="str">
        <f>IF(指数列表!B1665="","",指数列表!B1665)</f>
        <v/>
      </c>
      <c r="D1668" s="36" t="str">
        <f>IF(C1668="","",[1]!s_info_name(C1668))</f>
        <v/>
      </c>
      <c r="E1668" s="25" t="str">
        <f>IF(C1668="","",[1]!s_dq_close(C1668,$N$1))</f>
        <v/>
      </c>
      <c r="F1668" s="28" t="str">
        <f>IF($C1668=""," ",[1]!i_pq_pctchange($C1668,F$6,$N$1))</f>
        <v xml:space="preserve"> </v>
      </c>
      <c r="G1668" s="28" t="str">
        <f>IF($C1668=""," ",[1]!i_pq_pctchange($C1668,G$6,$N$1))</f>
        <v xml:space="preserve"> </v>
      </c>
      <c r="H1668" s="28" t="str">
        <f>IF($C1668=""," ",[1]!i_pq_pctchange($C1668,H$6,$N$1))</f>
        <v xml:space="preserve"> </v>
      </c>
      <c r="I1668" s="28" t="str">
        <f>IF($C1668=""," ",[1]!i_pq_pctchange($C1668,I$6,$N$1))</f>
        <v xml:space="preserve"> </v>
      </c>
      <c r="J1668" s="28" t="str">
        <f>IF($C1668=""," ",[1]!i_pq_pctchange($C1668,J$6,$N$1))</f>
        <v xml:space="preserve"> </v>
      </c>
      <c r="K1668" s="28" t="str">
        <f>IF($C1668=""," ",[1]!i_pq_pctchange($C1668,K$6,$N$1))</f>
        <v xml:space="preserve"> </v>
      </c>
      <c r="L1668" s="28" t="str">
        <f>IF(C1668=""," ",[1]!s_wq_pctchange($C1668,$N$1))</f>
        <v xml:space="preserve"> </v>
      </c>
      <c r="M1668" s="28" t="str">
        <f>IF(C1668=""," ",[1]!s_mq_pctchange($C1668,$N$1))</f>
        <v xml:space="preserve"> </v>
      </c>
      <c r="N1668" s="28" t="str">
        <f>IF(C1668=""," ",[1]!s_yq_pctchange($C1668,$N$1))</f>
        <v xml:space="preserve"> </v>
      </c>
      <c r="O1668" s="11"/>
      <c r="P1668" s="7"/>
    </row>
    <row r="1669" spans="1:16" x14ac:dyDescent="0.35">
      <c r="A1669" s="7"/>
      <c r="C1669" s="30" t="str">
        <f>IF(指数列表!B1666="","",指数列表!B1666)</f>
        <v/>
      </c>
      <c r="D1669" s="35" t="str">
        <f>IF(C1669="","",[1]!s_info_name(C1669))</f>
        <v/>
      </c>
      <c r="E1669" s="24" t="str">
        <f>IF(C1669="","",[1]!s_dq_close(C1669,$N$1))</f>
        <v/>
      </c>
      <c r="F1669" s="28" t="str">
        <f>IF($C1669=""," ",[1]!i_pq_pctchange($C1669,F$6,$N$1))</f>
        <v xml:space="preserve"> </v>
      </c>
      <c r="G1669" s="28" t="str">
        <f>IF($C1669=""," ",[1]!i_pq_pctchange($C1669,G$6,$N$1))</f>
        <v xml:space="preserve"> </v>
      </c>
      <c r="H1669" s="28" t="str">
        <f>IF($C1669=""," ",[1]!i_pq_pctchange($C1669,H$6,$N$1))</f>
        <v xml:space="preserve"> </v>
      </c>
      <c r="I1669" s="28" t="str">
        <f>IF($C1669=""," ",[1]!i_pq_pctchange($C1669,I$6,$N$1))</f>
        <v xml:space="preserve"> </v>
      </c>
      <c r="J1669" s="28" t="str">
        <f>IF($C1669=""," ",[1]!i_pq_pctchange($C1669,J$6,$N$1))</f>
        <v xml:space="preserve"> </v>
      </c>
      <c r="K1669" s="28" t="str">
        <f>IF($C1669=""," ",[1]!i_pq_pctchange($C1669,K$6,$N$1))</f>
        <v xml:space="preserve"> </v>
      </c>
      <c r="L1669" s="28" t="str">
        <f>IF(C1669=""," ",[1]!s_wq_pctchange($C1669,$N$1))</f>
        <v xml:space="preserve"> </v>
      </c>
      <c r="M1669" s="28" t="str">
        <f>IF(C1669=""," ",[1]!s_mq_pctchange($C1669,$N$1))</f>
        <v xml:space="preserve"> </v>
      </c>
      <c r="N1669" s="28" t="str">
        <f>IF(C1669=""," ",[1]!s_yq_pctchange($C1669,$N$1))</f>
        <v xml:space="preserve"> </v>
      </c>
      <c r="O1669" s="11"/>
      <c r="P1669" s="7"/>
    </row>
    <row r="1670" spans="1:16" x14ac:dyDescent="0.35">
      <c r="A1670" s="7"/>
      <c r="C1670" s="31" t="str">
        <f>IF(指数列表!B1667="","",指数列表!B1667)</f>
        <v/>
      </c>
      <c r="D1670" s="36" t="str">
        <f>IF(C1670="","",[1]!s_info_name(C1670))</f>
        <v/>
      </c>
      <c r="E1670" s="25" t="str">
        <f>IF(C1670="","",[1]!s_dq_close(C1670,$N$1))</f>
        <v/>
      </c>
      <c r="F1670" s="28" t="str">
        <f>IF($C1670=""," ",[1]!i_pq_pctchange($C1670,F$6,$N$1))</f>
        <v xml:space="preserve"> </v>
      </c>
      <c r="G1670" s="28" t="str">
        <f>IF($C1670=""," ",[1]!i_pq_pctchange($C1670,G$6,$N$1))</f>
        <v xml:space="preserve"> </v>
      </c>
      <c r="H1670" s="28" t="str">
        <f>IF($C1670=""," ",[1]!i_pq_pctchange($C1670,H$6,$N$1))</f>
        <v xml:space="preserve"> </v>
      </c>
      <c r="I1670" s="28" t="str">
        <f>IF($C1670=""," ",[1]!i_pq_pctchange($C1670,I$6,$N$1))</f>
        <v xml:space="preserve"> </v>
      </c>
      <c r="J1670" s="28" t="str">
        <f>IF($C1670=""," ",[1]!i_pq_pctchange($C1670,J$6,$N$1))</f>
        <v xml:space="preserve"> </v>
      </c>
      <c r="K1670" s="28" t="str">
        <f>IF($C1670=""," ",[1]!i_pq_pctchange($C1670,K$6,$N$1))</f>
        <v xml:space="preserve"> </v>
      </c>
      <c r="L1670" s="28" t="str">
        <f>IF(C1670=""," ",[1]!s_wq_pctchange($C1670,$N$1))</f>
        <v xml:space="preserve"> </v>
      </c>
      <c r="M1670" s="28" t="str">
        <f>IF(C1670=""," ",[1]!s_mq_pctchange($C1670,$N$1))</f>
        <v xml:space="preserve"> </v>
      </c>
      <c r="N1670" s="28" t="str">
        <f>IF(C1670=""," ",[1]!s_yq_pctchange($C1670,$N$1))</f>
        <v xml:space="preserve"> </v>
      </c>
      <c r="O1670" s="11"/>
      <c r="P1670" s="7"/>
    </row>
    <row r="1671" spans="1:16" x14ac:dyDescent="0.35">
      <c r="A1671" s="7"/>
      <c r="C1671" s="30" t="str">
        <f>IF(指数列表!B1668="","",指数列表!B1668)</f>
        <v/>
      </c>
      <c r="D1671" s="35" t="str">
        <f>IF(C1671="","",[1]!s_info_name(C1671))</f>
        <v/>
      </c>
      <c r="E1671" s="24" t="str">
        <f>IF(C1671="","",[1]!s_dq_close(C1671,$N$1))</f>
        <v/>
      </c>
      <c r="F1671" s="28" t="str">
        <f>IF($C1671=""," ",[1]!i_pq_pctchange($C1671,F$6,$N$1))</f>
        <v xml:space="preserve"> </v>
      </c>
      <c r="G1671" s="28" t="str">
        <f>IF($C1671=""," ",[1]!i_pq_pctchange($C1671,G$6,$N$1))</f>
        <v xml:space="preserve"> </v>
      </c>
      <c r="H1671" s="28" t="str">
        <f>IF($C1671=""," ",[1]!i_pq_pctchange($C1671,H$6,$N$1))</f>
        <v xml:space="preserve"> </v>
      </c>
      <c r="I1671" s="28" t="str">
        <f>IF($C1671=""," ",[1]!i_pq_pctchange($C1671,I$6,$N$1))</f>
        <v xml:space="preserve"> </v>
      </c>
      <c r="J1671" s="28" t="str">
        <f>IF($C1671=""," ",[1]!i_pq_pctchange($C1671,J$6,$N$1))</f>
        <v xml:space="preserve"> </v>
      </c>
      <c r="K1671" s="28" t="str">
        <f>IF($C1671=""," ",[1]!i_pq_pctchange($C1671,K$6,$N$1))</f>
        <v xml:space="preserve"> </v>
      </c>
      <c r="L1671" s="28" t="str">
        <f>IF(C1671=""," ",[1]!s_wq_pctchange($C1671,$N$1))</f>
        <v xml:space="preserve"> </v>
      </c>
      <c r="M1671" s="28" t="str">
        <f>IF(C1671=""," ",[1]!s_mq_pctchange($C1671,$N$1))</f>
        <v xml:space="preserve"> </v>
      </c>
      <c r="N1671" s="28" t="str">
        <f>IF(C1671=""," ",[1]!s_yq_pctchange($C1671,$N$1))</f>
        <v xml:space="preserve"> </v>
      </c>
      <c r="O1671" s="11"/>
      <c r="P1671" s="7"/>
    </row>
    <row r="1672" spans="1:16" x14ac:dyDescent="0.35">
      <c r="A1672" s="7"/>
      <c r="C1672" s="31" t="str">
        <f>IF(指数列表!B1669="","",指数列表!B1669)</f>
        <v/>
      </c>
      <c r="D1672" s="36" t="str">
        <f>IF(C1672="","",[1]!s_info_name(C1672))</f>
        <v/>
      </c>
      <c r="E1672" s="25" t="str">
        <f>IF(C1672="","",[1]!s_dq_close(C1672,$N$1))</f>
        <v/>
      </c>
      <c r="F1672" s="28" t="str">
        <f>IF($C1672=""," ",[1]!i_pq_pctchange($C1672,F$6,$N$1))</f>
        <v xml:space="preserve"> </v>
      </c>
      <c r="G1672" s="28" t="str">
        <f>IF($C1672=""," ",[1]!i_pq_pctchange($C1672,G$6,$N$1))</f>
        <v xml:space="preserve"> </v>
      </c>
      <c r="H1672" s="28" t="str">
        <f>IF($C1672=""," ",[1]!i_pq_pctchange($C1672,H$6,$N$1))</f>
        <v xml:space="preserve"> </v>
      </c>
      <c r="I1672" s="28" t="str">
        <f>IF($C1672=""," ",[1]!i_pq_pctchange($C1672,I$6,$N$1))</f>
        <v xml:space="preserve"> </v>
      </c>
      <c r="J1672" s="28" t="str">
        <f>IF($C1672=""," ",[1]!i_pq_pctchange($C1672,J$6,$N$1))</f>
        <v xml:space="preserve"> </v>
      </c>
      <c r="K1672" s="28" t="str">
        <f>IF($C1672=""," ",[1]!i_pq_pctchange($C1672,K$6,$N$1))</f>
        <v xml:space="preserve"> </v>
      </c>
      <c r="L1672" s="28" t="str">
        <f>IF(C1672=""," ",[1]!s_wq_pctchange($C1672,$N$1))</f>
        <v xml:space="preserve"> </v>
      </c>
      <c r="M1672" s="28" t="str">
        <f>IF(C1672=""," ",[1]!s_mq_pctchange($C1672,$N$1))</f>
        <v xml:space="preserve"> </v>
      </c>
      <c r="N1672" s="28" t="str">
        <f>IF(C1672=""," ",[1]!s_yq_pctchange($C1672,$N$1))</f>
        <v xml:space="preserve"> </v>
      </c>
      <c r="O1672" s="11"/>
      <c r="P1672" s="7"/>
    </row>
    <row r="1673" spans="1:16" x14ac:dyDescent="0.35">
      <c r="A1673" s="7"/>
      <c r="C1673" s="30" t="str">
        <f>IF(指数列表!B1670="","",指数列表!B1670)</f>
        <v/>
      </c>
      <c r="D1673" s="35" t="str">
        <f>IF(C1673="","",[1]!s_info_name(C1673))</f>
        <v/>
      </c>
      <c r="E1673" s="24" t="str">
        <f>IF(C1673="","",[1]!s_dq_close(C1673,$N$1))</f>
        <v/>
      </c>
      <c r="F1673" s="28" t="str">
        <f>IF($C1673=""," ",[1]!i_pq_pctchange($C1673,F$6,$N$1))</f>
        <v xml:space="preserve"> </v>
      </c>
      <c r="G1673" s="28" t="str">
        <f>IF($C1673=""," ",[1]!i_pq_pctchange($C1673,G$6,$N$1))</f>
        <v xml:space="preserve"> </v>
      </c>
      <c r="H1673" s="28" t="str">
        <f>IF($C1673=""," ",[1]!i_pq_pctchange($C1673,H$6,$N$1))</f>
        <v xml:space="preserve"> </v>
      </c>
      <c r="I1673" s="28" t="str">
        <f>IF($C1673=""," ",[1]!i_pq_pctchange($C1673,I$6,$N$1))</f>
        <v xml:space="preserve"> </v>
      </c>
      <c r="J1673" s="28" t="str">
        <f>IF($C1673=""," ",[1]!i_pq_pctchange($C1673,J$6,$N$1))</f>
        <v xml:space="preserve"> </v>
      </c>
      <c r="K1673" s="28" t="str">
        <f>IF($C1673=""," ",[1]!i_pq_pctchange($C1673,K$6,$N$1))</f>
        <v xml:space="preserve"> </v>
      </c>
      <c r="L1673" s="28" t="str">
        <f>IF(C1673=""," ",[1]!s_wq_pctchange($C1673,$N$1))</f>
        <v xml:space="preserve"> </v>
      </c>
      <c r="M1673" s="28" t="str">
        <f>IF(C1673=""," ",[1]!s_mq_pctchange($C1673,$N$1))</f>
        <v xml:space="preserve"> </v>
      </c>
      <c r="N1673" s="28" t="str">
        <f>IF(C1673=""," ",[1]!s_yq_pctchange($C1673,$N$1))</f>
        <v xml:space="preserve"> </v>
      </c>
      <c r="O1673" s="11"/>
      <c r="P1673" s="7"/>
    </row>
    <row r="1674" spans="1:16" x14ac:dyDescent="0.35">
      <c r="A1674" s="7"/>
      <c r="C1674" s="31" t="str">
        <f>IF(指数列表!B1671="","",指数列表!B1671)</f>
        <v/>
      </c>
      <c r="D1674" s="36" t="str">
        <f>IF(C1674="","",[1]!s_info_name(C1674))</f>
        <v/>
      </c>
      <c r="E1674" s="25" t="str">
        <f>IF(C1674="","",[1]!s_dq_close(C1674,$N$1))</f>
        <v/>
      </c>
      <c r="F1674" s="28" t="str">
        <f>IF($C1674=""," ",[1]!i_pq_pctchange($C1674,F$6,$N$1))</f>
        <v xml:space="preserve"> </v>
      </c>
      <c r="G1674" s="28" t="str">
        <f>IF($C1674=""," ",[1]!i_pq_pctchange($C1674,G$6,$N$1))</f>
        <v xml:space="preserve"> </v>
      </c>
      <c r="H1674" s="28" t="str">
        <f>IF($C1674=""," ",[1]!i_pq_pctchange($C1674,H$6,$N$1))</f>
        <v xml:space="preserve"> </v>
      </c>
      <c r="I1674" s="28" t="str">
        <f>IF($C1674=""," ",[1]!i_pq_pctchange($C1674,I$6,$N$1))</f>
        <v xml:space="preserve"> </v>
      </c>
      <c r="J1674" s="28" t="str">
        <f>IF($C1674=""," ",[1]!i_pq_pctchange($C1674,J$6,$N$1))</f>
        <v xml:space="preserve"> </v>
      </c>
      <c r="K1674" s="28" t="str">
        <f>IF($C1674=""," ",[1]!i_pq_pctchange($C1674,K$6,$N$1))</f>
        <v xml:space="preserve"> </v>
      </c>
      <c r="L1674" s="28" t="str">
        <f>IF(C1674=""," ",[1]!s_wq_pctchange($C1674,$N$1))</f>
        <v xml:space="preserve"> </v>
      </c>
      <c r="M1674" s="28" t="str">
        <f>IF(C1674=""," ",[1]!s_mq_pctchange($C1674,$N$1))</f>
        <v xml:space="preserve"> </v>
      </c>
      <c r="N1674" s="28" t="str">
        <f>IF(C1674=""," ",[1]!s_yq_pctchange($C1674,$N$1))</f>
        <v xml:space="preserve"> </v>
      </c>
      <c r="O1674" s="11"/>
      <c r="P1674" s="7"/>
    </row>
    <row r="1675" spans="1:16" x14ac:dyDescent="0.35">
      <c r="A1675" s="7"/>
      <c r="C1675" s="30" t="str">
        <f>IF(指数列表!B1672="","",指数列表!B1672)</f>
        <v/>
      </c>
      <c r="D1675" s="35" t="str">
        <f>IF(C1675="","",[1]!s_info_name(C1675))</f>
        <v/>
      </c>
      <c r="E1675" s="24" t="str">
        <f>IF(C1675="","",[1]!s_dq_close(C1675,$N$1))</f>
        <v/>
      </c>
      <c r="F1675" s="28" t="str">
        <f>IF($C1675=""," ",[1]!i_pq_pctchange($C1675,F$6,$N$1))</f>
        <v xml:space="preserve"> </v>
      </c>
      <c r="G1675" s="28" t="str">
        <f>IF($C1675=""," ",[1]!i_pq_pctchange($C1675,G$6,$N$1))</f>
        <v xml:space="preserve"> </v>
      </c>
      <c r="H1675" s="28" t="str">
        <f>IF($C1675=""," ",[1]!i_pq_pctchange($C1675,H$6,$N$1))</f>
        <v xml:space="preserve"> </v>
      </c>
      <c r="I1675" s="28" t="str">
        <f>IF($C1675=""," ",[1]!i_pq_pctchange($C1675,I$6,$N$1))</f>
        <v xml:space="preserve"> </v>
      </c>
      <c r="J1675" s="28" t="str">
        <f>IF($C1675=""," ",[1]!i_pq_pctchange($C1675,J$6,$N$1))</f>
        <v xml:space="preserve"> </v>
      </c>
      <c r="K1675" s="28" t="str">
        <f>IF($C1675=""," ",[1]!i_pq_pctchange($C1675,K$6,$N$1))</f>
        <v xml:space="preserve"> </v>
      </c>
      <c r="L1675" s="28" t="str">
        <f>IF(C1675=""," ",[1]!s_wq_pctchange($C1675,$N$1))</f>
        <v xml:space="preserve"> </v>
      </c>
      <c r="M1675" s="28" t="str">
        <f>IF(C1675=""," ",[1]!s_mq_pctchange($C1675,$N$1))</f>
        <v xml:space="preserve"> </v>
      </c>
      <c r="N1675" s="28" t="str">
        <f>IF(C1675=""," ",[1]!s_yq_pctchange($C1675,$N$1))</f>
        <v xml:space="preserve"> </v>
      </c>
      <c r="O1675" s="11"/>
      <c r="P1675" s="7"/>
    </row>
    <row r="1676" spans="1:16" x14ac:dyDescent="0.35">
      <c r="A1676" s="7"/>
      <c r="C1676" s="31" t="str">
        <f>IF(指数列表!B1673="","",指数列表!B1673)</f>
        <v/>
      </c>
      <c r="D1676" s="36" t="str">
        <f>IF(C1676="","",[1]!s_info_name(C1676))</f>
        <v/>
      </c>
      <c r="E1676" s="25" t="str">
        <f>IF(C1676="","",[1]!s_dq_close(C1676,$N$1))</f>
        <v/>
      </c>
      <c r="F1676" s="28" t="str">
        <f>IF($C1676=""," ",[1]!i_pq_pctchange($C1676,F$6,$N$1))</f>
        <v xml:space="preserve"> </v>
      </c>
      <c r="G1676" s="28" t="str">
        <f>IF($C1676=""," ",[1]!i_pq_pctchange($C1676,G$6,$N$1))</f>
        <v xml:space="preserve"> </v>
      </c>
      <c r="H1676" s="28" t="str">
        <f>IF($C1676=""," ",[1]!i_pq_pctchange($C1676,H$6,$N$1))</f>
        <v xml:space="preserve"> </v>
      </c>
      <c r="I1676" s="28" t="str">
        <f>IF($C1676=""," ",[1]!i_pq_pctchange($C1676,I$6,$N$1))</f>
        <v xml:space="preserve"> </v>
      </c>
      <c r="J1676" s="28" t="str">
        <f>IF($C1676=""," ",[1]!i_pq_pctchange($C1676,J$6,$N$1))</f>
        <v xml:space="preserve"> </v>
      </c>
      <c r="K1676" s="28" t="str">
        <f>IF($C1676=""," ",[1]!i_pq_pctchange($C1676,K$6,$N$1))</f>
        <v xml:space="preserve"> </v>
      </c>
      <c r="L1676" s="28" t="str">
        <f>IF(C1676=""," ",[1]!s_wq_pctchange($C1676,$N$1))</f>
        <v xml:space="preserve"> </v>
      </c>
      <c r="M1676" s="28" t="str">
        <f>IF(C1676=""," ",[1]!s_mq_pctchange($C1676,$N$1))</f>
        <v xml:space="preserve"> </v>
      </c>
      <c r="N1676" s="28" t="str">
        <f>IF(C1676=""," ",[1]!s_yq_pctchange($C1676,$N$1))</f>
        <v xml:space="preserve"> </v>
      </c>
      <c r="O1676" s="11"/>
      <c r="P1676" s="7"/>
    </row>
    <row r="1677" spans="1:16" x14ac:dyDescent="0.35">
      <c r="A1677" s="7"/>
      <c r="C1677" s="30" t="str">
        <f>IF(指数列表!B1674="","",指数列表!B1674)</f>
        <v/>
      </c>
      <c r="D1677" s="35" t="str">
        <f>IF(C1677="","",[1]!s_info_name(C1677))</f>
        <v/>
      </c>
      <c r="E1677" s="24" t="str">
        <f>IF(C1677="","",[1]!s_dq_close(C1677,$N$1))</f>
        <v/>
      </c>
      <c r="F1677" s="28" t="str">
        <f>IF($C1677=""," ",[1]!i_pq_pctchange($C1677,F$6,$N$1))</f>
        <v xml:space="preserve"> </v>
      </c>
      <c r="G1677" s="28" t="str">
        <f>IF($C1677=""," ",[1]!i_pq_pctchange($C1677,G$6,$N$1))</f>
        <v xml:space="preserve"> </v>
      </c>
      <c r="H1677" s="28" t="str">
        <f>IF($C1677=""," ",[1]!i_pq_pctchange($C1677,H$6,$N$1))</f>
        <v xml:space="preserve"> </v>
      </c>
      <c r="I1677" s="28" t="str">
        <f>IF($C1677=""," ",[1]!i_pq_pctchange($C1677,I$6,$N$1))</f>
        <v xml:space="preserve"> </v>
      </c>
      <c r="J1677" s="28" t="str">
        <f>IF($C1677=""," ",[1]!i_pq_pctchange($C1677,J$6,$N$1))</f>
        <v xml:space="preserve"> </v>
      </c>
      <c r="K1677" s="28" t="str">
        <f>IF($C1677=""," ",[1]!i_pq_pctchange($C1677,K$6,$N$1))</f>
        <v xml:space="preserve"> </v>
      </c>
      <c r="L1677" s="28" t="str">
        <f>IF(C1677=""," ",[1]!s_wq_pctchange($C1677,$N$1))</f>
        <v xml:space="preserve"> </v>
      </c>
      <c r="M1677" s="28" t="str">
        <f>IF(C1677=""," ",[1]!s_mq_pctchange($C1677,$N$1))</f>
        <v xml:space="preserve"> </v>
      </c>
      <c r="N1677" s="28" t="str">
        <f>IF(C1677=""," ",[1]!s_yq_pctchange($C1677,$N$1))</f>
        <v xml:space="preserve"> </v>
      </c>
      <c r="O1677" s="11"/>
      <c r="P1677" s="7"/>
    </row>
    <row r="1678" spans="1:16" x14ac:dyDescent="0.35">
      <c r="A1678" s="7"/>
      <c r="C1678" s="31" t="str">
        <f>IF(指数列表!B1675="","",指数列表!B1675)</f>
        <v/>
      </c>
      <c r="D1678" s="36" t="str">
        <f>IF(C1678="","",[1]!s_info_name(C1678))</f>
        <v/>
      </c>
      <c r="E1678" s="25" t="str">
        <f>IF(C1678="","",[1]!s_dq_close(C1678,$N$1))</f>
        <v/>
      </c>
      <c r="F1678" s="28" t="str">
        <f>IF($C1678=""," ",[1]!i_pq_pctchange($C1678,F$6,$N$1))</f>
        <v xml:space="preserve"> </v>
      </c>
      <c r="G1678" s="28" t="str">
        <f>IF($C1678=""," ",[1]!i_pq_pctchange($C1678,G$6,$N$1))</f>
        <v xml:space="preserve"> </v>
      </c>
      <c r="H1678" s="28" t="str">
        <f>IF($C1678=""," ",[1]!i_pq_pctchange($C1678,H$6,$N$1))</f>
        <v xml:space="preserve"> </v>
      </c>
      <c r="I1678" s="28" t="str">
        <f>IF($C1678=""," ",[1]!i_pq_pctchange($C1678,I$6,$N$1))</f>
        <v xml:space="preserve"> </v>
      </c>
      <c r="J1678" s="28" t="str">
        <f>IF($C1678=""," ",[1]!i_pq_pctchange($C1678,J$6,$N$1))</f>
        <v xml:space="preserve"> </v>
      </c>
      <c r="K1678" s="28" t="str">
        <f>IF($C1678=""," ",[1]!i_pq_pctchange($C1678,K$6,$N$1))</f>
        <v xml:space="preserve"> </v>
      </c>
      <c r="L1678" s="28" t="str">
        <f>IF(C1678=""," ",[1]!s_wq_pctchange($C1678,$N$1))</f>
        <v xml:space="preserve"> </v>
      </c>
      <c r="M1678" s="28" t="str">
        <f>IF(C1678=""," ",[1]!s_mq_pctchange($C1678,$N$1))</f>
        <v xml:space="preserve"> </v>
      </c>
      <c r="N1678" s="28" t="str">
        <f>IF(C1678=""," ",[1]!s_yq_pctchange($C1678,$N$1))</f>
        <v xml:space="preserve"> </v>
      </c>
      <c r="O1678" s="11"/>
      <c r="P1678" s="7"/>
    </row>
    <row r="1679" spans="1:16" x14ac:dyDescent="0.35">
      <c r="A1679" s="7"/>
      <c r="C1679" s="30" t="str">
        <f>IF(指数列表!B1676="","",指数列表!B1676)</f>
        <v/>
      </c>
      <c r="D1679" s="35" t="str">
        <f>IF(C1679="","",[1]!s_info_name(C1679))</f>
        <v/>
      </c>
      <c r="E1679" s="24" t="str">
        <f>IF(C1679="","",[1]!s_dq_close(C1679,$N$1))</f>
        <v/>
      </c>
      <c r="F1679" s="28" t="str">
        <f>IF($C1679=""," ",[1]!i_pq_pctchange($C1679,F$6,$N$1))</f>
        <v xml:space="preserve"> </v>
      </c>
      <c r="G1679" s="28" t="str">
        <f>IF($C1679=""," ",[1]!i_pq_pctchange($C1679,G$6,$N$1))</f>
        <v xml:space="preserve"> </v>
      </c>
      <c r="H1679" s="28" t="str">
        <f>IF($C1679=""," ",[1]!i_pq_pctchange($C1679,H$6,$N$1))</f>
        <v xml:space="preserve"> </v>
      </c>
      <c r="I1679" s="28" t="str">
        <f>IF($C1679=""," ",[1]!i_pq_pctchange($C1679,I$6,$N$1))</f>
        <v xml:space="preserve"> </v>
      </c>
      <c r="J1679" s="28" t="str">
        <f>IF($C1679=""," ",[1]!i_pq_pctchange($C1679,J$6,$N$1))</f>
        <v xml:space="preserve"> </v>
      </c>
      <c r="K1679" s="28" t="str">
        <f>IF($C1679=""," ",[1]!i_pq_pctchange($C1679,K$6,$N$1))</f>
        <v xml:space="preserve"> </v>
      </c>
      <c r="L1679" s="28" t="str">
        <f>IF(C1679=""," ",[1]!s_wq_pctchange($C1679,$N$1))</f>
        <v xml:space="preserve"> </v>
      </c>
      <c r="M1679" s="28" t="str">
        <f>IF(C1679=""," ",[1]!s_mq_pctchange($C1679,$N$1))</f>
        <v xml:space="preserve"> </v>
      </c>
      <c r="N1679" s="28" t="str">
        <f>IF(C1679=""," ",[1]!s_yq_pctchange($C1679,$N$1))</f>
        <v xml:space="preserve"> </v>
      </c>
      <c r="O1679" s="11"/>
      <c r="P1679" s="7"/>
    </row>
    <row r="1680" spans="1:16" x14ac:dyDescent="0.35">
      <c r="A1680" s="7"/>
      <c r="C1680" s="31" t="str">
        <f>IF(指数列表!B1677="","",指数列表!B1677)</f>
        <v/>
      </c>
      <c r="D1680" s="36" t="str">
        <f>IF(C1680="","",[1]!s_info_name(C1680))</f>
        <v/>
      </c>
      <c r="E1680" s="25" t="str">
        <f>IF(C1680="","",[1]!s_dq_close(C1680,$N$1))</f>
        <v/>
      </c>
      <c r="F1680" s="28" t="str">
        <f>IF($C1680=""," ",[1]!i_pq_pctchange($C1680,F$6,$N$1))</f>
        <v xml:space="preserve"> </v>
      </c>
      <c r="G1680" s="28" t="str">
        <f>IF($C1680=""," ",[1]!i_pq_pctchange($C1680,G$6,$N$1))</f>
        <v xml:space="preserve"> </v>
      </c>
      <c r="H1680" s="28" t="str">
        <f>IF($C1680=""," ",[1]!i_pq_pctchange($C1680,H$6,$N$1))</f>
        <v xml:space="preserve"> </v>
      </c>
      <c r="I1680" s="28" t="str">
        <f>IF($C1680=""," ",[1]!i_pq_pctchange($C1680,I$6,$N$1))</f>
        <v xml:space="preserve"> </v>
      </c>
      <c r="J1680" s="28" t="str">
        <f>IF($C1680=""," ",[1]!i_pq_pctchange($C1680,J$6,$N$1))</f>
        <v xml:space="preserve"> </v>
      </c>
      <c r="K1680" s="28" t="str">
        <f>IF($C1680=""," ",[1]!i_pq_pctchange($C1680,K$6,$N$1))</f>
        <v xml:space="preserve"> </v>
      </c>
      <c r="L1680" s="28" t="str">
        <f>IF(C1680=""," ",[1]!s_wq_pctchange($C1680,$N$1))</f>
        <v xml:space="preserve"> </v>
      </c>
      <c r="M1680" s="28" t="str">
        <f>IF(C1680=""," ",[1]!s_mq_pctchange($C1680,$N$1))</f>
        <v xml:space="preserve"> </v>
      </c>
      <c r="N1680" s="28" t="str">
        <f>IF(C1680=""," ",[1]!s_yq_pctchange($C1680,$N$1))</f>
        <v xml:space="preserve"> </v>
      </c>
      <c r="O1680" s="11"/>
      <c r="P1680" s="7"/>
    </row>
    <row r="1681" spans="1:16" x14ac:dyDescent="0.35">
      <c r="A1681" s="7"/>
      <c r="C1681" s="30" t="str">
        <f>IF(指数列表!B1678="","",指数列表!B1678)</f>
        <v/>
      </c>
      <c r="D1681" s="35" t="str">
        <f>IF(C1681="","",[1]!s_info_name(C1681))</f>
        <v/>
      </c>
      <c r="E1681" s="24" t="str">
        <f>IF(C1681="","",[1]!s_dq_close(C1681,$N$1))</f>
        <v/>
      </c>
      <c r="F1681" s="28" t="str">
        <f>IF($C1681=""," ",[1]!i_pq_pctchange($C1681,F$6,$N$1))</f>
        <v xml:space="preserve"> </v>
      </c>
      <c r="G1681" s="28" t="str">
        <f>IF($C1681=""," ",[1]!i_pq_pctchange($C1681,G$6,$N$1))</f>
        <v xml:space="preserve"> </v>
      </c>
      <c r="H1681" s="28" t="str">
        <f>IF($C1681=""," ",[1]!i_pq_pctchange($C1681,H$6,$N$1))</f>
        <v xml:space="preserve"> </v>
      </c>
      <c r="I1681" s="28" t="str">
        <f>IF($C1681=""," ",[1]!i_pq_pctchange($C1681,I$6,$N$1))</f>
        <v xml:space="preserve"> </v>
      </c>
      <c r="J1681" s="28" t="str">
        <f>IF($C1681=""," ",[1]!i_pq_pctchange($C1681,J$6,$N$1))</f>
        <v xml:space="preserve"> </v>
      </c>
      <c r="K1681" s="28" t="str">
        <f>IF($C1681=""," ",[1]!i_pq_pctchange($C1681,K$6,$N$1))</f>
        <v xml:space="preserve"> </v>
      </c>
      <c r="L1681" s="28" t="str">
        <f>IF(C1681=""," ",[1]!s_wq_pctchange($C1681,$N$1))</f>
        <v xml:space="preserve"> </v>
      </c>
      <c r="M1681" s="28" t="str">
        <f>IF(C1681=""," ",[1]!s_mq_pctchange($C1681,$N$1))</f>
        <v xml:space="preserve"> </v>
      </c>
      <c r="N1681" s="28" t="str">
        <f>IF(C1681=""," ",[1]!s_yq_pctchange($C1681,$N$1))</f>
        <v xml:space="preserve"> </v>
      </c>
      <c r="O1681" s="11"/>
      <c r="P1681" s="7"/>
    </row>
    <row r="1682" spans="1:16" x14ac:dyDescent="0.35">
      <c r="A1682" s="7"/>
      <c r="C1682" s="31" t="str">
        <f>IF(指数列表!B1679="","",指数列表!B1679)</f>
        <v/>
      </c>
      <c r="D1682" s="36" t="str">
        <f>IF(C1682="","",[1]!s_info_name(C1682))</f>
        <v/>
      </c>
      <c r="E1682" s="25" t="str">
        <f>IF(C1682="","",[1]!s_dq_close(C1682,$N$1))</f>
        <v/>
      </c>
      <c r="F1682" s="28" t="str">
        <f>IF($C1682=""," ",[1]!i_pq_pctchange($C1682,F$6,$N$1))</f>
        <v xml:space="preserve"> </v>
      </c>
      <c r="G1682" s="28" t="str">
        <f>IF($C1682=""," ",[1]!i_pq_pctchange($C1682,G$6,$N$1))</f>
        <v xml:space="preserve"> </v>
      </c>
      <c r="H1682" s="28" t="str">
        <f>IF($C1682=""," ",[1]!i_pq_pctchange($C1682,H$6,$N$1))</f>
        <v xml:space="preserve"> </v>
      </c>
      <c r="I1682" s="28" t="str">
        <f>IF($C1682=""," ",[1]!i_pq_pctchange($C1682,I$6,$N$1))</f>
        <v xml:space="preserve"> </v>
      </c>
      <c r="J1682" s="28" t="str">
        <f>IF($C1682=""," ",[1]!i_pq_pctchange($C1682,J$6,$N$1))</f>
        <v xml:space="preserve"> </v>
      </c>
      <c r="K1682" s="28" t="str">
        <f>IF($C1682=""," ",[1]!i_pq_pctchange($C1682,K$6,$N$1))</f>
        <v xml:space="preserve"> </v>
      </c>
      <c r="L1682" s="28" t="str">
        <f>IF(C1682=""," ",[1]!s_wq_pctchange($C1682,$N$1))</f>
        <v xml:space="preserve"> </v>
      </c>
      <c r="M1682" s="28" t="str">
        <f>IF(C1682=""," ",[1]!s_mq_pctchange($C1682,$N$1))</f>
        <v xml:space="preserve"> </v>
      </c>
      <c r="N1682" s="28" t="str">
        <f>IF(C1682=""," ",[1]!s_yq_pctchange($C1682,$N$1))</f>
        <v xml:space="preserve"> </v>
      </c>
      <c r="O1682" s="11"/>
      <c r="P1682" s="7"/>
    </row>
    <row r="1683" spans="1:16" x14ac:dyDescent="0.35">
      <c r="A1683" s="7"/>
      <c r="C1683" s="30" t="str">
        <f>IF(指数列表!B1680="","",指数列表!B1680)</f>
        <v/>
      </c>
      <c r="D1683" s="35" t="str">
        <f>IF(C1683="","",[1]!s_info_name(C1683))</f>
        <v/>
      </c>
      <c r="E1683" s="24" t="str">
        <f>IF(C1683="","",[1]!s_dq_close(C1683,$N$1))</f>
        <v/>
      </c>
      <c r="F1683" s="28" t="str">
        <f>IF($C1683=""," ",[1]!i_pq_pctchange($C1683,F$6,$N$1))</f>
        <v xml:space="preserve"> </v>
      </c>
      <c r="G1683" s="28" t="str">
        <f>IF($C1683=""," ",[1]!i_pq_pctchange($C1683,G$6,$N$1))</f>
        <v xml:space="preserve"> </v>
      </c>
      <c r="H1683" s="28" t="str">
        <f>IF($C1683=""," ",[1]!i_pq_pctchange($C1683,H$6,$N$1))</f>
        <v xml:space="preserve"> </v>
      </c>
      <c r="I1683" s="28" t="str">
        <f>IF($C1683=""," ",[1]!i_pq_pctchange($C1683,I$6,$N$1))</f>
        <v xml:space="preserve"> </v>
      </c>
      <c r="J1683" s="28" t="str">
        <f>IF($C1683=""," ",[1]!i_pq_pctchange($C1683,J$6,$N$1))</f>
        <v xml:space="preserve"> </v>
      </c>
      <c r="K1683" s="28" t="str">
        <f>IF($C1683=""," ",[1]!i_pq_pctchange($C1683,K$6,$N$1))</f>
        <v xml:space="preserve"> </v>
      </c>
      <c r="L1683" s="28" t="str">
        <f>IF(C1683=""," ",[1]!s_wq_pctchange($C1683,$N$1))</f>
        <v xml:space="preserve"> </v>
      </c>
      <c r="M1683" s="28" t="str">
        <f>IF(C1683=""," ",[1]!s_mq_pctchange($C1683,$N$1))</f>
        <v xml:space="preserve"> </v>
      </c>
      <c r="N1683" s="28" t="str">
        <f>IF(C1683=""," ",[1]!s_yq_pctchange($C1683,$N$1))</f>
        <v xml:space="preserve"> </v>
      </c>
      <c r="O1683" s="11"/>
      <c r="P1683" s="7"/>
    </row>
    <row r="1684" spans="1:16" x14ac:dyDescent="0.35">
      <c r="A1684" s="7"/>
      <c r="C1684" s="31" t="str">
        <f>IF(指数列表!B1681="","",指数列表!B1681)</f>
        <v/>
      </c>
      <c r="D1684" s="36" t="str">
        <f>IF(C1684="","",[1]!s_info_name(C1684))</f>
        <v/>
      </c>
      <c r="E1684" s="25" t="str">
        <f>IF(C1684="","",[1]!s_dq_close(C1684,$N$1))</f>
        <v/>
      </c>
      <c r="F1684" s="28" t="str">
        <f>IF($C1684=""," ",[1]!i_pq_pctchange($C1684,F$6,$N$1))</f>
        <v xml:space="preserve"> </v>
      </c>
      <c r="G1684" s="28" t="str">
        <f>IF($C1684=""," ",[1]!i_pq_pctchange($C1684,G$6,$N$1))</f>
        <v xml:space="preserve"> </v>
      </c>
      <c r="H1684" s="28" t="str">
        <f>IF($C1684=""," ",[1]!i_pq_pctchange($C1684,H$6,$N$1))</f>
        <v xml:space="preserve"> </v>
      </c>
      <c r="I1684" s="28" t="str">
        <f>IF($C1684=""," ",[1]!i_pq_pctchange($C1684,I$6,$N$1))</f>
        <v xml:space="preserve"> </v>
      </c>
      <c r="J1684" s="28" t="str">
        <f>IF($C1684=""," ",[1]!i_pq_pctchange($C1684,J$6,$N$1))</f>
        <v xml:space="preserve"> </v>
      </c>
      <c r="K1684" s="28" t="str">
        <f>IF($C1684=""," ",[1]!i_pq_pctchange($C1684,K$6,$N$1))</f>
        <v xml:space="preserve"> </v>
      </c>
      <c r="L1684" s="28" t="str">
        <f>IF(C1684=""," ",[1]!s_wq_pctchange($C1684,$N$1))</f>
        <v xml:space="preserve"> </v>
      </c>
      <c r="M1684" s="28" t="str">
        <f>IF(C1684=""," ",[1]!s_mq_pctchange($C1684,$N$1))</f>
        <v xml:space="preserve"> </v>
      </c>
      <c r="N1684" s="28" t="str">
        <f>IF(C1684=""," ",[1]!s_yq_pctchange($C1684,$N$1))</f>
        <v xml:space="preserve"> </v>
      </c>
      <c r="O1684" s="11"/>
      <c r="P1684" s="7"/>
    </row>
    <row r="1685" spans="1:16" x14ac:dyDescent="0.35">
      <c r="A1685" s="7"/>
      <c r="C1685" s="30" t="str">
        <f>IF(指数列表!B1682="","",指数列表!B1682)</f>
        <v/>
      </c>
      <c r="D1685" s="35" t="str">
        <f>IF(C1685="","",[1]!s_info_name(C1685))</f>
        <v/>
      </c>
      <c r="E1685" s="24" t="str">
        <f>IF(C1685="","",[1]!s_dq_close(C1685,$N$1))</f>
        <v/>
      </c>
      <c r="F1685" s="28" t="str">
        <f>IF($C1685=""," ",[1]!i_pq_pctchange($C1685,F$6,$N$1))</f>
        <v xml:space="preserve"> </v>
      </c>
      <c r="G1685" s="28" t="str">
        <f>IF($C1685=""," ",[1]!i_pq_pctchange($C1685,G$6,$N$1))</f>
        <v xml:space="preserve"> </v>
      </c>
      <c r="H1685" s="28" t="str">
        <f>IF($C1685=""," ",[1]!i_pq_pctchange($C1685,H$6,$N$1))</f>
        <v xml:space="preserve"> </v>
      </c>
      <c r="I1685" s="28" t="str">
        <f>IF($C1685=""," ",[1]!i_pq_pctchange($C1685,I$6,$N$1))</f>
        <v xml:space="preserve"> </v>
      </c>
      <c r="J1685" s="28" t="str">
        <f>IF($C1685=""," ",[1]!i_pq_pctchange($C1685,J$6,$N$1))</f>
        <v xml:space="preserve"> </v>
      </c>
      <c r="K1685" s="28" t="str">
        <f>IF($C1685=""," ",[1]!i_pq_pctchange($C1685,K$6,$N$1))</f>
        <v xml:space="preserve"> </v>
      </c>
      <c r="L1685" s="28" t="str">
        <f>IF(C1685=""," ",[1]!s_wq_pctchange($C1685,$N$1))</f>
        <v xml:space="preserve"> </v>
      </c>
      <c r="M1685" s="28" t="str">
        <f>IF(C1685=""," ",[1]!s_mq_pctchange($C1685,$N$1))</f>
        <v xml:space="preserve"> </v>
      </c>
      <c r="N1685" s="28" t="str">
        <f>IF(C1685=""," ",[1]!s_yq_pctchange($C1685,$N$1))</f>
        <v xml:space="preserve"> </v>
      </c>
      <c r="O1685" s="11"/>
      <c r="P1685" s="7"/>
    </row>
    <row r="1686" spans="1:16" x14ac:dyDescent="0.35">
      <c r="A1686" s="7"/>
      <c r="C1686" s="31" t="str">
        <f>IF(指数列表!B1683="","",指数列表!B1683)</f>
        <v/>
      </c>
      <c r="D1686" s="36" t="str">
        <f>IF(C1686="","",[1]!s_info_name(C1686))</f>
        <v/>
      </c>
      <c r="E1686" s="25" t="str">
        <f>IF(C1686="","",[1]!s_dq_close(C1686,$N$1))</f>
        <v/>
      </c>
      <c r="F1686" s="28" t="str">
        <f>IF($C1686=""," ",[1]!i_pq_pctchange($C1686,F$6,$N$1))</f>
        <v xml:space="preserve"> </v>
      </c>
      <c r="G1686" s="28" t="str">
        <f>IF($C1686=""," ",[1]!i_pq_pctchange($C1686,G$6,$N$1))</f>
        <v xml:space="preserve"> </v>
      </c>
      <c r="H1686" s="28" t="str">
        <f>IF($C1686=""," ",[1]!i_pq_pctchange($C1686,H$6,$N$1))</f>
        <v xml:space="preserve"> </v>
      </c>
      <c r="I1686" s="28" t="str">
        <f>IF($C1686=""," ",[1]!i_pq_pctchange($C1686,I$6,$N$1))</f>
        <v xml:space="preserve"> </v>
      </c>
      <c r="J1686" s="28" t="str">
        <f>IF($C1686=""," ",[1]!i_pq_pctchange($C1686,J$6,$N$1))</f>
        <v xml:space="preserve"> </v>
      </c>
      <c r="K1686" s="28" t="str">
        <f>IF($C1686=""," ",[1]!i_pq_pctchange($C1686,K$6,$N$1))</f>
        <v xml:space="preserve"> </v>
      </c>
      <c r="L1686" s="28" t="str">
        <f>IF(C1686=""," ",[1]!s_wq_pctchange($C1686,$N$1))</f>
        <v xml:space="preserve"> </v>
      </c>
      <c r="M1686" s="28" t="str">
        <f>IF(C1686=""," ",[1]!s_mq_pctchange($C1686,$N$1))</f>
        <v xml:space="preserve"> </v>
      </c>
      <c r="N1686" s="28" t="str">
        <f>IF(C1686=""," ",[1]!s_yq_pctchange($C1686,$N$1))</f>
        <v xml:space="preserve"> </v>
      </c>
      <c r="O1686" s="11"/>
      <c r="P1686" s="7"/>
    </row>
    <row r="1687" spans="1:16" x14ac:dyDescent="0.35">
      <c r="A1687" s="7"/>
      <c r="C1687" s="30" t="str">
        <f>IF(指数列表!B1684="","",指数列表!B1684)</f>
        <v/>
      </c>
      <c r="D1687" s="35" t="str">
        <f>IF(C1687="","",[1]!s_info_name(C1687))</f>
        <v/>
      </c>
      <c r="E1687" s="24" t="str">
        <f>IF(C1687="","",[1]!s_dq_close(C1687,$N$1))</f>
        <v/>
      </c>
      <c r="F1687" s="28" t="str">
        <f>IF($C1687=""," ",[1]!i_pq_pctchange($C1687,F$6,$N$1))</f>
        <v xml:space="preserve"> </v>
      </c>
      <c r="G1687" s="28" t="str">
        <f>IF($C1687=""," ",[1]!i_pq_pctchange($C1687,G$6,$N$1))</f>
        <v xml:space="preserve"> </v>
      </c>
      <c r="H1687" s="28" t="str">
        <f>IF($C1687=""," ",[1]!i_pq_pctchange($C1687,H$6,$N$1))</f>
        <v xml:space="preserve"> </v>
      </c>
      <c r="I1687" s="28" t="str">
        <f>IF($C1687=""," ",[1]!i_pq_pctchange($C1687,I$6,$N$1))</f>
        <v xml:space="preserve"> </v>
      </c>
      <c r="J1687" s="28" t="str">
        <f>IF($C1687=""," ",[1]!i_pq_pctchange($C1687,J$6,$N$1))</f>
        <v xml:space="preserve"> </v>
      </c>
      <c r="K1687" s="28" t="str">
        <f>IF($C1687=""," ",[1]!i_pq_pctchange($C1687,K$6,$N$1))</f>
        <v xml:space="preserve"> </v>
      </c>
      <c r="L1687" s="28" t="str">
        <f>IF(C1687=""," ",[1]!s_wq_pctchange($C1687,$N$1))</f>
        <v xml:space="preserve"> </v>
      </c>
      <c r="M1687" s="28" t="str">
        <f>IF(C1687=""," ",[1]!s_mq_pctchange($C1687,$N$1))</f>
        <v xml:space="preserve"> </v>
      </c>
      <c r="N1687" s="28" t="str">
        <f>IF(C1687=""," ",[1]!s_yq_pctchange($C1687,$N$1))</f>
        <v xml:space="preserve"> </v>
      </c>
      <c r="O1687" s="11"/>
      <c r="P1687" s="7"/>
    </row>
    <row r="1688" spans="1:16" x14ac:dyDescent="0.35">
      <c r="A1688" s="7"/>
      <c r="C1688" s="31" t="str">
        <f>IF(指数列表!B1685="","",指数列表!B1685)</f>
        <v/>
      </c>
      <c r="D1688" s="36" t="str">
        <f>IF(C1688="","",[1]!s_info_name(C1688))</f>
        <v/>
      </c>
      <c r="E1688" s="25" t="str">
        <f>IF(C1688="","",[1]!s_dq_close(C1688,$N$1))</f>
        <v/>
      </c>
      <c r="F1688" s="28" t="str">
        <f>IF($C1688=""," ",[1]!i_pq_pctchange($C1688,F$6,$N$1))</f>
        <v xml:space="preserve"> </v>
      </c>
      <c r="G1688" s="28" t="str">
        <f>IF($C1688=""," ",[1]!i_pq_pctchange($C1688,G$6,$N$1))</f>
        <v xml:space="preserve"> </v>
      </c>
      <c r="H1688" s="28" t="str">
        <f>IF($C1688=""," ",[1]!i_pq_pctchange($C1688,H$6,$N$1))</f>
        <v xml:space="preserve"> </v>
      </c>
      <c r="I1688" s="28" t="str">
        <f>IF($C1688=""," ",[1]!i_pq_pctchange($C1688,I$6,$N$1))</f>
        <v xml:space="preserve"> </v>
      </c>
      <c r="J1688" s="28" t="str">
        <f>IF($C1688=""," ",[1]!i_pq_pctchange($C1688,J$6,$N$1))</f>
        <v xml:space="preserve"> </v>
      </c>
      <c r="K1688" s="28" t="str">
        <f>IF($C1688=""," ",[1]!i_pq_pctchange($C1688,K$6,$N$1))</f>
        <v xml:space="preserve"> </v>
      </c>
      <c r="L1688" s="28" t="str">
        <f>IF(C1688=""," ",[1]!s_wq_pctchange($C1688,$N$1))</f>
        <v xml:space="preserve"> </v>
      </c>
      <c r="M1688" s="28" t="str">
        <f>IF(C1688=""," ",[1]!s_mq_pctchange($C1688,$N$1))</f>
        <v xml:space="preserve"> </v>
      </c>
      <c r="N1688" s="28" t="str">
        <f>IF(C1688=""," ",[1]!s_yq_pctchange($C1688,$N$1))</f>
        <v xml:space="preserve"> </v>
      </c>
      <c r="O1688" s="11"/>
      <c r="P1688" s="7"/>
    </row>
    <row r="1689" spans="1:16" x14ac:dyDescent="0.35">
      <c r="A1689" s="7"/>
      <c r="C1689" s="30" t="str">
        <f>IF(指数列表!B1686="","",指数列表!B1686)</f>
        <v/>
      </c>
      <c r="D1689" s="35" t="str">
        <f>IF(C1689="","",[1]!s_info_name(C1689))</f>
        <v/>
      </c>
      <c r="E1689" s="24" t="str">
        <f>IF(C1689="","",[1]!s_dq_close(C1689,$N$1))</f>
        <v/>
      </c>
      <c r="F1689" s="28" t="str">
        <f>IF($C1689=""," ",[1]!i_pq_pctchange($C1689,F$6,$N$1))</f>
        <v xml:space="preserve"> </v>
      </c>
      <c r="G1689" s="28" t="str">
        <f>IF($C1689=""," ",[1]!i_pq_pctchange($C1689,G$6,$N$1))</f>
        <v xml:space="preserve"> </v>
      </c>
      <c r="H1689" s="28" t="str">
        <f>IF($C1689=""," ",[1]!i_pq_pctchange($C1689,H$6,$N$1))</f>
        <v xml:space="preserve"> </v>
      </c>
      <c r="I1689" s="28" t="str">
        <f>IF($C1689=""," ",[1]!i_pq_pctchange($C1689,I$6,$N$1))</f>
        <v xml:space="preserve"> </v>
      </c>
      <c r="J1689" s="28" t="str">
        <f>IF($C1689=""," ",[1]!i_pq_pctchange($C1689,J$6,$N$1))</f>
        <v xml:space="preserve"> </v>
      </c>
      <c r="K1689" s="28" t="str">
        <f>IF($C1689=""," ",[1]!i_pq_pctchange($C1689,K$6,$N$1))</f>
        <v xml:space="preserve"> </v>
      </c>
      <c r="L1689" s="28" t="str">
        <f>IF(C1689=""," ",[1]!s_wq_pctchange($C1689,$N$1))</f>
        <v xml:space="preserve"> </v>
      </c>
      <c r="M1689" s="28" t="str">
        <f>IF(C1689=""," ",[1]!s_mq_pctchange($C1689,$N$1))</f>
        <v xml:space="preserve"> </v>
      </c>
      <c r="N1689" s="28" t="str">
        <f>IF(C1689=""," ",[1]!s_yq_pctchange($C1689,$N$1))</f>
        <v xml:space="preserve"> </v>
      </c>
      <c r="O1689" s="11"/>
      <c r="P1689" s="7"/>
    </row>
    <row r="1690" spans="1:16" x14ac:dyDescent="0.35">
      <c r="A1690" s="7"/>
      <c r="C1690" s="31" t="str">
        <f>IF(指数列表!B1687="","",指数列表!B1687)</f>
        <v/>
      </c>
      <c r="D1690" s="36" t="str">
        <f>IF(C1690="","",[1]!s_info_name(C1690))</f>
        <v/>
      </c>
      <c r="E1690" s="25" t="str">
        <f>IF(C1690="","",[1]!s_dq_close(C1690,$N$1))</f>
        <v/>
      </c>
      <c r="F1690" s="28" t="str">
        <f>IF($C1690=""," ",[1]!i_pq_pctchange($C1690,F$6,$N$1))</f>
        <v xml:space="preserve"> </v>
      </c>
      <c r="G1690" s="28" t="str">
        <f>IF($C1690=""," ",[1]!i_pq_pctchange($C1690,G$6,$N$1))</f>
        <v xml:space="preserve"> </v>
      </c>
      <c r="H1690" s="28" t="str">
        <f>IF($C1690=""," ",[1]!i_pq_pctchange($C1690,H$6,$N$1))</f>
        <v xml:space="preserve"> </v>
      </c>
      <c r="I1690" s="28" t="str">
        <f>IF($C1690=""," ",[1]!i_pq_pctchange($C1690,I$6,$N$1))</f>
        <v xml:space="preserve"> </v>
      </c>
      <c r="J1690" s="28" t="str">
        <f>IF($C1690=""," ",[1]!i_pq_pctchange($C1690,J$6,$N$1))</f>
        <v xml:space="preserve"> </v>
      </c>
      <c r="K1690" s="28" t="str">
        <f>IF($C1690=""," ",[1]!i_pq_pctchange($C1690,K$6,$N$1))</f>
        <v xml:space="preserve"> </v>
      </c>
      <c r="L1690" s="28" t="str">
        <f>IF(C1690=""," ",[1]!s_wq_pctchange($C1690,$N$1))</f>
        <v xml:space="preserve"> </v>
      </c>
      <c r="M1690" s="28" t="str">
        <f>IF(C1690=""," ",[1]!s_mq_pctchange($C1690,$N$1))</f>
        <v xml:space="preserve"> </v>
      </c>
      <c r="N1690" s="28" t="str">
        <f>IF(C1690=""," ",[1]!s_yq_pctchange($C1690,$N$1))</f>
        <v xml:space="preserve"> </v>
      </c>
      <c r="O1690" s="11"/>
      <c r="P1690" s="7"/>
    </row>
    <row r="1691" spans="1:16" x14ac:dyDescent="0.35">
      <c r="A1691" s="7"/>
      <c r="C1691" s="30" t="str">
        <f>IF(指数列表!B1688="","",指数列表!B1688)</f>
        <v/>
      </c>
      <c r="D1691" s="35" t="str">
        <f>IF(C1691="","",[1]!s_info_name(C1691))</f>
        <v/>
      </c>
      <c r="E1691" s="24" t="str">
        <f>IF(C1691="","",[1]!s_dq_close(C1691,$N$1))</f>
        <v/>
      </c>
      <c r="F1691" s="28" t="str">
        <f>IF($C1691=""," ",[1]!i_pq_pctchange($C1691,F$6,$N$1))</f>
        <v xml:space="preserve"> </v>
      </c>
      <c r="G1691" s="28" t="str">
        <f>IF($C1691=""," ",[1]!i_pq_pctchange($C1691,G$6,$N$1))</f>
        <v xml:space="preserve"> </v>
      </c>
      <c r="H1691" s="28" t="str">
        <f>IF($C1691=""," ",[1]!i_pq_pctchange($C1691,H$6,$N$1))</f>
        <v xml:space="preserve"> </v>
      </c>
      <c r="I1691" s="28" t="str">
        <f>IF($C1691=""," ",[1]!i_pq_pctchange($C1691,I$6,$N$1))</f>
        <v xml:space="preserve"> </v>
      </c>
      <c r="J1691" s="28" t="str">
        <f>IF($C1691=""," ",[1]!i_pq_pctchange($C1691,J$6,$N$1))</f>
        <v xml:space="preserve"> </v>
      </c>
      <c r="K1691" s="28" t="str">
        <f>IF($C1691=""," ",[1]!i_pq_pctchange($C1691,K$6,$N$1))</f>
        <v xml:space="preserve"> </v>
      </c>
      <c r="L1691" s="28" t="str">
        <f>IF(C1691=""," ",[1]!s_wq_pctchange($C1691,$N$1))</f>
        <v xml:space="preserve"> </v>
      </c>
      <c r="M1691" s="28" t="str">
        <f>IF(C1691=""," ",[1]!s_mq_pctchange($C1691,$N$1))</f>
        <v xml:space="preserve"> </v>
      </c>
      <c r="N1691" s="28" t="str">
        <f>IF(C1691=""," ",[1]!s_yq_pctchange($C1691,$N$1))</f>
        <v xml:space="preserve"> </v>
      </c>
      <c r="O1691" s="11"/>
      <c r="P1691" s="7"/>
    </row>
    <row r="1692" spans="1:16" x14ac:dyDescent="0.35">
      <c r="A1692" s="7"/>
      <c r="C1692" s="31" t="str">
        <f>IF(指数列表!B1689="","",指数列表!B1689)</f>
        <v/>
      </c>
      <c r="D1692" s="36" t="str">
        <f>IF(C1692="","",[1]!s_info_name(C1692))</f>
        <v/>
      </c>
      <c r="E1692" s="25" t="str">
        <f>IF(C1692="","",[1]!s_dq_close(C1692,$N$1))</f>
        <v/>
      </c>
      <c r="F1692" s="28" t="str">
        <f>IF($C1692=""," ",[1]!i_pq_pctchange($C1692,F$6,$N$1))</f>
        <v xml:space="preserve"> </v>
      </c>
      <c r="G1692" s="28" t="str">
        <f>IF($C1692=""," ",[1]!i_pq_pctchange($C1692,G$6,$N$1))</f>
        <v xml:space="preserve"> </v>
      </c>
      <c r="H1692" s="28" t="str">
        <f>IF($C1692=""," ",[1]!i_pq_pctchange($C1692,H$6,$N$1))</f>
        <v xml:space="preserve"> </v>
      </c>
      <c r="I1692" s="28" t="str">
        <f>IF($C1692=""," ",[1]!i_pq_pctchange($C1692,I$6,$N$1))</f>
        <v xml:space="preserve"> </v>
      </c>
      <c r="J1692" s="28" t="str">
        <f>IF($C1692=""," ",[1]!i_pq_pctchange($C1692,J$6,$N$1))</f>
        <v xml:space="preserve"> </v>
      </c>
      <c r="K1692" s="28" t="str">
        <f>IF($C1692=""," ",[1]!i_pq_pctchange($C1692,K$6,$N$1))</f>
        <v xml:space="preserve"> </v>
      </c>
      <c r="L1692" s="28" t="str">
        <f>IF(C1692=""," ",[1]!s_wq_pctchange($C1692,$N$1))</f>
        <v xml:space="preserve"> </v>
      </c>
      <c r="M1692" s="28" t="str">
        <f>IF(C1692=""," ",[1]!s_mq_pctchange($C1692,$N$1))</f>
        <v xml:space="preserve"> </v>
      </c>
      <c r="N1692" s="28" t="str">
        <f>IF(C1692=""," ",[1]!s_yq_pctchange($C1692,$N$1))</f>
        <v xml:space="preserve"> </v>
      </c>
      <c r="O1692" s="11"/>
      <c r="P1692" s="7"/>
    </row>
    <row r="1693" spans="1:16" x14ac:dyDescent="0.35">
      <c r="A1693" s="7"/>
      <c r="C1693" s="30" t="str">
        <f>IF(指数列表!B1690="","",指数列表!B1690)</f>
        <v/>
      </c>
      <c r="D1693" s="35" t="str">
        <f>IF(C1693="","",[1]!s_info_name(C1693))</f>
        <v/>
      </c>
      <c r="E1693" s="24" t="str">
        <f>IF(C1693="","",[1]!s_dq_close(C1693,$N$1))</f>
        <v/>
      </c>
      <c r="F1693" s="28" t="str">
        <f>IF($C1693=""," ",[1]!i_pq_pctchange($C1693,F$6,$N$1))</f>
        <v xml:space="preserve"> </v>
      </c>
      <c r="G1693" s="28" t="str">
        <f>IF($C1693=""," ",[1]!i_pq_pctchange($C1693,G$6,$N$1))</f>
        <v xml:space="preserve"> </v>
      </c>
      <c r="H1693" s="28" t="str">
        <f>IF($C1693=""," ",[1]!i_pq_pctchange($C1693,H$6,$N$1))</f>
        <v xml:space="preserve"> </v>
      </c>
      <c r="I1693" s="28" t="str">
        <f>IF($C1693=""," ",[1]!i_pq_pctchange($C1693,I$6,$N$1))</f>
        <v xml:space="preserve"> </v>
      </c>
      <c r="J1693" s="28" t="str">
        <f>IF($C1693=""," ",[1]!i_pq_pctchange($C1693,J$6,$N$1))</f>
        <v xml:space="preserve"> </v>
      </c>
      <c r="K1693" s="28" t="str">
        <f>IF($C1693=""," ",[1]!i_pq_pctchange($C1693,K$6,$N$1))</f>
        <v xml:space="preserve"> </v>
      </c>
      <c r="L1693" s="28" t="str">
        <f>IF(C1693=""," ",[1]!s_wq_pctchange($C1693,$N$1))</f>
        <v xml:space="preserve"> </v>
      </c>
      <c r="M1693" s="28" t="str">
        <f>IF(C1693=""," ",[1]!s_mq_pctchange($C1693,$N$1))</f>
        <v xml:space="preserve"> </v>
      </c>
      <c r="N1693" s="28" t="str">
        <f>IF(C1693=""," ",[1]!s_yq_pctchange($C1693,$N$1))</f>
        <v xml:space="preserve"> </v>
      </c>
      <c r="O1693" s="11"/>
      <c r="P1693" s="7"/>
    </row>
    <row r="1694" spans="1:16" x14ac:dyDescent="0.35">
      <c r="A1694" s="7"/>
      <c r="C1694" s="31" t="str">
        <f>IF(指数列表!B1691="","",指数列表!B1691)</f>
        <v/>
      </c>
      <c r="D1694" s="36" t="str">
        <f>IF(C1694="","",[1]!s_info_name(C1694))</f>
        <v/>
      </c>
      <c r="E1694" s="25" t="str">
        <f>IF(C1694="","",[1]!s_dq_close(C1694,$N$1))</f>
        <v/>
      </c>
      <c r="F1694" s="28" t="str">
        <f>IF($C1694=""," ",[1]!i_pq_pctchange($C1694,F$6,$N$1))</f>
        <v xml:space="preserve"> </v>
      </c>
      <c r="G1694" s="28" t="str">
        <f>IF($C1694=""," ",[1]!i_pq_pctchange($C1694,G$6,$N$1))</f>
        <v xml:space="preserve"> </v>
      </c>
      <c r="H1694" s="28" t="str">
        <f>IF($C1694=""," ",[1]!i_pq_pctchange($C1694,H$6,$N$1))</f>
        <v xml:space="preserve"> </v>
      </c>
      <c r="I1694" s="28" t="str">
        <f>IF($C1694=""," ",[1]!i_pq_pctchange($C1694,I$6,$N$1))</f>
        <v xml:space="preserve"> </v>
      </c>
      <c r="J1694" s="28" t="str">
        <f>IF($C1694=""," ",[1]!i_pq_pctchange($C1694,J$6,$N$1))</f>
        <v xml:space="preserve"> </v>
      </c>
      <c r="K1694" s="28" t="str">
        <f>IF($C1694=""," ",[1]!i_pq_pctchange($C1694,K$6,$N$1))</f>
        <v xml:space="preserve"> </v>
      </c>
      <c r="L1694" s="28" t="str">
        <f>IF(C1694=""," ",[1]!s_wq_pctchange($C1694,$N$1))</f>
        <v xml:space="preserve"> </v>
      </c>
      <c r="M1694" s="28" t="str">
        <f>IF(C1694=""," ",[1]!s_mq_pctchange($C1694,$N$1))</f>
        <v xml:space="preserve"> </v>
      </c>
      <c r="N1694" s="28" t="str">
        <f>IF(C1694=""," ",[1]!s_yq_pctchange($C1694,$N$1))</f>
        <v xml:space="preserve"> </v>
      </c>
      <c r="O1694" s="11"/>
      <c r="P1694" s="7"/>
    </row>
    <row r="1695" spans="1:16" x14ac:dyDescent="0.35">
      <c r="A1695" s="7"/>
      <c r="C1695" s="30" t="str">
        <f>IF(指数列表!B1692="","",指数列表!B1692)</f>
        <v/>
      </c>
      <c r="D1695" s="35" t="str">
        <f>IF(C1695="","",[1]!s_info_name(C1695))</f>
        <v/>
      </c>
      <c r="E1695" s="24" t="str">
        <f>IF(C1695="","",[1]!s_dq_close(C1695,$N$1))</f>
        <v/>
      </c>
      <c r="F1695" s="28" t="str">
        <f>IF($C1695=""," ",[1]!i_pq_pctchange($C1695,F$6,$N$1))</f>
        <v xml:space="preserve"> </v>
      </c>
      <c r="G1695" s="28" t="str">
        <f>IF($C1695=""," ",[1]!i_pq_pctchange($C1695,G$6,$N$1))</f>
        <v xml:space="preserve"> </v>
      </c>
      <c r="H1695" s="28" t="str">
        <f>IF($C1695=""," ",[1]!i_pq_pctchange($C1695,H$6,$N$1))</f>
        <v xml:space="preserve"> </v>
      </c>
      <c r="I1695" s="28" t="str">
        <f>IF($C1695=""," ",[1]!i_pq_pctchange($C1695,I$6,$N$1))</f>
        <v xml:space="preserve"> </v>
      </c>
      <c r="J1695" s="28" t="str">
        <f>IF($C1695=""," ",[1]!i_pq_pctchange($C1695,J$6,$N$1))</f>
        <v xml:space="preserve"> </v>
      </c>
      <c r="K1695" s="28" t="str">
        <f>IF($C1695=""," ",[1]!i_pq_pctchange($C1695,K$6,$N$1))</f>
        <v xml:space="preserve"> </v>
      </c>
      <c r="L1695" s="28" t="str">
        <f>IF(C1695=""," ",[1]!s_wq_pctchange($C1695,$N$1))</f>
        <v xml:space="preserve"> </v>
      </c>
      <c r="M1695" s="28" t="str">
        <f>IF(C1695=""," ",[1]!s_mq_pctchange($C1695,$N$1))</f>
        <v xml:space="preserve"> </v>
      </c>
      <c r="N1695" s="28" t="str">
        <f>IF(C1695=""," ",[1]!s_yq_pctchange($C1695,$N$1))</f>
        <v xml:space="preserve"> </v>
      </c>
      <c r="O1695" s="11"/>
      <c r="P1695" s="7"/>
    </row>
    <row r="1696" spans="1:16" x14ac:dyDescent="0.35">
      <c r="A1696" s="7"/>
      <c r="C1696" s="31" t="str">
        <f>IF(指数列表!B1693="","",指数列表!B1693)</f>
        <v/>
      </c>
      <c r="D1696" s="36" t="str">
        <f>IF(C1696="","",[1]!s_info_name(C1696))</f>
        <v/>
      </c>
      <c r="E1696" s="25" t="str">
        <f>IF(C1696="","",[1]!s_dq_close(C1696,$N$1))</f>
        <v/>
      </c>
      <c r="F1696" s="28" t="str">
        <f>IF($C1696=""," ",[1]!i_pq_pctchange($C1696,F$6,$N$1))</f>
        <v xml:space="preserve"> </v>
      </c>
      <c r="G1696" s="28" t="str">
        <f>IF($C1696=""," ",[1]!i_pq_pctchange($C1696,G$6,$N$1))</f>
        <v xml:space="preserve"> </v>
      </c>
      <c r="H1696" s="28" t="str">
        <f>IF($C1696=""," ",[1]!i_pq_pctchange($C1696,H$6,$N$1))</f>
        <v xml:space="preserve"> </v>
      </c>
      <c r="I1696" s="28" t="str">
        <f>IF($C1696=""," ",[1]!i_pq_pctchange($C1696,I$6,$N$1))</f>
        <v xml:space="preserve"> </v>
      </c>
      <c r="J1696" s="28" t="str">
        <f>IF($C1696=""," ",[1]!i_pq_pctchange($C1696,J$6,$N$1))</f>
        <v xml:space="preserve"> </v>
      </c>
      <c r="K1696" s="28" t="str">
        <f>IF($C1696=""," ",[1]!i_pq_pctchange($C1696,K$6,$N$1))</f>
        <v xml:space="preserve"> </v>
      </c>
      <c r="L1696" s="28" t="str">
        <f>IF(C1696=""," ",[1]!s_wq_pctchange($C1696,$N$1))</f>
        <v xml:space="preserve"> </v>
      </c>
      <c r="M1696" s="28" t="str">
        <f>IF(C1696=""," ",[1]!s_mq_pctchange($C1696,$N$1))</f>
        <v xml:space="preserve"> </v>
      </c>
      <c r="N1696" s="28" t="str">
        <f>IF(C1696=""," ",[1]!s_yq_pctchange($C1696,$N$1))</f>
        <v xml:space="preserve"> </v>
      </c>
      <c r="O1696" s="11"/>
      <c r="P1696" s="7"/>
    </row>
    <row r="1697" spans="1:16" x14ac:dyDescent="0.35">
      <c r="A1697" s="7"/>
      <c r="C1697" s="30" t="str">
        <f>IF(指数列表!B1694="","",指数列表!B1694)</f>
        <v/>
      </c>
      <c r="D1697" s="35" t="str">
        <f>IF(C1697="","",[1]!s_info_name(C1697))</f>
        <v/>
      </c>
      <c r="E1697" s="24" t="str">
        <f>IF(C1697="","",[1]!s_dq_close(C1697,$N$1))</f>
        <v/>
      </c>
      <c r="F1697" s="28" t="str">
        <f>IF($C1697=""," ",[1]!i_pq_pctchange($C1697,F$6,$N$1))</f>
        <v xml:space="preserve"> </v>
      </c>
      <c r="G1697" s="28" t="str">
        <f>IF($C1697=""," ",[1]!i_pq_pctchange($C1697,G$6,$N$1))</f>
        <v xml:space="preserve"> </v>
      </c>
      <c r="H1697" s="28" t="str">
        <f>IF($C1697=""," ",[1]!i_pq_pctchange($C1697,H$6,$N$1))</f>
        <v xml:space="preserve"> </v>
      </c>
      <c r="I1697" s="28" t="str">
        <f>IF($C1697=""," ",[1]!i_pq_pctchange($C1697,I$6,$N$1))</f>
        <v xml:space="preserve"> </v>
      </c>
      <c r="J1697" s="28" t="str">
        <f>IF($C1697=""," ",[1]!i_pq_pctchange($C1697,J$6,$N$1))</f>
        <v xml:space="preserve"> </v>
      </c>
      <c r="K1697" s="28" t="str">
        <f>IF($C1697=""," ",[1]!i_pq_pctchange($C1697,K$6,$N$1))</f>
        <v xml:space="preserve"> </v>
      </c>
      <c r="L1697" s="28" t="str">
        <f>IF(C1697=""," ",[1]!s_wq_pctchange($C1697,$N$1))</f>
        <v xml:space="preserve"> </v>
      </c>
      <c r="M1697" s="28" t="str">
        <f>IF(C1697=""," ",[1]!s_mq_pctchange($C1697,$N$1))</f>
        <v xml:space="preserve"> </v>
      </c>
      <c r="N1697" s="28" t="str">
        <f>IF(C1697=""," ",[1]!s_yq_pctchange($C1697,$N$1))</f>
        <v xml:space="preserve"> </v>
      </c>
      <c r="O1697" s="11"/>
      <c r="P1697" s="7"/>
    </row>
    <row r="1698" spans="1:16" x14ac:dyDescent="0.35">
      <c r="A1698" s="7"/>
      <c r="C1698" s="31" t="str">
        <f>IF(指数列表!B1695="","",指数列表!B1695)</f>
        <v/>
      </c>
      <c r="D1698" s="36" t="str">
        <f>IF(C1698="","",[1]!s_info_name(C1698))</f>
        <v/>
      </c>
      <c r="E1698" s="25" t="str">
        <f>IF(C1698="","",[1]!s_dq_close(C1698,$N$1))</f>
        <v/>
      </c>
      <c r="F1698" s="28" t="str">
        <f>IF($C1698=""," ",[1]!i_pq_pctchange($C1698,F$6,$N$1))</f>
        <v xml:space="preserve"> </v>
      </c>
      <c r="G1698" s="28" t="str">
        <f>IF($C1698=""," ",[1]!i_pq_pctchange($C1698,G$6,$N$1))</f>
        <v xml:space="preserve"> </v>
      </c>
      <c r="H1698" s="28" t="str">
        <f>IF($C1698=""," ",[1]!i_pq_pctchange($C1698,H$6,$N$1))</f>
        <v xml:space="preserve"> </v>
      </c>
      <c r="I1698" s="28" t="str">
        <f>IF($C1698=""," ",[1]!i_pq_pctchange($C1698,I$6,$N$1))</f>
        <v xml:space="preserve"> </v>
      </c>
      <c r="J1698" s="28" t="str">
        <f>IF($C1698=""," ",[1]!i_pq_pctchange($C1698,J$6,$N$1))</f>
        <v xml:space="preserve"> </v>
      </c>
      <c r="K1698" s="28" t="str">
        <f>IF($C1698=""," ",[1]!i_pq_pctchange($C1698,K$6,$N$1))</f>
        <v xml:space="preserve"> </v>
      </c>
      <c r="L1698" s="28" t="str">
        <f>IF(C1698=""," ",[1]!s_wq_pctchange($C1698,$N$1))</f>
        <v xml:space="preserve"> </v>
      </c>
      <c r="M1698" s="28" t="str">
        <f>IF(C1698=""," ",[1]!s_mq_pctchange($C1698,$N$1))</f>
        <v xml:space="preserve"> </v>
      </c>
      <c r="N1698" s="28" t="str">
        <f>IF(C1698=""," ",[1]!s_yq_pctchange($C1698,$N$1))</f>
        <v xml:space="preserve"> </v>
      </c>
      <c r="O1698" s="11"/>
      <c r="P1698" s="7"/>
    </row>
    <row r="1699" spans="1:16" x14ac:dyDescent="0.35">
      <c r="A1699" s="7"/>
      <c r="C1699" s="30" t="str">
        <f>IF(指数列表!B1696="","",指数列表!B1696)</f>
        <v/>
      </c>
      <c r="D1699" s="35" t="str">
        <f>IF(C1699="","",[1]!s_info_name(C1699))</f>
        <v/>
      </c>
      <c r="E1699" s="24" t="str">
        <f>IF(C1699="","",[1]!s_dq_close(C1699,$N$1))</f>
        <v/>
      </c>
      <c r="F1699" s="28" t="str">
        <f>IF($C1699=""," ",[1]!i_pq_pctchange($C1699,F$6,$N$1))</f>
        <v xml:space="preserve"> </v>
      </c>
      <c r="G1699" s="28" t="str">
        <f>IF($C1699=""," ",[1]!i_pq_pctchange($C1699,G$6,$N$1))</f>
        <v xml:space="preserve"> </v>
      </c>
      <c r="H1699" s="28" t="str">
        <f>IF($C1699=""," ",[1]!i_pq_pctchange($C1699,H$6,$N$1))</f>
        <v xml:space="preserve"> </v>
      </c>
      <c r="I1699" s="28" t="str">
        <f>IF($C1699=""," ",[1]!i_pq_pctchange($C1699,I$6,$N$1))</f>
        <v xml:space="preserve"> </v>
      </c>
      <c r="J1699" s="28" t="str">
        <f>IF($C1699=""," ",[1]!i_pq_pctchange($C1699,J$6,$N$1))</f>
        <v xml:space="preserve"> </v>
      </c>
      <c r="K1699" s="28" t="str">
        <f>IF($C1699=""," ",[1]!i_pq_pctchange($C1699,K$6,$N$1))</f>
        <v xml:space="preserve"> </v>
      </c>
      <c r="L1699" s="28" t="str">
        <f>IF(C1699=""," ",[1]!s_wq_pctchange($C1699,$N$1))</f>
        <v xml:space="preserve"> </v>
      </c>
      <c r="M1699" s="28" t="str">
        <f>IF(C1699=""," ",[1]!s_mq_pctchange($C1699,$N$1))</f>
        <v xml:space="preserve"> </v>
      </c>
      <c r="N1699" s="28" t="str">
        <f>IF(C1699=""," ",[1]!s_yq_pctchange($C1699,$N$1))</f>
        <v xml:space="preserve"> </v>
      </c>
      <c r="O1699" s="11"/>
      <c r="P1699" s="7"/>
    </row>
    <row r="1700" spans="1:16" x14ac:dyDescent="0.35">
      <c r="A1700" s="7"/>
      <c r="C1700" s="31" t="str">
        <f>IF(指数列表!B1697="","",指数列表!B1697)</f>
        <v/>
      </c>
      <c r="D1700" s="36" t="str">
        <f>IF(C1700="","",[1]!s_info_name(C1700))</f>
        <v/>
      </c>
      <c r="E1700" s="25" t="str">
        <f>IF(C1700="","",[1]!s_dq_close(C1700,$N$1))</f>
        <v/>
      </c>
      <c r="F1700" s="28" t="str">
        <f>IF($C1700=""," ",[1]!i_pq_pctchange($C1700,F$6,$N$1))</f>
        <v xml:space="preserve"> </v>
      </c>
      <c r="G1700" s="28" t="str">
        <f>IF($C1700=""," ",[1]!i_pq_pctchange($C1700,G$6,$N$1))</f>
        <v xml:space="preserve"> </v>
      </c>
      <c r="H1700" s="28" t="str">
        <f>IF($C1700=""," ",[1]!i_pq_pctchange($C1700,H$6,$N$1))</f>
        <v xml:space="preserve"> </v>
      </c>
      <c r="I1700" s="28" t="str">
        <f>IF($C1700=""," ",[1]!i_pq_pctchange($C1700,I$6,$N$1))</f>
        <v xml:space="preserve"> </v>
      </c>
      <c r="J1700" s="28" t="str">
        <f>IF($C1700=""," ",[1]!i_pq_pctchange($C1700,J$6,$N$1))</f>
        <v xml:space="preserve"> </v>
      </c>
      <c r="K1700" s="28" t="str">
        <f>IF($C1700=""," ",[1]!i_pq_pctchange($C1700,K$6,$N$1))</f>
        <v xml:space="preserve"> </v>
      </c>
      <c r="L1700" s="28" t="str">
        <f>IF(C1700=""," ",[1]!s_wq_pctchange($C1700,$N$1))</f>
        <v xml:space="preserve"> </v>
      </c>
      <c r="M1700" s="28" t="str">
        <f>IF(C1700=""," ",[1]!s_mq_pctchange($C1700,$N$1))</f>
        <v xml:space="preserve"> </v>
      </c>
      <c r="N1700" s="28" t="str">
        <f>IF(C1700=""," ",[1]!s_yq_pctchange($C1700,$N$1))</f>
        <v xml:space="preserve"> </v>
      </c>
      <c r="O1700" s="11"/>
      <c r="P1700" s="7"/>
    </row>
    <row r="1701" spans="1:16" x14ac:dyDescent="0.35">
      <c r="A1701" s="7"/>
      <c r="C1701" s="30" t="str">
        <f>IF(指数列表!B1698="","",指数列表!B1698)</f>
        <v/>
      </c>
      <c r="D1701" s="35" t="str">
        <f>IF(C1701="","",[1]!s_info_name(C1701))</f>
        <v/>
      </c>
      <c r="E1701" s="24" t="str">
        <f>IF(C1701="","",[1]!s_dq_close(C1701,$N$1))</f>
        <v/>
      </c>
      <c r="F1701" s="28" t="str">
        <f>IF($C1701=""," ",[1]!i_pq_pctchange($C1701,F$6,$N$1))</f>
        <v xml:space="preserve"> </v>
      </c>
      <c r="G1701" s="28" t="str">
        <f>IF($C1701=""," ",[1]!i_pq_pctchange($C1701,G$6,$N$1))</f>
        <v xml:space="preserve"> </v>
      </c>
      <c r="H1701" s="28" t="str">
        <f>IF($C1701=""," ",[1]!i_pq_pctchange($C1701,H$6,$N$1))</f>
        <v xml:space="preserve"> </v>
      </c>
      <c r="I1701" s="28" t="str">
        <f>IF($C1701=""," ",[1]!i_pq_pctchange($C1701,I$6,$N$1))</f>
        <v xml:space="preserve"> </v>
      </c>
      <c r="J1701" s="28" t="str">
        <f>IF($C1701=""," ",[1]!i_pq_pctchange($C1701,J$6,$N$1))</f>
        <v xml:space="preserve"> </v>
      </c>
      <c r="K1701" s="28" t="str">
        <f>IF($C1701=""," ",[1]!i_pq_pctchange($C1701,K$6,$N$1))</f>
        <v xml:space="preserve"> </v>
      </c>
      <c r="L1701" s="28" t="str">
        <f>IF(C1701=""," ",[1]!s_wq_pctchange($C1701,$N$1))</f>
        <v xml:space="preserve"> </v>
      </c>
      <c r="M1701" s="28" t="str">
        <f>IF(C1701=""," ",[1]!s_mq_pctchange($C1701,$N$1))</f>
        <v xml:space="preserve"> </v>
      </c>
      <c r="N1701" s="28" t="str">
        <f>IF(C1701=""," ",[1]!s_yq_pctchange($C1701,$N$1))</f>
        <v xml:space="preserve"> </v>
      </c>
      <c r="O1701" s="11"/>
      <c r="P1701" s="7"/>
    </row>
    <row r="1702" spans="1:16" x14ac:dyDescent="0.35">
      <c r="A1702" s="7"/>
      <c r="C1702" s="31" t="str">
        <f>IF(指数列表!B1699="","",指数列表!B1699)</f>
        <v/>
      </c>
      <c r="D1702" s="36" t="str">
        <f>IF(C1702="","",[1]!s_info_name(C1702))</f>
        <v/>
      </c>
      <c r="E1702" s="25" t="str">
        <f>IF(C1702="","",[1]!s_dq_close(C1702,$N$1))</f>
        <v/>
      </c>
      <c r="F1702" s="28" t="str">
        <f>IF($C1702=""," ",[1]!i_pq_pctchange($C1702,F$6,$N$1))</f>
        <v xml:space="preserve"> </v>
      </c>
      <c r="G1702" s="28" t="str">
        <f>IF($C1702=""," ",[1]!i_pq_pctchange($C1702,G$6,$N$1))</f>
        <v xml:space="preserve"> </v>
      </c>
      <c r="H1702" s="28" t="str">
        <f>IF($C1702=""," ",[1]!i_pq_pctchange($C1702,H$6,$N$1))</f>
        <v xml:space="preserve"> </v>
      </c>
      <c r="I1702" s="28" t="str">
        <f>IF($C1702=""," ",[1]!i_pq_pctchange($C1702,I$6,$N$1))</f>
        <v xml:space="preserve"> </v>
      </c>
      <c r="J1702" s="28" t="str">
        <f>IF($C1702=""," ",[1]!i_pq_pctchange($C1702,J$6,$N$1))</f>
        <v xml:space="preserve"> </v>
      </c>
      <c r="K1702" s="28" t="str">
        <f>IF($C1702=""," ",[1]!i_pq_pctchange($C1702,K$6,$N$1))</f>
        <v xml:space="preserve"> </v>
      </c>
      <c r="L1702" s="28" t="str">
        <f>IF(C1702=""," ",[1]!s_wq_pctchange($C1702,$N$1))</f>
        <v xml:space="preserve"> </v>
      </c>
      <c r="M1702" s="28" t="str">
        <f>IF(C1702=""," ",[1]!s_mq_pctchange($C1702,$N$1))</f>
        <v xml:space="preserve"> </v>
      </c>
      <c r="N1702" s="28" t="str">
        <f>IF(C1702=""," ",[1]!s_yq_pctchange($C1702,$N$1))</f>
        <v xml:space="preserve"> </v>
      </c>
      <c r="O1702" s="11"/>
      <c r="P1702" s="7"/>
    </row>
    <row r="1703" spans="1:16" x14ac:dyDescent="0.35">
      <c r="A1703" s="7"/>
      <c r="C1703" s="30" t="str">
        <f>IF(指数列表!B1700="","",指数列表!B1700)</f>
        <v/>
      </c>
      <c r="D1703" s="35" t="str">
        <f>IF(C1703="","",[1]!s_info_name(C1703))</f>
        <v/>
      </c>
      <c r="E1703" s="24" t="str">
        <f>IF(C1703="","",[1]!s_dq_close(C1703,$N$1))</f>
        <v/>
      </c>
      <c r="F1703" s="28" t="str">
        <f>IF($C1703=""," ",[1]!i_pq_pctchange($C1703,F$6,$N$1))</f>
        <v xml:space="preserve"> </v>
      </c>
      <c r="G1703" s="28" t="str">
        <f>IF($C1703=""," ",[1]!i_pq_pctchange($C1703,G$6,$N$1))</f>
        <v xml:space="preserve"> </v>
      </c>
      <c r="H1703" s="28" t="str">
        <f>IF($C1703=""," ",[1]!i_pq_pctchange($C1703,H$6,$N$1))</f>
        <v xml:space="preserve"> </v>
      </c>
      <c r="I1703" s="28" t="str">
        <f>IF($C1703=""," ",[1]!i_pq_pctchange($C1703,I$6,$N$1))</f>
        <v xml:space="preserve"> </v>
      </c>
      <c r="J1703" s="28" t="str">
        <f>IF($C1703=""," ",[1]!i_pq_pctchange($C1703,J$6,$N$1))</f>
        <v xml:space="preserve"> </v>
      </c>
      <c r="K1703" s="28" t="str">
        <f>IF($C1703=""," ",[1]!i_pq_pctchange($C1703,K$6,$N$1))</f>
        <v xml:space="preserve"> </v>
      </c>
      <c r="L1703" s="28" t="str">
        <f>IF(C1703=""," ",[1]!s_wq_pctchange($C1703,$N$1))</f>
        <v xml:space="preserve"> </v>
      </c>
      <c r="M1703" s="28" t="str">
        <f>IF(C1703=""," ",[1]!s_mq_pctchange($C1703,$N$1))</f>
        <v xml:space="preserve"> </v>
      </c>
      <c r="N1703" s="28" t="str">
        <f>IF(C1703=""," ",[1]!s_yq_pctchange($C1703,$N$1))</f>
        <v xml:space="preserve"> </v>
      </c>
      <c r="O1703" s="11"/>
      <c r="P1703" s="7"/>
    </row>
    <row r="1704" spans="1:16" x14ac:dyDescent="0.35">
      <c r="A1704" s="7"/>
      <c r="C1704" s="31" t="str">
        <f>IF(指数列表!B1701="","",指数列表!B1701)</f>
        <v/>
      </c>
      <c r="D1704" s="36" t="str">
        <f>IF(C1704="","",[1]!s_info_name(C1704))</f>
        <v/>
      </c>
      <c r="E1704" s="25" t="str">
        <f>IF(C1704="","",[1]!s_dq_close(C1704,$N$1))</f>
        <v/>
      </c>
      <c r="F1704" s="28" t="str">
        <f>IF($C1704=""," ",[1]!i_pq_pctchange($C1704,F$6,$N$1))</f>
        <v xml:space="preserve"> </v>
      </c>
      <c r="G1704" s="28" t="str">
        <f>IF($C1704=""," ",[1]!i_pq_pctchange($C1704,G$6,$N$1))</f>
        <v xml:space="preserve"> </v>
      </c>
      <c r="H1704" s="28" t="str">
        <f>IF($C1704=""," ",[1]!i_pq_pctchange($C1704,H$6,$N$1))</f>
        <v xml:space="preserve"> </v>
      </c>
      <c r="I1704" s="28" t="str">
        <f>IF($C1704=""," ",[1]!i_pq_pctchange($C1704,I$6,$N$1))</f>
        <v xml:space="preserve"> </v>
      </c>
      <c r="J1704" s="28" t="str">
        <f>IF($C1704=""," ",[1]!i_pq_pctchange($C1704,J$6,$N$1))</f>
        <v xml:space="preserve"> </v>
      </c>
      <c r="K1704" s="28" t="str">
        <f>IF($C1704=""," ",[1]!i_pq_pctchange($C1704,K$6,$N$1))</f>
        <v xml:space="preserve"> </v>
      </c>
      <c r="L1704" s="28" t="str">
        <f>IF(C1704=""," ",[1]!s_wq_pctchange($C1704,$N$1))</f>
        <v xml:space="preserve"> </v>
      </c>
      <c r="M1704" s="28" t="str">
        <f>IF(C1704=""," ",[1]!s_mq_pctchange($C1704,$N$1))</f>
        <v xml:space="preserve"> </v>
      </c>
      <c r="N1704" s="28" t="str">
        <f>IF(C1704=""," ",[1]!s_yq_pctchange($C1704,$N$1))</f>
        <v xml:space="preserve"> </v>
      </c>
      <c r="O1704" s="11"/>
      <c r="P1704" s="7"/>
    </row>
    <row r="1705" spans="1:16" x14ac:dyDescent="0.35">
      <c r="A1705" s="7"/>
      <c r="C1705" s="30" t="str">
        <f>IF(指数列表!B1702="","",指数列表!B1702)</f>
        <v/>
      </c>
      <c r="D1705" s="35" t="str">
        <f>IF(C1705="","",[1]!s_info_name(C1705))</f>
        <v/>
      </c>
      <c r="E1705" s="24" t="str">
        <f>IF(C1705="","",[1]!s_dq_close(C1705,$N$1))</f>
        <v/>
      </c>
      <c r="F1705" s="28" t="str">
        <f>IF($C1705=""," ",[1]!i_pq_pctchange($C1705,F$6,$N$1))</f>
        <v xml:space="preserve"> </v>
      </c>
      <c r="G1705" s="28" t="str">
        <f>IF($C1705=""," ",[1]!i_pq_pctchange($C1705,G$6,$N$1))</f>
        <v xml:space="preserve"> </v>
      </c>
      <c r="H1705" s="28" t="str">
        <f>IF($C1705=""," ",[1]!i_pq_pctchange($C1705,H$6,$N$1))</f>
        <v xml:space="preserve"> </v>
      </c>
      <c r="I1705" s="28" t="str">
        <f>IF($C1705=""," ",[1]!i_pq_pctchange($C1705,I$6,$N$1))</f>
        <v xml:space="preserve"> </v>
      </c>
      <c r="J1705" s="28" t="str">
        <f>IF($C1705=""," ",[1]!i_pq_pctchange($C1705,J$6,$N$1))</f>
        <v xml:space="preserve"> </v>
      </c>
      <c r="K1705" s="28" t="str">
        <f>IF($C1705=""," ",[1]!i_pq_pctchange($C1705,K$6,$N$1))</f>
        <v xml:space="preserve"> </v>
      </c>
      <c r="L1705" s="28" t="str">
        <f>IF(C1705=""," ",[1]!s_wq_pctchange($C1705,$N$1))</f>
        <v xml:space="preserve"> </v>
      </c>
      <c r="M1705" s="28" t="str">
        <f>IF(C1705=""," ",[1]!s_mq_pctchange($C1705,$N$1))</f>
        <v xml:space="preserve"> </v>
      </c>
      <c r="N1705" s="28" t="str">
        <f>IF(C1705=""," ",[1]!s_yq_pctchange($C1705,$N$1))</f>
        <v xml:space="preserve"> </v>
      </c>
      <c r="O1705" s="11"/>
      <c r="P1705" s="7"/>
    </row>
    <row r="1706" spans="1:16" x14ac:dyDescent="0.35">
      <c r="A1706" s="7"/>
      <c r="C1706" s="31" t="str">
        <f>IF(指数列表!B1703="","",指数列表!B1703)</f>
        <v/>
      </c>
      <c r="D1706" s="36" t="str">
        <f>IF(C1706="","",[1]!s_info_name(C1706))</f>
        <v/>
      </c>
      <c r="E1706" s="25" t="str">
        <f>IF(C1706="","",[1]!s_dq_close(C1706,$N$1))</f>
        <v/>
      </c>
      <c r="F1706" s="28" t="str">
        <f>IF($C1706=""," ",[1]!i_pq_pctchange($C1706,F$6,$N$1))</f>
        <v xml:space="preserve"> </v>
      </c>
      <c r="G1706" s="28" t="str">
        <f>IF($C1706=""," ",[1]!i_pq_pctchange($C1706,G$6,$N$1))</f>
        <v xml:space="preserve"> </v>
      </c>
      <c r="H1706" s="28" t="str">
        <f>IF($C1706=""," ",[1]!i_pq_pctchange($C1706,H$6,$N$1))</f>
        <v xml:space="preserve"> </v>
      </c>
      <c r="I1706" s="28" t="str">
        <f>IF($C1706=""," ",[1]!i_pq_pctchange($C1706,I$6,$N$1))</f>
        <v xml:space="preserve"> </v>
      </c>
      <c r="J1706" s="28" t="str">
        <f>IF($C1706=""," ",[1]!i_pq_pctchange($C1706,J$6,$N$1))</f>
        <v xml:space="preserve"> </v>
      </c>
      <c r="K1706" s="28" t="str">
        <f>IF($C1706=""," ",[1]!i_pq_pctchange($C1706,K$6,$N$1))</f>
        <v xml:space="preserve"> </v>
      </c>
      <c r="L1706" s="28" t="str">
        <f>IF(C1706=""," ",[1]!s_wq_pctchange($C1706,$N$1))</f>
        <v xml:space="preserve"> </v>
      </c>
      <c r="M1706" s="28" t="str">
        <f>IF(C1706=""," ",[1]!s_mq_pctchange($C1706,$N$1))</f>
        <v xml:space="preserve"> </v>
      </c>
      <c r="N1706" s="28" t="str">
        <f>IF(C1706=""," ",[1]!s_yq_pctchange($C1706,$N$1))</f>
        <v xml:space="preserve"> </v>
      </c>
      <c r="O1706" s="11"/>
      <c r="P1706" s="7"/>
    </row>
    <row r="1707" spans="1:16" x14ac:dyDescent="0.35">
      <c r="A1707" s="7"/>
      <c r="C1707" s="30" t="str">
        <f>IF(指数列表!B1704="","",指数列表!B1704)</f>
        <v/>
      </c>
      <c r="D1707" s="35" t="str">
        <f>IF(C1707="","",[1]!s_info_name(C1707))</f>
        <v/>
      </c>
      <c r="E1707" s="24" t="str">
        <f>IF(C1707="","",[1]!s_dq_close(C1707,$N$1))</f>
        <v/>
      </c>
      <c r="F1707" s="28" t="str">
        <f>IF($C1707=""," ",[1]!i_pq_pctchange($C1707,F$6,$N$1))</f>
        <v xml:space="preserve"> </v>
      </c>
      <c r="G1707" s="28" t="str">
        <f>IF($C1707=""," ",[1]!i_pq_pctchange($C1707,G$6,$N$1))</f>
        <v xml:space="preserve"> </v>
      </c>
      <c r="H1707" s="28" t="str">
        <f>IF($C1707=""," ",[1]!i_pq_pctchange($C1707,H$6,$N$1))</f>
        <v xml:space="preserve"> </v>
      </c>
      <c r="I1707" s="28" t="str">
        <f>IF($C1707=""," ",[1]!i_pq_pctchange($C1707,I$6,$N$1))</f>
        <v xml:space="preserve"> </v>
      </c>
      <c r="J1707" s="28" t="str">
        <f>IF($C1707=""," ",[1]!i_pq_pctchange($C1707,J$6,$N$1))</f>
        <v xml:space="preserve"> </v>
      </c>
      <c r="K1707" s="28" t="str">
        <f>IF($C1707=""," ",[1]!i_pq_pctchange($C1707,K$6,$N$1))</f>
        <v xml:space="preserve"> </v>
      </c>
      <c r="L1707" s="28" t="str">
        <f>IF(C1707=""," ",[1]!s_wq_pctchange($C1707,$N$1))</f>
        <v xml:space="preserve"> </v>
      </c>
      <c r="M1707" s="28" t="str">
        <f>IF(C1707=""," ",[1]!s_mq_pctchange($C1707,$N$1))</f>
        <v xml:space="preserve"> </v>
      </c>
      <c r="N1707" s="28" t="str">
        <f>IF(C1707=""," ",[1]!s_yq_pctchange($C1707,$N$1))</f>
        <v xml:space="preserve"> </v>
      </c>
      <c r="O1707" s="11"/>
      <c r="P1707" s="7"/>
    </row>
    <row r="1708" spans="1:16" x14ac:dyDescent="0.35">
      <c r="A1708" s="7"/>
      <c r="C1708" s="31" t="str">
        <f>IF(指数列表!B1705="","",指数列表!B1705)</f>
        <v/>
      </c>
      <c r="D1708" s="36" t="str">
        <f>IF(C1708="","",[1]!s_info_name(C1708))</f>
        <v/>
      </c>
      <c r="E1708" s="25" t="str">
        <f>IF(C1708="","",[1]!s_dq_close(C1708,$N$1))</f>
        <v/>
      </c>
      <c r="F1708" s="28" t="str">
        <f>IF($C1708=""," ",[1]!i_pq_pctchange($C1708,F$6,$N$1))</f>
        <v xml:space="preserve"> </v>
      </c>
      <c r="G1708" s="28" t="str">
        <f>IF($C1708=""," ",[1]!i_pq_pctchange($C1708,G$6,$N$1))</f>
        <v xml:space="preserve"> </v>
      </c>
      <c r="H1708" s="28" t="str">
        <f>IF($C1708=""," ",[1]!i_pq_pctchange($C1708,H$6,$N$1))</f>
        <v xml:space="preserve"> </v>
      </c>
      <c r="I1708" s="28" t="str">
        <f>IF($C1708=""," ",[1]!i_pq_pctchange($C1708,I$6,$N$1))</f>
        <v xml:space="preserve"> </v>
      </c>
      <c r="J1708" s="28" t="str">
        <f>IF($C1708=""," ",[1]!i_pq_pctchange($C1708,J$6,$N$1))</f>
        <v xml:space="preserve"> </v>
      </c>
      <c r="K1708" s="28" t="str">
        <f>IF($C1708=""," ",[1]!i_pq_pctchange($C1708,K$6,$N$1))</f>
        <v xml:space="preserve"> </v>
      </c>
      <c r="L1708" s="28" t="str">
        <f>IF(C1708=""," ",[1]!s_wq_pctchange($C1708,$N$1))</f>
        <v xml:space="preserve"> </v>
      </c>
      <c r="M1708" s="28" t="str">
        <f>IF(C1708=""," ",[1]!s_mq_pctchange($C1708,$N$1))</f>
        <v xml:space="preserve"> </v>
      </c>
      <c r="N1708" s="28" t="str">
        <f>IF(C1708=""," ",[1]!s_yq_pctchange($C1708,$N$1))</f>
        <v xml:space="preserve"> </v>
      </c>
      <c r="O1708" s="11"/>
      <c r="P1708" s="7"/>
    </row>
    <row r="1709" spans="1:16" x14ac:dyDescent="0.35">
      <c r="A1709" s="7"/>
      <c r="C1709" s="30" t="str">
        <f>IF(指数列表!B1706="","",指数列表!B1706)</f>
        <v/>
      </c>
      <c r="D1709" s="35" t="str">
        <f>IF(C1709="","",[1]!s_info_name(C1709))</f>
        <v/>
      </c>
      <c r="E1709" s="24" t="str">
        <f>IF(C1709="","",[1]!s_dq_close(C1709,$N$1))</f>
        <v/>
      </c>
      <c r="F1709" s="28" t="str">
        <f>IF($C1709=""," ",[1]!i_pq_pctchange($C1709,F$6,$N$1))</f>
        <v xml:space="preserve"> </v>
      </c>
      <c r="G1709" s="28" t="str">
        <f>IF($C1709=""," ",[1]!i_pq_pctchange($C1709,G$6,$N$1))</f>
        <v xml:space="preserve"> </v>
      </c>
      <c r="H1709" s="28" t="str">
        <f>IF($C1709=""," ",[1]!i_pq_pctchange($C1709,H$6,$N$1))</f>
        <v xml:space="preserve"> </v>
      </c>
      <c r="I1709" s="28" t="str">
        <f>IF($C1709=""," ",[1]!i_pq_pctchange($C1709,I$6,$N$1))</f>
        <v xml:space="preserve"> </v>
      </c>
      <c r="J1709" s="28" t="str">
        <f>IF($C1709=""," ",[1]!i_pq_pctchange($C1709,J$6,$N$1))</f>
        <v xml:space="preserve"> </v>
      </c>
      <c r="K1709" s="28" t="str">
        <f>IF($C1709=""," ",[1]!i_pq_pctchange($C1709,K$6,$N$1))</f>
        <v xml:space="preserve"> </v>
      </c>
      <c r="L1709" s="28" t="str">
        <f>IF(C1709=""," ",[1]!s_wq_pctchange($C1709,$N$1))</f>
        <v xml:space="preserve"> </v>
      </c>
      <c r="M1709" s="28" t="str">
        <f>IF(C1709=""," ",[1]!s_mq_pctchange($C1709,$N$1))</f>
        <v xml:space="preserve"> </v>
      </c>
      <c r="N1709" s="28" t="str">
        <f>IF(C1709=""," ",[1]!s_yq_pctchange($C1709,$N$1))</f>
        <v xml:space="preserve"> </v>
      </c>
      <c r="O1709" s="11"/>
      <c r="P1709" s="7"/>
    </row>
    <row r="1710" spans="1:16" x14ac:dyDescent="0.35">
      <c r="A1710" s="7"/>
      <c r="C1710" s="31" t="str">
        <f>IF(指数列表!B1707="","",指数列表!B1707)</f>
        <v/>
      </c>
      <c r="D1710" s="36" t="str">
        <f>IF(C1710="","",[1]!s_info_name(C1710))</f>
        <v/>
      </c>
      <c r="E1710" s="25" t="str">
        <f>IF(C1710="","",[1]!s_dq_close(C1710,$N$1))</f>
        <v/>
      </c>
      <c r="F1710" s="28" t="str">
        <f>IF($C1710=""," ",[1]!i_pq_pctchange($C1710,F$6,$N$1))</f>
        <v xml:space="preserve"> </v>
      </c>
      <c r="G1710" s="28" t="str">
        <f>IF($C1710=""," ",[1]!i_pq_pctchange($C1710,G$6,$N$1))</f>
        <v xml:space="preserve"> </v>
      </c>
      <c r="H1710" s="28" t="str">
        <f>IF($C1710=""," ",[1]!i_pq_pctchange($C1710,H$6,$N$1))</f>
        <v xml:space="preserve"> </v>
      </c>
      <c r="I1710" s="28" t="str">
        <f>IF($C1710=""," ",[1]!i_pq_pctchange($C1710,I$6,$N$1))</f>
        <v xml:space="preserve"> </v>
      </c>
      <c r="J1710" s="28" t="str">
        <f>IF($C1710=""," ",[1]!i_pq_pctchange($C1710,J$6,$N$1))</f>
        <v xml:space="preserve"> </v>
      </c>
      <c r="K1710" s="28" t="str">
        <f>IF($C1710=""," ",[1]!i_pq_pctchange($C1710,K$6,$N$1))</f>
        <v xml:space="preserve"> </v>
      </c>
      <c r="L1710" s="28" t="str">
        <f>IF(C1710=""," ",[1]!s_wq_pctchange($C1710,$N$1))</f>
        <v xml:space="preserve"> </v>
      </c>
      <c r="M1710" s="28" t="str">
        <f>IF(C1710=""," ",[1]!s_mq_pctchange($C1710,$N$1))</f>
        <v xml:space="preserve"> </v>
      </c>
      <c r="N1710" s="28" t="str">
        <f>IF(C1710=""," ",[1]!s_yq_pctchange($C1710,$N$1))</f>
        <v xml:space="preserve"> </v>
      </c>
      <c r="O1710" s="11"/>
      <c r="P1710" s="7"/>
    </row>
    <row r="1711" spans="1:16" x14ac:dyDescent="0.35">
      <c r="A1711" s="7"/>
      <c r="C1711" s="30" t="str">
        <f>IF(指数列表!B1708="","",指数列表!B1708)</f>
        <v/>
      </c>
      <c r="D1711" s="35" t="str">
        <f>IF(C1711="","",[1]!s_info_name(C1711))</f>
        <v/>
      </c>
      <c r="E1711" s="24" t="str">
        <f>IF(C1711="","",[1]!s_dq_close(C1711,$N$1))</f>
        <v/>
      </c>
      <c r="F1711" s="28" t="str">
        <f>IF($C1711=""," ",[1]!i_pq_pctchange($C1711,F$6,$N$1))</f>
        <v xml:space="preserve"> </v>
      </c>
      <c r="G1711" s="28" t="str">
        <f>IF($C1711=""," ",[1]!i_pq_pctchange($C1711,G$6,$N$1))</f>
        <v xml:space="preserve"> </v>
      </c>
      <c r="H1711" s="28" t="str">
        <f>IF($C1711=""," ",[1]!i_pq_pctchange($C1711,H$6,$N$1))</f>
        <v xml:space="preserve"> </v>
      </c>
      <c r="I1711" s="28" t="str">
        <f>IF($C1711=""," ",[1]!i_pq_pctchange($C1711,I$6,$N$1))</f>
        <v xml:space="preserve"> </v>
      </c>
      <c r="J1711" s="28" t="str">
        <f>IF($C1711=""," ",[1]!i_pq_pctchange($C1711,J$6,$N$1))</f>
        <v xml:space="preserve"> </v>
      </c>
      <c r="K1711" s="28" t="str">
        <f>IF($C1711=""," ",[1]!i_pq_pctchange($C1711,K$6,$N$1))</f>
        <v xml:space="preserve"> </v>
      </c>
      <c r="L1711" s="28" t="str">
        <f>IF(C1711=""," ",[1]!s_wq_pctchange($C1711,$N$1))</f>
        <v xml:space="preserve"> </v>
      </c>
      <c r="M1711" s="28" t="str">
        <f>IF(C1711=""," ",[1]!s_mq_pctchange($C1711,$N$1))</f>
        <v xml:space="preserve"> </v>
      </c>
      <c r="N1711" s="28" t="str">
        <f>IF(C1711=""," ",[1]!s_yq_pctchange($C1711,$N$1))</f>
        <v xml:space="preserve"> </v>
      </c>
      <c r="O1711" s="11"/>
      <c r="P1711" s="7"/>
    </row>
    <row r="1712" spans="1:16" x14ac:dyDescent="0.35">
      <c r="A1712" s="7"/>
      <c r="C1712" s="31" t="str">
        <f>IF(指数列表!B1709="","",指数列表!B1709)</f>
        <v/>
      </c>
      <c r="D1712" s="36" t="str">
        <f>IF(C1712="","",[1]!s_info_name(C1712))</f>
        <v/>
      </c>
      <c r="E1712" s="25" t="str">
        <f>IF(C1712="","",[1]!s_dq_close(C1712,$N$1))</f>
        <v/>
      </c>
      <c r="F1712" s="28" t="str">
        <f>IF($C1712=""," ",[1]!i_pq_pctchange($C1712,F$6,$N$1))</f>
        <v xml:space="preserve"> </v>
      </c>
      <c r="G1712" s="28" t="str">
        <f>IF($C1712=""," ",[1]!i_pq_pctchange($C1712,G$6,$N$1))</f>
        <v xml:space="preserve"> </v>
      </c>
      <c r="H1712" s="28" t="str">
        <f>IF($C1712=""," ",[1]!i_pq_pctchange($C1712,H$6,$N$1))</f>
        <v xml:space="preserve"> </v>
      </c>
      <c r="I1712" s="28" t="str">
        <f>IF($C1712=""," ",[1]!i_pq_pctchange($C1712,I$6,$N$1))</f>
        <v xml:space="preserve"> </v>
      </c>
      <c r="J1712" s="28" t="str">
        <f>IF($C1712=""," ",[1]!i_pq_pctchange($C1712,J$6,$N$1))</f>
        <v xml:space="preserve"> </v>
      </c>
      <c r="K1712" s="28" t="str">
        <f>IF($C1712=""," ",[1]!i_pq_pctchange($C1712,K$6,$N$1))</f>
        <v xml:space="preserve"> </v>
      </c>
      <c r="L1712" s="28" t="str">
        <f>IF(C1712=""," ",[1]!s_wq_pctchange($C1712,$N$1))</f>
        <v xml:space="preserve"> </v>
      </c>
      <c r="M1712" s="28" t="str">
        <f>IF(C1712=""," ",[1]!s_mq_pctchange($C1712,$N$1))</f>
        <v xml:space="preserve"> </v>
      </c>
      <c r="N1712" s="28" t="str">
        <f>IF(C1712=""," ",[1]!s_yq_pctchange($C1712,$N$1))</f>
        <v xml:space="preserve"> </v>
      </c>
      <c r="O1712" s="11"/>
      <c r="P1712" s="7"/>
    </row>
    <row r="1713" spans="1:16" x14ac:dyDescent="0.35">
      <c r="A1713" s="7"/>
      <c r="C1713" s="30" t="str">
        <f>IF(指数列表!B1710="","",指数列表!B1710)</f>
        <v/>
      </c>
      <c r="D1713" s="35" t="str">
        <f>IF(C1713="","",[1]!s_info_name(C1713))</f>
        <v/>
      </c>
      <c r="E1713" s="24" t="str">
        <f>IF(C1713="","",[1]!s_dq_close(C1713,$N$1))</f>
        <v/>
      </c>
      <c r="F1713" s="28" t="str">
        <f>IF($C1713=""," ",[1]!i_pq_pctchange($C1713,F$6,$N$1))</f>
        <v xml:space="preserve"> </v>
      </c>
      <c r="G1713" s="28" t="str">
        <f>IF($C1713=""," ",[1]!i_pq_pctchange($C1713,G$6,$N$1))</f>
        <v xml:space="preserve"> </v>
      </c>
      <c r="H1713" s="28" t="str">
        <f>IF($C1713=""," ",[1]!i_pq_pctchange($C1713,H$6,$N$1))</f>
        <v xml:space="preserve"> </v>
      </c>
      <c r="I1713" s="28" t="str">
        <f>IF($C1713=""," ",[1]!i_pq_pctchange($C1713,I$6,$N$1))</f>
        <v xml:space="preserve"> </v>
      </c>
      <c r="J1713" s="28" t="str">
        <f>IF($C1713=""," ",[1]!i_pq_pctchange($C1713,J$6,$N$1))</f>
        <v xml:space="preserve"> </v>
      </c>
      <c r="K1713" s="28" t="str">
        <f>IF($C1713=""," ",[1]!i_pq_pctchange($C1713,K$6,$N$1))</f>
        <v xml:space="preserve"> </v>
      </c>
      <c r="L1713" s="28" t="str">
        <f>IF(C1713=""," ",[1]!s_wq_pctchange($C1713,$N$1))</f>
        <v xml:space="preserve"> </v>
      </c>
      <c r="M1713" s="28" t="str">
        <f>IF(C1713=""," ",[1]!s_mq_pctchange($C1713,$N$1))</f>
        <v xml:space="preserve"> </v>
      </c>
      <c r="N1713" s="28" t="str">
        <f>IF(C1713=""," ",[1]!s_yq_pctchange($C1713,$N$1))</f>
        <v xml:space="preserve"> </v>
      </c>
      <c r="O1713" s="11"/>
      <c r="P1713" s="7"/>
    </row>
    <row r="1714" spans="1:16" x14ac:dyDescent="0.35">
      <c r="A1714" s="7"/>
      <c r="C1714" s="31" t="str">
        <f>IF(指数列表!B1711="","",指数列表!B1711)</f>
        <v/>
      </c>
      <c r="D1714" s="36" t="str">
        <f>IF(C1714="","",[1]!s_info_name(C1714))</f>
        <v/>
      </c>
      <c r="E1714" s="25" t="str">
        <f>IF(C1714="","",[1]!s_dq_close(C1714,$N$1))</f>
        <v/>
      </c>
      <c r="F1714" s="28" t="str">
        <f>IF($C1714=""," ",[1]!i_pq_pctchange($C1714,F$6,$N$1))</f>
        <v xml:space="preserve"> </v>
      </c>
      <c r="G1714" s="28" t="str">
        <f>IF($C1714=""," ",[1]!i_pq_pctchange($C1714,G$6,$N$1))</f>
        <v xml:space="preserve"> </v>
      </c>
      <c r="H1714" s="28" t="str">
        <f>IF($C1714=""," ",[1]!i_pq_pctchange($C1714,H$6,$N$1))</f>
        <v xml:space="preserve"> </v>
      </c>
      <c r="I1714" s="28" t="str">
        <f>IF($C1714=""," ",[1]!i_pq_pctchange($C1714,I$6,$N$1))</f>
        <v xml:space="preserve"> </v>
      </c>
      <c r="J1714" s="28" t="str">
        <f>IF($C1714=""," ",[1]!i_pq_pctchange($C1714,J$6,$N$1))</f>
        <v xml:space="preserve"> </v>
      </c>
      <c r="K1714" s="28" t="str">
        <f>IF($C1714=""," ",[1]!i_pq_pctchange($C1714,K$6,$N$1))</f>
        <v xml:space="preserve"> </v>
      </c>
      <c r="L1714" s="28" t="str">
        <f>IF(C1714=""," ",[1]!s_wq_pctchange($C1714,$N$1))</f>
        <v xml:space="preserve"> </v>
      </c>
      <c r="M1714" s="28" t="str">
        <f>IF(C1714=""," ",[1]!s_mq_pctchange($C1714,$N$1))</f>
        <v xml:space="preserve"> </v>
      </c>
      <c r="N1714" s="28" t="str">
        <f>IF(C1714=""," ",[1]!s_yq_pctchange($C1714,$N$1))</f>
        <v xml:space="preserve"> </v>
      </c>
      <c r="O1714" s="11"/>
      <c r="P1714" s="7"/>
    </row>
    <row r="1715" spans="1:16" x14ac:dyDescent="0.35">
      <c r="A1715" s="7"/>
      <c r="C1715" s="30" t="str">
        <f>IF(指数列表!B1712="","",指数列表!B1712)</f>
        <v/>
      </c>
      <c r="D1715" s="35" t="str">
        <f>IF(C1715="","",[1]!s_info_name(C1715))</f>
        <v/>
      </c>
      <c r="E1715" s="24" t="str">
        <f>IF(C1715="","",[1]!s_dq_close(C1715,$N$1))</f>
        <v/>
      </c>
      <c r="F1715" s="28" t="str">
        <f>IF($C1715=""," ",[1]!i_pq_pctchange($C1715,F$6,$N$1))</f>
        <v xml:space="preserve"> </v>
      </c>
      <c r="G1715" s="28" t="str">
        <f>IF($C1715=""," ",[1]!i_pq_pctchange($C1715,G$6,$N$1))</f>
        <v xml:space="preserve"> </v>
      </c>
      <c r="H1715" s="28" t="str">
        <f>IF($C1715=""," ",[1]!i_pq_pctchange($C1715,H$6,$N$1))</f>
        <v xml:space="preserve"> </v>
      </c>
      <c r="I1715" s="28" t="str">
        <f>IF($C1715=""," ",[1]!i_pq_pctchange($C1715,I$6,$N$1))</f>
        <v xml:space="preserve"> </v>
      </c>
      <c r="J1715" s="28" t="str">
        <f>IF($C1715=""," ",[1]!i_pq_pctchange($C1715,J$6,$N$1))</f>
        <v xml:space="preserve"> </v>
      </c>
      <c r="K1715" s="28" t="str">
        <f>IF($C1715=""," ",[1]!i_pq_pctchange($C1715,K$6,$N$1))</f>
        <v xml:space="preserve"> </v>
      </c>
      <c r="L1715" s="28" t="str">
        <f>IF(C1715=""," ",[1]!s_wq_pctchange($C1715,$N$1))</f>
        <v xml:space="preserve"> </v>
      </c>
      <c r="M1715" s="28" t="str">
        <f>IF(C1715=""," ",[1]!s_mq_pctchange($C1715,$N$1))</f>
        <v xml:space="preserve"> </v>
      </c>
      <c r="N1715" s="28" t="str">
        <f>IF(C1715=""," ",[1]!s_yq_pctchange($C1715,$N$1))</f>
        <v xml:space="preserve"> </v>
      </c>
      <c r="O1715" s="11"/>
      <c r="P1715" s="7"/>
    </row>
    <row r="1716" spans="1:16" x14ac:dyDescent="0.35">
      <c r="A1716" s="7"/>
      <c r="C1716" s="31" t="str">
        <f>IF(指数列表!B1713="","",指数列表!B1713)</f>
        <v/>
      </c>
      <c r="D1716" s="36" t="str">
        <f>IF(C1716="","",[1]!s_info_name(C1716))</f>
        <v/>
      </c>
      <c r="E1716" s="25" t="str">
        <f>IF(C1716="","",[1]!s_dq_close(C1716,$N$1))</f>
        <v/>
      </c>
      <c r="F1716" s="28" t="str">
        <f>IF($C1716=""," ",[1]!i_pq_pctchange($C1716,F$6,$N$1))</f>
        <v xml:space="preserve"> </v>
      </c>
      <c r="G1716" s="28" t="str">
        <f>IF($C1716=""," ",[1]!i_pq_pctchange($C1716,G$6,$N$1))</f>
        <v xml:space="preserve"> </v>
      </c>
      <c r="H1716" s="28" t="str">
        <f>IF($C1716=""," ",[1]!i_pq_pctchange($C1716,H$6,$N$1))</f>
        <v xml:space="preserve"> </v>
      </c>
      <c r="I1716" s="28" t="str">
        <f>IF($C1716=""," ",[1]!i_pq_pctchange($C1716,I$6,$N$1))</f>
        <v xml:space="preserve"> </v>
      </c>
      <c r="J1716" s="28" t="str">
        <f>IF($C1716=""," ",[1]!i_pq_pctchange($C1716,J$6,$N$1))</f>
        <v xml:space="preserve"> </v>
      </c>
      <c r="K1716" s="28" t="str">
        <f>IF($C1716=""," ",[1]!i_pq_pctchange($C1716,K$6,$N$1))</f>
        <v xml:space="preserve"> </v>
      </c>
      <c r="L1716" s="28" t="str">
        <f>IF(C1716=""," ",[1]!s_wq_pctchange($C1716,$N$1))</f>
        <v xml:space="preserve"> </v>
      </c>
      <c r="M1716" s="28" t="str">
        <f>IF(C1716=""," ",[1]!s_mq_pctchange($C1716,$N$1))</f>
        <v xml:space="preserve"> </v>
      </c>
      <c r="N1716" s="28" t="str">
        <f>IF(C1716=""," ",[1]!s_yq_pctchange($C1716,$N$1))</f>
        <v xml:space="preserve"> </v>
      </c>
      <c r="O1716" s="11"/>
      <c r="P1716" s="7"/>
    </row>
    <row r="1717" spans="1:16" x14ac:dyDescent="0.35">
      <c r="A1717" s="7"/>
      <c r="C1717" s="30" t="str">
        <f>IF(指数列表!B1714="","",指数列表!B1714)</f>
        <v/>
      </c>
      <c r="D1717" s="35" t="str">
        <f>IF(C1717="","",[1]!s_info_name(C1717))</f>
        <v/>
      </c>
      <c r="E1717" s="24" t="str">
        <f>IF(C1717="","",[1]!s_dq_close(C1717,$N$1))</f>
        <v/>
      </c>
      <c r="F1717" s="28" t="str">
        <f>IF($C1717=""," ",[1]!i_pq_pctchange($C1717,F$6,$N$1))</f>
        <v xml:space="preserve"> </v>
      </c>
      <c r="G1717" s="28" t="str">
        <f>IF($C1717=""," ",[1]!i_pq_pctchange($C1717,G$6,$N$1))</f>
        <v xml:space="preserve"> </v>
      </c>
      <c r="H1717" s="28" t="str">
        <f>IF($C1717=""," ",[1]!i_pq_pctchange($C1717,H$6,$N$1))</f>
        <v xml:space="preserve"> </v>
      </c>
      <c r="I1717" s="28" t="str">
        <f>IF($C1717=""," ",[1]!i_pq_pctchange($C1717,I$6,$N$1))</f>
        <v xml:space="preserve"> </v>
      </c>
      <c r="J1717" s="28" t="str">
        <f>IF($C1717=""," ",[1]!i_pq_pctchange($C1717,J$6,$N$1))</f>
        <v xml:space="preserve"> </v>
      </c>
      <c r="K1717" s="28" t="str">
        <f>IF($C1717=""," ",[1]!i_pq_pctchange($C1717,K$6,$N$1))</f>
        <v xml:space="preserve"> </v>
      </c>
      <c r="L1717" s="28" t="str">
        <f>IF(C1717=""," ",[1]!s_wq_pctchange($C1717,$N$1))</f>
        <v xml:space="preserve"> </v>
      </c>
      <c r="M1717" s="28" t="str">
        <f>IF(C1717=""," ",[1]!s_mq_pctchange($C1717,$N$1))</f>
        <v xml:space="preserve"> </v>
      </c>
      <c r="N1717" s="28" t="str">
        <f>IF(C1717=""," ",[1]!s_yq_pctchange($C1717,$N$1))</f>
        <v xml:space="preserve"> </v>
      </c>
      <c r="O1717" s="11"/>
      <c r="P1717" s="7"/>
    </row>
    <row r="1718" spans="1:16" x14ac:dyDescent="0.35">
      <c r="A1718" s="7"/>
      <c r="C1718" s="31" t="str">
        <f>IF(指数列表!B1715="","",指数列表!B1715)</f>
        <v/>
      </c>
      <c r="D1718" s="36" t="str">
        <f>IF(C1718="","",[1]!s_info_name(C1718))</f>
        <v/>
      </c>
      <c r="E1718" s="25" t="str">
        <f>IF(C1718="","",[1]!s_dq_close(C1718,$N$1))</f>
        <v/>
      </c>
      <c r="F1718" s="28" t="str">
        <f>IF($C1718=""," ",[1]!i_pq_pctchange($C1718,F$6,$N$1))</f>
        <v xml:space="preserve"> </v>
      </c>
      <c r="G1718" s="28" t="str">
        <f>IF($C1718=""," ",[1]!i_pq_pctchange($C1718,G$6,$N$1))</f>
        <v xml:space="preserve"> </v>
      </c>
      <c r="H1718" s="28" t="str">
        <f>IF($C1718=""," ",[1]!i_pq_pctchange($C1718,H$6,$N$1))</f>
        <v xml:space="preserve"> </v>
      </c>
      <c r="I1718" s="28" t="str">
        <f>IF($C1718=""," ",[1]!i_pq_pctchange($C1718,I$6,$N$1))</f>
        <v xml:space="preserve"> </v>
      </c>
      <c r="J1718" s="28" t="str">
        <f>IF($C1718=""," ",[1]!i_pq_pctchange($C1718,J$6,$N$1))</f>
        <v xml:space="preserve"> </v>
      </c>
      <c r="K1718" s="28" t="str">
        <f>IF($C1718=""," ",[1]!i_pq_pctchange($C1718,K$6,$N$1))</f>
        <v xml:space="preserve"> </v>
      </c>
      <c r="L1718" s="28" t="str">
        <f>IF(C1718=""," ",[1]!s_wq_pctchange($C1718,$N$1))</f>
        <v xml:space="preserve"> </v>
      </c>
      <c r="M1718" s="28" t="str">
        <f>IF(C1718=""," ",[1]!s_mq_pctchange($C1718,$N$1))</f>
        <v xml:space="preserve"> </v>
      </c>
      <c r="N1718" s="28" t="str">
        <f>IF(C1718=""," ",[1]!s_yq_pctchange($C1718,$N$1))</f>
        <v xml:space="preserve"> </v>
      </c>
      <c r="O1718" s="11"/>
      <c r="P1718" s="7"/>
    </row>
    <row r="1719" spans="1:16" x14ac:dyDescent="0.35">
      <c r="A1719" s="7"/>
      <c r="C1719" s="30" t="str">
        <f>IF(指数列表!B1716="","",指数列表!B1716)</f>
        <v/>
      </c>
      <c r="D1719" s="35" t="str">
        <f>IF(C1719="","",[1]!s_info_name(C1719))</f>
        <v/>
      </c>
      <c r="E1719" s="24" t="str">
        <f>IF(C1719="","",[1]!s_dq_close(C1719,$N$1))</f>
        <v/>
      </c>
      <c r="F1719" s="28" t="str">
        <f>IF($C1719=""," ",[1]!i_pq_pctchange($C1719,F$6,$N$1))</f>
        <v xml:space="preserve"> </v>
      </c>
      <c r="G1719" s="28" t="str">
        <f>IF($C1719=""," ",[1]!i_pq_pctchange($C1719,G$6,$N$1))</f>
        <v xml:space="preserve"> </v>
      </c>
      <c r="H1719" s="28" t="str">
        <f>IF($C1719=""," ",[1]!i_pq_pctchange($C1719,H$6,$N$1))</f>
        <v xml:space="preserve"> </v>
      </c>
      <c r="I1719" s="28" t="str">
        <f>IF($C1719=""," ",[1]!i_pq_pctchange($C1719,I$6,$N$1))</f>
        <v xml:space="preserve"> </v>
      </c>
      <c r="J1719" s="28" t="str">
        <f>IF($C1719=""," ",[1]!i_pq_pctchange($C1719,J$6,$N$1))</f>
        <v xml:space="preserve"> </v>
      </c>
      <c r="K1719" s="28" t="str">
        <f>IF($C1719=""," ",[1]!i_pq_pctchange($C1719,K$6,$N$1))</f>
        <v xml:space="preserve"> </v>
      </c>
      <c r="L1719" s="28" t="str">
        <f>IF(C1719=""," ",[1]!s_wq_pctchange($C1719,$N$1))</f>
        <v xml:space="preserve"> </v>
      </c>
      <c r="M1719" s="28" t="str">
        <f>IF(C1719=""," ",[1]!s_mq_pctchange($C1719,$N$1))</f>
        <v xml:space="preserve"> </v>
      </c>
      <c r="N1719" s="28" t="str">
        <f>IF(C1719=""," ",[1]!s_yq_pctchange($C1719,$N$1))</f>
        <v xml:space="preserve"> </v>
      </c>
      <c r="O1719" s="11"/>
      <c r="P1719" s="7"/>
    </row>
    <row r="1720" spans="1:16" x14ac:dyDescent="0.35">
      <c r="A1720" s="7"/>
      <c r="C1720" s="31" t="str">
        <f>IF(指数列表!B1717="","",指数列表!B1717)</f>
        <v/>
      </c>
      <c r="D1720" s="36" t="str">
        <f>IF(C1720="","",[1]!s_info_name(C1720))</f>
        <v/>
      </c>
      <c r="E1720" s="25" t="str">
        <f>IF(C1720="","",[1]!s_dq_close(C1720,$N$1))</f>
        <v/>
      </c>
      <c r="F1720" s="28" t="str">
        <f>IF($C1720=""," ",[1]!i_pq_pctchange($C1720,F$6,$N$1))</f>
        <v xml:space="preserve"> </v>
      </c>
      <c r="G1720" s="28" t="str">
        <f>IF($C1720=""," ",[1]!i_pq_pctchange($C1720,G$6,$N$1))</f>
        <v xml:space="preserve"> </v>
      </c>
      <c r="H1720" s="28" t="str">
        <f>IF($C1720=""," ",[1]!i_pq_pctchange($C1720,H$6,$N$1))</f>
        <v xml:space="preserve"> </v>
      </c>
      <c r="I1720" s="28" t="str">
        <f>IF($C1720=""," ",[1]!i_pq_pctchange($C1720,I$6,$N$1))</f>
        <v xml:space="preserve"> </v>
      </c>
      <c r="J1720" s="28" t="str">
        <f>IF($C1720=""," ",[1]!i_pq_pctchange($C1720,J$6,$N$1))</f>
        <v xml:space="preserve"> </v>
      </c>
      <c r="K1720" s="28" t="str">
        <f>IF($C1720=""," ",[1]!i_pq_pctchange($C1720,K$6,$N$1))</f>
        <v xml:space="preserve"> </v>
      </c>
      <c r="L1720" s="28" t="str">
        <f>IF(C1720=""," ",[1]!s_wq_pctchange($C1720,$N$1))</f>
        <v xml:space="preserve"> </v>
      </c>
      <c r="M1720" s="28" t="str">
        <f>IF(C1720=""," ",[1]!s_mq_pctchange($C1720,$N$1))</f>
        <v xml:space="preserve"> </v>
      </c>
      <c r="N1720" s="28" t="str">
        <f>IF(C1720=""," ",[1]!s_yq_pctchange($C1720,$N$1))</f>
        <v xml:space="preserve"> </v>
      </c>
      <c r="O1720" s="11"/>
      <c r="P1720" s="7"/>
    </row>
    <row r="1721" spans="1:16" x14ac:dyDescent="0.35">
      <c r="A1721" s="7"/>
      <c r="C1721" s="30" t="str">
        <f>IF(指数列表!B1718="","",指数列表!B1718)</f>
        <v/>
      </c>
      <c r="D1721" s="35" t="str">
        <f>IF(C1721="","",[1]!s_info_name(C1721))</f>
        <v/>
      </c>
      <c r="E1721" s="24" t="str">
        <f>IF(C1721="","",[1]!s_dq_close(C1721,$N$1))</f>
        <v/>
      </c>
      <c r="F1721" s="28" t="str">
        <f>IF($C1721=""," ",[1]!i_pq_pctchange($C1721,F$6,$N$1))</f>
        <v xml:space="preserve"> </v>
      </c>
      <c r="G1721" s="28" t="str">
        <f>IF($C1721=""," ",[1]!i_pq_pctchange($C1721,G$6,$N$1))</f>
        <v xml:space="preserve"> </v>
      </c>
      <c r="H1721" s="28" t="str">
        <f>IF($C1721=""," ",[1]!i_pq_pctchange($C1721,H$6,$N$1))</f>
        <v xml:space="preserve"> </v>
      </c>
      <c r="I1721" s="28" t="str">
        <f>IF($C1721=""," ",[1]!i_pq_pctchange($C1721,I$6,$N$1))</f>
        <v xml:space="preserve"> </v>
      </c>
      <c r="J1721" s="28" t="str">
        <f>IF($C1721=""," ",[1]!i_pq_pctchange($C1721,J$6,$N$1))</f>
        <v xml:space="preserve"> </v>
      </c>
      <c r="K1721" s="28" t="str">
        <f>IF($C1721=""," ",[1]!i_pq_pctchange($C1721,K$6,$N$1))</f>
        <v xml:space="preserve"> </v>
      </c>
      <c r="L1721" s="28" t="str">
        <f>IF(C1721=""," ",[1]!s_wq_pctchange($C1721,$N$1))</f>
        <v xml:space="preserve"> </v>
      </c>
      <c r="M1721" s="28" t="str">
        <f>IF(C1721=""," ",[1]!s_mq_pctchange($C1721,$N$1))</f>
        <v xml:space="preserve"> </v>
      </c>
      <c r="N1721" s="28" t="str">
        <f>IF(C1721=""," ",[1]!s_yq_pctchange($C1721,$N$1))</f>
        <v xml:space="preserve"> </v>
      </c>
      <c r="O1721" s="11"/>
      <c r="P1721" s="7"/>
    </row>
    <row r="1722" spans="1:16" x14ac:dyDescent="0.35">
      <c r="A1722" s="7"/>
      <c r="C1722" s="31" t="str">
        <f>IF(指数列表!B1719="","",指数列表!B1719)</f>
        <v/>
      </c>
      <c r="D1722" s="36" t="str">
        <f>IF(C1722="","",[1]!s_info_name(C1722))</f>
        <v/>
      </c>
      <c r="E1722" s="25" t="str">
        <f>IF(C1722="","",[1]!s_dq_close(C1722,$N$1))</f>
        <v/>
      </c>
      <c r="F1722" s="28" t="str">
        <f>IF($C1722=""," ",[1]!i_pq_pctchange($C1722,F$6,$N$1))</f>
        <v xml:space="preserve"> </v>
      </c>
      <c r="G1722" s="28" t="str">
        <f>IF($C1722=""," ",[1]!i_pq_pctchange($C1722,G$6,$N$1))</f>
        <v xml:space="preserve"> </v>
      </c>
      <c r="H1722" s="28" t="str">
        <f>IF($C1722=""," ",[1]!i_pq_pctchange($C1722,H$6,$N$1))</f>
        <v xml:space="preserve"> </v>
      </c>
      <c r="I1722" s="28" t="str">
        <f>IF($C1722=""," ",[1]!i_pq_pctchange($C1722,I$6,$N$1))</f>
        <v xml:space="preserve"> </v>
      </c>
      <c r="J1722" s="28" t="str">
        <f>IF($C1722=""," ",[1]!i_pq_pctchange($C1722,J$6,$N$1))</f>
        <v xml:space="preserve"> </v>
      </c>
      <c r="K1722" s="28" t="str">
        <f>IF($C1722=""," ",[1]!i_pq_pctchange($C1722,K$6,$N$1))</f>
        <v xml:space="preserve"> </v>
      </c>
      <c r="L1722" s="28" t="str">
        <f>IF(C1722=""," ",[1]!s_wq_pctchange($C1722,$N$1))</f>
        <v xml:space="preserve"> </v>
      </c>
      <c r="M1722" s="28" t="str">
        <f>IF(C1722=""," ",[1]!s_mq_pctchange($C1722,$N$1))</f>
        <v xml:space="preserve"> </v>
      </c>
      <c r="N1722" s="28" t="str">
        <f>IF(C1722=""," ",[1]!s_yq_pctchange($C1722,$N$1))</f>
        <v xml:space="preserve"> </v>
      </c>
      <c r="O1722" s="11"/>
      <c r="P1722" s="7"/>
    </row>
    <row r="1723" spans="1:16" x14ac:dyDescent="0.35">
      <c r="A1723" s="7"/>
      <c r="C1723" s="30" t="str">
        <f>IF(指数列表!B1720="","",指数列表!B1720)</f>
        <v/>
      </c>
      <c r="D1723" s="35" t="str">
        <f>IF(C1723="","",[1]!s_info_name(C1723))</f>
        <v/>
      </c>
      <c r="E1723" s="24" t="str">
        <f>IF(C1723="","",[1]!s_dq_close(C1723,$N$1))</f>
        <v/>
      </c>
      <c r="F1723" s="28" t="str">
        <f>IF($C1723=""," ",[1]!i_pq_pctchange($C1723,F$6,$N$1))</f>
        <v xml:space="preserve"> </v>
      </c>
      <c r="G1723" s="28" t="str">
        <f>IF($C1723=""," ",[1]!i_pq_pctchange($C1723,G$6,$N$1))</f>
        <v xml:space="preserve"> </v>
      </c>
      <c r="H1723" s="28" t="str">
        <f>IF($C1723=""," ",[1]!i_pq_pctchange($C1723,H$6,$N$1))</f>
        <v xml:space="preserve"> </v>
      </c>
      <c r="I1723" s="28" t="str">
        <f>IF($C1723=""," ",[1]!i_pq_pctchange($C1723,I$6,$N$1))</f>
        <v xml:space="preserve"> </v>
      </c>
      <c r="J1723" s="28" t="str">
        <f>IF($C1723=""," ",[1]!i_pq_pctchange($C1723,J$6,$N$1))</f>
        <v xml:space="preserve"> </v>
      </c>
      <c r="K1723" s="28" t="str">
        <f>IF($C1723=""," ",[1]!i_pq_pctchange($C1723,K$6,$N$1))</f>
        <v xml:space="preserve"> </v>
      </c>
      <c r="L1723" s="28" t="str">
        <f>IF(C1723=""," ",[1]!s_wq_pctchange($C1723,$N$1))</f>
        <v xml:space="preserve"> </v>
      </c>
      <c r="M1723" s="28" t="str">
        <f>IF(C1723=""," ",[1]!s_mq_pctchange($C1723,$N$1))</f>
        <v xml:space="preserve"> </v>
      </c>
      <c r="N1723" s="28" t="str">
        <f>IF(C1723=""," ",[1]!s_yq_pctchange($C1723,$N$1))</f>
        <v xml:space="preserve"> </v>
      </c>
      <c r="O1723" s="11"/>
      <c r="P1723" s="7"/>
    </row>
    <row r="1724" spans="1:16" x14ac:dyDescent="0.35">
      <c r="A1724" s="7"/>
      <c r="C1724" s="31" t="str">
        <f>IF(指数列表!B1721="","",指数列表!B1721)</f>
        <v/>
      </c>
      <c r="D1724" s="36" t="str">
        <f>IF(C1724="","",[1]!s_info_name(C1724))</f>
        <v/>
      </c>
      <c r="E1724" s="25" t="str">
        <f>IF(C1724="","",[1]!s_dq_close(C1724,$N$1))</f>
        <v/>
      </c>
      <c r="F1724" s="28" t="str">
        <f>IF($C1724=""," ",[1]!i_pq_pctchange($C1724,F$6,$N$1))</f>
        <v xml:space="preserve"> </v>
      </c>
      <c r="G1724" s="28" t="str">
        <f>IF($C1724=""," ",[1]!i_pq_pctchange($C1724,G$6,$N$1))</f>
        <v xml:space="preserve"> </v>
      </c>
      <c r="H1724" s="28" t="str">
        <f>IF($C1724=""," ",[1]!i_pq_pctchange($C1724,H$6,$N$1))</f>
        <v xml:space="preserve"> </v>
      </c>
      <c r="I1724" s="28" t="str">
        <f>IF($C1724=""," ",[1]!i_pq_pctchange($C1724,I$6,$N$1))</f>
        <v xml:space="preserve"> </v>
      </c>
      <c r="J1724" s="28" t="str">
        <f>IF($C1724=""," ",[1]!i_pq_pctchange($C1724,J$6,$N$1))</f>
        <v xml:space="preserve"> </v>
      </c>
      <c r="K1724" s="28" t="str">
        <f>IF($C1724=""," ",[1]!i_pq_pctchange($C1724,K$6,$N$1))</f>
        <v xml:space="preserve"> </v>
      </c>
      <c r="L1724" s="28" t="str">
        <f>IF(C1724=""," ",[1]!s_wq_pctchange($C1724,$N$1))</f>
        <v xml:space="preserve"> </v>
      </c>
      <c r="M1724" s="28" t="str">
        <f>IF(C1724=""," ",[1]!s_mq_pctchange($C1724,$N$1))</f>
        <v xml:space="preserve"> </v>
      </c>
      <c r="N1724" s="28" t="str">
        <f>IF(C1724=""," ",[1]!s_yq_pctchange($C1724,$N$1))</f>
        <v xml:space="preserve"> </v>
      </c>
      <c r="O1724" s="11"/>
      <c r="P1724" s="7"/>
    </row>
    <row r="1725" spans="1:16" x14ac:dyDescent="0.35">
      <c r="A1725" s="7"/>
      <c r="C1725" s="30" t="str">
        <f>IF(指数列表!B1722="","",指数列表!B1722)</f>
        <v/>
      </c>
      <c r="D1725" s="35" t="str">
        <f>IF(C1725="","",[1]!s_info_name(C1725))</f>
        <v/>
      </c>
      <c r="E1725" s="24" t="str">
        <f>IF(C1725="","",[1]!s_dq_close(C1725,$N$1))</f>
        <v/>
      </c>
      <c r="F1725" s="28" t="str">
        <f>IF($C1725=""," ",[1]!i_pq_pctchange($C1725,F$6,$N$1))</f>
        <v xml:space="preserve"> </v>
      </c>
      <c r="G1725" s="28" t="str">
        <f>IF($C1725=""," ",[1]!i_pq_pctchange($C1725,G$6,$N$1))</f>
        <v xml:space="preserve"> </v>
      </c>
      <c r="H1725" s="28" t="str">
        <f>IF($C1725=""," ",[1]!i_pq_pctchange($C1725,H$6,$N$1))</f>
        <v xml:space="preserve"> </v>
      </c>
      <c r="I1725" s="28" t="str">
        <f>IF($C1725=""," ",[1]!i_pq_pctchange($C1725,I$6,$N$1))</f>
        <v xml:space="preserve"> </v>
      </c>
      <c r="J1725" s="28" t="str">
        <f>IF($C1725=""," ",[1]!i_pq_pctchange($C1725,J$6,$N$1))</f>
        <v xml:space="preserve"> </v>
      </c>
      <c r="K1725" s="28" t="str">
        <f>IF($C1725=""," ",[1]!i_pq_pctchange($C1725,K$6,$N$1))</f>
        <v xml:space="preserve"> </v>
      </c>
      <c r="L1725" s="28" t="str">
        <f>IF(C1725=""," ",[1]!s_wq_pctchange($C1725,$N$1))</f>
        <v xml:space="preserve"> </v>
      </c>
      <c r="M1725" s="28" t="str">
        <f>IF(C1725=""," ",[1]!s_mq_pctchange($C1725,$N$1))</f>
        <v xml:space="preserve"> </v>
      </c>
      <c r="N1725" s="28" t="str">
        <f>IF(C1725=""," ",[1]!s_yq_pctchange($C1725,$N$1))</f>
        <v xml:space="preserve"> </v>
      </c>
      <c r="O1725" s="11"/>
      <c r="P1725" s="7"/>
    </row>
    <row r="1726" spans="1:16" x14ac:dyDescent="0.35">
      <c r="A1726" s="7"/>
      <c r="C1726" s="31" t="str">
        <f>IF(指数列表!B1723="","",指数列表!B1723)</f>
        <v/>
      </c>
      <c r="D1726" s="36" t="str">
        <f>IF(C1726="","",[1]!s_info_name(C1726))</f>
        <v/>
      </c>
      <c r="E1726" s="25" t="str">
        <f>IF(C1726="","",[1]!s_dq_close(C1726,$N$1))</f>
        <v/>
      </c>
      <c r="F1726" s="28" t="str">
        <f>IF($C1726=""," ",[1]!i_pq_pctchange($C1726,F$6,$N$1))</f>
        <v xml:space="preserve"> </v>
      </c>
      <c r="G1726" s="28" t="str">
        <f>IF($C1726=""," ",[1]!i_pq_pctchange($C1726,G$6,$N$1))</f>
        <v xml:space="preserve"> </v>
      </c>
      <c r="H1726" s="28" t="str">
        <f>IF($C1726=""," ",[1]!i_pq_pctchange($C1726,H$6,$N$1))</f>
        <v xml:space="preserve"> </v>
      </c>
      <c r="I1726" s="28" t="str">
        <f>IF($C1726=""," ",[1]!i_pq_pctchange($C1726,I$6,$N$1))</f>
        <v xml:space="preserve"> </v>
      </c>
      <c r="J1726" s="28" t="str">
        <f>IF($C1726=""," ",[1]!i_pq_pctchange($C1726,J$6,$N$1))</f>
        <v xml:space="preserve"> </v>
      </c>
      <c r="K1726" s="28" t="str">
        <f>IF($C1726=""," ",[1]!i_pq_pctchange($C1726,K$6,$N$1))</f>
        <v xml:space="preserve"> </v>
      </c>
      <c r="L1726" s="28" t="str">
        <f>IF(C1726=""," ",[1]!s_wq_pctchange($C1726,$N$1))</f>
        <v xml:space="preserve"> </v>
      </c>
      <c r="M1726" s="28" t="str">
        <f>IF(C1726=""," ",[1]!s_mq_pctchange($C1726,$N$1))</f>
        <v xml:space="preserve"> </v>
      </c>
      <c r="N1726" s="28" t="str">
        <f>IF(C1726=""," ",[1]!s_yq_pctchange($C1726,$N$1))</f>
        <v xml:space="preserve"> </v>
      </c>
      <c r="O1726" s="11"/>
      <c r="P1726" s="7"/>
    </row>
    <row r="1727" spans="1:16" x14ac:dyDescent="0.35">
      <c r="A1727" s="7"/>
      <c r="C1727" s="30" t="str">
        <f>IF(指数列表!B1724="","",指数列表!B1724)</f>
        <v/>
      </c>
      <c r="D1727" s="35" t="str">
        <f>IF(C1727="","",[1]!s_info_name(C1727))</f>
        <v/>
      </c>
      <c r="E1727" s="24" t="str">
        <f>IF(C1727="","",[1]!s_dq_close(C1727,$N$1))</f>
        <v/>
      </c>
      <c r="F1727" s="28" t="str">
        <f>IF($C1727=""," ",[1]!i_pq_pctchange($C1727,F$6,$N$1))</f>
        <v xml:space="preserve"> </v>
      </c>
      <c r="G1727" s="28" t="str">
        <f>IF($C1727=""," ",[1]!i_pq_pctchange($C1727,G$6,$N$1))</f>
        <v xml:space="preserve"> </v>
      </c>
      <c r="H1727" s="28" t="str">
        <f>IF($C1727=""," ",[1]!i_pq_pctchange($C1727,H$6,$N$1))</f>
        <v xml:space="preserve"> </v>
      </c>
      <c r="I1727" s="28" t="str">
        <f>IF($C1727=""," ",[1]!i_pq_pctchange($C1727,I$6,$N$1))</f>
        <v xml:space="preserve"> </v>
      </c>
      <c r="J1727" s="28" t="str">
        <f>IF($C1727=""," ",[1]!i_pq_pctchange($C1727,J$6,$N$1))</f>
        <v xml:space="preserve"> </v>
      </c>
      <c r="K1727" s="28" t="str">
        <f>IF($C1727=""," ",[1]!i_pq_pctchange($C1727,K$6,$N$1))</f>
        <v xml:space="preserve"> </v>
      </c>
      <c r="L1727" s="28" t="str">
        <f>IF(C1727=""," ",[1]!s_wq_pctchange($C1727,$N$1))</f>
        <v xml:space="preserve"> </v>
      </c>
      <c r="M1727" s="28" t="str">
        <f>IF(C1727=""," ",[1]!s_mq_pctchange($C1727,$N$1))</f>
        <v xml:space="preserve"> </v>
      </c>
      <c r="N1727" s="28" t="str">
        <f>IF(C1727=""," ",[1]!s_yq_pctchange($C1727,$N$1))</f>
        <v xml:space="preserve"> </v>
      </c>
      <c r="O1727" s="11"/>
      <c r="P1727" s="7"/>
    </row>
    <row r="1728" spans="1:16" x14ac:dyDescent="0.35">
      <c r="A1728" s="7"/>
      <c r="C1728" s="31" t="str">
        <f>IF(指数列表!B1725="","",指数列表!B1725)</f>
        <v/>
      </c>
      <c r="D1728" s="36" t="str">
        <f>IF(C1728="","",[1]!s_info_name(C1728))</f>
        <v/>
      </c>
      <c r="E1728" s="25" t="str">
        <f>IF(C1728="","",[1]!s_dq_close(C1728,$N$1))</f>
        <v/>
      </c>
      <c r="F1728" s="28" t="str">
        <f>IF($C1728=""," ",[1]!i_pq_pctchange($C1728,F$6,$N$1))</f>
        <v xml:space="preserve"> </v>
      </c>
      <c r="G1728" s="28" t="str">
        <f>IF($C1728=""," ",[1]!i_pq_pctchange($C1728,G$6,$N$1))</f>
        <v xml:space="preserve"> </v>
      </c>
      <c r="H1728" s="28" t="str">
        <f>IF($C1728=""," ",[1]!i_pq_pctchange($C1728,H$6,$N$1))</f>
        <v xml:space="preserve"> </v>
      </c>
      <c r="I1728" s="28" t="str">
        <f>IF($C1728=""," ",[1]!i_pq_pctchange($C1728,I$6,$N$1))</f>
        <v xml:space="preserve"> </v>
      </c>
      <c r="J1728" s="28" t="str">
        <f>IF($C1728=""," ",[1]!i_pq_pctchange($C1728,J$6,$N$1))</f>
        <v xml:space="preserve"> </v>
      </c>
      <c r="K1728" s="28" t="str">
        <f>IF($C1728=""," ",[1]!i_pq_pctchange($C1728,K$6,$N$1))</f>
        <v xml:space="preserve"> </v>
      </c>
      <c r="L1728" s="28" t="str">
        <f>IF(C1728=""," ",[1]!s_wq_pctchange($C1728,$N$1))</f>
        <v xml:space="preserve"> </v>
      </c>
      <c r="M1728" s="28" t="str">
        <f>IF(C1728=""," ",[1]!s_mq_pctchange($C1728,$N$1))</f>
        <v xml:space="preserve"> </v>
      </c>
      <c r="N1728" s="28" t="str">
        <f>IF(C1728=""," ",[1]!s_yq_pctchange($C1728,$N$1))</f>
        <v xml:space="preserve"> </v>
      </c>
      <c r="O1728" s="11"/>
      <c r="P1728" s="7"/>
    </row>
    <row r="1729" spans="1:16" x14ac:dyDescent="0.35">
      <c r="A1729" s="7"/>
      <c r="C1729" s="30" t="str">
        <f>IF(指数列表!B1726="","",指数列表!B1726)</f>
        <v/>
      </c>
      <c r="D1729" s="35" t="str">
        <f>IF(C1729="","",[1]!s_info_name(C1729))</f>
        <v/>
      </c>
      <c r="E1729" s="24" t="str">
        <f>IF(C1729="","",[1]!s_dq_close(C1729,$N$1))</f>
        <v/>
      </c>
      <c r="F1729" s="28" t="str">
        <f>IF($C1729=""," ",[1]!i_pq_pctchange($C1729,F$6,$N$1))</f>
        <v xml:space="preserve"> </v>
      </c>
      <c r="G1729" s="28" t="str">
        <f>IF($C1729=""," ",[1]!i_pq_pctchange($C1729,G$6,$N$1))</f>
        <v xml:space="preserve"> </v>
      </c>
      <c r="H1729" s="28" t="str">
        <f>IF($C1729=""," ",[1]!i_pq_pctchange($C1729,H$6,$N$1))</f>
        <v xml:space="preserve"> </v>
      </c>
      <c r="I1729" s="28" t="str">
        <f>IF($C1729=""," ",[1]!i_pq_pctchange($C1729,I$6,$N$1))</f>
        <v xml:space="preserve"> </v>
      </c>
      <c r="J1729" s="28" t="str">
        <f>IF($C1729=""," ",[1]!i_pq_pctchange($C1729,J$6,$N$1))</f>
        <v xml:space="preserve"> </v>
      </c>
      <c r="K1729" s="28" t="str">
        <f>IF($C1729=""," ",[1]!i_pq_pctchange($C1729,K$6,$N$1))</f>
        <v xml:space="preserve"> </v>
      </c>
      <c r="L1729" s="28" t="str">
        <f>IF(C1729=""," ",[1]!s_wq_pctchange($C1729,$N$1))</f>
        <v xml:space="preserve"> </v>
      </c>
      <c r="M1729" s="28" t="str">
        <f>IF(C1729=""," ",[1]!s_mq_pctchange($C1729,$N$1))</f>
        <v xml:space="preserve"> </v>
      </c>
      <c r="N1729" s="28" t="str">
        <f>IF(C1729=""," ",[1]!s_yq_pctchange($C1729,$N$1))</f>
        <v xml:space="preserve"> </v>
      </c>
      <c r="O1729" s="11"/>
      <c r="P1729" s="7"/>
    </row>
    <row r="1730" spans="1:16" x14ac:dyDescent="0.35">
      <c r="A1730" s="7"/>
      <c r="C1730" s="31" t="str">
        <f>IF(指数列表!B1727="","",指数列表!B1727)</f>
        <v/>
      </c>
      <c r="D1730" s="36" t="str">
        <f>IF(C1730="","",[1]!s_info_name(C1730))</f>
        <v/>
      </c>
      <c r="E1730" s="25" t="str">
        <f>IF(C1730="","",[1]!s_dq_close(C1730,$N$1))</f>
        <v/>
      </c>
      <c r="F1730" s="28" t="str">
        <f>IF($C1730=""," ",[1]!i_pq_pctchange($C1730,F$6,$N$1))</f>
        <v xml:space="preserve"> </v>
      </c>
      <c r="G1730" s="28" t="str">
        <f>IF($C1730=""," ",[1]!i_pq_pctchange($C1730,G$6,$N$1))</f>
        <v xml:space="preserve"> </v>
      </c>
      <c r="H1730" s="28" t="str">
        <f>IF($C1730=""," ",[1]!i_pq_pctchange($C1730,H$6,$N$1))</f>
        <v xml:space="preserve"> </v>
      </c>
      <c r="I1730" s="28" t="str">
        <f>IF($C1730=""," ",[1]!i_pq_pctchange($C1730,I$6,$N$1))</f>
        <v xml:space="preserve"> </v>
      </c>
      <c r="J1730" s="28" t="str">
        <f>IF($C1730=""," ",[1]!i_pq_pctchange($C1730,J$6,$N$1))</f>
        <v xml:space="preserve"> </v>
      </c>
      <c r="K1730" s="28" t="str">
        <f>IF($C1730=""," ",[1]!i_pq_pctchange($C1730,K$6,$N$1))</f>
        <v xml:space="preserve"> </v>
      </c>
      <c r="L1730" s="28" t="str">
        <f>IF(C1730=""," ",[1]!s_wq_pctchange($C1730,$N$1))</f>
        <v xml:space="preserve"> </v>
      </c>
      <c r="M1730" s="28" t="str">
        <f>IF(C1730=""," ",[1]!s_mq_pctchange($C1730,$N$1))</f>
        <v xml:space="preserve"> </v>
      </c>
      <c r="N1730" s="28" t="str">
        <f>IF(C1730=""," ",[1]!s_yq_pctchange($C1730,$N$1))</f>
        <v xml:space="preserve"> </v>
      </c>
      <c r="O1730" s="11"/>
      <c r="P1730" s="7"/>
    </row>
    <row r="1731" spans="1:16" x14ac:dyDescent="0.35">
      <c r="A1731" s="7"/>
      <c r="C1731" s="30" t="str">
        <f>IF(指数列表!B1728="","",指数列表!B1728)</f>
        <v/>
      </c>
      <c r="D1731" s="35" t="str">
        <f>IF(C1731="","",[1]!s_info_name(C1731))</f>
        <v/>
      </c>
      <c r="E1731" s="24" t="str">
        <f>IF(C1731="","",[1]!s_dq_close(C1731,$N$1))</f>
        <v/>
      </c>
      <c r="F1731" s="28" t="str">
        <f>IF($C1731=""," ",[1]!i_pq_pctchange($C1731,F$6,$N$1))</f>
        <v xml:space="preserve"> </v>
      </c>
      <c r="G1731" s="28" t="str">
        <f>IF($C1731=""," ",[1]!i_pq_pctchange($C1731,G$6,$N$1))</f>
        <v xml:space="preserve"> </v>
      </c>
      <c r="H1731" s="28" t="str">
        <f>IF($C1731=""," ",[1]!i_pq_pctchange($C1731,H$6,$N$1))</f>
        <v xml:space="preserve"> </v>
      </c>
      <c r="I1731" s="28" t="str">
        <f>IF($C1731=""," ",[1]!i_pq_pctchange($C1731,I$6,$N$1))</f>
        <v xml:space="preserve"> </v>
      </c>
      <c r="J1731" s="28" t="str">
        <f>IF($C1731=""," ",[1]!i_pq_pctchange($C1731,J$6,$N$1))</f>
        <v xml:space="preserve"> </v>
      </c>
      <c r="K1731" s="28" t="str">
        <f>IF($C1731=""," ",[1]!i_pq_pctchange($C1731,K$6,$N$1))</f>
        <v xml:space="preserve"> </v>
      </c>
      <c r="L1731" s="28" t="str">
        <f>IF(C1731=""," ",[1]!s_wq_pctchange($C1731,$N$1))</f>
        <v xml:space="preserve"> </v>
      </c>
      <c r="M1731" s="28" t="str">
        <f>IF(C1731=""," ",[1]!s_mq_pctchange($C1731,$N$1))</f>
        <v xml:space="preserve"> </v>
      </c>
      <c r="N1731" s="28" t="str">
        <f>IF(C1731=""," ",[1]!s_yq_pctchange($C1731,$N$1))</f>
        <v xml:space="preserve"> </v>
      </c>
      <c r="O1731" s="11"/>
      <c r="P1731" s="7"/>
    </row>
    <row r="1732" spans="1:16" x14ac:dyDescent="0.35">
      <c r="A1732" s="7"/>
      <c r="C1732" s="31" t="str">
        <f>IF(指数列表!B1729="","",指数列表!B1729)</f>
        <v/>
      </c>
      <c r="D1732" s="36" t="str">
        <f>IF(C1732="","",[1]!s_info_name(C1732))</f>
        <v/>
      </c>
      <c r="E1732" s="25" t="str">
        <f>IF(C1732="","",[1]!s_dq_close(C1732,$N$1))</f>
        <v/>
      </c>
      <c r="F1732" s="28" t="str">
        <f>IF($C1732=""," ",[1]!i_pq_pctchange($C1732,F$6,$N$1))</f>
        <v xml:space="preserve"> </v>
      </c>
      <c r="G1732" s="28" t="str">
        <f>IF($C1732=""," ",[1]!i_pq_pctchange($C1732,G$6,$N$1))</f>
        <v xml:space="preserve"> </v>
      </c>
      <c r="H1732" s="28" t="str">
        <f>IF($C1732=""," ",[1]!i_pq_pctchange($C1732,H$6,$N$1))</f>
        <v xml:space="preserve"> </v>
      </c>
      <c r="I1732" s="28" t="str">
        <f>IF($C1732=""," ",[1]!i_pq_pctchange($C1732,I$6,$N$1))</f>
        <v xml:space="preserve"> </v>
      </c>
      <c r="J1732" s="28" t="str">
        <f>IF($C1732=""," ",[1]!i_pq_pctchange($C1732,J$6,$N$1))</f>
        <v xml:space="preserve"> </v>
      </c>
      <c r="K1732" s="28" t="str">
        <f>IF($C1732=""," ",[1]!i_pq_pctchange($C1732,K$6,$N$1))</f>
        <v xml:space="preserve"> </v>
      </c>
      <c r="L1732" s="28" t="str">
        <f>IF(C1732=""," ",[1]!s_wq_pctchange($C1732,$N$1))</f>
        <v xml:space="preserve"> </v>
      </c>
      <c r="M1732" s="28" t="str">
        <f>IF(C1732=""," ",[1]!s_mq_pctchange($C1732,$N$1))</f>
        <v xml:space="preserve"> </v>
      </c>
      <c r="N1732" s="28" t="str">
        <f>IF(C1732=""," ",[1]!s_yq_pctchange($C1732,$N$1))</f>
        <v xml:space="preserve"> </v>
      </c>
      <c r="O1732" s="11"/>
      <c r="P1732" s="7"/>
    </row>
    <row r="1733" spans="1:16" x14ac:dyDescent="0.35">
      <c r="A1733" s="7"/>
      <c r="C1733" s="30" t="str">
        <f>IF(指数列表!B1730="","",指数列表!B1730)</f>
        <v/>
      </c>
      <c r="D1733" s="35" t="str">
        <f>IF(C1733="","",[1]!s_info_name(C1733))</f>
        <v/>
      </c>
      <c r="E1733" s="24" t="str">
        <f>IF(C1733="","",[1]!s_dq_close(C1733,$N$1))</f>
        <v/>
      </c>
      <c r="F1733" s="28" t="str">
        <f>IF($C1733=""," ",[1]!i_pq_pctchange($C1733,F$6,$N$1))</f>
        <v xml:space="preserve"> </v>
      </c>
      <c r="G1733" s="28" t="str">
        <f>IF($C1733=""," ",[1]!i_pq_pctchange($C1733,G$6,$N$1))</f>
        <v xml:space="preserve"> </v>
      </c>
      <c r="H1733" s="28" t="str">
        <f>IF($C1733=""," ",[1]!i_pq_pctchange($C1733,H$6,$N$1))</f>
        <v xml:space="preserve"> </v>
      </c>
      <c r="I1733" s="28" t="str">
        <f>IF($C1733=""," ",[1]!i_pq_pctchange($C1733,I$6,$N$1))</f>
        <v xml:space="preserve"> </v>
      </c>
      <c r="J1733" s="28" t="str">
        <f>IF($C1733=""," ",[1]!i_pq_pctchange($C1733,J$6,$N$1))</f>
        <v xml:space="preserve"> </v>
      </c>
      <c r="K1733" s="28" t="str">
        <f>IF($C1733=""," ",[1]!i_pq_pctchange($C1733,K$6,$N$1))</f>
        <v xml:space="preserve"> </v>
      </c>
      <c r="L1733" s="28" t="str">
        <f>IF(C1733=""," ",[1]!s_wq_pctchange($C1733,$N$1))</f>
        <v xml:space="preserve"> </v>
      </c>
      <c r="M1733" s="28" t="str">
        <f>IF(C1733=""," ",[1]!s_mq_pctchange($C1733,$N$1))</f>
        <v xml:space="preserve"> </v>
      </c>
      <c r="N1733" s="28" t="str">
        <f>IF(C1733=""," ",[1]!s_yq_pctchange($C1733,$N$1))</f>
        <v xml:space="preserve"> </v>
      </c>
      <c r="O1733" s="11"/>
      <c r="P1733" s="7"/>
    </row>
    <row r="1734" spans="1:16" x14ac:dyDescent="0.35">
      <c r="A1734" s="7"/>
      <c r="C1734" s="31" t="str">
        <f>IF(指数列表!B1731="","",指数列表!B1731)</f>
        <v/>
      </c>
      <c r="D1734" s="36" t="str">
        <f>IF(C1734="","",[1]!s_info_name(C1734))</f>
        <v/>
      </c>
      <c r="E1734" s="25" t="str">
        <f>IF(C1734="","",[1]!s_dq_close(C1734,$N$1))</f>
        <v/>
      </c>
      <c r="F1734" s="28" t="str">
        <f>IF($C1734=""," ",[1]!i_pq_pctchange($C1734,F$6,$N$1))</f>
        <v xml:space="preserve"> </v>
      </c>
      <c r="G1734" s="28" t="str">
        <f>IF($C1734=""," ",[1]!i_pq_pctchange($C1734,G$6,$N$1))</f>
        <v xml:space="preserve"> </v>
      </c>
      <c r="H1734" s="28" t="str">
        <f>IF($C1734=""," ",[1]!i_pq_pctchange($C1734,H$6,$N$1))</f>
        <v xml:space="preserve"> </v>
      </c>
      <c r="I1734" s="28" t="str">
        <f>IF($C1734=""," ",[1]!i_pq_pctchange($C1734,I$6,$N$1))</f>
        <v xml:space="preserve"> </v>
      </c>
      <c r="J1734" s="28" t="str">
        <f>IF($C1734=""," ",[1]!i_pq_pctchange($C1734,J$6,$N$1))</f>
        <v xml:space="preserve"> </v>
      </c>
      <c r="K1734" s="28" t="str">
        <f>IF($C1734=""," ",[1]!i_pq_pctchange($C1734,K$6,$N$1))</f>
        <v xml:space="preserve"> </v>
      </c>
      <c r="L1734" s="28" t="str">
        <f>IF(C1734=""," ",[1]!s_wq_pctchange($C1734,$N$1))</f>
        <v xml:space="preserve"> </v>
      </c>
      <c r="M1734" s="28" t="str">
        <f>IF(C1734=""," ",[1]!s_mq_pctchange($C1734,$N$1))</f>
        <v xml:space="preserve"> </v>
      </c>
      <c r="N1734" s="28" t="str">
        <f>IF(C1734=""," ",[1]!s_yq_pctchange($C1734,$N$1))</f>
        <v xml:space="preserve"> </v>
      </c>
      <c r="O1734" s="11"/>
      <c r="P1734" s="7"/>
    </row>
    <row r="1735" spans="1:16" x14ac:dyDescent="0.35">
      <c r="A1735" s="7"/>
      <c r="C1735" s="30" t="str">
        <f>IF(指数列表!B1732="","",指数列表!B1732)</f>
        <v/>
      </c>
      <c r="D1735" s="35" t="str">
        <f>IF(C1735="","",[1]!s_info_name(C1735))</f>
        <v/>
      </c>
      <c r="E1735" s="24" t="str">
        <f>IF(C1735="","",[1]!s_dq_close(C1735,$N$1))</f>
        <v/>
      </c>
      <c r="F1735" s="28" t="str">
        <f>IF($C1735=""," ",[1]!i_pq_pctchange($C1735,F$6,$N$1))</f>
        <v xml:space="preserve"> </v>
      </c>
      <c r="G1735" s="28" t="str">
        <f>IF($C1735=""," ",[1]!i_pq_pctchange($C1735,G$6,$N$1))</f>
        <v xml:space="preserve"> </v>
      </c>
      <c r="H1735" s="28" t="str">
        <f>IF($C1735=""," ",[1]!i_pq_pctchange($C1735,H$6,$N$1))</f>
        <v xml:space="preserve"> </v>
      </c>
      <c r="I1735" s="28" t="str">
        <f>IF($C1735=""," ",[1]!i_pq_pctchange($C1735,I$6,$N$1))</f>
        <v xml:space="preserve"> </v>
      </c>
      <c r="J1735" s="28" t="str">
        <f>IF($C1735=""," ",[1]!i_pq_pctchange($C1735,J$6,$N$1))</f>
        <v xml:space="preserve"> </v>
      </c>
      <c r="K1735" s="28" t="str">
        <f>IF($C1735=""," ",[1]!i_pq_pctchange($C1735,K$6,$N$1))</f>
        <v xml:space="preserve"> </v>
      </c>
      <c r="L1735" s="28" t="str">
        <f>IF(C1735=""," ",[1]!s_wq_pctchange($C1735,$N$1))</f>
        <v xml:space="preserve"> </v>
      </c>
      <c r="M1735" s="28" t="str">
        <f>IF(C1735=""," ",[1]!s_mq_pctchange($C1735,$N$1))</f>
        <v xml:space="preserve"> </v>
      </c>
      <c r="N1735" s="28" t="str">
        <f>IF(C1735=""," ",[1]!s_yq_pctchange($C1735,$N$1))</f>
        <v xml:space="preserve"> </v>
      </c>
      <c r="O1735" s="11"/>
      <c r="P1735" s="7"/>
    </row>
    <row r="1736" spans="1:16" x14ac:dyDescent="0.35">
      <c r="A1736" s="7"/>
      <c r="C1736" s="31" t="str">
        <f>IF(指数列表!B1733="","",指数列表!B1733)</f>
        <v/>
      </c>
      <c r="D1736" s="36" t="str">
        <f>IF(C1736="","",[1]!s_info_name(C1736))</f>
        <v/>
      </c>
      <c r="E1736" s="25" t="str">
        <f>IF(C1736="","",[1]!s_dq_close(C1736,$N$1))</f>
        <v/>
      </c>
      <c r="F1736" s="28" t="str">
        <f>IF($C1736=""," ",[1]!i_pq_pctchange($C1736,F$6,$N$1))</f>
        <v xml:space="preserve"> </v>
      </c>
      <c r="G1736" s="28" t="str">
        <f>IF($C1736=""," ",[1]!i_pq_pctchange($C1736,G$6,$N$1))</f>
        <v xml:space="preserve"> </v>
      </c>
      <c r="H1736" s="28" t="str">
        <f>IF($C1736=""," ",[1]!i_pq_pctchange($C1736,H$6,$N$1))</f>
        <v xml:space="preserve"> </v>
      </c>
      <c r="I1736" s="28" t="str">
        <f>IF($C1736=""," ",[1]!i_pq_pctchange($C1736,I$6,$N$1))</f>
        <v xml:space="preserve"> </v>
      </c>
      <c r="J1736" s="28" t="str">
        <f>IF($C1736=""," ",[1]!i_pq_pctchange($C1736,J$6,$N$1))</f>
        <v xml:space="preserve"> </v>
      </c>
      <c r="K1736" s="28" t="str">
        <f>IF($C1736=""," ",[1]!i_pq_pctchange($C1736,K$6,$N$1))</f>
        <v xml:space="preserve"> </v>
      </c>
      <c r="L1736" s="28" t="str">
        <f>IF(C1736=""," ",[1]!s_wq_pctchange($C1736,$N$1))</f>
        <v xml:space="preserve"> </v>
      </c>
      <c r="M1736" s="28" t="str">
        <f>IF(C1736=""," ",[1]!s_mq_pctchange($C1736,$N$1))</f>
        <v xml:space="preserve"> </v>
      </c>
      <c r="N1736" s="28" t="str">
        <f>IF(C1736=""," ",[1]!s_yq_pctchange($C1736,$N$1))</f>
        <v xml:space="preserve"> </v>
      </c>
      <c r="O1736" s="11"/>
      <c r="P1736" s="7"/>
    </row>
    <row r="1737" spans="1:16" x14ac:dyDescent="0.35">
      <c r="A1737" s="7"/>
      <c r="C1737" s="30" t="str">
        <f>IF(指数列表!B1734="","",指数列表!B1734)</f>
        <v/>
      </c>
      <c r="D1737" s="35" t="str">
        <f>IF(C1737="","",[1]!s_info_name(C1737))</f>
        <v/>
      </c>
      <c r="E1737" s="24" t="str">
        <f>IF(C1737="","",[1]!s_dq_close(C1737,$N$1))</f>
        <v/>
      </c>
      <c r="F1737" s="28" t="str">
        <f>IF($C1737=""," ",[1]!i_pq_pctchange($C1737,F$6,$N$1))</f>
        <v xml:space="preserve"> </v>
      </c>
      <c r="G1737" s="28" t="str">
        <f>IF($C1737=""," ",[1]!i_pq_pctchange($C1737,G$6,$N$1))</f>
        <v xml:space="preserve"> </v>
      </c>
      <c r="H1737" s="28" t="str">
        <f>IF($C1737=""," ",[1]!i_pq_pctchange($C1737,H$6,$N$1))</f>
        <v xml:space="preserve"> </v>
      </c>
      <c r="I1737" s="28" t="str">
        <f>IF($C1737=""," ",[1]!i_pq_pctchange($C1737,I$6,$N$1))</f>
        <v xml:space="preserve"> </v>
      </c>
      <c r="J1737" s="28" t="str">
        <f>IF($C1737=""," ",[1]!i_pq_pctchange($C1737,J$6,$N$1))</f>
        <v xml:space="preserve"> </v>
      </c>
      <c r="K1737" s="28" t="str">
        <f>IF($C1737=""," ",[1]!i_pq_pctchange($C1737,K$6,$N$1))</f>
        <v xml:space="preserve"> </v>
      </c>
      <c r="L1737" s="28" t="str">
        <f>IF(C1737=""," ",[1]!s_wq_pctchange($C1737,$N$1))</f>
        <v xml:space="preserve"> </v>
      </c>
      <c r="M1737" s="28" t="str">
        <f>IF(C1737=""," ",[1]!s_mq_pctchange($C1737,$N$1))</f>
        <v xml:space="preserve"> </v>
      </c>
      <c r="N1737" s="28" t="str">
        <f>IF(C1737=""," ",[1]!s_yq_pctchange($C1737,$N$1))</f>
        <v xml:space="preserve"> </v>
      </c>
      <c r="O1737" s="11"/>
      <c r="P1737" s="7"/>
    </row>
    <row r="1738" spans="1:16" x14ac:dyDescent="0.35">
      <c r="A1738" s="7"/>
      <c r="C1738" s="31" t="str">
        <f>IF(指数列表!B1735="","",指数列表!B1735)</f>
        <v/>
      </c>
      <c r="D1738" s="36" t="str">
        <f>IF(C1738="","",[1]!s_info_name(C1738))</f>
        <v/>
      </c>
      <c r="E1738" s="25" t="str">
        <f>IF(C1738="","",[1]!s_dq_close(C1738,$N$1))</f>
        <v/>
      </c>
      <c r="F1738" s="28" t="str">
        <f>IF($C1738=""," ",[1]!i_pq_pctchange($C1738,F$6,$N$1))</f>
        <v xml:space="preserve"> </v>
      </c>
      <c r="G1738" s="28" t="str">
        <f>IF($C1738=""," ",[1]!i_pq_pctchange($C1738,G$6,$N$1))</f>
        <v xml:space="preserve"> </v>
      </c>
      <c r="H1738" s="28" t="str">
        <f>IF($C1738=""," ",[1]!i_pq_pctchange($C1738,H$6,$N$1))</f>
        <v xml:space="preserve"> </v>
      </c>
      <c r="I1738" s="28" t="str">
        <f>IF($C1738=""," ",[1]!i_pq_pctchange($C1738,I$6,$N$1))</f>
        <v xml:space="preserve"> </v>
      </c>
      <c r="J1738" s="28" t="str">
        <f>IF($C1738=""," ",[1]!i_pq_pctchange($C1738,J$6,$N$1))</f>
        <v xml:space="preserve"> </v>
      </c>
      <c r="K1738" s="28" t="str">
        <f>IF($C1738=""," ",[1]!i_pq_pctchange($C1738,K$6,$N$1))</f>
        <v xml:space="preserve"> </v>
      </c>
      <c r="L1738" s="28" t="str">
        <f>IF(C1738=""," ",[1]!s_wq_pctchange($C1738,$N$1))</f>
        <v xml:space="preserve"> </v>
      </c>
      <c r="M1738" s="28" t="str">
        <f>IF(C1738=""," ",[1]!s_mq_pctchange($C1738,$N$1))</f>
        <v xml:space="preserve"> </v>
      </c>
      <c r="N1738" s="28" t="str">
        <f>IF(C1738=""," ",[1]!s_yq_pctchange($C1738,$N$1))</f>
        <v xml:space="preserve"> </v>
      </c>
      <c r="O1738" s="11"/>
      <c r="P1738" s="7"/>
    </row>
    <row r="1739" spans="1:16" x14ac:dyDescent="0.35">
      <c r="A1739" s="7"/>
      <c r="C1739" s="30" t="str">
        <f>IF(指数列表!B1736="","",指数列表!B1736)</f>
        <v/>
      </c>
      <c r="D1739" s="35" t="str">
        <f>IF(C1739="","",[1]!s_info_name(C1739))</f>
        <v/>
      </c>
      <c r="E1739" s="24" t="str">
        <f>IF(C1739="","",[1]!s_dq_close(C1739,$N$1))</f>
        <v/>
      </c>
      <c r="F1739" s="28" t="str">
        <f>IF($C1739=""," ",[1]!i_pq_pctchange($C1739,F$6,$N$1))</f>
        <v xml:space="preserve"> </v>
      </c>
      <c r="G1739" s="28" t="str">
        <f>IF($C1739=""," ",[1]!i_pq_pctchange($C1739,G$6,$N$1))</f>
        <v xml:space="preserve"> </v>
      </c>
      <c r="H1739" s="28" t="str">
        <f>IF($C1739=""," ",[1]!i_pq_pctchange($C1739,H$6,$N$1))</f>
        <v xml:space="preserve"> </v>
      </c>
      <c r="I1739" s="28" t="str">
        <f>IF($C1739=""," ",[1]!i_pq_pctchange($C1739,I$6,$N$1))</f>
        <v xml:space="preserve"> </v>
      </c>
      <c r="J1739" s="28" t="str">
        <f>IF($C1739=""," ",[1]!i_pq_pctchange($C1739,J$6,$N$1))</f>
        <v xml:space="preserve"> </v>
      </c>
      <c r="K1739" s="28" t="str">
        <f>IF($C1739=""," ",[1]!i_pq_pctchange($C1739,K$6,$N$1))</f>
        <v xml:space="preserve"> </v>
      </c>
      <c r="L1739" s="28" t="str">
        <f>IF(C1739=""," ",[1]!s_wq_pctchange($C1739,$N$1))</f>
        <v xml:space="preserve"> </v>
      </c>
      <c r="M1739" s="28" t="str">
        <f>IF(C1739=""," ",[1]!s_mq_pctchange($C1739,$N$1))</f>
        <v xml:space="preserve"> </v>
      </c>
      <c r="N1739" s="28" t="str">
        <f>IF(C1739=""," ",[1]!s_yq_pctchange($C1739,$N$1))</f>
        <v xml:space="preserve"> </v>
      </c>
      <c r="O1739" s="11"/>
      <c r="P1739" s="7"/>
    </row>
    <row r="1740" spans="1:16" x14ac:dyDescent="0.35">
      <c r="A1740" s="7"/>
      <c r="C1740" s="31" t="str">
        <f>IF(指数列表!B1737="","",指数列表!B1737)</f>
        <v/>
      </c>
      <c r="D1740" s="36" t="str">
        <f>IF(C1740="","",[1]!s_info_name(C1740))</f>
        <v/>
      </c>
      <c r="E1740" s="25" t="str">
        <f>IF(C1740="","",[1]!s_dq_close(C1740,$N$1))</f>
        <v/>
      </c>
      <c r="F1740" s="28" t="str">
        <f>IF($C1740=""," ",[1]!i_pq_pctchange($C1740,F$6,$N$1))</f>
        <v xml:space="preserve"> </v>
      </c>
      <c r="G1740" s="28" t="str">
        <f>IF($C1740=""," ",[1]!i_pq_pctchange($C1740,G$6,$N$1))</f>
        <v xml:space="preserve"> </v>
      </c>
      <c r="H1740" s="28" t="str">
        <f>IF($C1740=""," ",[1]!i_pq_pctchange($C1740,H$6,$N$1))</f>
        <v xml:space="preserve"> </v>
      </c>
      <c r="I1740" s="28" t="str">
        <f>IF($C1740=""," ",[1]!i_pq_pctchange($C1740,I$6,$N$1))</f>
        <v xml:space="preserve"> </v>
      </c>
      <c r="J1740" s="28" t="str">
        <f>IF($C1740=""," ",[1]!i_pq_pctchange($C1740,J$6,$N$1))</f>
        <v xml:space="preserve"> </v>
      </c>
      <c r="K1740" s="28" t="str">
        <f>IF($C1740=""," ",[1]!i_pq_pctchange($C1740,K$6,$N$1))</f>
        <v xml:space="preserve"> </v>
      </c>
      <c r="L1740" s="28" t="str">
        <f>IF(C1740=""," ",[1]!s_wq_pctchange($C1740,$N$1))</f>
        <v xml:space="preserve"> </v>
      </c>
      <c r="M1740" s="28" t="str">
        <f>IF(C1740=""," ",[1]!s_mq_pctchange($C1740,$N$1))</f>
        <v xml:space="preserve"> </v>
      </c>
      <c r="N1740" s="28" t="str">
        <f>IF(C1740=""," ",[1]!s_yq_pctchange($C1740,$N$1))</f>
        <v xml:space="preserve"> </v>
      </c>
      <c r="O1740" s="11"/>
      <c r="P1740" s="7"/>
    </row>
    <row r="1741" spans="1:16" x14ac:dyDescent="0.35">
      <c r="A1741" s="7"/>
      <c r="C1741" s="30" t="str">
        <f>IF(指数列表!B1738="","",指数列表!B1738)</f>
        <v/>
      </c>
      <c r="D1741" s="35" t="str">
        <f>IF(C1741="","",[1]!s_info_name(C1741))</f>
        <v/>
      </c>
      <c r="E1741" s="24" t="str">
        <f>IF(C1741="","",[1]!s_dq_close(C1741,$N$1))</f>
        <v/>
      </c>
      <c r="F1741" s="28" t="str">
        <f>IF($C1741=""," ",[1]!i_pq_pctchange($C1741,F$6,$N$1))</f>
        <v xml:space="preserve"> </v>
      </c>
      <c r="G1741" s="28" t="str">
        <f>IF($C1741=""," ",[1]!i_pq_pctchange($C1741,G$6,$N$1))</f>
        <v xml:space="preserve"> </v>
      </c>
      <c r="H1741" s="28" t="str">
        <f>IF($C1741=""," ",[1]!i_pq_pctchange($C1741,H$6,$N$1))</f>
        <v xml:space="preserve"> </v>
      </c>
      <c r="I1741" s="28" t="str">
        <f>IF($C1741=""," ",[1]!i_pq_pctchange($C1741,I$6,$N$1))</f>
        <v xml:space="preserve"> </v>
      </c>
      <c r="J1741" s="28" t="str">
        <f>IF($C1741=""," ",[1]!i_pq_pctchange($C1741,J$6,$N$1))</f>
        <v xml:space="preserve"> </v>
      </c>
      <c r="K1741" s="28" t="str">
        <f>IF($C1741=""," ",[1]!i_pq_pctchange($C1741,K$6,$N$1))</f>
        <v xml:space="preserve"> </v>
      </c>
      <c r="L1741" s="28" t="str">
        <f>IF(C1741=""," ",[1]!s_wq_pctchange($C1741,$N$1))</f>
        <v xml:space="preserve"> </v>
      </c>
      <c r="M1741" s="28" t="str">
        <f>IF(C1741=""," ",[1]!s_mq_pctchange($C1741,$N$1))</f>
        <v xml:space="preserve"> </v>
      </c>
      <c r="N1741" s="28" t="str">
        <f>IF(C1741=""," ",[1]!s_yq_pctchange($C1741,$N$1))</f>
        <v xml:space="preserve"> </v>
      </c>
      <c r="O1741" s="11"/>
      <c r="P1741" s="7"/>
    </row>
    <row r="1742" spans="1:16" x14ac:dyDescent="0.35">
      <c r="A1742" s="7"/>
      <c r="C1742" s="31" t="str">
        <f>IF(指数列表!B1739="","",指数列表!B1739)</f>
        <v/>
      </c>
      <c r="D1742" s="36" t="str">
        <f>IF(C1742="","",[1]!s_info_name(C1742))</f>
        <v/>
      </c>
      <c r="E1742" s="25" t="str">
        <f>IF(C1742="","",[1]!s_dq_close(C1742,$N$1))</f>
        <v/>
      </c>
      <c r="F1742" s="28" t="str">
        <f>IF($C1742=""," ",[1]!i_pq_pctchange($C1742,F$6,$N$1))</f>
        <v xml:space="preserve"> </v>
      </c>
      <c r="G1742" s="28" t="str">
        <f>IF($C1742=""," ",[1]!i_pq_pctchange($C1742,G$6,$N$1))</f>
        <v xml:space="preserve"> </v>
      </c>
      <c r="H1742" s="28" t="str">
        <f>IF($C1742=""," ",[1]!i_pq_pctchange($C1742,H$6,$N$1))</f>
        <v xml:space="preserve"> </v>
      </c>
      <c r="I1742" s="28" t="str">
        <f>IF($C1742=""," ",[1]!i_pq_pctchange($C1742,I$6,$N$1))</f>
        <v xml:space="preserve"> </v>
      </c>
      <c r="J1742" s="28" t="str">
        <f>IF($C1742=""," ",[1]!i_pq_pctchange($C1742,J$6,$N$1))</f>
        <v xml:space="preserve"> </v>
      </c>
      <c r="K1742" s="28" t="str">
        <f>IF($C1742=""," ",[1]!i_pq_pctchange($C1742,K$6,$N$1))</f>
        <v xml:space="preserve"> </v>
      </c>
      <c r="L1742" s="28" t="str">
        <f>IF(C1742=""," ",[1]!s_wq_pctchange($C1742,$N$1))</f>
        <v xml:space="preserve"> </v>
      </c>
      <c r="M1742" s="28" t="str">
        <f>IF(C1742=""," ",[1]!s_mq_pctchange($C1742,$N$1))</f>
        <v xml:space="preserve"> </v>
      </c>
      <c r="N1742" s="28" t="str">
        <f>IF(C1742=""," ",[1]!s_yq_pctchange($C1742,$N$1))</f>
        <v xml:space="preserve"> </v>
      </c>
      <c r="O1742" s="11"/>
      <c r="P1742" s="7"/>
    </row>
    <row r="1743" spans="1:16" x14ac:dyDescent="0.35">
      <c r="A1743" s="7"/>
      <c r="C1743" s="30" t="str">
        <f>IF(指数列表!B1740="","",指数列表!B1740)</f>
        <v/>
      </c>
      <c r="D1743" s="35" t="str">
        <f>IF(C1743="","",[1]!s_info_name(C1743))</f>
        <v/>
      </c>
      <c r="E1743" s="24" t="str">
        <f>IF(C1743="","",[1]!s_dq_close(C1743,$N$1))</f>
        <v/>
      </c>
      <c r="F1743" s="28" t="str">
        <f>IF($C1743=""," ",[1]!i_pq_pctchange($C1743,F$6,$N$1))</f>
        <v xml:space="preserve"> </v>
      </c>
      <c r="G1743" s="28" t="str">
        <f>IF($C1743=""," ",[1]!i_pq_pctchange($C1743,G$6,$N$1))</f>
        <v xml:space="preserve"> </v>
      </c>
      <c r="H1743" s="28" t="str">
        <f>IF($C1743=""," ",[1]!i_pq_pctchange($C1743,H$6,$N$1))</f>
        <v xml:space="preserve"> </v>
      </c>
      <c r="I1743" s="28" t="str">
        <f>IF($C1743=""," ",[1]!i_pq_pctchange($C1743,I$6,$N$1))</f>
        <v xml:space="preserve"> </v>
      </c>
      <c r="J1743" s="28" t="str">
        <f>IF($C1743=""," ",[1]!i_pq_pctchange($C1743,J$6,$N$1))</f>
        <v xml:space="preserve"> </v>
      </c>
      <c r="K1743" s="28" t="str">
        <f>IF($C1743=""," ",[1]!i_pq_pctchange($C1743,K$6,$N$1))</f>
        <v xml:space="preserve"> </v>
      </c>
      <c r="L1743" s="28" t="str">
        <f>IF(C1743=""," ",[1]!s_wq_pctchange($C1743,$N$1))</f>
        <v xml:space="preserve"> </v>
      </c>
      <c r="M1743" s="28" t="str">
        <f>IF(C1743=""," ",[1]!s_mq_pctchange($C1743,$N$1))</f>
        <v xml:space="preserve"> </v>
      </c>
      <c r="N1743" s="28" t="str">
        <f>IF(C1743=""," ",[1]!s_yq_pctchange($C1743,$N$1))</f>
        <v xml:space="preserve"> </v>
      </c>
      <c r="O1743" s="11"/>
      <c r="P1743" s="7"/>
    </row>
    <row r="1744" spans="1:16" x14ac:dyDescent="0.35">
      <c r="A1744" s="7"/>
      <c r="C1744" s="31" t="str">
        <f>IF(指数列表!B1741="","",指数列表!B1741)</f>
        <v/>
      </c>
      <c r="D1744" s="36" t="str">
        <f>IF(C1744="","",[1]!s_info_name(C1744))</f>
        <v/>
      </c>
      <c r="E1744" s="25" t="str">
        <f>IF(C1744="","",[1]!s_dq_close(C1744,$N$1))</f>
        <v/>
      </c>
      <c r="F1744" s="28" t="str">
        <f>IF($C1744=""," ",[1]!i_pq_pctchange($C1744,F$6,$N$1))</f>
        <v xml:space="preserve"> </v>
      </c>
      <c r="G1744" s="28" t="str">
        <f>IF($C1744=""," ",[1]!i_pq_pctchange($C1744,G$6,$N$1))</f>
        <v xml:space="preserve"> </v>
      </c>
      <c r="H1744" s="28" t="str">
        <f>IF($C1744=""," ",[1]!i_pq_pctchange($C1744,H$6,$N$1))</f>
        <v xml:space="preserve"> </v>
      </c>
      <c r="I1744" s="28" t="str">
        <f>IF($C1744=""," ",[1]!i_pq_pctchange($C1744,I$6,$N$1))</f>
        <v xml:space="preserve"> </v>
      </c>
      <c r="J1744" s="28" t="str">
        <f>IF($C1744=""," ",[1]!i_pq_pctchange($C1744,J$6,$N$1))</f>
        <v xml:space="preserve"> </v>
      </c>
      <c r="K1744" s="28" t="str">
        <f>IF($C1744=""," ",[1]!i_pq_pctchange($C1744,K$6,$N$1))</f>
        <v xml:space="preserve"> </v>
      </c>
      <c r="L1744" s="28" t="str">
        <f>IF(C1744=""," ",[1]!s_wq_pctchange($C1744,$N$1))</f>
        <v xml:space="preserve"> </v>
      </c>
      <c r="M1744" s="28" t="str">
        <f>IF(C1744=""," ",[1]!s_mq_pctchange($C1744,$N$1))</f>
        <v xml:space="preserve"> </v>
      </c>
      <c r="N1744" s="28" t="str">
        <f>IF(C1744=""," ",[1]!s_yq_pctchange($C1744,$N$1))</f>
        <v xml:space="preserve"> </v>
      </c>
      <c r="O1744" s="11"/>
      <c r="P1744" s="7"/>
    </row>
    <row r="1745" spans="1:16" x14ac:dyDescent="0.35">
      <c r="A1745" s="7"/>
      <c r="C1745" s="30" t="str">
        <f>IF(指数列表!B1742="","",指数列表!B1742)</f>
        <v/>
      </c>
      <c r="D1745" s="35" t="str">
        <f>IF(C1745="","",[1]!s_info_name(C1745))</f>
        <v/>
      </c>
      <c r="E1745" s="24" t="str">
        <f>IF(C1745="","",[1]!s_dq_close(C1745,$N$1))</f>
        <v/>
      </c>
      <c r="F1745" s="28" t="str">
        <f>IF($C1745=""," ",[1]!i_pq_pctchange($C1745,F$6,$N$1))</f>
        <v xml:space="preserve"> </v>
      </c>
      <c r="G1745" s="28" t="str">
        <f>IF($C1745=""," ",[1]!i_pq_pctchange($C1745,G$6,$N$1))</f>
        <v xml:space="preserve"> </v>
      </c>
      <c r="H1745" s="28" t="str">
        <f>IF($C1745=""," ",[1]!i_pq_pctchange($C1745,H$6,$N$1))</f>
        <v xml:space="preserve"> </v>
      </c>
      <c r="I1745" s="28" t="str">
        <f>IF($C1745=""," ",[1]!i_pq_pctchange($C1745,I$6,$N$1))</f>
        <v xml:space="preserve"> </v>
      </c>
      <c r="J1745" s="28" t="str">
        <f>IF($C1745=""," ",[1]!i_pq_pctchange($C1745,J$6,$N$1))</f>
        <v xml:space="preserve"> </v>
      </c>
      <c r="K1745" s="28" t="str">
        <f>IF($C1745=""," ",[1]!i_pq_pctchange($C1745,K$6,$N$1))</f>
        <v xml:space="preserve"> </v>
      </c>
      <c r="L1745" s="28" t="str">
        <f>IF(C1745=""," ",[1]!s_wq_pctchange($C1745,$N$1))</f>
        <v xml:space="preserve"> </v>
      </c>
      <c r="M1745" s="28" t="str">
        <f>IF(C1745=""," ",[1]!s_mq_pctchange($C1745,$N$1))</f>
        <v xml:space="preserve"> </v>
      </c>
      <c r="N1745" s="28" t="str">
        <f>IF(C1745=""," ",[1]!s_yq_pctchange($C1745,$N$1))</f>
        <v xml:space="preserve"> </v>
      </c>
      <c r="O1745" s="11"/>
      <c r="P1745" s="7"/>
    </row>
    <row r="1746" spans="1:16" x14ac:dyDescent="0.35">
      <c r="A1746" s="7"/>
      <c r="C1746" s="31" t="str">
        <f>IF(指数列表!B1743="","",指数列表!B1743)</f>
        <v/>
      </c>
      <c r="D1746" s="36" t="str">
        <f>IF(C1746="","",[1]!s_info_name(C1746))</f>
        <v/>
      </c>
      <c r="E1746" s="25" t="str">
        <f>IF(C1746="","",[1]!s_dq_close(C1746,$N$1))</f>
        <v/>
      </c>
      <c r="F1746" s="28" t="str">
        <f>IF($C1746=""," ",[1]!i_pq_pctchange($C1746,F$6,$N$1))</f>
        <v xml:space="preserve"> </v>
      </c>
      <c r="G1746" s="28" t="str">
        <f>IF($C1746=""," ",[1]!i_pq_pctchange($C1746,G$6,$N$1))</f>
        <v xml:space="preserve"> </v>
      </c>
      <c r="H1746" s="28" t="str">
        <f>IF($C1746=""," ",[1]!i_pq_pctchange($C1746,H$6,$N$1))</f>
        <v xml:space="preserve"> </v>
      </c>
      <c r="I1746" s="28" t="str">
        <f>IF($C1746=""," ",[1]!i_pq_pctchange($C1746,I$6,$N$1))</f>
        <v xml:space="preserve"> </v>
      </c>
      <c r="J1746" s="28" t="str">
        <f>IF($C1746=""," ",[1]!i_pq_pctchange($C1746,J$6,$N$1))</f>
        <v xml:space="preserve"> </v>
      </c>
      <c r="K1746" s="28" t="str">
        <f>IF($C1746=""," ",[1]!i_pq_pctchange($C1746,K$6,$N$1))</f>
        <v xml:space="preserve"> </v>
      </c>
      <c r="L1746" s="28" t="str">
        <f>IF(C1746=""," ",[1]!s_wq_pctchange($C1746,$N$1))</f>
        <v xml:space="preserve"> </v>
      </c>
      <c r="M1746" s="28" t="str">
        <f>IF(C1746=""," ",[1]!s_mq_pctchange($C1746,$N$1))</f>
        <v xml:space="preserve"> </v>
      </c>
      <c r="N1746" s="28" t="str">
        <f>IF(C1746=""," ",[1]!s_yq_pctchange($C1746,$N$1))</f>
        <v xml:space="preserve"> </v>
      </c>
      <c r="O1746" s="11"/>
      <c r="P1746" s="7"/>
    </row>
    <row r="1747" spans="1:16" x14ac:dyDescent="0.35">
      <c r="A1747" s="7"/>
      <c r="C1747" s="30" t="str">
        <f>IF(指数列表!B1744="","",指数列表!B1744)</f>
        <v/>
      </c>
      <c r="D1747" s="35" t="str">
        <f>IF(C1747="","",[1]!s_info_name(C1747))</f>
        <v/>
      </c>
      <c r="E1747" s="24" t="str">
        <f>IF(C1747="","",[1]!s_dq_close(C1747,$N$1))</f>
        <v/>
      </c>
      <c r="F1747" s="28" t="str">
        <f>IF($C1747=""," ",[1]!i_pq_pctchange($C1747,F$6,$N$1))</f>
        <v xml:space="preserve"> </v>
      </c>
      <c r="G1747" s="28" t="str">
        <f>IF($C1747=""," ",[1]!i_pq_pctchange($C1747,G$6,$N$1))</f>
        <v xml:space="preserve"> </v>
      </c>
      <c r="H1747" s="28" t="str">
        <f>IF($C1747=""," ",[1]!i_pq_pctchange($C1747,H$6,$N$1))</f>
        <v xml:space="preserve"> </v>
      </c>
      <c r="I1747" s="28" t="str">
        <f>IF($C1747=""," ",[1]!i_pq_pctchange($C1747,I$6,$N$1))</f>
        <v xml:space="preserve"> </v>
      </c>
      <c r="J1747" s="28" t="str">
        <f>IF($C1747=""," ",[1]!i_pq_pctchange($C1747,J$6,$N$1))</f>
        <v xml:space="preserve"> </v>
      </c>
      <c r="K1747" s="28" t="str">
        <f>IF($C1747=""," ",[1]!i_pq_pctchange($C1747,K$6,$N$1))</f>
        <v xml:space="preserve"> </v>
      </c>
      <c r="L1747" s="28" t="str">
        <f>IF(C1747=""," ",[1]!s_wq_pctchange($C1747,$N$1))</f>
        <v xml:space="preserve"> </v>
      </c>
      <c r="M1747" s="28" t="str">
        <f>IF(C1747=""," ",[1]!s_mq_pctchange($C1747,$N$1))</f>
        <v xml:space="preserve"> </v>
      </c>
      <c r="N1747" s="28" t="str">
        <f>IF(C1747=""," ",[1]!s_yq_pctchange($C1747,$N$1))</f>
        <v xml:space="preserve"> </v>
      </c>
      <c r="O1747" s="11"/>
      <c r="P1747" s="7"/>
    </row>
    <row r="1748" spans="1:16" x14ac:dyDescent="0.35">
      <c r="A1748" s="7"/>
      <c r="C1748" s="31" t="str">
        <f>IF(指数列表!B1745="","",指数列表!B1745)</f>
        <v/>
      </c>
      <c r="D1748" s="36" t="str">
        <f>IF(C1748="","",[1]!s_info_name(C1748))</f>
        <v/>
      </c>
      <c r="E1748" s="25" t="str">
        <f>IF(C1748="","",[1]!s_dq_close(C1748,$N$1))</f>
        <v/>
      </c>
      <c r="F1748" s="28" t="str">
        <f>IF($C1748=""," ",[1]!i_pq_pctchange($C1748,F$6,$N$1))</f>
        <v xml:space="preserve"> </v>
      </c>
      <c r="G1748" s="28" t="str">
        <f>IF($C1748=""," ",[1]!i_pq_pctchange($C1748,G$6,$N$1))</f>
        <v xml:space="preserve"> </v>
      </c>
      <c r="H1748" s="28" t="str">
        <f>IF($C1748=""," ",[1]!i_pq_pctchange($C1748,H$6,$N$1))</f>
        <v xml:space="preserve"> </v>
      </c>
      <c r="I1748" s="28" t="str">
        <f>IF($C1748=""," ",[1]!i_pq_pctchange($C1748,I$6,$N$1))</f>
        <v xml:space="preserve"> </v>
      </c>
      <c r="J1748" s="28" t="str">
        <f>IF($C1748=""," ",[1]!i_pq_pctchange($C1748,J$6,$N$1))</f>
        <v xml:space="preserve"> </v>
      </c>
      <c r="K1748" s="28" t="str">
        <f>IF($C1748=""," ",[1]!i_pq_pctchange($C1748,K$6,$N$1))</f>
        <v xml:space="preserve"> </v>
      </c>
      <c r="L1748" s="28" t="str">
        <f>IF(C1748=""," ",[1]!s_wq_pctchange($C1748,$N$1))</f>
        <v xml:space="preserve"> </v>
      </c>
      <c r="M1748" s="28" t="str">
        <f>IF(C1748=""," ",[1]!s_mq_pctchange($C1748,$N$1))</f>
        <v xml:space="preserve"> </v>
      </c>
      <c r="N1748" s="28" t="str">
        <f>IF(C1748=""," ",[1]!s_yq_pctchange($C1748,$N$1))</f>
        <v xml:space="preserve"> </v>
      </c>
      <c r="O1748" s="11"/>
      <c r="P1748" s="7"/>
    </row>
    <row r="1749" spans="1:16" x14ac:dyDescent="0.35">
      <c r="A1749" s="7"/>
      <c r="C1749" s="30" t="str">
        <f>IF(指数列表!B1746="","",指数列表!B1746)</f>
        <v/>
      </c>
      <c r="D1749" s="35" t="str">
        <f>IF(C1749="","",[1]!s_info_name(C1749))</f>
        <v/>
      </c>
      <c r="E1749" s="24" t="str">
        <f>IF(C1749="","",[1]!s_dq_close(C1749,$N$1))</f>
        <v/>
      </c>
      <c r="F1749" s="28" t="str">
        <f>IF($C1749=""," ",[1]!i_pq_pctchange($C1749,F$6,$N$1))</f>
        <v xml:space="preserve"> </v>
      </c>
      <c r="G1749" s="28" t="str">
        <f>IF($C1749=""," ",[1]!i_pq_pctchange($C1749,G$6,$N$1))</f>
        <v xml:space="preserve"> </v>
      </c>
      <c r="H1749" s="28" t="str">
        <f>IF($C1749=""," ",[1]!i_pq_pctchange($C1749,H$6,$N$1))</f>
        <v xml:space="preserve"> </v>
      </c>
      <c r="I1749" s="28" t="str">
        <f>IF($C1749=""," ",[1]!i_pq_pctchange($C1749,I$6,$N$1))</f>
        <v xml:space="preserve"> </v>
      </c>
      <c r="J1749" s="28" t="str">
        <f>IF($C1749=""," ",[1]!i_pq_pctchange($C1749,J$6,$N$1))</f>
        <v xml:space="preserve"> </v>
      </c>
      <c r="K1749" s="28" t="str">
        <f>IF($C1749=""," ",[1]!i_pq_pctchange($C1749,K$6,$N$1))</f>
        <v xml:space="preserve"> </v>
      </c>
      <c r="L1749" s="28" t="str">
        <f>IF(C1749=""," ",[1]!s_wq_pctchange($C1749,$N$1))</f>
        <v xml:space="preserve"> </v>
      </c>
      <c r="M1749" s="28" t="str">
        <f>IF(C1749=""," ",[1]!s_mq_pctchange($C1749,$N$1))</f>
        <v xml:space="preserve"> </v>
      </c>
      <c r="N1749" s="28" t="str">
        <f>IF(C1749=""," ",[1]!s_yq_pctchange($C1749,$N$1))</f>
        <v xml:space="preserve"> </v>
      </c>
      <c r="O1749" s="11"/>
      <c r="P1749" s="7"/>
    </row>
    <row r="1750" spans="1:16" x14ac:dyDescent="0.35">
      <c r="A1750" s="7"/>
      <c r="C1750" s="31" t="str">
        <f>IF(指数列表!B1747="","",指数列表!B1747)</f>
        <v/>
      </c>
      <c r="D1750" s="36" t="str">
        <f>IF(C1750="","",[1]!s_info_name(C1750))</f>
        <v/>
      </c>
      <c r="E1750" s="25" t="str">
        <f>IF(C1750="","",[1]!s_dq_close(C1750,$N$1))</f>
        <v/>
      </c>
      <c r="F1750" s="28" t="str">
        <f>IF($C1750=""," ",[1]!i_pq_pctchange($C1750,F$6,$N$1))</f>
        <v xml:space="preserve"> </v>
      </c>
      <c r="G1750" s="28" t="str">
        <f>IF($C1750=""," ",[1]!i_pq_pctchange($C1750,G$6,$N$1))</f>
        <v xml:space="preserve"> </v>
      </c>
      <c r="H1750" s="28" t="str">
        <f>IF($C1750=""," ",[1]!i_pq_pctchange($C1750,H$6,$N$1))</f>
        <v xml:space="preserve"> </v>
      </c>
      <c r="I1750" s="28" t="str">
        <f>IF($C1750=""," ",[1]!i_pq_pctchange($C1750,I$6,$N$1))</f>
        <v xml:space="preserve"> </v>
      </c>
      <c r="J1750" s="28" t="str">
        <f>IF($C1750=""," ",[1]!i_pq_pctchange($C1750,J$6,$N$1))</f>
        <v xml:space="preserve"> </v>
      </c>
      <c r="K1750" s="28" t="str">
        <f>IF($C1750=""," ",[1]!i_pq_pctchange($C1750,K$6,$N$1))</f>
        <v xml:space="preserve"> </v>
      </c>
      <c r="L1750" s="28" t="str">
        <f>IF(C1750=""," ",[1]!s_wq_pctchange($C1750,$N$1))</f>
        <v xml:space="preserve"> </v>
      </c>
      <c r="M1750" s="28" t="str">
        <f>IF(C1750=""," ",[1]!s_mq_pctchange($C1750,$N$1))</f>
        <v xml:space="preserve"> </v>
      </c>
      <c r="N1750" s="28" t="str">
        <f>IF(C1750=""," ",[1]!s_yq_pctchange($C1750,$N$1))</f>
        <v xml:space="preserve"> </v>
      </c>
      <c r="O1750" s="11"/>
      <c r="P1750" s="7"/>
    </row>
    <row r="1751" spans="1:16" x14ac:dyDescent="0.35">
      <c r="A1751" s="7"/>
      <c r="C1751" s="30" t="str">
        <f>IF(指数列表!B1748="","",指数列表!B1748)</f>
        <v/>
      </c>
      <c r="D1751" s="35" t="str">
        <f>IF(C1751="","",[1]!s_info_name(C1751))</f>
        <v/>
      </c>
      <c r="E1751" s="24" t="str">
        <f>IF(C1751="","",[1]!s_dq_close(C1751,$N$1))</f>
        <v/>
      </c>
      <c r="F1751" s="28" t="str">
        <f>IF($C1751=""," ",[1]!i_pq_pctchange($C1751,F$6,$N$1))</f>
        <v xml:space="preserve"> </v>
      </c>
      <c r="G1751" s="28" t="str">
        <f>IF($C1751=""," ",[1]!i_pq_pctchange($C1751,G$6,$N$1))</f>
        <v xml:space="preserve"> </v>
      </c>
      <c r="H1751" s="28" t="str">
        <f>IF($C1751=""," ",[1]!i_pq_pctchange($C1751,H$6,$N$1))</f>
        <v xml:space="preserve"> </v>
      </c>
      <c r="I1751" s="28" t="str">
        <f>IF($C1751=""," ",[1]!i_pq_pctchange($C1751,I$6,$N$1))</f>
        <v xml:space="preserve"> </v>
      </c>
      <c r="J1751" s="28" t="str">
        <f>IF($C1751=""," ",[1]!i_pq_pctchange($C1751,J$6,$N$1))</f>
        <v xml:space="preserve"> </v>
      </c>
      <c r="K1751" s="28" t="str">
        <f>IF($C1751=""," ",[1]!i_pq_pctchange($C1751,K$6,$N$1))</f>
        <v xml:space="preserve"> </v>
      </c>
      <c r="L1751" s="28" t="str">
        <f>IF(C1751=""," ",[1]!s_wq_pctchange($C1751,$N$1))</f>
        <v xml:space="preserve"> </v>
      </c>
      <c r="M1751" s="28" t="str">
        <f>IF(C1751=""," ",[1]!s_mq_pctchange($C1751,$N$1))</f>
        <v xml:space="preserve"> </v>
      </c>
      <c r="N1751" s="28" t="str">
        <f>IF(C1751=""," ",[1]!s_yq_pctchange($C1751,$N$1))</f>
        <v xml:space="preserve"> </v>
      </c>
      <c r="O1751" s="11"/>
      <c r="P1751" s="7"/>
    </row>
    <row r="1752" spans="1:16" x14ac:dyDescent="0.35">
      <c r="A1752" s="7"/>
      <c r="C1752" s="31" t="str">
        <f>IF(指数列表!B1749="","",指数列表!B1749)</f>
        <v/>
      </c>
      <c r="D1752" s="36" t="str">
        <f>IF(C1752="","",[1]!s_info_name(C1752))</f>
        <v/>
      </c>
      <c r="E1752" s="25" t="str">
        <f>IF(C1752="","",[1]!s_dq_close(C1752,$N$1))</f>
        <v/>
      </c>
      <c r="F1752" s="28" t="str">
        <f>IF($C1752=""," ",[1]!i_pq_pctchange($C1752,F$6,$N$1))</f>
        <v xml:space="preserve"> </v>
      </c>
      <c r="G1752" s="28" t="str">
        <f>IF($C1752=""," ",[1]!i_pq_pctchange($C1752,G$6,$N$1))</f>
        <v xml:space="preserve"> </v>
      </c>
      <c r="H1752" s="28" t="str">
        <f>IF($C1752=""," ",[1]!i_pq_pctchange($C1752,H$6,$N$1))</f>
        <v xml:space="preserve"> </v>
      </c>
      <c r="I1752" s="28" t="str">
        <f>IF($C1752=""," ",[1]!i_pq_pctchange($C1752,I$6,$N$1))</f>
        <v xml:space="preserve"> </v>
      </c>
      <c r="J1752" s="28" t="str">
        <f>IF($C1752=""," ",[1]!i_pq_pctchange($C1752,J$6,$N$1))</f>
        <v xml:space="preserve"> </v>
      </c>
      <c r="K1752" s="28" t="str">
        <f>IF($C1752=""," ",[1]!i_pq_pctchange($C1752,K$6,$N$1))</f>
        <v xml:space="preserve"> </v>
      </c>
      <c r="L1752" s="28" t="str">
        <f>IF(C1752=""," ",[1]!s_wq_pctchange($C1752,$N$1))</f>
        <v xml:space="preserve"> </v>
      </c>
      <c r="M1752" s="28" t="str">
        <f>IF(C1752=""," ",[1]!s_mq_pctchange($C1752,$N$1))</f>
        <v xml:space="preserve"> </v>
      </c>
      <c r="N1752" s="28" t="str">
        <f>IF(C1752=""," ",[1]!s_yq_pctchange($C1752,$N$1))</f>
        <v xml:space="preserve"> </v>
      </c>
      <c r="O1752" s="11"/>
      <c r="P1752" s="7"/>
    </row>
    <row r="1753" spans="1:16" x14ac:dyDescent="0.35">
      <c r="A1753" s="7"/>
      <c r="C1753" s="30" t="str">
        <f>IF(指数列表!B1750="","",指数列表!B1750)</f>
        <v/>
      </c>
      <c r="D1753" s="35" t="str">
        <f>IF(C1753="","",[1]!s_info_name(C1753))</f>
        <v/>
      </c>
      <c r="E1753" s="24" t="str">
        <f>IF(C1753="","",[1]!s_dq_close(C1753,$N$1))</f>
        <v/>
      </c>
      <c r="F1753" s="28" t="str">
        <f>IF($C1753=""," ",[1]!i_pq_pctchange($C1753,F$6,$N$1))</f>
        <v xml:space="preserve"> </v>
      </c>
      <c r="G1753" s="28" t="str">
        <f>IF($C1753=""," ",[1]!i_pq_pctchange($C1753,G$6,$N$1))</f>
        <v xml:space="preserve"> </v>
      </c>
      <c r="H1753" s="28" t="str">
        <f>IF($C1753=""," ",[1]!i_pq_pctchange($C1753,H$6,$N$1))</f>
        <v xml:space="preserve"> </v>
      </c>
      <c r="I1753" s="28" t="str">
        <f>IF($C1753=""," ",[1]!i_pq_pctchange($C1753,I$6,$N$1))</f>
        <v xml:space="preserve"> </v>
      </c>
      <c r="J1753" s="28" t="str">
        <f>IF($C1753=""," ",[1]!i_pq_pctchange($C1753,J$6,$N$1))</f>
        <v xml:space="preserve"> </v>
      </c>
      <c r="K1753" s="28" t="str">
        <f>IF($C1753=""," ",[1]!i_pq_pctchange($C1753,K$6,$N$1))</f>
        <v xml:space="preserve"> </v>
      </c>
      <c r="L1753" s="28" t="str">
        <f>IF(C1753=""," ",[1]!s_wq_pctchange($C1753,$N$1))</f>
        <v xml:space="preserve"> </v>
      </c>
      <c r="M1753" s="28" t="str">
        <f>IF(C1753=""," ",[1]!s_mq_pctchange($C1753,$N$1))</f>
        <v xml:space="preserve"> </v>
      </c>
      <c r="N1753" s="28" t="str">
        <f>IF(C1753=""," ",[1]!s_yq_pctchange($C1753,$N$1))</f>
        <v xml:space="preserve"> </v>
      </c>
      <c r="O1753" s="11"/>
      <c r="P1753" s="7"/>
    </row>
    <row r="1754" spans="1:16" x14ac:dyDescent="0.35">
      <c r="A1754" s="7"/>
      <c r="C1754" s="31" t="str">
        <f>IF(指数列表!B1751="","",指数列表!B1751)</f>
        <v/>
      </c>
      <c r="D1754" s="36" t="str">
        <f>IF(C1754="","",[1]!s_info_name(C1754))</f>
        <v/>
      </c>
      <c r="E1754" s="25" t="str">
        <f>IF(C1754="","",[1]!s_dq_close(C1754,$N$1))</f>
        <v/>
      </c>
      <c r="F1754" s="28" t="str">
        <f>IF($C1754=""," ",[1]!i_pq_pctchange($C1754,F$6,$N$1))</f>
        <v xml:space="preserve"> </v>
      </c>
      <c r="G1754" s="28" t="str">
        <f>IF($C1754=""," ",[1]!i_pq_pctchange($C1754,G$6,$N$1))</f>
        <v xml:space="preserve"> </v>
      </c>
      <c r="H1754" s="28" t="str">
        <f>IF($C1754=""," ",[1]!i_pq_pctchange($C1754,H$6,$N$1))</f>
        <v xml:space="preserve"> </v>
      </c>
      <c r="I1754" s="28" t="str">
        <f>IF($C1754=""," ",[1]!i_pq_pctchange($C1754,I$6,$N$1))</f>
        <v xml:space="preserve"> </v>
      </c>
      <c r="J1754" s="28" t="str">
        <f>IF($C1754=""," ",[1]!i_pq_pctchange($C1754,J$6,$N$1))</f>
        <v xml:space="preserve"> </v>
      </c>
      <c r="K1754" s="28" t="str">
        <f>IF($C1754=""," ",[1]!i_pq_pctchange($C1754,K$6,$N$1))</f>
        <v xml:space="preserve"> </v>
      </c>
      <c r="L1754" s="28" t="str">
        <f>IF(C1754=""," ",[1]!s_wq_pctchange($C1754,$N$1))</f>
        <v xml:space="preserve"> </v>
      </c>
      <c r="M1754" s="28" t="str">
        <f>IF(C1754=""," ",[1]!s_mq_pctchange($C1754,$N$1))</f>
        <v xml:space="preserve"> </v>
      </c>
      <c r="N1754" s="28" t="str">
        <f>IF(C1754=""," ",[1]!s_yq_pctchange($C1754,$N$1))</f>
        <v xml:space="preserve"> </v>
      </c>
      <c r="O1754" s="11"/>
      <c r="P1754" s="7"/>
    </row>
    <row r="1755" spans="1:16" x14ac:dyDescent="0.35">
      <c r="A1755" s="7"/>
      <c r="C1755" s="30" t="str">
        <f>IF(指数列表!B1752="","",指数列表!B1752)</f>
        <v/>
      </c>
      <c r="D1755" s="35" t="str">
        <f>IF(C1755="","",[1]!s_info_name(C1755))</f>
        <v/>
      </c>
      <c r="E1755" s="24" t="str">
        <f>IF(C1755="","",[1]!s_dq_close(C1755,$N$1))</f>
        <v/>
      </c>
      <c r="F1755" s="28" t="str">
        <f>IF($C1755=""," ",[1]!i_pq_pctchange($C1755,F$6,$N$1))</f>
        <v xml:space="preserve"> </v>
      </c>
      <c r="G1755" s="28" t="str">
        <f>IF($C1755=""," ",[1]!i_pq_pctchange($C1755,G$6,$N$1))</f>
        <v xml:space="preserve"> </v>
      </c>
      <c r="H1755" s="28" t="str">
        <f>IF($C1755=""," ",[1]!i_pq_pctchange($C1755,H$6,$N$1))</f>
        <v xml:space="preserve"> </v>
      </c>
      <c r="I1755" s="28" t="str">
        <f>IF($C1755=""," ",[1]!i_pq_pctchange($C1755,I$6,$N$1))</f>
        <v xml:space="preserve"> </v>
      </c>
      <c r="J1755" s="28" t="str">
        <f>IF($C1755=""," ",[1]!i_pq_pctchange($C1755,J$6,$N$1))</f>
        <v xml:space="preserve"> </v>
      </c>
      <c r="K1755" s="28" t="str">
        <f>IF($C1755=""," ",[1]!i_pq_pctchange($C1755,K$6,$N$1))</f>
        <v xml:space="preserve"> </v>
      </c>
      <c r="L1755" s="28" t="str">
        <f>IF(C1755=""," ",[1]!s_wq_pctchange($C1755,$N$1))</f>
        <v xml:space="preserve"> </v>
      </c>
      <c r="M1755" s="28" t="str">
        <f>IF(C1755=""," ",[1]!s_mq_pctchange($C1755,$N$1))</f>
        <v xml:space="preserve"> </v>
      </c>
      <c r="N1755" s="28" t="str">
        <f>IF(C1755=""," ",[1]!s_yq_pctchange($C1755,$N$1))</f>
        <v xml:space="preserve"> </v>
      </c>
      <c r="O1755" s="11"/>
      <c r="P1755" s="7"/>
    </row>
    <row r="1756" spans="1:16" x14ac:dyDescent="0.35">
      <c r="A1756" s="7"/>
      <c r="C1756" s="31" t="str">
        <f>IF(指数列表!B1753="","",指数列表!B1753)</f>
        <v/>
      </c>
      <c r="D1756" s="36" t="str">
        <f>IF(C1756="","",[1]!s_info_name(C1756))</f>
        <v/>
      </c>
      <c r="E1756" s="25" t="str">
        <f>IF(C1756="","",[1]!s_dq_close(C1756,$N$1))</f>
        <v/>
      </c>
      <c r="F1756" s="28" t="str">
        <f>IF($C1756=""," ",[1]!i_pq_pctchange($C1756,F$6,$N$1))</f>
        <v xml:space="preserve"> </v>
      </c>
      <c r="G1756" s="28" t="str">
        <f>IF($C1756=""," ",[1]!i_pq_pctchange($C1756,G$6,$N$1))</f>
        <v xml:space="preserve"> </v>
      </c>
      <c r="H1756" s="28" t="str">
        <f>IF($C1756=""," ",[1]!i_pq_pctchange($C1756,H$6,$N$1))</f>
        <v xml:space="preserve"> </v>
      </c>
      <c r="I1756" s="28" t="str">
        <f>IF($C1756=""," ",[1]!i_pq_pctchange($C1756,I$6,$N$1))</f>
        <v xml:space="preserve"> </v>
      </c>
      <c r="J1756" s="28" t="str">
        <f>IF($C1756=""," ",[1]!i_pq_pctchange($C1756,J$6,$N$1))</f>
        <v xml:space="preserve"> </v>
      </c>
      <c r="K1756" s="28" t="str">
        <f>IF($C1756=""," ",[1]!i_pq_pctchange($C1756,K$6,$N$1))</f>
        <v xml:space="preserve"> </v>
      </c>
      <c r="L1756" s="28" t="str">
        <f>IF(C1756=""," ",[1]!s_wq_pctchange($C1756,$N$1))</f>
        <v xml:space="preserve"> </v>
      </c>
      <c r="M1756" s="28" t="str">
        <f>IF(C1756=""," ",[1]!s_mq_pctchange($C1756,$N$1))</f>
        <v xml:space="preserve"> </v>
      </c>
      <c r="N1756" s="28" t="str">
        <f>IF(C1756=""," ",[1]!s_yq_pctchange($C1756,$N$1))</f>
        <v xml:space="preserve"> </v>
      </c>
      <c r="O1756" s="11"/>
      <c r="P1756" s="7"/>
    </row>
    <row r="1757" spans="1:16" x14ac:dyDescent="0.35">
      <c r="A1757" s="7"/>
      <c r="C1757" s="30" t="str">
        <f>IF(指数列表!B1754="","",指数列表!B1754)</f>
        <v/>
      </c>
      <c r="D1757" s="35" t="str">
        <f>IF(C1757="","",[1]!s_info_name(C1757))</f>
        <v/>
      </c>
      <c r="E1757" s="24" t="str">
        <f>IF(C1757="","",[1]!s_dq_close(C1757,$N$1))</f>
        <v/>
      </c>
      <c r="F1757" s="28" t="str">
        <f>IF($C1757=""," ",[1]!i_pq_pctchange($C1757,F$6,$N$1))</f>
        <v xml:space="preserve"> </v>
      </c>
      <c r="G1757" s="28" t="str">
        <f>IF($C1757=""," ",[1]!i_pq_pctchange($C1757,G$6,$N$1))</f>
        <v xml:space="preserve"> </v>
      </c>
      <c r="H1757" s="28" t="str">
        <f>IF($C1757=""," ",[1]!i_pq_pctchange($C1757,H$6,$N$1))</f>
        <v xml:space="preserve"> </v>
      </c>
      <c r="I1757" s="28" t="str">
        <f>IF($C1757=""," ",[1]!i_pq_pctchange($C1757,I$6,$N$1))</f>
        <v xml:space="preserve"> </v>
      </c>
      <c r="J1757" s="28" t="str">
        <f>IF($C1757=""," ",[1]!i_pq_pctchange($C1757,J$6,$N$1))</f>
        <v xml:space="preserve"> </v>
      </c>
      <c r="K1757" s="28" t="str">
        <f>IF($C1757=""," ",[1]!i_pq_pctchange($C1757,K$6,$N$1))</f>
        <v xml:space="preserve"> </v>
      </c>
      <c r="L1757" s="28" t="str">
        <f>IF(C1757=""," ",[1]!s_wq_pctchange($C1757,$N$1))</f>
        <v xml:space="preserve"> </v>
      </c>
      <c r="M1757" s="28" t="str">
        <f>IF(C1757=""," ",[1]!s_mq_pctchange($C1757,$N$1))</f>
        <v xml:space="preserve"> </v>
      </c>
      <c r="N1757" s="28" t="str">
        <f>IF(C1757=""," ",[1]!s_yq_pctchange($C1757,$N$1))</f>
        <v xml:space="preserve"> </v>
      </c>
      <c r="O1757" s="11"/>
      <c r="P1757" s="7"/>
    </row>
    <row r="1758" spans="1:16" x14ac:dyDescent="0.35">
      <c r="A1758" s="7"/>
      <c r="C1758" s="31" t="str">
        <f>IF(指数列表!B1755="","",指数列表!B1755)</f>
        <v/>
      </c>
      <c r="D1758" s="36" t="str">
        <f>IF(C1758="","",[1]!s_info_name(C1758))</f>
        <v/>
      </c>
      <c r="E1758" s="25" t="str">
        <f>IF(C1758="","",[1]!s_dq_close(C1758,$N$1))</f>
        <v/>
      </c>
      <c r="F1758" s="28" t="str">
        <f>IF($C1758=""," ",[1]!i_pq_pctchange($C1758,F$6,$N$1))</f>
        <v xml:space="preserve"> </v>
      </c>
      <c r="G1758" s="28" t="str">
        <f>IF($C1758=""," ",[1]!i_pq_pctchange($C1758,G$6,$N$1))</f>
        <v xml:space="preserve"> </v>
      </c>
      <c r="H1758" s="28" t="str">
        <f>IF($C1758=""," ",[1]!i_pq_pctchange($C1758,H$6,$N$1))</f>
        <v xml:space="preserve"> </v>
      </c>
      <c r="I1758" s="28" t="str">
        <f>IF($C1758=""," ",[1]!i_pq_pctchange($C1758,I$6,$N$1))</f>
        <v xml:space="preserve"> </v>
      </c>
      <c r="J1758" s="28" t="str">
        <f>IF($C1758=""," ",[1]!i_pq_pctchange($C1758,J$6,$N$1))</f>
        <v xml:space="preserve"> </v>
      </c>
      <c r="K1758" s="28" t="str">
        <f>IF($C1758=""," ",[1]!i_pq_pctchange($C1758,K$6,$N$1))</f>
        <v xml:space="preserve"> </v>
      </c>
      <c r="L1758" s="28" t="str">
        <f>IF(C1758=""," ",[1]!s_wq_pctchange($C1758,$N$1))</f>
        <v xml:space="preserve"> </v>
      </c>
      <c r="M1758" s="28" t="str">
        <f>IF(C1758=""," ",[1]!s_mq_pctchange($C1758,$N$1))</f>
        <v xml:space="preserve"> </v>
      </c>
      <c r="N1758" s="28" t="str">
        <f>IF(C1758=""," ",[1]!s_yq_pctchange($C1758,$N$1))</f>
        <v xml:space="preserve"> </v>
      </c>
      <c r="O1758" s="11"/>
      <c r="P1758" s="7"/>
    </row>
    <row r="1759" spans="1:16" x14ac:dyDescent="0.35">
      <c r="A1759" s="7"/>
      <c r="C1759" s="30" t="str">
        <f>IF(指数列表!B1756="","",指数列表!B1756)</f>
        <v/>
      </c>
      <c r="D1759" s="35" t="str">
        <f>IF(C1759="","",[1]!s_info_name(C1759))</f>
        <v/>
      </c>
      <c r="E1759" s="24" t="str">
        <f>IF(C1759="","",[1]!s_dq_close(C1759,$N$1))</f>
        <v/>
      </c>
      <c r="F1759" s="28" t="str">
        <f>IF($C1759=""," ",[1]!i_pq_pctchange($C1759,F$6,$N$1))</f>
        <v xml:space="preserve"> </v>
      </c>
      <c r="G1759" s="28" t="str">
        <f>IF($C1759=""," ",[1]!i_pq_pctchange($C1759,G$6,$N$1))</f>
        <v xml:space="preserve"> </v>
      </c>
      <c r="H1759" s="28" t="str">
        <f>IF($C1759=""," ",[1]!i_pq_pctchange($C1759,H$6,$N$1))</f>
        <v xml:space="preserve"> </v>
      </c>
      <c r="I1759" s="28" t="str">
        <f>IF($C1759=""," ",[1]!i_pq_pctchange($C1759,I$6,$N$1))</f>
        <v xml:space="preserve"> </v>
      </c>
      <c r="J1759" s="28" t="str">
        <f>IF($C1759=""," ",[1]!i_pq_pctchange($C1759,J$6,$N$1))</f>
        <v xml:space="preserve"> </v>
      </c>
      <c r="K1759" s="28" t="str">
        <f>IF($C1759=""," ",[1]!i_pq_pctchange($C1759,K$6,$N$1))</f>
        <v xml:space="preserve"> </v>
      </c>
      <c r="L1759" s="28" t="str">
        <f>IF(C1759=""," ",[1]!s_wq_pctchange($C1759,$N$1))</f>
        <v xml:space="preserve"> </v>
      </c>
      <c r="M1759" s="28" t="str">
        <f>IF(C1759=""," ",[1]!s_mq_pctchange($C1759,$N$1))</f>
        <v xml:space="preserve"> </v>
      </c>
      <c r="N1759" s="28" t="str">
        <f>IF(C1759=""," ",[1]!s_yq_pctchange($C1759,$N$1))</f>
        <v xml:space="preserve"> </v>
      </c>
      <c r="O1759" s="11"/>
      <c r="P1759" s="7"/>
    </row>
    <row r="1760" spans="1:16" x14ac:dyDescent="0.35">
      <c r="A1760" s="7"/>
      <c r="C1760" s="31" t="str">
        <f>IF(指数列表!B1757="","",指数列表!B1757)</f>
        <v/>
      </c>
      <c r="D1760" s="36" t="str">
        <f>IF(C1760="","",[1]!s_info_name(C1760))</f>
        <v/>
      </c>
      <c r="E1760" s="25" t="str">
        <f>IF(C1760="","",[1]!s_dq_close(C1760,$N$1))</f>
        <v/>
      </c>
      <c r="F1760" s="28" t="str">
        <f>IF($C1760=""," ",[1]!i_pq_pctchange($C1760,F$6,$N$1))</f>
        <v xml:space="preserve"> </v>
      </c>
      <c r="G1760" s="28" t="str">
        <f>IF($C1760=""," ",[1]!i_pq_pctchange($C1760,G$6,$N$1))</f>
        <v xml:space="preserve"> </v>
      </c>
      <c r="H1760" s="28" t="str">
        <f>IF($C1760=""," ",[1]!i_pq_pctchange($C1760,H$6,$N$1))</f>
        <v xml:space="preserve"> </v>
      </c>
      <c r="I1760" s="28" t="str">
        <f>IF($C1760=""," ",[1]!i_pq_pctchange($C1760,I$6,$N$1))</f>
        <v xml:space="preserve"> </v>
      </c>
      <c r="J1760" s="28" t="str">
        <f>IF($C1760=""," ",[1]!i_pq_pctchange($C1760,J$6,$N$1))</f>
        <v xml:space="preserve"> </v>
      </c>
      <c r="K1760" s="28" t="str">
        <f>IF($C1760=""," ",[1]!i_pq_pctchange($C1760,K$6,$N$1))</f>
        <v xml:space="preserve"> </v>
      </c>
      <c r="L1760" s="28" t="str">
        <f>IF(C1760=""," ",[1]!s_wq_pctchange($C1760,$N$1))</f>
        <v xml:space="preserve"> </v>
      </c>
      <c r="M1760" s="28" t="str">
        <f>IF(C1760=""," ",[1]!s_mq_pctchange($C1760,$N$1))</f>
        <v xml:space="preserve"> </v>
      </c>
      <c r="N1760" s="28" t="str">
        <f>IF(C1760=""," ",[1]!s_yq_pctchange($C1760,$N$1))</f>
        <v xml:space="preserve"> </v>
      </c>
      <c r="O1760" s="11"/>
      <c r="P1760" s="7"/>
    </row>
    <row r="1761" spans="1:16" x14ac:dyDescent="0.35">
      <c r="A1761" s="7"/>
      <c r="C1761" s="30" t="str">
        <f>IF(指数列表!B1758="","",指数列表!B1758)</f>
        <v/>
      </c>
      <c r="D1761" s="35" t="str">
        <f>IF(C1761="","",[1]!s_info_name(C1761))</f>
        <v/>
      </c>
      <c r="E1761" s="24" t="str">
        <f>IF(C1761="","",[1]!s_dq_close(C1761,$N$1))</f>
        <v/>
      </c>
      <c r="F1761" s="28" t="str">
        <f>IF($C1761=""," ",[1]!i_pq_pctchange($C1761,F$6,$N$1))</f>
        <v xml:space="preserve"> </v>
      </c>
      <c r="G1761" s="28" t="str">
        <f>IF($C1761=""," ",[1]!i_pq_pctchange($C1761,G$6,$N$1))</f>
        <v xml:space="preserve"> </v>
      </c>
      <c r="H1761" s="28" t="str">
        <f>IF($C1761=""," ",[1]!i_pq_pctchange($C1761,H$6,$N$1))</f>
        <v xml:space="preserve"> </v>
      </c>
      <c r="I1761" s="28" t="str">
        <f>IF($C1761=""," ",[1]!i_pq_pctchange($C1761,I$6,$N$1))</f>
        <v xml:space="preserve"> </v>
      </c>
      <c r="J1761" s="28" t="str">
        <f>IF($C1761=""," ",[1]!i_pq_pctchange($C1761,J$6,$N$1))</f>
        <v xml:space="preserve"> </v>
      </c>
      <c r="K1761" s="28" t="str">
        <f>IF($C1761=""," ",[1]!i_pq_pctchange($C1761,K$6,$N$1))</f>
        <v xml:space="preserve"> </v>
      </c>
      <c r="L1761" s="28" t="str">
        <f>IF(C1761=""," ",[1]!s_wq_pctchange($C1761,$N$1))</f>
        <v xml:space="preserve"> </v>
      </c>
      <c r="M1761" s="28" t="str">
        <f>IF(C1761=""," ",[1]!s_mq_pctchange($C1761,$N$1))</f>
        <v xml:space="preserve"> </v>
      </c>
      <c r="N1761" s="28" t="str">
        <f>IF(C1761=""," ",[1]!s_yq_pctchange($C1761,$N$1))</f>
        <v xml:space="preserve"> </v>
      </c>
      <c r="O1761" s="11"/>
      <c r="P1761" s="7"/>
    </row>
    <row r="1762" spans="1:16" x14ac:dyDescent="0.35">
      <c r="A1762" s="7"/>
      <c r="C1762" s="31" t="str">
        <f>IF(指数列表!B1759="","",指数列表!B1759)</f>
        <v/>
      </c>
      <c r="D1762" s="36" t="str">
        <f>IF(C1762="","",[1]!s_info_name(C1762))</f>
        <v/>
      </c>
      <c r="E1762" s="25" t="str">
        <f>IF(C1762="","",[1]!s_dq_close(C1762,$N$1))</f>
        <v/>
      </c>
      <c r="F1762" s="28" t="str">
        <f>IF($C1762=""," ",[1]!i_pq_pctchange($C1762,F$6,$N$1))</f>
        <v xml:space="preserve"> </v>
      </c>
      <c r="G1762" s="28" t="str">
        <f>IF($C1762=""," ",[1]!i_pq_pctchange($C1762,G$6,$N$1))</f>
        <v xml:space="preserve"> </v>
      </c>
      <c r="H1762" s="28" t="str">
        <f>IF($C1762=""," ",[1]!i_pq_pctchange($C1762,H$6,$N$1))</f>
        <v xml:space="preserve"> </v>
      </c>
      <c r="I1762" s="28" t="str">
        <f>IF($C1762=""," ",[1]!i_pq_pctchange($C1762,I$6,$N$1))</f>
        <v xml:space="preserve"> </v>
      </c>
      <c r="J1762" s="28" t="str">
        <f>IF($C1762=""," ",[1]!i_pq_pctchange($C1762,J$6,$N$1))</f>
        <v xml:space="preserve"> </v>
      </c>
      <c r="K1762" s="28" t="str">
        <f>IF($C1762=""," ",[1]!i_pq_pctchange($C1762,K$6,$N$1))</f>
        <v xml:space="preserve"> </v>
      </c>
      <c r="L1762" s="28" t="str">
        <f>IF(C1762=""," ",[1]!s_wq_pctchange($C1762,$N$1))</f>
        <v xml:space="preserve"> </v>
      </c>
      <c r="M1762" s="28" t="str">
        <f>IF(C1762=""," ",[1]!s_mq_pctchange($C1762,$N$1))</f>
        <v xml:space="preserve"> </v>
      </c>
      <c r="N1762" s="28" t="str">
        <f>IF(C1762=""," ",[1]!s_yq_pctchange($C1762,$N$1))</f>
        <v xml:space="preserve"> </v>
      </c>
      <c r="O1762" s="11"/>
      <c r="P1762" s="7"/>
    </row>
    <row r="1763" spans="1:16" x14ac:dyDescent="0.35">
      <c r="A1763" s="7"/>
      <c r="C1763" s="30" t="str">
        <f>IF(指数列表!B1760="","",指数列表!B1760)</f>
        <v/>
      </c>
      <c r="D1763" s="35" t="str">
        <f>IF(C1763="","",[1]!s_info_name(C1763))</f>
        <v/>
      </c>
      <c r="E1763" s="24" t="str">
        <f>IF(C1763="","",[1]!s_dq_close(C1763,$N$1))</f>
        <v/>
      </c>
      <c r="F1763" s="28" t="str">
        <f>IF($C1763=""," ",[1]!i_pq_pctchange($C1763,F$6,$N$1))</f>
        <v xml:space="preserve"> </v>
      </c>
      <c r="G1763" s="28" t="str">
        <f>IF($C1763=""," ",[1]!i_pq_pctchange($C1763,G$6,$N$1))</f>
        <v xml:space="preserve"> </v>
      </c>
      <c r="H1763" s="28" t="str">
        <f>IF($C1763=""," ",[1]!i_pq_pctchange($C1763,H$6,$N$1))</f>
        <v xml:space="preserve"> </v>
      </c>
      <c r="I1763" s="28" t="str">
        <f>IF($C1763=""," ",[1]!i_pq_pctchange($C1763,I$6,$N$1))</f>
        <v xml:space="preserve"> </v>
      </c>
      <c r="J1763" s="28" t="str">
        <f>IF($C1763=""," ",[1]!i_pq_pctchange($C1763,J$6,$N$1))</f>
        <v xml:space="preserve"> </v>
      </c>
      <c r="K1763" s="28" t="str">
        <f>IF($C1763=""," ",[1]!i_pq_pctchange($C1763,K$6,$N$1))</f>
        <v xml:space="preserve"> </v>
      </c>
      <c r="L1763" s="28" t="str">
        <f>IF(C1763=""," ",[1]!s_wq_pctchange($C1763,$N$1))</f>
        <v xml:space="preserve"> </v>
      </c>
      <c r="M1763" s="28" t="str">
        <f>IF(C1763=""," ",[1]!s_mq_pctchange($C1763,$N$1))</f>
        <v xml:space="preserve"> </v>
      </c>
      <c r="N1763" s="28" t="str">
        <f>IF(C1763=""," ",[1]!s_yq_pctchange($C1763,$N$1))</f>
        <v xml:space="preserve"> </v>
      </c>
      <c r="O1763" s="11"/>
      <c r="P1763" s="7"/>
    </row>
    <row r="1764" spans="1:16" x14ac:dyDescent="0.35">
      <c r="A1764" s="7"/>
      <c r="C1764" s="31" t="str">
        <f>IF(指数列表!B1761="","",指数列表!B1761)</f>
        <v/>
      </c>
      <c r="D1764" s="36" t="str">
        <f>IF(C1764="","",[1]!s_info_name(C1764))</f>
        <v/>
      </c>
      <c r="E1764" s="25" t="str">
        <f>IF(C1764="","",[1]!s_dq_close(C1764,$N$1))</f>
        <v/>
      </c>
      <c r="F1764" s="28" t="str">
        <f>IF($C1764=""," ",[1]!i_pq_pctchange($C1764,F$6,$N$1))</f>
        <v xml:space="preserve"> </v>
      </c>
      <c r="G1764" s="28" t="str">
        <f>IF($C1764=""," ",[1]!i_pq_pctchange($C1764,G$6,$N$1))</f>
        <v xml:space="preserve"> </v>
      </c>
      <c r="H1764" s="28" t="str">
        <f>IF($C1764=""," ",[1]!i_pq_pctchange($C1764,H$6,$N$1))</f>
        <v xml:space="preserve"> </v>
      </c>
      <c r="I1764" s="28" t="str">
        <f>IF($C1764=""," ",[1]!i_pq_pctchange($C1764,I$6,$N$1))</f>
        <v xml:space="preserve"> </v>
      </c>
      <c r="J1764" s="28" t="str">
        <f>IF($C1764=""," ",[1]!i_pq_pctchange($C1764,J$6,$N$1))</f>
        <v xml:space="preserve"> </v>
      </c>
      <c r="K1764" s="28" t="str">
        <f>IF($C1764=""," ",[1]!i_pq_pctchange($C1764,K$6,$N$1))</f>
        <v xml:space="preserve"> </v>
      </c>
      <c r="L1764" s="28" t="str">
        <f>IF(C1764=""," ",[1]!s_wq_pctchange($C1764,$N$1))</f>
        <v xml:space="preserve"> </v>
      </c>
      <c r="M1764" s="28" t="str">
        <f>IF(C1764=""," ",[1]!s_mq_pctchange($C1764,$N$1))</f>
        <v xml:space="preserve"> </v>
      </c>
      <c r="N1764" s="28" t="str">
        <f>IF(C1764=""," ",[1]!s_yq_pctchange($C1764,$N$1))</f>
        <v xml:space="preserve"> </v>
      </c>
      <c r="O1764" s="11"/>
      <c r="P1764" s="7"/>
    </row>
    <row r="1765" spans="1:16" x14ac:dyDescent="0.35">
      <c r="A1765" s="7"/>
      <c r="C1765" s="30" t="str">
        <f>IF(指数列表!B1762="","",指数列表!B1762)</f>
        <v/>
      </c>
      <c r="D1765" s="35" t="str">
        <f>IF(C1765="","",[1]!s_info_name(C1765))</f>
        <v/>
      </c>
      <c r="E1765" s="24" t="str">
        <f>IF(C1765="","",[1]!s_dq_close(C1765,$N$1))</f>
        <v/>
      </c>
      <c r="F1765" s="28" t="str">
        <f>IF($C1765=""," ",[1]!i_pq_pctchange($C1765,F$6,$N$1))</f>
        <v xml:space="preserve"> </v>
      </c>
      <c r="G1765" s="28" t="str">
        <f>IF($C1765=""," ",[1]!i_pq_pctchange($C1765,G$6,$N$1))</f>
        <v xml:space="preserve"> </v>
      </c>
      <c r="H1765" s="28" t="str">
        <f>IF($C1765=""," ",[1]!i_pq_pctchange($C1765,H$6,$N$1))</f>
        <v xml:space="preserve"> </v>
      </c>
      <c r="I1765" s="28" t="str">
        <f>IF($C1765=""," ",[1]!i_pq_pctchange($C1765,I$6,$N$1))</f>
        <v xml:space="preserve"> </v>
      </c>
      <c r="J1765" s="28" t="str">
        <f>IF($C1765=""," ",[1]!i_pq_pctchange($C1765,J$6,$N$1))</f>
        <v xml:space="preserve"> </v>
      </c>
      <c r="K1765" s="28" t="str">
        <f>IF($C1765=""," ",[1]!i_pq_pctchange($C1765,K$6,$N$1))</f>
        <v xml:space="preserve"> </v>
      </c>
      <c r="L1765" s="28" t="str">
        <f>IF(C1765=""," ",[1]!s_wq_pctchange($C1765,$N$1))</f>
        <v xml:space="preserve"> </v>
      </c>
      <c r="M1765" s="28" t="str">
        <f>IF(C1765=""," ",[1]!s_mq_pctchange($C1765,$N$1))</f>
        <v xml:space="preserve"> </v>
      </c>
      <c r="N1765" s="28" t="str">
        <f>IF(C1765=""," ",[1]!s_yq_pctchange($C1765,$N$1))</f>
        <v xml:space="preserve"> </v>
      </c>
      <c r="O1765" s="11"/>
      <c r="P1765" s="7"/>
    </row>
    <row r="1766" spans="1:16" x14ac:dyDescent="0.35">
      <c r="A1766" s="7"/>
      <c r="C1766" s="31" t="str">
        <f>IF(指数列表!B1763="","",指数列表!B1763)</f>
        <v/>
      </c>
      <c r="D1766" s="36" t="str">
        <f>IF(C1766="","",[1]!s_info_name(C1766))</f>
        <v/>
      </c>
      <c r="E1766" s="25" t="str">
        <f>IF(C1766="","",[1]!s_dq_close(C1766,$N$1))</f>
        <v/>
      </c>
      <c r="F1766" s="28" t="str">
        <f>IF($C1766=""," ",[1]!i_pq_pctchange($C1766,F$6,$N$1))</f>
        <v xml:space="preserve"> </v>
      </c>
      <c r="G1766" s="28" t="str">
        <f>IF($C1766=""," ",[1]!i_pq_pctchange($C1766,G$6,$N$1))</f>
        <v xml:space="preserve"> </v>
      </c>
      <c r="H1766" s="28" t="str">
        <f>IF($C1766=""," ",[1]!i_pq_pctchange($C1766,H$6,$N$1))</f>
        <v xml:space="preserve"> </v>
      </c>
      <c r="I1766" s="28" t="str">
        <f>IF($C1766=""," ",[1]!i_pq_pctchange($C1766,I$6,$N$1))</f>
        <v xml:space="preserve"> </v>
      </c>
      <c r="J1766" s="28" t="str">
        <f>IF($C1766=""," ",[1]!i_pq_pctchange($C1766,J$6,$N$1))</f>
        <v xml:space="preserve"> </v>
      </c>
      <c r="K1766" s="28" t="str">
        <f>IF($C1766=""," ",[1]!i_pq_pctchange($C1766,K$6,$N$1))</f>
        <v xml:space="preserve"> </v>
      </c>
      <c r="L1766" s="28" t="str">
        <f>IF(C1766=""," ",[1]!s_wq_pctchange($C1766,$N$1))</f>
        <v xml:space="preserve"> </v>
      </c>
      <c r="M1766" s="28" t="str">
        <f>IF(C1766=""," ",[1]!s_mq_pctchange($C1766,$N$1))</f>
        <v xml:space="preserve"> </v>
      </c>
      <c r="N1766" s="28" t="str">
        <f>IF(C1766=""," ",[1]!s_yq_pctchange($C1766,$N$1))</f>
        <v xml:space="preserve"> </v>
      </c>
      <c r="O1766" s="11"/>
      <c r="P1766" s="7"/>
    </row>
    <row r="1767" spans="1:16" x14ac:dyDescent="0.35">
      <c r="A1767" s="7"/>
      <c r="C1767" s="30" t="str">
        <f>IF(指数列表!B1764="","",指数列表!B1764)</f>
        <v/>
      </c>
      <c r="D1767" s="35" t="str">
        <f>IF(C1767="","",[1]!s_info_name(C1767))</f>
        <v/>
      </c>
      <c r="E1767" s="24" t="str">
        <f>IF(C1767="","",[1]!s_dq_close(C1767,$N$1))</f>
        <v/>
      </c>
      <c r="F1767" s="28" t="str">
        <f>IF($C1767=""," ",[1]!i_pq_pctchange($C1767,F$6,$N$1))</f>
        <v xml:space="preserve"> </v>
      </c>
      <c r="G1767" s="28" t="str">
        <f>IF($C1767=""," ",[1]!i_pq_pctchange($C1767,G$6,$N$1))</f>
        <v xml:space="preserve"> </v>
      </c>
      <c r="H1767" s="28" t="str">
        <f>IF($C1767=""," ",[1]!i_pq_pctchange($C1767,H$6,$N$1))</f>
        <v xml:space="preserve"> </v>
      </c>
      <c r="I1767" s="28" t="str">
        <f>IF($C1767=""," ",[1]!i_pq_pctchange($C1767,I$6,$N$1))</f>
        <v xml:space="preserve"> </v>
      </c>
      <c r="J1767" s="28" t="str">
        <f>IF($C1767=""," ",[1]!i_pq_pctchange($C1767,J$6,$N$1))</f>
        <v xml:space="preserve"> </v>
      </c>
      <c r="K1767" s="28" t="str">
        <f>IF($C1767=""," ",[1]!i_pq_pctchange($C1767,K$6,$N$1))</f>
        <v xml:space="preserve"> </v>
      </c>
      <c r="L1767" s="28" t="str">
        <f>IF(C1767=""," ",[1]!s_wq_pctchange($C1767,$N$1))</f>
        <v xml:space="preserve"> </v>
      </c>
      <c r="M1767" s="28" t="str">
        <f>IF(C1767=""," ",[1]!s_mq_pctchange($C1767,$N$1))</f>
        <v xml:space="preserve"> </v>
      </c>
      <c r="N1767" s="28" t="str">
        <f>IF(C1767=""," ",[1]!s_yq_pctchange($C1767,$N$1))</f>
        <v xml:space="preserve"> </v>
      </c>
      <c r="O1767" s="11"/>
      <c r="P1767" s="7"/>
    </row>
    <row r="1768" spans="1:16" x14ac:dyDescent="0.35">
      <c r="A1768" s="7"/>
      <c r="C1768" s="31" t="str">
        <f>IF(指数列表!B1765="","",指数列表!B1765)</f>
        <v/>
      </c>
      <c r="D1768" s="36" t="str">
        <f>IF(C1768="","",[1]!s_info_name(C1768))</f>
        <v/>
      </c>
      <c r="E1768" s="25" t="str">
        <f>IF(C1768="","",[1]!s_dq_close(C1768,$N$1))</f>
        <v/>
      </c>
      <c r="F1768" s="28" t="str">
        <f>IF($C1768=""," ",[1]!i_pq_pctchange($C1768,F$6,$N$1))</f>
        <v xml:space="preserve"> </v>
      </c>
      <c r="G1768" s="28" t="str">
        <f>IF($C1768=""," ",[1]!i_pq_pctchange($C1768,G$6,$N$1))</f>
        <v xml:space="preserve"> </v>
      </c>
      <c r="H1768" s="28" t="str">
        <f>IF($C1768=""," ",[1]!i_pq_pctchange($C1768,H$6,$N$1))</f>
        <v xml:space="preserve"> </v>
      </c>
      <c r="I1768" s="28" t="str">
        <f>IF($C1768=""," ",[1]!i_pq_pctchange($C1768,I$6,$N$1))</f>
        <v xml:space="preserve"> </v>
      </c>
      <c r="J1768" s="28" t="str">
        <f>IF($C1768=""," ",[1]!i_pq_pctchange($C1768,J$6,$N$1))</f>
        <v xml:space="preserve"> </v>
      </c>
      <c r="K1768" s="28" t="str">
        <f>IF($C1768=""," ",[1]!i_pq_pctchange($C1768,K$6,$N$1))</f>
        <v xml:space="preserve"> </v>
      </c>
      <c r="L1768" s="28" t="str">
        <f>IF(C1768=""," ",[1]!s_wq_pctchange($C1768,$N$1))</f>
        <v xml:space="preserve"> </v>
      </c>
      <c r="M1768" s="28" t="str">
        <f>IF(C1768=""," ",[1]!s_mq_pctchange($C1768,$N$1))</f>
        <v xml:space="preserve"> </v>
      </c>
      <c r="N1768" s="28" t="str">
        <f>IF(C1768=""," ",[1]!s_yq_pctchange($C1768,$N$1))</f>
        <v xml:space="preserve"> </v>
      </c>
      <c r="O1768" s="11"/>
      <c r="P1768" s="7"/>
    </row>
    <row r="1769" spans="1:16" x14ac:dyDescent="0.35">
      <c r="A1769" s="7"/>
      <c r="C1769" s="30" t="str">
        <f>IF(指数列表!B1766="","",指数列表!B1766)</f>
        <v/>
      </c>
      <c r="D1769" s="35" t="str">
        <f>IF(C1769="","",[1]!s_info_name(C1769))</f>
        <v/>
      </c>
      <c r="E1769" s="24" t="str">
        <f>IF(C1769="","",[1]!s_dq_close(C1769,$N$1))</f>
        <v/>
      </c>
      <c r="F1769" s="28" t="str">
        <f>IF($C1769=""," ",[1]!i_pq_pctchange($C1769,F$6,$N$1))</f>
        <v xml:space="preserve"> </v>
      </c>
      <c r="G1769" s="28" t="str">
        <f>IF($C1769=""," ",[1]!i_pq_pctchange($C1769,G$6,$N$1))</f>
        <v xml:space="preserve"> </v>
      </c>
      <c r="H1769" s="28" t="str">
        <f>IF($C1769=""," ",[1]!i_pq_pctchange($C1769,H$6,$N$1))</f>
        <v xml:space="preserve"> </v>
      </c>
      <c r="I1769" s="28" t="str">
        <f>IF($C1769=""," ",[1]!i_pq_pctchange($C1769,I$6,$N$1))</f>
        <v xml:space="preserve"> </v>
      </c>
      <c r="J1769" s="28" t="str">
        <f>IF($C1769=""," ",[1]!i_pq_pctchange($C1769,J$6,$N$1))</f>
        <v xml:space="preserve"> </v>
      </c>
      <c r="K1769" s="28" t="str">
        <f>IF($C1769=""," ",[1]!i_pq_pctchange($C1769,K$6,$N$1))</f>
        <v xml:space="preserve"> </v>
      </c>
      <c r="L1769" s="28" t="str">
        <f>IF(C1769=""," ",[1]!s_wq_pctchange($C1769,$N$1))</f>
        <v xml:space="preserve"> </v>
      </c>
      <c r="M1769" s="28" t="str">
        <f>IF(C1769=""," ",[1]!s_mq_pctchange($C1769,$N$1))</f>
        <v xml:space="preserve"> </v>
      </c>
      <c r="N1769" s="28" t="str">
        <f>IF(C1769=""," ",[1]!s_yq_pctchange($C1769,$N$1))</f>
        <v xml:space="preserve"> </v>
      </c>
      <c r="O1769" s="11"/>
      <c r="P1769" s="7"/>
    </row>
    <row r="1770" spans="1:16" x14ac:dyDescent="0.35">
      <c r="A1770" s="7"/>
      <c r="C1770" s="31" t="str">
        <f>IF(指数列表!B1767="","",指数列表!B1767)</f>
        <v/>
      </c>
      <c r="D1770" s="36" t="str">
        <f>IF(C1770="","",[1]!s_info_name(C1770))</f>
        <v/>
      </c>
      <c r="E1770" s="25" t="str">
        <f>IF(C1770="","",[1]!s_dq_close(C1770,$N$1))</f>
        <v/>
      </c>
      <c r="F1770" s="28" t="str">
        <f>IF($C1770=""," ",[1]!i_pq_pctchange($C1770,F$6,$N$1))</f>
        <v xml:space="preserve"> </v>
      </c>
      <c r="G1770" s="28" t="str">
        <f>IF($C1770=""," ",[1]!i_pq_pctchange($C1770,G$6,$N$1))</f>
        <v xml:space="preserve"> </v>
      </c>
      <c r="H1770" s="28" t="str">
        <f>IF($C1770=""," ",[1]!i_pq_pctchange($C1770,H$6,$N$1))</f>
        <v xml:space="preserve"> </v>
      </c>
      <c r="I1770" s="28" t="str">
        <f>IF($C1770=""," ",[1]!i_pq_pctchange($C1770,I$6,$N$1))</f>
        <v xml:space="preserve"> </v>
      </c>
      <c r="J1770" s="28" t="str">
        <f>IF($C1770=""," ",[1]!i_pq_pctchange($C1770,J$6,$N$1))</f>
        <v xml:space="preserve"> </v>
      </c>
      <c r="K1770" s="28" t="str">
        <f>IF($C1770=""," ",[1]!i_pq_pctchange($C1770,K$6,$N$1))</f>
        <v xml:space="preserve"> </v>
      </c>
      <c r="L1770" s="28" t="str">
        <f>IF(C1770=""," ",[1]!s_wq_pctchange($C1770,$N$1))</f>
        <v xml:space="preserve"> </v>
      </c>
      <c r="M1770" s="28" t="str">
        <f>IF(C1770=""," ",[1]!s_mq_pctchange($C1770,$N$1))</f>
        <v xml:space="preserve"> </v>
      </c>
      <c r="N1770" s="28" t="str">
        <f>IF(C1770=""," ",[1]!s_yq_pctchange($C1770,$N$1))</f>
        <v xml:space="preserve"> </v>
      </c>
      <c r="O1770" s="11"/>
      <c r="P1770" s="7"/>
    </row>
    <row r="1771" spans="1:16" x14ac:dyDescent="0.35">
      <c r="A1771" s="7"/>
      <c r="C1771" s="30" t="str">
        <f>IF(指数列表!B1768="","",指数列表!B1768)</f>
        <v/>
      </c>
      <c r="D1771" s="35" t="str">
        <f>IF(C1771="","",[1]!s_info_name(C1771))</f>
        <v/>
      </c>
      <c r="E1771" s="24" t="str">
        <f>IF(C1771="","",[1]!s_dq_close(C1771,$N$1))</f>
        <v/>
      </c>
      <c r="F1771" s="28" t="str">
        <f>IF($C1771=""," ",[1]!i_pq_pctchange($C1771,F$6,$N$1))</f>
        <v xml:space="preserve"> </v>
      </c>
      <c r="G1771" s="28" t="str">
        <f>IF($C1771=""," ",[1]!i_pq_pctchange($C1771,G$6,$N$1))</f>
        <v xml:space="preserve"> </v>
      </c>
      <c r="H1771" s="28" t="str">
        <f>IF($C1771=""," ",[1]!i_pq_pctchange($C1771,H$6,$N$1))</f>
        <v xml:space="preserve"> </v>
      </c>
      <c r="I1771" s="28" t="str">
        <f>IF($C1771=""," ",[1]!i_pq_pctchange($C1771,I$6,$N$1))</f>
        <v xml:space="preserve"> </v>
      </c>
      <c r="J1771" s="28" t="str">
        <f>IF($C1771=""," ",[1]!i_pq_pctchange($C1771,J$6,$N$1))</f>
        <v xml:space="preserve"> </v>
      </c>
      <c r="K1771" s="28" t="str">
        <f>IF($C1771=""," ",[1]!i_pq_pctchange($C1771,K$6,$N$1))</f>
        <v xml:space="preserve"> </v>
      </c>
      <c r="L1771" s="28" t="str">
        <f>IF(C1771=""," ",[1]!s_wq_pctchange($C1771,$N$1))</f>
        <v xml:space="preserve"> </v>
      </c>
      <c r="M1771" s="28" t="str">
        <f>IF(C1771=""," ",[1]!s_mq_pctchange($C1771,$N$1))</f>
        <v xml:space="preserve"> </v>
      </c>
      <c r="N1771" s="28" t="str">
        <f>IF(C1771=""," ",[1]!s_yq_pctchange($C1771,$N$1))</f>
        <v xml:space="preserve"> </v>
      </c>
      <c r="O1771" s="11"/>
      <c r="P1771" s="7"/>
    </row>
    <row r="1772" spans="1:16" x14ac:dyDescent="0.35">
      <c r="A1772" s="7"/>
      <c r="C1772" s="31" t="str">
        <f>IF(指数列表!B1769="","",指数列表!B1769)</f>
        <v/>
      </c>
      <c r="D1772" s="36" t="str">
        <f>IF(C1772="","",[1]!s_info_name(C1772))</f>
        <v/>
      </c>
      <c r="E1772" s="25" t="str">
        <f>IF(C1772="","",[1]!s_dq_close(C1772,$N$1))</f>
        <v/>
      </c>
      <c r="F1772" s="28" t="str">
        <f>IF($C1772=""," ",[1]!i_pq_pctchange($C1772,F$6,$N$1))</f>
        <v xml:space="preserve"> </v>
      </c>
      <c r="G1772" s="28" t="str">
        <f>IF($C1772=""," ",[1]!i_pq_pctchange($C1772,G$6,$N$1))</f>
        <v xml:space="preserve"> </v>
      </c>
      <c r="H1772" s="28" t="str">
        <f>IF($C1772=""," ",[1]!i_pq_pctchange($C1772,H$6,$N$1))</f>
        <v xml:space="preserve"> </v>
      </c>
      <c r="I1772" s="28" t="str">
        <f>IF($C1772=""," ",[1]!i_pq_pctchange($C1772,I$6,$N$1))</f>
        <v xml:space="preserve"> </v>
      </c>
      <c r="J1772" s="28" t="str">
        <f>IF($C1772=""," ",[1]!i_pq_pctchange($C1772,J$6,$N$1))</f>
        <v xml:space="preserve"> </v>
      </c>
      <c r="K1772" s="28" t="str">
        <f>IF($C1772=""," ",[1]!i_pq_pctchange($C1772,K$6,$N$1))</f>
        <v xml:space="preserve"> </v>
      </c>
      <c r="L1772" s="28" t="str">
        <f>IF(C1772=""," ",[1]!s_wq_pctchange($C1772,$N$1))</f>
        <v xml:space="preserve"> </v>
      </c>
      <c r="M1772" s="28" t="str">
        <f>IF(C1772=""," ",[1]!s_mq_pctchange($C1772,$N$1))</f>
        <v xml:space="preserve"> </v>
      </c>
      <c r="N1772" s="28" t="str">
        <f>IF(C1772=""," ",[1]!s_yq_pctchange($C1772,$N$1))</f>
        <v xml:space="preserve"> </v>
      </c>
      <c r="O1772" s="11"/>
      <c r="P1772" s="7"/>
    </row>
    <row r="1773" spans="1:16" x14ac:dyDescent="0.35">
      <c r="A1773" s="7"/>
      <c r="C1773" s="30" t="str">
        <f>IF(指数列表!B1770="","",指数列表!B1770)</f>
        <v/>
      </c>
      <c r="D1773" s="35" t="str">
        <f>IF(C1773="","",[1]!s_info_name(C1773))</f>
        <v/>
      </c>
      <c r="E1773" s="24" t="str">
        <f>IF(C1773="","",[1]!s_dq_close(C1773,$N$1))</f>
        <v/>
      </c>
      <c r="F1773" s="28" t="str">
        <f>IF($C1773=""," ",[1]!i_pq_pctchange($C1773,F$6,$N$1))</f>
        <v xml:space="preserve"> </v>
      </c>
      <c r="G1773" s="28" t="str">
        <f>IF($C1773=""," ",[1]!i_pq_pctchange($C1773,G$6,$N$1))</f>
        <v xml:space="preserve"> </v>
      </c>
      <c r="H1773" s="28" t="str">
        <f>IF($C1773=""," ",[1]!i_pq_pctchange($C1773,H$6,$N$1))</f>
        <v xml:space="preserve"> </v>
      </c>
      <c r="I1773" s="28" t="str">
        <f>IF($C1773=""," ",[1]!i_pq_pctchange($C1773,I$6,$N$1))</f>
        <v xml:space="preserve"> </v>
      </c>
      <c r="J1773" s="28" t="str">
        <f>IF($C1773=""," ",[1]!i_pq_pctchange($C1773,J$6,$N$1))</f>
        <v xml:space="preserve"> </v>
      </c>
      <c r="K1773" s="28" t="str">
        <f>IF($C1773=""," ",[1]!i_pq_pctchange($C1773,K$6,$N$1))</f>
        <v xml:space="preserve"> </v>
      </c>
      <c r="L1773" s="28" t="str">
        <f>IF(C1773=""," ",[1]!s_wq_pctchange($C1773,$N$1))</f>
        <v xml:space="preserve"> </v>
      </c>
      <c r="M1773" s="28" t="str">
        <f>IF(C1773=""," ",[1]!s_mq_pctchange($C1773,$N$1))</f>
        <v xml:space="preserve"> </v>
      </c>
      <c r="N1773" s="28" t="str">
        <f>IF(C1773=""," ",[1]!s_yq_pctchange($C1773,$N$1))</f>
        <v xml:space="preserve"> </v>
      </c>
      <c r="O1773" s="11"/>
      <c r="P1773" s="7"/>
    </row>
    <row r="1774" spans="1:16" x14ac:dyDescent="0.35">
      <c r="A1774" s="7"/>
      <c r="C1774" s="31" t="str">
        <f>IF(指数列表!B1771="","",指数列表!B1771)</f>
        <v/>
      </c>
      <c r="D1774" s="36" t="str">
        <f>IF(C1774="","",[1]!s_info_name(C1774))</f>
        <v/>
      </c>
      <c r="E1774" s="25" t="str">
        <f>IF(C1774="","",[1]!s_dq_close(C1774,$N$1))</f>
        <v/>
      </c>
      <c r="F1774" s="28" t="str">
        <f>IF($C1774=""," ",[1]!i_pq_pctchange($C1774,F$6,$N$1))</f>
        <v xml:space="preserve"> </v>
      </c>
      <c r="G1774" s="28" t="str">
        <f>IF($C1774=""," ",[1]!i_pq_pctchange($C1774,G$6,$N$1))</f>
        <v xml:space="preserve"> </v>
      </c>
      <c r="H1774" s="28" t="str">
        <f>IF($C1774=""," ",[1]!i_pq_pctchange($C1774,H$6,$N$1))</f>
        <v xml:space="preserve"> </v>
      </c>
      <c r="I1774" s="28" t="str">
        <f>IF($C1774=""," ",[1]!i_pq_pctchange($C1774,I$6,$N$1))</f>
        <v xml:space="preserve"> </v>
      </c>
      <c r="J1774" s="28" t="str">
        <f>IF($C1774=""," ",[1]!i_pq_pctchange($C1774,J$6,$N$1))</f>
        <v xml:space="preserve"> </v>
      </c>
      <c r="K1774" s="28" t="str">
        <f>IF($C1774=""," ",[1]!i_pq_pctchange($C1774,K$6,$N$1))</f>
        <v xml:space="preserve"> </v>
      </c>
      <c r="L1774" s="28" t="str">
        <f>IF(C1774=""," ",[1]!s_wq_pctchange($C1774,$N$1))</f>
        <v xml:space="preserve"> </v>
      </c>
      <c r="M1774" s="28" t="str">
        <f>IF(C1774=""," ",[1]!s_mq_pctchange($C1774,$N$1))</f>
        <v xml:space="preserve"> </v>
      </c>
      <c r="N1774" s="28" t="str">
        <f>IF(C1774=""," ",[1]!s_yq_pctchange($C1774,$N$1))</f>
        <v xml:space="preserve"> </v>
      </c>
      <c r="O1774" s="11"/>
      <c r="P1774" s="7"/>
    </row>
    <row r="1775" spans="1:16" x14ac:dyDescent="0.35">
      <c r="A1775" s="7"/>
      <c r="C1775" s="30" t="str">
        <f>IF(指数列表!B1772="","",指数列表!B1772)</f>
        <v/>
      </c>
      <c r="D1775" s="35" t="str">
        <f>IF(C1775="","",[1]!s_info_name(C1775))</f>
        <v/>
      </c>
      <c r="E1775" s="24" t="str">
        <f>IF(C1775="","",[1]!s_dq_close(C1775,$N$1))</f>
        <v/>
      </c>
      <c r="F1775" s="28" t="str">
        <f>IF($C1775=""," ",[1]!i_pq_pctchange($C1775,F$6,$N$1))</f>
        <v xml:space="preserve"> </v>
      </c>
      <c r="G1775" s="28" t="str">
        <f>IF($C1775=""," ",[1]!i_pq_pctchange($C1775,G$6,$N$1))</f>
        <v xml:space="preserve"> </v>
      </c>
      <c r="H1775" s="28" t="str">
        <f>IF($C1775=""," ",[1]!i_pq_pctchange($C1775,H$6,$N$1))</f>
        <v xml:space="preserve"> </v>
      </c>
      <c r="I1775" s="28" t="str">
        <f>IF($C1775=""," ",[1]!i_pq_pctchange($C1775,I$6,$N$1))</f>
        <v xml:space="preserve"> </v>
      </c>
      <c r="J1775" s="28" t="str">
        <f>IF($C1775=""," ",[1]!i_pq_pctchange($C1775,J$6,$N$1))</f>
        <v xml:space="preserve"> </v>
      </c>
      <c r="K1775" s="28" t="str">
        <f>IF($C1775=""," ",[1]!i_pq_pctchange($C1775,K$6,$N$1))</f>
        <v xml:space="preserve"> </v>
      </c>
      <c r="L1775" s="28" t="str">
        <f>IF(C1775=""," ",[1]!s_wq_pctchange($C1775,$N$1))</f>
        <v xml:space="preserve"> </v>
      </c>
      <c r="M1775" s="28" t="str">
        <f>IF(C1775=""," ",[1]!s_mq_pctchange($C1775,$N$1))</f>
        <v xml:space="preserve"> </v>
      </c>
      <c r="N1775" s="28" t="str">
        <f>IF(C1775=""," ",[1]!s_yq_pctchange($C1775,$N$1))</f>
        <v xml:space="preserve"> </v>
      </c>
      <c r="O1775" s="11"/>
      <c r="P1775" s="7"/>
    </row>
    <row r="1776" spans="1:16" x14ac:dyDescent="0.35">
      <c r="A1776" s="7"/>
      <c r="C1776" s="31" t="str">
        <f>IF(指数列表!B1773="","",指数列表!B1773)</f>
        <v/>
      </c>
      <c r="D1776" s="36" t="str">
        <f>IF(C1776="","",[1]!s_info_name(C1776))</f>
        <v/>
      </c>
      <c r="E1776" s="25" t="str">
        <f>IF(C1776="","",[1]!s_dq_close(C1776,$N$1))</f>
        <v/>
      </c>
      <c r="F1776" s="28" t="str">
        <f>IF($C1776=""," ",[1]!i_pq_pctchange($C1776,F$6,$N$1))</f>
        <v xml:space="preserve"> </v>
      </c>
      <c r="G1776" s="28" t="str">
        <f>IF($C1776=""," ",[1]!i_pq_pctchange($C1776,G$6,$N$1))</f>
        <v xml:space="preserve"> </v>
      </c>
      <c r="H1776" s="28" t="str">
        <f>IF($C1776=""," ",[1]!i_pq_pctchange($C1776,H$6,$N$1))</f>
        <v xml:space="preserve"> </v>
      </c>
      <c r="I1776" s="28" t="str">
        <f>IF($C1776=""," ",[1]!i_pq_pctchange($C1776,I$6,$N$1))</f>
        <v xml:space="preserve"> </v>
      </c>
      <c r="J1776" s="28" t="str">
        <f>IF($C1776=""," ",[1]!i_pq_pctchange($C1776,J$6,$N$1))</f>
        <v xml:space="preserve"> </v>
      </c>
      <c r="K1776" s="28" t="str">
        <f>IF($C1776=""," ",[1]!i_pq_pctchange($C1776,K$6,$N$1))</f>
        <v xml:space="preserve"> </v>
      </c>
      <c r="L1776" s="28" t="str">
        <f>IF(C1776=""," ",[1]!s_wq_pctchange($C1776,$N$1))</f>
        <v xml:space="preserve"> </v>
      </c>
      <c r="M1776" s="28" t="str">
        <f>IF(C1776=""," ",[1]!s_mq_pctchange($C1776,$N$1))</f>
        <v xml:space="preserve"> </v>
      </c>
      <c r="N1776" s="28" t="str">
        <f>IF(C1776=""," ",[1]!s_yq_pctchange($C1776,$N$1))</f>
        <v xml:space="preserve"> </v>
      </c>
      <c r="O1776" s="11"/>
      <c r="P1776" s="7"/>
    </row>
    <row r="1777" spans="1:16" x14ac:dyDescent="0.35">
      <c r="A1777" s="7"/>
      <c r="C1777" s="30" t="str">
        <f>IF(指数列表!B1774="","",指数列表!B1774)</f>
        <v/>
      </c>
      <c r="D1777" s="35" t="str">
        <f>IF(C1777="","",[1]!s_info_name(C1777))</f>
        <v/>
      </c>
      <c r="E1777" s="24" t="str">
        <f>IF(C1777="","",[1]!s_dq_close(C1777,$N$1))</f>
        <v/>
      </c>
      <c r="F1777" s="28" t="str">
        <f>IF($C1777=""," ",[1]!i_pq_pctchange($C1777,F$6,$N$1))</f>
        <v xml:space="preserve"> </v>
      </c>
      <c r="G1777" s="28" t="str">
        <f>IF($C1777=""," ",[1]!i_pq_pctchange($C1777,G$6,$N$1))</f>
        <v xml:space="preserve"> </v>
      </c>
      <c r="H1777" s="28" t="str">
        <f>IF($C1777=""," ",[1]!i_pq_pctchange($C1777,H$6,$N$1))</f>
        <v xml:space="preserve"> </v>
      </c>
      <c r="I1777" s="28" t="str">
        <f>IF($C1777=""," ",[1]!i_pq_pctchange($C1777,I$6,$N$1))</f>
        <v xml:space="preserve"> </v>
      </c>
      <c r="J1777" s="28" t="str">
        <f>IF($C1777=""," ",[1]!i_pq_pctchange($C1777,J$6,$N$1))</f>
        <v xml:space="preserve"> </v>
      </c>
      <c r="K1777" s="28" t="str">
        <f>IF($C1777=""," ",[1]!i_pq_pctchange($C1777,K$6,$N$1))</f>
        <v xml:space="preserve"> </v>
      </c>
      <c r="L1777" s="28" t="str">
        <f>IF(C1777=""," ",[1]!s_wq_pctchange($C1777,$N$1))</f>
        <v xml:space="preserve"> </v>
      </c>
      <c r="M1777" s="28" t="str">
        <f>IF(C1777=""," ",[1]!s_mq_pctchange($C1777,$N$1))</f>
        <v xml:space="preserve"> </v>
      </c>
      <c r="N1777" s="28" t="str">
        <f>IF(C1777=""," ",[1]!s_yq_pctchange($C1777,$N$1))</f>
        <v xml:space="preserve"> </v>
      </c>
      <c r="O1777" s="11"/>
      <c r="P1777" s="7"/>
    </row>
    <row r="1778" spans="1:16" x14ac:dyDescent="0.35">
      <c r="A1778" s="7"/>
      <c r="C1778" s="31" t="str">
        <f>IF(指数列表!B1775="","",指数列表!B1775)</f>
        <v/>
      </c>
      <c r="D1778" s="36" t="str">
        <f>IF(C1778="","",[1]!s_info_name(C1778))</f>
        <v/>
      </c>
      <c r="E1778" s="25" t="str">
        <f>IF(C1778="","",[1]!s_dq_close(C1778,$N$1))</f>
        <v/>
      </c>
      <c r="F1778" s="28" t="str">
        <f>IF($C1778=""," ",[1]!i_pq_pctchange($C1778,F$6,$N$1))</f>
        <v xml:space="preserve"> </v>
      </c>
      <c r="G1778" s="28" t="str">
        <f>IF($C1778=""," ",[1]!i_pq_pctchange($C1778,G$6,$N$1))</f>
        <v xml:space="preserve"> </v>
      </c>
      <c r="H1778" s="28" t="str">
        <f>IF($C1778=""," ",[1]!i_pq_pctchange($C1778,H$6,$N$1))</f>
        <v xml:space="preserve"> </v>
      </c>
      <c r="I1778" s="28" t="str">
        <f>IF($C1778=""," ",[1]!i_pq_pctchange($C1778,I$6,$N$1))</f>
        <v xml:space="preserve"> </v>
      </c>
      <c r="J1778" s="28" t="str">
        <f>IF($C1778=""," ",[1]!i_pq_pctchange($C1778,J$6,$N$1))</f>
        <v xml:space="preserve"> </v>
      </c>
      <c r="K1778" s="28" t="str">
        <f>IF($C1778=""," ",[1]!i_pq_pctchange($C1778,K$6,$N$1))</f>
        <v xml:space="preserve"> </v>
      </c>
      <c r="L1778" s="28" t="str">
        <f>IF(C1778=""," ",[1]!s_wq_pctchange($C1778,$N$1))</f>
        <v xml:space="preserve"> </v>
      </c>
      <c r="M1778" s="28" t="str">
        <f>IF(C1778=""," ",[1]!s_mq_pctchange($C1778,$N$1))</f>
        <v xml:space="preserve"> </v>
      </c>
      <c r="N1778" s="28" t="str">
        <f>IF(C1778=""," ",[1]!s_yq_pctchange($C1778,$N$1))</f>
        <v xml:space="preserve"> </v>
      </c>
      <c r="O1778" s="11"/>
      <c r="P1778" s="7"/>
    </row>
    <row r="1779" spans="1:16" x14ac:dyDescent="0.35">
      <c r="A1779" s="7"/>
      <c r="C1779" s="30" t="str">
        <f>IF(指数列表!B1776="","",指数列表!B1776)</f>
        <v/>
      </c>
      <c r="D1779" s="35" t="str">
        <f>IF(C1779="","",[1]!s_info_name(C1779))</f>
        <v/>
      </c>
      <c r="E1779" s="24" t="str">
        <f>IF(C1779="","",[1]!s_dq_close(C1779,$N$1))</f>
        <v/>
      </c>
      <c r="F1779" s="28" t="str">
        <f>IF($C1779=""," ",[1]!i_pq_pctchange($C1779,F$6,$N$1))</f>
        <v xml:space="preserve"> </v>
      </c>
      <c r="G1779" s="28" t="str">
        <f>IF($C1779=""," ",[1]!i_pq_pctchange($C1779,G$6,$N$1))</f>
        <v xml:space="preserve"> </v>
      </c>
      <c r="H1779" s="28" t="str">
        <f>IF($C1779=""," ",[1]!i_pq_pctchange($C1779,H$6,$N$1))</f>
        <v xml:space="preserve"> </v>
      </c>
      <c r="I1779" s="28" t="str">
        <f>IF($C1779=""," ",[1]!i_pq_pctchange($C1779,I$6,$N$1))</f>
        <v xml:space="preserve"> </v>
      </c>
      <c r="J1779" s="28" t="str">
        <f>IF($C1779=""," ",[1]!i_pq_pctchange($C1779,J$6,$N$1))</f>
        <v xml:space="preserve"> </v>
      </c>
      <c r="K1779" s="28" t="str">
        <f>IF($C1779=""," ",[1]!i_pq_pctchange($C1779,K$6,$N$1))</f>
        <v xml:space="preserve"> </v>
      </c>
      <c r="L1779" s="28" t="str">
        <f>IF(C1779=""," ",[1]!s_wq_pctchange($C1779,$N$1))</f>
        <v xml:space="preserve"> </v>
      </c>
      <c r="M1779" s="28" t="str">
        <f>IF(C1779=""," ",[1]!s_mq_pctchange($C1779,$N$1))</f>
        <v xml:space="preserve"> </v>
      </c>
      <c r="N1779" s="28" t="str">
        <f>IF(C1779=""," ",[1]!s_yq_pctchange($C1779,$N$1))</f>
        <v xml:space="preserve"> </v>
      </c>
      <c r="O1779" s="11"/>
      <c r="P1779" s="7"/>
    </row>
    <row r="1780" spans="1:16" x14ac:dyDescent="0.35">
      <c r="A1780" s="7"/>
      <c r="C1780" s="31" t="str">
        <f>IF(指数列表!B1777="","",指数列表!B1777)</f>
        <v/>
      </c>
      <c r="D1780" s="36" t="str">
        <f>IF(C1780="","",[1]!s_info_name(C1780))</f>
        <v/>
      </c>
      <c r="E1780" s="25" t="str">
        <f>IF(C1780="","",[1]!s_dq_close(C1780,$N$1))</f>
        <v/>
      </c>
      <c r="F1780" s="28" t="str">
        <f>IF($C1780=""," ",[1]!i_pq_pctchange($C1780,F$6,$N$1))</f>
        <v xml:space="preserve"> </v>
      </c>
      <c r="G1780" s="28" t="str">
        <f>IF($C1780=""," ",[1]!i_pq_pctchange($C1780,G$6,$N$1))</f>
        <v xml:space="preserve"> </v>
      </c>
      <c r="H1780" s="28" t="str">
        <f>IF($C1780=""," ",[1]!i_pq_pctchange($C1780,H$6,$N$1))</f>
        <v xml:space="preserve"> </v>
      </c>
      <c r="I1780" s="28" t="str">
        <f>IF($C1780=""," ",[1]!i_pq_pctchange($C1780,I$6,$N$1))</f>
        <v xml:space="preserve"> </v>
      </c>
      <c r="J1780" s="28" t="str">
        <f>IF($C1780=""," ",[1]!i_pq_pctchange($C1780,J$6,$N$1))</f>
        <v xml:space="preserve"> </v>
      </c>
      <c r="K1780" s="28" t="str">
        <f>IF($C1780=""," ",[1]!i_pq_pctchange($C1780,K$6,$N$1))</f>
        <v xml:space="preserve"> </v>
      </c>
      <c r="L1780" s="28" t="str">
        <f>IF(C1780=""," ",[1]!s_wq_pctchange($C1780,$N$1))</f>
        <v xml:space="preserve"> </v>
      </c>
      <c r="M1780" s="28" t="str">
        <f>IF(C1780=""," ",[1]!s_mq_pctchange($C1780,$N$1))</f>
        <v xml:space="preserve"> </v>
      </c>
      <c r="N1780" s="28" t="str">
        <f>IF(C1780=""," ",[1]!s_yq_pctchange($C1780,$N$1))</f>
        <v xml:space="preserve"> </v>
      </c>
      <c r="O1780" s="11"/>
      <c r="P1780" s="7"/>
    </row>
    <row r="1781" spans="1:16" x14ac:dyDescent="0.35">
      <c r="A1781" s="7"/>
      <c r="C1781" s="30" t="str">
        <f>IF(指数列表!B1778="","",指数列表!B1778)</f>
        <v/>
      </c>
      <c r="D1781" s="35" t="str">
        <f>IF(C1781="","",[1]!s_info_name(C1781))</f>
        <v/>
      </c>
      <c r="E1781" s="24" t="str">
        <f>IF(C1781="","",[1]!s_dq_close(C1781,$N$1))</f>
        <v/>
      </c>
      <c r="F1781" s="28" t="str">
        <f>IF($C1781=""," ",[1]!i_pq_pctchange($C1781,F$6,$N$1))</f>
        <v xml:space="preserve"> </v>
      </c>
      <c r="G1781" s="28" t="str">
        <f>IF($C1781=""," ",[1]!i_pq_pctchange($C1781,G$6,$N$1))</f>
        <v xml:space="preserve"> </v>
      </c>
      <c r="H1781" s="28" t="str">
        <f>IF($C1781=""," ",[1]!i_pq_pctchange($C1781,H$6,$N$1))</f>
        <v xml:space="preserve"> </v>
      </c>
      <c r="I1781" s="28" t="str">
        <f>IF($C1781=""," ",[1]!i_pq_pctchange($C1781,I$6,$N$1))</f>
        <v xml:space="preserve"> </v>
      </c>
      <c r="J1781" s="28" t="str">
        <f>IF($C1781=""," ",[1]!i_pq_pctchange($C1781,J$6,$N$1))</f>
        <v xml:space="preserve"> </v>
      </c>
      <c r="K1781" s="28" t="str">
        <f>IF($C1781=""," ",[1]!i_pq_pctchange($C1781,K$6,$N$1))</f>
        <v xml:space="preserve"> </v>
      </c>
      <c r="L1781" s="28" t="str">
        <f>IF(C1781=""," ",[1]!s_wq_pctchange($C1781,$N$1))</f>
        <v xml:space="preserve"> </v>
      </c>
      <c r="M1781" s="28" t="str">
        <f>IF(C1781=""," ",[1]!s_mq_pctchange($C1781,$N$1))</f>
        <v xml:space="preserve"> </v>
      </c>
      <c r="N1781" s="28" t="str">
        <f>IF(C1781=""," ",[1]!s_yq_pctchange($C1781,$N$1))</f>
        <v xml:space="preserve"> </v>
      </c>
      <c r="O1781" s="11"/>
      <c r="P1781" s="7"/>
    </row>
    <row r="1782" spans="1:16" x14ac:dyDescent="0.35">
      <c r="A1782" s="7"/>
      <c r="C1782" s="31" t="str">
        <f>IF(指数列表!B1779="","",指数列表!B1779)</f>
        <v/>
      </c>
      <c r="D1782" s="36" t="str">
        <f>IF(C1782="","",[1]!s_info_name(C1782))</f>
        <v/>
      </c>
      <c r="E1782" s="25" t="str">
        <f>IF(C1782="","",[1]!s_dq_close(C1782,$N$1))</f>
        <v/>
      </c>
      <c r="F1782" s="28" t="str">
        <f>IF($C1782=""," ",[1]!i_pq_pctchange($C1782,F$6,$N$1))</f>
        <v xml:space="preserve"> </v>
      </c>
      <c r="G1782" s="28" t="str">
        <f>IF($C1782=""," ",[1]!i_pq_pctchange($C1782,G$6,$N$1))</f>
        <v xml:space="preserve"> </v>
      </c>
      <c r="H1782" s="28" t="str">
        <f>IF($C1782=""," ",[1]!i_pq_pctchange($C1782,H$6,$N$1))</f>
        <v xml:space="preserve"> </v>
      </c>
      <c r="I1782" s="28" t="str">
        <f>IF($C1782=""," ",[1]!i_pq_pctchange($C1782,I$6,$N$1))</f>
        <v xml:space="preserve"> </v>
      </c>
      <c r="J1782" s="28" t="str">
        <f>IF($C1782=""," ",[1]!i_pq_pctchange($C1782,J$6,$N$1))</f>
        <v xml:space="preserve"> </v>
      </c>
      <c r="K1782" s="28" t="str">
        <f>IF($C1782=""," ",[1]!i_pq_pctchange($C1782,K$6,$N$1))</f>
        <v xml:space="preserve"> </v>
      </c>
      <c r="L1782" s="28" t="str">
        <f>IF(C1782=""," ",[1]!s_wq_pctchange($C1782,$N$1))</f>
        <v xml:space="preserve"> </v>
      </c>
      <c r="M1782" s="28" t="str">
        <f>IF(C1782=""," ",[1]!s_mq_pctchange($C1782,$N$1))</f>
        <v xml:space="preserve"> </v>
      </c>
      <c r="N1782" s="28" t="str">
        <f>IF(C1782=""," ",[1]!s_yq_pctchange($C1782,$N$1))</f>
        <v xml:space="preserve"> </v>
      </c>
      <c r="O1782" s="11"/>
      <c r="P1782" s="7"/>
    </row>
    <row r="1783" spans="1:16" x14ac:dyDescent="0.35">
      <c r="A1783" s="7"/>
      <c r="C1783" s="30" t="str">
        <f>IF(指数列表!B1780="","",指数列表!B1780)</f>
        <v/>
      </c>
      <c r="D1783" s="35" t="str">
        <f>IF(C1783="","",[1]!s_info_name(C1783))</f>
        <v/>
      </c>
      <c r="E1783" s="24" t="str">
        <f>IF(C1783="","",[1]!s_dq_close(C1783,$N$1))</f>
        <v/>
      </c>
      <c r="F1783" s="28" t="str">
        <f>IF($C1783=""," ",[1]!i_pq_pctchange($C1783,F$6,$N$1))</f>
        <v xml:space="preserve"> </v>
      </c>
      <c r="G1783" s="28" t="str">
        <f>IF($C1783=""," ",[1]!i_pq_pctchange($C1783,G$6,$N$1))</f>
        <v xml:space="preserve"> </v>
      </c>
      <c r="H1783" s="28" t="str">
        <f>IF($C1783=""," ",[1]!i_pq_pctchange($C1783,H$6,$N$1))</f>
        <v xml:space="preserve"> </v>
      </c>
      <c r="I1783" s="28" t="str">
        <f>IF($C1783=""," ",[1]!i_pq_pctchange($C1783,I$6,$N$1))</f>
        <v xml:space="preserve"> </v>
      </c>
      <c r="J1783" s="28" t="str">
        <f>IF($C1783=""," ",[1]!i_pq_pctchange($C1783,J$6,$N$1))</f>
        <v xml:space="preserve"> </v>
      </c>
      <c r="K1783" s="28" t="str">
        <f>IF($C1783=""," ",[1]!i_pq_pctchange($C1783,K$6,$N$1))</f>
        <v xml:space="preserve"> </v>
      </c>
      <c r="L1783" s="28" t="str">
        <f>IF(C1783=""," ",[1]!s_wq_pctchange($C1783,$N$1))</f>
        <v xml:space="preserve"> </v>
      </c>
      <c r="M1783" s="28" t="str">
        <f>IF(C1783=""," ",[1]!s_mq_pctchange($C1783,$N$1))</f>
        <v xml:space="preserve"> </v>
      </c>
      <c r="N1783" s="28" t="str">
        <f>IF(C1783=""," ",[1]!s_yq_pctchange($C1783,$N$1))</f>
        <v xml:space="preserve"> </v>
      </c>
      <c r="O1783" s="11"/>
      <c r="P1783" s="7"/>
    </row>
    <row r="1784" spans="1:16" x14ac:dyDescent="0.35">
      <c r="A1784" s="7"/>
      <c r="C1784" s="31" t="str">
        <f>IF(指数列表!B1781="","",指数列表!B1781)</f>
        <v/>
      </c>
      <c r="D1784" s="36" t="str">
        <f>IF(C1784="","",[1]!s_info_name(C1784))</f>
        <v/>
      </c>
      <c r="E1784" s="25" t="str">
        <f>IF(C1784="","",[1]!s_dq_close(C1784,$N$1))</f>
        <v/>
      </c>
      <c r="F1784" s="28" t="str">
        <f>IF($C1784=""," ",[1]!i_pq_pctchange($C1784,F$6,$N$1))</f>
        <v xml:space="preserve"> </v>
      </c>
      <c r="G1784" s="28" t="str">
        <f>IF($C1784=""," ",[1]!i_pq_pctchange($C1784,G$6,$N$1))</f>
        <v xml:space="preserve"> </v>
      </c>
      <c r="H1784" s="28" t="str">
        <f>IF($C1784=""," ",[1]!i_pq_pctchange($C1784,H$6,$N$1))</f>
        <v xml:space="preserve"> </v>
      </c>
      <c r="I1784" s="28" t="str">
        <f>IF($C1784=""," ",[1]!i_pq_pctchange($C1784,I$6,$N$1))</f>
        <v xml:space="preserve"> </v>
      </c>
      <c r="J1784" s="28" t="str">
        <f>IF($C1784=""," ",[1]!i_pq_pctchange($C1784,J$6,$N$1))</f>
        <v xml:space="preserve"> </v>
      </c>
      <c r="K1784" s="28" t="str">
        <f>IF($C1784=""," ",[1]!i_pq_pctchange($C1784,K$6,$N$1))</f>
        <v xml:space="preserve"> </v>
      </c>
      <c r="L1784" s="28" t="str">
        <f>IF(C1784=""," ",[1]!s_wq_pctchange($C1784,$N$1))</f>
        <v xml:space="preserve"> </v>
      </c>
      <c r="M1784" s="28" t="str">
        <f>IF(C1784=""," ",[1]!s_mq_pctchange($C1784,$N$1))</f>
        <v xml:space="preserve"> </v>
      </c>
      <c r="N1784" s="28" t="str">
        <f>IF(C1784=""," ",[1]!s_yq_pctchange($C1784,$N$1))</f>
        <v xml:space="preserve"> </v>
      </c>
      <c r="O1784" s="11"/>
      <c r="P1784" s="7"/>
    </row>
    <row r="1785" spans="1:16" x14ac:dyDescent="0.35">
      <c r="A1785" s="7"/>
      <c r="C1785" s="30" t="str">
        <f>IF(指数列表!B1782="","",指数列表!B1782)</f>
        <v/>
      </c>
      <c r="D1785" s="35" t="str">
        <f>IF(C1785="","",[1]!s_info_name(C1785))</f>
        <v/>
      </c>
      <c r="E1785" s="24" t="str">
        <f>IF(C1785="","",[1]!s_dq_close(C1785,$N$1))</f>
        <v/>
      </c>
      <c r="F1785" s="28" t="str">
        <f>IF($C1785=""," ",[1]!i_pq_pctchange($C1785,F$6,$N$1))</f>
        <v xml:space="preserve"> </v>
      </c>
      <c r="G1785" s="28" t="str">
        <f>IF($C1785=""," ",[1]!i_pq_pctchange($C1785,G$6,$N$1))</f>
        <v xml:space="preserve"> </v>
      </c>
      <c r="H1785" s="28" t="str">
        <f>IF($C1785=""," ",[1]!i_pq_pctchange($C1785,H$6,$N$1))</f>
        <v xml:space="preserve"> </v>
      </c>
      <c r="I1785" s="28" t="str">
        <f>IF($C1785=""," ",[1]!i_pq_pctchange($C1785,I$6,$N$1))</f>
        <v xml:space="preserve"> </v>
      </c>
      <c r="J1785" s="28" t="str">
        <f>IF($C1785=""," ",[1]!i_pq_pctchange($C1785,J$6,$N$1))</f>
        <v xml:space="preserve"> </v>
      </c>
      <c r="K1785" s="28" t="str">
        <f>IF($C1785=""," ",[1]!i_pq_pctchange($C1785,K$6,$N$1))</f>
        <v xml:space="preserve"> </v>
      </c>
      <c r="L1785" s="28" t="str">
        <f>IF(C1785=""," ",[1]!s_wq_pctchange($C1785,$N$1))</f>
        <v xml:space="preserve"> </v>
      </c>
      <c r="M1785" s="28" t="str">
        <f>IF(C1785=""," ",[1]!s_mq_pctchange($C1785,$N$1))</f>
        <v xml:space="preserve"> </v>
      </c>
      <c r="N1785" s="28" t="str">
        <f>IF(C1785=""," ",[1]!s_yq_pctchange($C1785,$N$1))</f>
        <v xml:space="preserve"> </v>
      </c>
      <c r="O1785" s="11"/>
      <c r="P1785" s="7"/>
    </row>
    <row r="1786" spans="1:16" x14ac:dyDescent="0.35">
      <c r="A1786" s="7"/>
      <c r="C1786" s="31" t="str">
        <f>IF(指数列表!B1783="","",指数列表!B1783)</f>
        <v/>
      </c>
      <c r="D1786" s="36" t="str">
        <f>IF(C1786="","",[1]!s_info_name(C1786))</f>
        <v/>
      </c>
      <c r="E1786" s="25" t="str">
        <f>IF(C1786="","",[1]!s_dq_close(C1786,$N$1))</f>
        <v/>
      </c>
      <c r="F1786" s="28" t="str">
        <f>IF($C1786=""," ",[1]!i_pq_pctchange($C1786,F$6,$N$1))</f>
        <v xml:space="preserve"> </v>
      </c>
      <c r="G1786" s="28" t="str">
        <f>IF($C1786=""," ",[1]!i_pq_pctchange($C1786,G$6,$N$1))</f>
        <v xml:space="preserve"> </v>
      </c>
      <c r="H1786" s="28" t="str">
        <f>IF($C1786=""," ",[1]!i_pq_pctchange($C1786,H$6,$N$1))</f>
        <v xml:space="preserve"> </v>
      </c>
      <c r="I1786" s="28" t="str">
        <f>IF($C1786=""," ",[1]!i_pq_pctchange($C1786,I$6,$N$1))</f>
        <v xml:space="preserve"> </v>
      </c>
      <c r="J1786" s="28" t="str">
        <f>IF($C1786=""," ",[1]!i_pq_pctchange($C1786,J$6,$N$1))</f>
        <v xml:space="preserve"> </v>
      </c>
      <c r="K1786" s="28" t="str">
        <f>IF($C1786=""," ",[1]!i_pq_pctchange($C1786,K$6,$N$1))</f>
        <v xml:space="preserve"> </v>
      </c>
      <c r="L1786" s="28" t="str">
        <f>IF(C1786=""," ",[1]!s_wq_pctchange($C1786,$N$1))</f>
        <v xml:space="preserve"> </v>
      </c>
      <c r="M1786" s="28" t="str">
        <f>IF(C1786=""," ",[1]!s_mq_pctchange($C1786,$N$1))</f>
        <v xml:space="preserve"> </v>
      </c>
      <c r="N1786" s="28" t="str">
        <f>IF(C1786=""," ",[1]!s_yq_pctchange($C1786,$N$1))</f>
        <v xml:space="preserve"> </v>
      </c>
      <c r="O1786" s="11"/>
      <c r="P1786" s="7"/>
    </row>
    <row r="1787" spans="1:16" x14ac:dyDescent="0.35">
      <c r="A1787" s="7"/>
      <c r="C1787" s="30" t="str">
        <f>IF(指数列表!B1784="","",指数列表!B1784)</f>
        <v/>
      </c>
      <c r="D1787" s="35" t="str">
        <f>IF(C1787="","",[1]!s_info_name(C1787))</f>
        <v/>
      </c>
      <c r="E1787" s="24" t="str">
        <f>IF(C1787="","",[1]!s_dq_close(C1787,$N$1))</f>
        <v/>
      </c>
      <c r="F1787" s="28" t="str">
        <f>IF($C1787=""," ",[1]!i_pq_pctchange($C1787,F$6,$N$1))</f>
        <v xml:space="preserve"> </v>
      </c>
      <c r="G1787" s="28" t="str">
        <f>IF($C1787=""," ",[1]!i_pq_pctchange($C1787,G$6,$N$1))</f>
        <v xml:space="preserve"> </v>
      </c>
      <c r="H1787" s="28" t="str">
        <f>IF($C1787=""," ",[1]!i_pq_pctchange($C1787,H$6,$N$1))</f>
        <v xml:space="preserve"> </v>
      </c>
      <c r="I1787" s="28" t="str">
        <f>IF($C1787=""," ",[1]!i_pq_pctchange($C1787,I$6,$N$1))</f>
        <v xml:space="preserve"> </v>
      </c>
      <c r="J1787" s="28" t="str">
        <f>IF($C1787=""," ",[1]!i_pq_pctchange($C1787,J$6,$N$1))</f>
        <v xml:space="preserve"> </v>
      </c>
      <c r="K1787" s="28" t="str">
        <f>IF($C1787=""," ",[1]!i_pq_pctchange($C1787,K$6,$N$1))</f>
        <v xml:space="preserve"> </v>
      </c>
      <c r="L1787" s="28" t="str">
        <f>IF(C1787=""," ",[1]!s_wq_pctchange($C1787,$N$1))</f>
        <v xml:space="preserve"> </v>
      </c>
      <c r="M1787" s="28" t="str">
        <f>IF(C1787=""," ",[1]!s_mq_pctchange($C1787,$N$1))</f>
        <v xml:space="preserve"> </v>
      </c>
      <c r="N1787" s="28" t="str">
        <f>IF(C1787=""," ",[1]!s_yq_pctchange($C1787,$N$1))</f>
        <v xml:space="preserve"> </v>
      </c>
      <c r="O1787" s="11"/>
      <c r="P1787" s="7"/>
    </row>
    <row r="1788" spans="1:16" x14ac:dyDescent="0.35">
      <c r="A1788" s="7"/>
      <c r="C1788" s="31" t="str">
        <f>IF(指数列表!B1785="","",指数列表!B1785)</f>
        <v/>
      </c>
      <c r="D1788" s="36" t="str">
        <f>IF(C1788="","",[1]!s_info_name(C1788))</f>
        <v/>
      </c>
      <c r="E1788" s="25" t="str">
        <f>IF(C1788="","",[1]!s_dq_close(C1788,$N$1))</f>
        <v/>
      </c>
      <c r="F1788" s="28" t="str">
        <f>IF($C1788=""," ",[1]!i_pq_pctchange($C1788,F$6,$N$1))</f>
        <v xml:space="preserve"> </v>
      </c>
      <c r="G1788" s="28" t="str">
        <f>IF($C1788=""," ",[1]!i_pq_pctchange($C1788,G$6,$N$1))</f>
        <v xml:space="preserve"> </v>
      </c>
      <c r="H1788" s="28" t="str">
        <f>IF($C1788=""," ",[1]!i_pq_pctchange($C1788,H$6,$N$1))</f>
        <v xml:space="preserve"> </v>
      </c>
      <c r="I1788" s="28" t="str">
        <f>IF($C1788=""," ",[1]!i_pq_pctchange($C1788,I$6,$N$1))</f>
        <v xml:space="preserve"> </v>
      </c>
      <c r="J1788" s="28" t="str">
        <f>IF($C1788=""," ",[1]!i_pq_pctchange($C1788,J$6,$N$1))</f>
        <v xml:space="preserve"> </v>
      </c>
      <c r="K1788" s="28" t="str">
        <f>IF($C1788=""," ",[1]!i_pq_pctchange($C1788,K$6,$N$1))</f>
        <v xml:space="preserve"> </v>
      </c>
      <c r="L1788" s="28" t="str">
        <f>IF(C1788=""," ",[1]!s_wq_pctchange($C1788,$N$1))</f>
        <v xml:space="preserve"> </v>
      </c>
      <c r="M1788" s="28" t="str">
        <f>IF(C1788=""," ",[1]!s_mq_pctchange($C1788,$N$1))</f>
        <v xml:space="preserve"> </v>
      </c>
      <c r="N1788" s="28" t="str">
        <f>IF(C1788=""," ",[1]!s_yq_pctchange($C1788,$N$1))</f>
        <v xml:space="preserve"> </v>
      </c>
      <c r="O1788" s="11"/>
      <c r="P1788" s="7"/>
    </row>
    <row r="1789" spans="1:16" x14ac:dyDescent="0.35">
      <c r="A1789" s="7"/>
      <c r="C1789" s="30" t="str">
        <f>IF(指数列表!B1786="","",指数列表!B1786)</f>
        <v/>
      </c>
      <c r="D1789" s="35" t="str">
        <f>IF(C1789="","",[1]!s_info_name(C1789))</f>
        <v/>
      </c>
      <c r="E1789" s="24" t="str">
        <f>IF(C1789="","",[1]!s_dq_close(C1789,$N$1))</f>
        <v/>
      </c>
      <c r="F1789" s="28" t="str">
        <f>IF($C1789=""," ",[1]!i_pq_pctchange($C1789,F$6,$N$1))</f>
        <v xml:space="preserve"> </v>
      </c>
      <c r="G1789" s="28" t="str">
        <f>IF($C1789=""," ",[1]!i_pq_pctchange($C1789,G$6,$N$1))</f>
        <v xml:space="preserve"> </v>
      </c>
      <c r="H1789" s="28" t="str">
        <f>IF($C1789=""," ",[1]!i_pq_pctchange($C1789,H$6,$N$1))</f>
        <v xml:space="preserve"> </v>
      </c>
      <c r="I1789" s="28" t="str">
        <f>IF($C1789=""," ",[1]!i_pq_pctchange($C1789,I$6,$N$1))</f>
        <v xml:space="preserve"> </v>
      </c>
      <c r="J1789" s="28" t="str">
        <f>IF($C1789=""," ",[1]!i_pq_pctchange($C1789,J$6,$N$1))</f>
        <v xml:space="preserve"> </v>
      </c>
      <c r="K1789" s="28" t="str">
        <f>IF($C1789=""," ",[1]!i_pq_pctchange($C1789,K$6,$N$1))</f>
        <v xml:space="preserve"> </v>
      </c>
      <c r="L1789" s="28" t="str">
        <f>IF(C1789=""," ",[1]!s_wq_pctchange($C1789,$N$1))</f>
        <v xml:space="preserve"> </v>
      </c>
      <c r="M1789" s="28" t="str">
        <f>IF(C1789=""," ",[1]!s_mq_pctchange($C1789,$N$1))</f>
        <v xml:space="preserve"> </v>
      </c>
      <c r="N1789" s="28" t="str">
        <f>IF(C1789=""," ",[1]!s_yq_pctchange($C1789,$N$1))</f>
        <v xml:space="preserve"> </v>
      </c>
      <c r="O1789" s="11"/>
      <c r="P1789" s="7"/>
    </row>
    <row r="1790" spans="1:16" x14ac:dyDescent="0.35">
      <c r="A1790" s="7"/>
      <c r="C1790" s="31" t="str">
        <f>IF(指数列表!B1787="","",指数列表!B1787)</f>
        <v/>
      </c>
      <c r="D1790" s="36" t="str">
        <f>IF(C1790="","",[1]!s_info_name(C1790))</f>
        <v/>
      </c>
      <c r="E1790" s="25" t="str">
        <f>IF(C1790="","",[1]!s_dq_close(C1790,$N$1))</f>
        <v/>
      </c>
      <c r="F1790" s="28" t="str">
        <f>IF($C1790=""," ",[1]!i_pq_pctchange($C1790,F$6,$N$1))</f>
        <v xml:space="preserve"> </v>
      </c>
      <c r="G1790" s="28" t="str">
        <f>IF($C1790=""," ",[1]!i_pq_pctchange($C1790,G$6,$N$1))</f>
        <v xml:space="preserve"> </v>
      </c>
      <c r="H1790" s="28" t="str">
        <f>IF($C1790=""," ",[1]!i_pq_pctchange($C1790,H$6,$N$1))</f>
        <v xml:space="preserve"> </v>
      </c>
      <c r="I1790" s="28" t="str">
        <f>IF($C1790=""," ",[1]!i_pq_pctchange($C1790,I$6,$N$1))</f>
        <v xml:space="preserve"> </v>
      </c>
      <c r="J1790" s="28" t="str">
        <f>IF($C1790=""," ",[1]!i_pq_pctchange($C1790,J$6,$N$1))</f>
        <v xml:space="preserve"> </v>
      </c>
      <c r="K1790" s="28" t="str">
        <f>IF($C1790=""," ",[1]!i_pq_pctchange($C1790,K$6,$N$1))</f>
        <v xml:space="preserve"> </v>
      </c>
      <c r="L1790" s="28" t="str">
        <f>IF(C1790=""," ",[1]!s_wq_pctchange($C1790,$N$1))</f>
        <v xml:space="preserve"> </v>
      </c>
      <c r="M1790" s="28" t="str">
        <f>IF(C1790=""," ",[1]!s_mq_pctchange($C1790,$N$1))</f>
        <v xml:space="preserve"> </v>
      </c>
      <c r="N1790" s="28" t="str">
        <f>IF(C1790=""," ",[1]!s_yq_pctchange($C1790,$N$1))</f>
        <v xml:space="preserve"> </v>
      </c>
      <c r="O1790" s="11"/>
      <c r="P1790" s="7"/>
    </row>
    <row r="1791" spans="1:16" x14ac:dyDescent="0.35">
      <c r="A1791" s="7"/>
      <c r="C1791" s="30" t="str">
        <f>IF(指数列表!B1788="","",指数列表!B1788)</f>
        <v/>
      </c>
      <c r="D1791" s="35" t="str">
        <f>IF(C1791="","",[1]!s_info_name(C1791))</f>
        <v/>
      </c>
      <c r="E1791" s="24" t="str">
        <f>IF(C1791="","",[1]!s_dq_close(C1791,$N$1))</f>
        <v/>
      </c>
      <c r="F1791" s="28" t="str">
        <f>IF($C1791=""," ",[1]!i_pq_pctchange($C1791,F$6,$N$1))</f>
        <v xml:space="preserve"> </v>
      </c>
      <c r="G1791" s="28" t="str">
        <f>IF($C1791=""," ",[1]!i_pq_pctchange($C1791,G$6,$N$1))</f>
        <v xml:space="preserve"> </v>
      </c>
      <c r="H1791" s="28" t="str">
        <f>IF($C1791=""," ",[1]!i_pq_pctchange($C1791,H$6,$N$1))</f>
        <v xml:space="preserve"> </v>
      </c>
      <c r="I1791" s="28" t="str">
        <f>IF($C1791=""," ",[1]!i_pq_pctchange($C1791,I$6,$N$1))</f>
        <v xml:space="preserve"> </v>
      </c>
      <c r="J1791" s="28" t="str">
        <f>IF($C1791=""," ",[1]!i_pq_pctchange($C1791,J$6,$N$1))</f>
        <v xml:space="preserve"> </v>
      </c>
      <c r="K1791" s="28" t="str">
        <f>IF($C1791=""," ",[1]!i_pq_pctchange($C1791,K$6,$N$1))</f>
        <v xml:space="preserve"> </v>
      </c>
      <c r="L1791" s="28" t="str">
        <f>IF(C1791=""," ",[1]!s_wq_pctchange($C1791,$N$1))</f>
        <v xml:space="preserve"> </v>
      </c>
      <c r="M1791" s="28" t="str">
        <f>IF(C1791=""," ",[1]!s_mq_pctchange($C1791,$N$1))</f>
        <v xml:space="preserve"> </v>
      </c>
      <c r="N1791" s="28" t="str">
        <f>IF(C1791=""," ",[1]!s_yq_pctchange($C1791,$N$1))</f>
        <v xml:space="preserve"> </v>
      </c>
      <c r="O1791" s="11"/>
      <c r="P1791" s="7"/>
    </row>
    <row r="1792" spans="1:16" x14ac:dyDescent="0.35">
      <c r="A1792" s="7"/>
      <c r="C1792" s="31" t="str">
        <f>IF(指数列表!B1789="","",指数列表!B1789)</f>
        <v/>
      </c>
      <c r="D1792" s="36" t="str">
        <f>IF(C1792="","",[1]!s_info_name(C1792))</f>
        <v/>
      </c>
      <c r="E1792" s="25" t="str">
        <f>IF(C1792="","",[1]!s_dq_close(C1792,$N$1))</f>
        <v/>
      </c>
      <c r="F1792" s="28" t="str">
        <f>IF($C1792=""," ",[1]!i_pq_pctchange($C1792,F$6,$N$1))</f>
        <v xml:space="preserve"> </v>
      </c>
      <c r="G1792" s="28" t="str">
        <f>IF($C1792=""," ",[1]!i_pq_pctchange($C1792,G$6,$N$1))</f>
        <v xml:space="preserve"> </v>
      </c>
      <c r="H1792" s="28" t="str">
        <f>IF($C1792=""," ",[1]!i_pq_pctchange($C1792,H$6,$N$1))</f>
        <v xml:space="preserve"> </v>
      </c>
      <c r="I1792" s="28" t="str">
        <f>IF($C1792=""," ",[1]!i_pq_pctchange($C1792,I$6,$N$1))</f>
        <v xml:space="preserve"> </v>
      </c>
      <c r="J1792" s="28" t="str">
        <f>IF($C1792=""," ",[1]!i_pq_pctchange($C1792,J$6,$N$1))</f>
        <v xml:space="preserve"> </v>
      </c>
      <c r="K1792" s="28" t="str">
        <f>IF($C1792=""," ",[1]!i_pq_pctchange($C1792,K$6,$N$1))</f>
        <v xml:space="preserve"> </v>
      </c>
      <c r="L1792" s="28" t="str">
        <f>IF(C1792=""," ",[1]!s_wq_pctchange($C1792,$N$1))</f>
        <v xml:space="preserve"> </v>
      </c>
      <c r="M1792" s="28" t="str">
        <f>IF(C1792=""," ",[1]!s_mq_pctchange($C1792,$N$1))</f>
        <v xml:space="preserve"> </v>
      </c>
      <c r="N1792" s="28" t="str">
        <f>IF(C1792=""," ",[1]!s_yq_pctchange($C1792,$N$1))</f>
        <v xml:space="preserve"> </v>
      </c>
      <c r="O1792" s="11"/>
      <c r="P1792" s="7"/>
    </row>
    <row r="1793" spans="1:16" x14ac:dyDescent="0.35">
      <c r="A1793" s="7"/>
      <c r="C1793" s="30" t="str">
        <f>IF(指数列表!B1790="","",指数列表!B1790)</f>
        <v/>
      </c>
      <c r="D1793" s="35" t="str">
        <f>IF(C1793="","",[1]!s_info_name(C1793))</f>
        <v/>
      </c>
      <c r="E1793" s="24" t="str">
        <f>IF(C1793="","",[1]!s_dq_close(C1793,$N$1))</f>
        <v/>
      </c>
      <c r="F1793" s="28" t="str">
        <f>IF($C1793=""," ",[1]!i_pq_pctchange($C1793,F$6,$N$1))</f>
        <v xml:space="preserve"> </v>
      </c>
      <c r="G1793" s="28" t="str">
        <f>IF($C1793=""," ",[1]!i_pq_pctchange($C1793,G$6,$N$1))</f>
        <v xml:space="preserve"> </v>
      </c>
      <c r="H1793" s="28" t="str">
        <f>IF($C1793=""," ",[1]!i_pq_pctchange($C1793,H$6,$N$1))</f>
        <v xml:space="preserve"> </v>
      </c>
      <c r="I1793" s="28" t="str">
        <f>IF($C1793=""," ",[1]!i_pq_pctchange($C1793,I$6,$N$1))</f>
        <v xml:space="preserve"> </v>
      </c>
      <c r="J1793" s="28" t="str">
        <f>IF($C1793=""," ",[1]!i_pq_pctchange($C1793,J$6,$N$1))</f>
        <v xml:space="preserve"> </v>
      </c>
      <c r="K1793" s="28" t="str">
        <f>IF($C1793=""," ",[1]!i_pq_pctchange($C1793,K$6,$N$1))</f>
        <v xml:space="preserve"> </v>
      </c>
      <c r="L1793" s="28" t="str">
        <f>IF(C1793=""," ",[1]!s_wq_pctchange($C1793,$N$1))</f>
        <v xml:space="preserve"> </v>
      </c>
      <c r="M1793" s="28" t="str">
        <f>IF(C1793=""," ",[1]!s_mq_pctchange($C1793,$N$1))</f>
        <v xml:space="preserve"> </v>
      </c>
      <c r="N1793" s="28" t="str">
        <f>IF(C1793=""," ",[1]!s_yq_pctchange($C1793,$N$1))</f>
        <v xml:space="preserve"> </v>
      </c>
      <c r="O1793" s="11"/>
      <c r="P1793" s="7"/>
    </row>
    <row r="1794" spans="1:16" x14ac:dyDescent="0.35">
      <c r="A1794" s="7"/>
      <c r="C1794" s="31" t="str">
        <f>IF(指数列表!B1791="","",指数列表!B1791)</f>
        <v/>
      </c>
      <c r="D1794" s="36" t="str">
        <f>IF(C1794="","",[1]!s_info_name(C1794))</f>
        <v/>
      </c>
      <c r="E1794" s="25" t="str">
        <f>IF(C1794="","",[1]!s_dq_close(C1794,$N$1))</f>
        <v/>
      </c>
      <c r="F1794" s="28" t="str">
        <f>IF($C1794=""," ",[1]!i_pq_pctchange($C1794,F$6,$N$1))</f>
        <v xml:space="preserve"> </v>
      </c>
      <c r="G1794" s="28" t="str">
        <f>IF($C1794=""," ",[1]!i_pq_pctchange($C1794,G$6,$N$1))</f>
        <v xml:space="preserve"> </v>
      </c>
      <c r="H1794" s="28" t="str">
        <f>IF($C1794=""," ",[1]!i_pq_pctchange($C1794,H$6,$N$1))</f>
        <v xml:space="preserve"> </v>
      </c>
      <c r="I1794" s="28" t="str">
        <f>IF($C1794=""," ",[1]!i_pq_pctchange($C1794,I$6,$N$1))</f>
        <v xml:space="preserve"> </v>
      </c>
      <c r="J1794" s="28" t="str">
        <f>IF($C1794=""," ",[1]!i_pq_pctchange($C1794,J$6,$N$1))</f>
        <v xml:space="preserve"> </v>
      </c>
      <c r="K1794" s="28" t="str">
        <f>IF($C1794=""," ",[1]!i_pq_pctchange($C1794,K$6,$N$1))</f>
        <v xml:space="preserve"> </v>
      </c>
      <c r="L1794" s="28" t="str">
        <f>IF(C1794=""," ",[1]!s_wq_pctchange($C1794,$N$1))</f>
        <v xml:space="preserve"> </v>
      </c>
      <c r="M1794" s="28" t="str">
        <f>IF(C1794=""," ",[1]!s_mq_pctchange($C1794,$N$1))</f>
        <v xml:space="preserve"> </v>
      </c>
      <c r="N1794" s="28" t="str">
        <f>IF(C1794=""," ",[1]!s_yq_pctchange($C1794,$N$1))</f>
        <v xml:space="preserve"> </v>
      </c>
      <c r="O1794" s="11"/>
      <c r="P1794" s="7"/>
    </row>
    <row r="1795" spans="1:16" x14ac:dyDescent="0.35">
      <c r="A1795" s="7"/>
      <c r="C1795" s="30" t="str">
        <f>IF(指数列表!B1792="","",指数列表!B1792)</f>
        <v/>
      </c>
      <c r="D1795" s="35" t="str">
        <f>IF(C1795="","",[1]!s_info_name(C1795))</f>
        <v/>
      </c>
      <c r="E1795" s="24" t="str">
        <f>IF(C1795="","",[1]!s_dq_close(C1795,$N$1))</f>
        <v/>
      </c>
      <c r="F1795" s="28" t="str">
        <f>IF($C1795=""," ",[1]!i_pq_pctchange($C1795,F$6,$N$1))</f>
        <v xml:space="preserve"> </v>
      </c>
      <c r="G1795" s="28" t="str">
        <f>IF($C1795=""," ",[1]!i_pq_pctchange($C1795,G$6,$N$1))</f>
        <v xml:space="preserve"> </v>
      </c>
      <c r="H1795" s="28" t="str">
        <f>IF($C1795=""," ",[1]!i_pq_pctchange($C1795,H$6,$N$1))</f>
        <v xml:space="preserve"> </v>
      </c>
      <c r="I1795" s="28" t="str">
        <f>IF($C1795=""," ",[1]!i_pq_pctchange($C1795,I$6,$N$1))</f>
        <v xml:space="preserve"> </v>
      </c>
      <c r="J1795" s="28" t="str">
        <f>IF($C1795=""," ",[1]!i_pq_pctchange($C1795,J$6,$N$1))</f>
        <v xml:space="preserve"> </v>
      </c>
      <c r="K1795" s="28" t="str">
        <f>IF($C1795=""," ",[1]!i_pq_pctchange($C1795,K$6,$N$1))</f>
        <v xml:space="preserve"> </v>
      </c>
      <c r="L1795" s="28" t="str">
        <f>IF(C1795=""," ",[1]!s_wq_pctchange($C1795,$N$1))</f>
        <v xml:space="preserve"> </v>
      </c>
      <c r="M1795" s="28" t="str">
        <f>IF(C1795=""," ",[1]!s_mq_pctchange($C1795,$N$1))</f>
        <v xml:space="preserve"> </v>
      </c>
      <c r="N1795" s="28" t="str">
        <f>IF(C1795=""," ",[1]!s_yq_pctchange($C1795,$N$1))</f>
        <v xml:space="preserve"> </v>
      </c>
      <c r="O1795" s="11"/>
      <c r="P1795" s="7"/>
    </row>
    <row r="1796" spans="1:16" x14ac:dyDescent="0.35">
      <c r="A1796" s="7"/>
      <c r="C1796" s="31" t="str">
        <f>IF(指数列表!B1793="","",指数列表!B1793)</f>
        <v/>
      </c>
      <c r="D1796" s="36" t="str">
        <f>IF(C1796="","",[1]!s_info_name(C1796))</f>
        <v/>
      </c>
      <c r="E1796" s="25" t="str">
        <f>IF(C1796="","",[1]!s_dq_close(C1796,$N$1))</f>
        <v/>
      </c>
      <c r="F1796" s="28" t="str">
        <f>IF($C1796=""," ",[1]!i_pq_pctchange($C1796,F$6,$N$1))</f>
        <v xml:space="preserve"> </v>
      </c>
      <c r="G1796" s="28" t="str">
        <f>IF($C1796=""," ",[1]!i_pq_pctchange($C1796,G$6,$N$1))</f>
        <v xml:space="preserve"> </v>
      </c>
      <c r="H1796" s="28" t="str">
        <f>IF($C1796=""," ",[1]!i_pq_pctchange($C1796,H$6,$N$1))</f>
        <v xml:space="preserve"> </v>
      </c>
      <c r="I1796" s="28" t="str">
        <f>IF($C1796=""," ",[1]!i_pq_pctchange($C1796,I$6,$N$1))</f>
        <v xml:space="preserve"> </v>
      </c>
      <c r="J1796" s="28" t="str">
        <f>IF($C1796=""," ",[1]!i_pq_pctchange($C1796,J$6,$N$1))</f>
        <v xml:space="preserve"> </v>
      </c>
      <c r="K1796" s="28" t="str">
        <f>IF($C1796=""," ",[1]!i_pq_pctchange($C1796,K$6,$N$1))</f>
        <v xml:space="preserve"> </v>
      </c>
      <c r="L1796" s="28" t="str">
        <f>IF(C1796=""," ",[1]!s_wq_pctchange($C1796,$N$1))</f>
        <v xml:space="preserve"> </v>
      </c>
      <c r="M1796" s="28" t="str">
        <f>IF(C1796=""," ",[1]!s_mq_pctchange($C1796,$N$1))</f>
        <v xml:space="preserve"> </v>
      </c>
      <c r="N1796" s="28" t="str">
        <f>IF(C1796=""," ",[1]!s_yq_pctchange($C1796,$N$1))</f>
        <v xml:space="preserve"> </v>
      </c>
      <c r="O1796" s="11"/>
      <c r="P1796" s="7"/>
    </row>
    <row r="1797" spans="1:16" x14ac:dyDescent="0.35">
      <c r="A1797" s="7"/>
      <c r="C1797" s="30" t="str">
        <f>IF(指数列表!B1794="","",指数列表!B1794)</f>
        <v/>
      </c>
      <c r="D1797" s="35" t="str">
        <f>IF(C1797="","",[1]!s_info_name(C1797))</f>
        <v/>
      </c>
      <c r="E1797" s="24" t="str">
        <f>IF(C1797="","",[1]!s_dq_close(C1797,$N$1))</f>
        <v/>
      </c>
      <c r="F1797" s="28" t="str">
        <f>IF($C1797=""," ",[1]!i_pq_pctchange($C1797,F$6,$N$1))</f>
        <v xml:space="preserve"> </v>
      </c>
      <c r="G1797" s="28" t="str">
        <f>IF($C1797=""," ",[1]!i_pq_pctchange($C1797,G$6,$N$1))</f>
        <v xml:space="preserve"> </v>
      </c>
      <c r="H1797" s="28" t="str">
        <f>IF($C1797=""," ",[1]!i_pq_pctchange($C1797,H$6,$N$1))</f>
        <v xml:space="preserve"> </v>
      </c>
      <c r="I1797" s="28" t="str">
        <f>IF($C1797=""," ",[1]!i_pq_pctchange($C1797,I$6,$N$1))</f>
        <v xml:space="preserve"> </v>
      </c>
      <c r="J1797" s="28" t="str">
        <f>IF($C1797=""," ",[1]!i_pq_pctchange($C1797,J$6,$N$1))</f>
        <v xml:space="preserve"> </v>
      </c>
      <c r="K1797" s="28" t="str">
        <f>IF($C1797=""," ",[1]!i_pq_pctchange($C1797,K$6,$N$1))</f>
        <v xml:space="preserve"> </v>
      </c>
      <c r="L1797" s="28" t="str">
        <f>IF(C1797=""," ",[1]!s_wq_pctchange($C1797,$N$1))</f>
        <v xml:space="preserve"> </v>
      </c>
      <c r="M1797" s="28" t="str">
        <f>IF(C1797=""," ",[1]!s_mq_pctchange($C1797,$N$1))</f>
        <v xml:space="preserve"> </v>
      </c>
      <c r="N1797" s="28" t="str">
        <f>IF(C1797=""," ",[1]!s_yq_pctchange($C1797,$N$1))</f>
        <v xml:space="preserve"> </v>
      </c>
      <c r="O1797" s="11"/>
      <c r="P1797" s="7"/>
    </row>
    <row r="1798" spans="1:16" x14ac:dyDescent="0.35">
      <c r="A1798" s="7"/>
      <c r="C1798" s="31" t="str">
        <f>IF(指数列表!B1795="","",指数列表!B1795)</f>
        <v/>
      </c>
      <c r="D1798" s="36" t="str">
        <f>IF(C1798="","",[1]!s_info_name(C1798))</f>
        <v/>
      </c>
      <c r="E1798" s="25" t="str">
        <f>IF(C1798="","",[1]!s_dq_close(C1798,$N$1))</f>
        <v/>
      </c>
      <c r="F1798" s="28" t="str">
        <f>IF($C1798=""," ",[1]!i_pq_pctchange($C1798,F$6,$N$1))</f>
        <v xml:space="preserve"> </v>
      </c>
      <c r="G1798" s="28" t="str">
        <f>IF($C1798=""," ",[1]!i_pq_pctchange($C1798,G$6,$N$1))</f>
        <v xml:space="preserve"> </v>
      </c>
      <c r="H1798" s="28" t="str">
        <f>IF($C1798=""," ",[1]!i_pq_pctchange($C1798,H$6,$N$1))</f>
        <v xml:space="preserve"> </v>
      </c>
      <c r="I1798" s="28" t="str">
        <f>IF($C1798=""," ",[1]!i_pq_pctchange($C1798,I$6,$N$1))</f>
        <v xml:space="preserve"> </v>
      </c>
      <c r="J1798" s="28" t="str">
        <f>IF($C1798=""," ",[1]!i_pq_pctchange($C1798,J$6,$N$1))</f>
        <v xml:space="preserve"> </v>
      </c>
      <c r="K1798" s="28" t="str">
        <f>IF($C1798=""," ",[1]!i_pq_pctchange($C1798,K$6,$N$1))</f>
        <v xml:space="preserve"> </v>
      </c>
      <c r="L1798" s="28" t="str">
        <f>IF(C1798=""," ",[1]!s_wq_pctchange($C1798,$N$1))</f>
        <v xml:space="preserve"> </v>
      </c>
      <c r="M1798" s="28" t="str">
        <f>IF(C1798=""," ",[1]!s_mq_pctchange($C1798,$N$1))</f>
        <v xml:space="preserve"> </v>
      </c>
      <c r="N1798" s="28" t="str">
        <f>IF(C1798=""," ",[1]!s_yq_pctchange($C1798,$N$1))</f>
        <v xml:space="preserve"> </v>
      </c>
      <c r="O1798" s="11"/>
      <c r="P1798" s="7"/>
    </row>
    <row r="1799" spans="1:16" x14ac:dyDescent="0.35">
      <c r="A1799" s="7"/>
      <c r="C1799" s="30" t="str">
        <f>IF(指数列表!B1796="","",指数列表!B1796)</f>
        <v/>
      </c>
      <c r="D1799" s="35" t="str">
        <f>IF(C1799="","",[1]!s_info_name(C1799))</f>
        <v/>
      </c>
      <c r="E1799" s="24" t="str">
        <f>IF(C1799="","",[1]!s_dq_close(C1799,$N$1))</f>
        <v/>
      </c>
      <c r="F1799" s="28" t="str">
        <f>IF($C1799=""," ",[1]!i_pq_pctchange($C1799,F$6,$N$1))</f>
        <v xml:space="preserve"> </v>
      </c>
      <c r="G1799" s="28" t="str">
        <f>IF($C1799=""," ",[1]!i_pq_pctchange($C1799,G$6,$N$1))</f>
        <v xml:space="preserve"> </v>
      </c>
      <c r="H1799" s="28" t="str">
        <f>IF($C1799=""," ",[1]!i_pq_pctchange($C1799,H$6,$N$1))</f>
        <v xml:space="preserve"> </v>
      </c>
      <c r="I1799" s="28" t="str">
        <f>IF($C1799=""," ",[1]!i_pq_pctchange($C1799,I$6,$N$1))</f>
        <v xml:space="preserve"> </v>
      </c>
      <c r="J1799" s="28" t="str">
        <f>IF($C1799=""," ",[1]!i_pq_pctchange($C1799,J$6,$N$1))</f>
        <v xml:space="preserve"> </v>
      </c>
      <c r="K1799" s="28" t="str">
        <f>IF($C1799=""," ",[1]!i_pq_pctchange($C1799,K$6,$N$1))</f>
        <v xml:space="preserve"> </v>
      </c>
      <c r="L1799" s="28" t="str">
        <f>IF(C1799=""," ",[1]!s_wq_pctchange($C1799,$N$1))</f>
        <v xml:space="preserve"> </v>
      </c>
      <c r="M1799" s="28" t="str">
        <f>IF(C1799=""," ",[1]!s_mq_pctchange($C1799,$N$1))</f>
        <v xml:space="preserve"> </v>
      </c>
      <c r="N1799" s="28" t="str">
        <f>IF(C1799=""," ",[1]!s_yq_pctchange($C1799,$N$1))</f>
        <v xml:space="preserve"> </v>
      </c>
      <c r="O1799" s="11"/>
      <c r="P1799" s="7"/>
    </row>
    <row r="1800" spans="1:16" x14ac:dyDescent="0.35">
      <c r="A1800" s="7"/>
      <c r="C1800" s="31" t="str">
        <f>IF(指数列表!B1797="","",指数列表!B1797)</f>
        <v/>
      </c>
      <c r="D1800" s="36" t="str">
        <f>IF(C1800="","",[1]!s_info_name(C1800))</f>
        <v/>
      </c>
      <c r="E1800" s="25" t="str">
        <f>IF(C1800="","",[1]!s_dq_close(C1800,$N$1))</f>
        <v/>
      </c>
      <c r="F1800" s="28" t="str">
        <f>IF($C1800=""," ",[1]!i_pq_pctchange($C1800,F$6,$N$1))</f>
        <v xml:space="preserve"> </v>
      </c>
      <c r="G1800" s="28" t="str">
        <f>IF($C1800=""," ",[1]!i_pq_pctchange($C1800,G$6,$N$1))</f>
        <v xml:space="preserve"> </v>
      </c>
      <c r="H1800" s="28" t="str">
        <f>IF($C1800=""," ",[1]!i_pq_pctchange($C1800,H$6,$N$1))</f>
        <v xml:space="preserve"> </v>
      </c>
      <c r="I1800" s="28" t="str">
        <f>IF($C1800=""," ",[1]!i_pq_pctchange($C1800,I$6,$N$1))</f>
        <v xml:space="preserve"> </v>
      </c>
      <c r="J1800" s="28" t="str">
        <f>IF($C1800=""," ",[1]!i_pq_pctchange($C1800,J$6,$N$1))</f>
        <v xml:space="preserve"> </v>
      </c>
      <c r="K1800" s="28" t="str">
        <f>IF($C1800=""," ",[1]!i_pq_pctchange($C1800,K$6,$N$1))</f>
        <v xml:space="preserve"> </v>
      </c>
      <c r="L1800" s="28" t="str">
        <f>IF(C1800=""," ",[1]!s_wq_pctchange($C1800,$N$1))</f>
        <v xml:space="preserve"> </v>
      </c>
      <c r="M1800" s="28" t="str">
        <f>IF(C1800=""," ",[1]!s_mq_pctchange($C1800,$N$1))</f>
        <v xml:space="preserve"> </v>
      </c>
      <c r="N1800" s="28" t="str">
        <f>IF(C1800=""," ",[1]!s_yq_pctchange($C1800,$N$1))</f>
        <v xml:space="preserve"> </v>
      </c>
      <c r="O1800" s="11"/>
      <c r="P1800" s="7"/>
    </row>
    <row r="1801" spans="1:16" x14ac:dyDescent="0.35">
      <c r="A1801" s="7"/>
      <c r="C1801" s="30" t="str">
        <f>IF(指数列表!B1798="","",指数列表!B1798)</f>
        <v/>
      </c>
      <c r="D1801" s="35" t="str">
        <f>IF(C1801="","",[1]!s_info_name(C1801))</f>
        <v/>
      </c>
      <c r="E1801" s="24" t="str">
        <f>IF(C1801="","",[1]!s_dq_close(C1801,$N$1))</f>
        <v/>
      </c>
      <c r="F1801" s="28" t="str">
        <f>IF($C1801=""," ",[1]!i_pq_pctchange($C1801,F$6,$N$1))</f>
        <v xml:space="preserve"> </v>
      </c>
      <c r="G1801" s="28" t="str">
        <f>IF($C1801=""," ",[1]!i_pq_pctchange($C1801,G$6,$N$1))</f>
        <v xml:space="preserve"> </v>
      </c>
      <c r="H1801" s="28" t="str">
        <f>IF($C1801=""," ",[1]!i_pq_pctchange($C1801,H$6,$N$1))</f>
        <v xml:space="preserve"> </v>
      </c>
      <c r="I1801" s="28" t="str">
        <f>IF($C1801=""," ",[1]!i_pq_pctchange($C1801,I$6,$N$1))</f>
        <v xml:space="preserve"> </v>
      </c>
      <c r="J1801" s="28" t="str">
        <f>IF($C1801=""," ",[1]!i_pq_pctchange($C1801,J$6,$N$1))</f>
        <v xml:space="preserve"> </v>
      </c>
      <c r="K1801" s="28" t="str">
        <f>IF($C1801=""," ",[1]!i_pq_pctchange($C1801,K$6,$N$1))</f>
        <v xml:space="preserve"> </v>
      </c>
      <c r="L1801" s="28" t="str">
        <f>IF(C1801=""," ",[1]!s_wq_pctchange($C1801,$N$1))</f>
        <v xml:space="preserve"> </v>
      </c>
      <c r="M1801" s="28" t="str">
        <f>IF(C1801=""," ",[1]!s_mq_pctchange($C1801,$N$1))</f>
        <v xml:space="preserve"> </v>
      </c>
      <c r="N1801" s="28" t="str">
        <f>IF(C1801=""," ",[1]!s_yq_pctchange($C1801,$N$1))</f>
        <v xml:space="preserve"> </v>
      </c>
      <c r="O1801" s="11"/>
      <c r="P1801" s="7"/>
    </row>
    <row r="1802" spans="1:16" x14ac:dyDescent="0.35">
      <c r="A1802" s="7"/>
      <c r="C1802" s="31" t="str">
        <f>IF(指数列表!B1799="","",指数列表!B1799)</f>
        <v/>
      </c>
      <c r="D1802" s="36" t="str">
        <f>IF(C1802="","",[1]!s_info_name(C1802))</f>
        <v/>
      </c>
      <c r="E1802" s="25" t="str">
        <f>IF(C1802="","",[1]!s_dq_close(C1802,$N$1))</f>
        <v/>
      </c>
      <c r="F1802" s="28" t="str">
        <f>IF($C1802=""," ",[1]!i_pq_pctchange($C1802,F$6,$N$1))</f>
        <v xml:space="preserve"> </v>
      </c>
      <c r="G1802" s="28" t="str">
        <f>IF($C1802=""," ",[1]!i_pq_pctchange($C1802,G$6,$N$1))</f>
        <v xml:space="preserve"> </v>
      </c>
      <c r="H1802" s="28" t="str">
        <f>IF($C1802=""," ",[1]!i_pq_pctchange($C1802,H$6,$N$1))</f>
        <v xml:space="preserve"> </v>
      </c>
      <c r="I1802" s="28" t="str">
        <f>IF($C1802=""," ",[1]!i_pq_pctchange($C1802,I$6,$N$1))</f>
        <v xml:space="preserve"> </v>
      </c>
      <c r="J1802" s="28" t="str">
        <f>IF($C1802=""," ",[1]!i_pq_pctchange($C1802,J$6,$N$1))</f>
        <v xml:space="preserve"> </v>
      </c>
      <c r="K1802" s="28" t="str">
        <f>IF($C1802=""," ",[1]!i_pq_pctchange($C1802,K$6,$N$1))</f>
        <v xml:space="preserve"> </v>
      </c>
      <c r="L1802" s="28" t="str">
        <f>IF(C1802=""," ",[1]!s_wq_pctchange($C1802,$N$1))</f>
        <v xml:space="preserve"> </v>
      </c>
      <c r="M1802" s="28" t="str">
        <f>IF(C1802=""," ",[1]!s_mq_pctchange($C1802,$N$1))</f>
        <v xml:space="preserve"> </v>
      </c>
      <c r="N1802" s="28" t="str">
        <f>IF(C1802=""," ",[1]!s_yq_pctchange($C1802,$N$1))</f>
        <v xml:space="preserve"> </v>
      </c>
      <c r="O1802" s="11"/>
      <c r="P1802" s="7"/>
    </row>
    <row r="1803" spans="1:16" x14ac:dyDescent="0.35">
      <c r="A1803" s="7"/>
      <c r="C1803" s="30" t="str">
        <f>IF(指数列表!B1800="","",指数列表!B1800)</f>
        <v/>
      </c>
      <c r="D1803" s="35" t="str">
        <f>IF(C1803="","",[1]!s_info_name(C1803))</f>
        <v/>
      </c>
      <c r="E1803" s="24" t="str">
        <f>IF(C1803="","",[1]!s_dq_close(C1803,$N$1))</f>
        <v/>
      </c>
      <c r="F1803" s="28" t="str">
        <f>IF($C1803=""," ",[1]!i_pq_pctchange($C1803,F$6,$N$1))</f>
        <v xml:space="preserve"> </v>
      </c>
      <c r="G1803" s="28" t="str">
        <f>IF($C1803=""," ",[1]!i_pq_pctchange($C1803,G$6,$N$1))</f>
        <v xml:space="preserve"> </v>
      </c>
      <c r="H1803" s="28" t="str">
        <f>IF($C1803=""," ",[1]!i_pq_pctchange($C1803,H$6,$N$1))</f>
        <v xml:space="preserve"> </v>
      </c>
      <c r="I1803" s="28" t="str">
        <f>IF($C1803=""," ",[1]!i_pq_pctchange($C1803,I$6,$N$1))</f>
        <v xml:space="preserve"> </v>
      </c>
      <c r="J1803" s="28" t="str">
        <f>IF($C1803=""," ",[1]!i_pq_pctchange($C1803,J$6,$N$1))</f>
        <v xml:space="preserve"> </v>
      </c>
      <c r="K1803" s="28" t="str">
        <f>IF($C1803=""," ",[1]!i_pq_pctchange($C1803,K$6,$N$1))</f>
        <v xml:space="preserve"> </v>
      </c>
      <c r="L1803" s="28" t="str">
        <f>IF(C1803=""," ",[1]!s_wq_pctchange($C1803,$N$1))</f>
        <v xml:space="preserve"> </v>
      </c>
      <c r="M1803" s="28" t="str">
        <f>IF(C1803=""," ",[1]!s_mq_pctchange($C1803,$N$1))</f>
        <v xml:space="preserve"> </v>
      </c>
      <c r="N1803" s="28" t="str">
        <f>IF(C1803=""," ",[1]!s_yq_pctchange($C1803,$N$1))</f>
        <v xml:space="preserve"> </v>
      </c>
      <c r="O1803" s="11"/>
      <c r="P1803" s="7"/>
    </row>
    <row r="1804" spans="1:16" x14ac:dyDescent="0.35">
      <c r="A1804" s="7"/>
      <c r="C1804" s="31" t="str">
        <f>IF(指数列表!B1801="","",指数列表!B1801)</f>
        <v/>
      </c>
      <c r="D1804" s="36" t="str">
        <f>IF(C1804="","",[1]!s_info_name(C1804))</f>
        <v/>
      </c>
      <c r="E1804" s="25" t="str">
        <f>IF(C1804="","",[1]!s_dq_close(C1804,$N$1))</f>
        <v/>
      </c>
      <c r="F1804" s="28" t="str">
        <f>IF($C1804=""," ",[1]!i_pq_pctchange($C1804,F$6,$N$1))</f>
        <v xml:space="preserve"> </v>
      </c>
      <c r="G1804" s="28" t="str">
        <f>IF($C1804=""," ",[1]!i_pq_pctchange($C1804,G$6,$N$1))</f>
        <v xml:space="preserve"> </v>
      </c>
      <c r="H1804" s="28" t="str">
        <f>IF($C1804=""," ",[1]!i_pq_pctchange($C1804,H$6,$N$1))</f>
        <v xml:space="preserve"> </v>
      </c>
      <c r="I1804" s="28" t="str">
        <f>IF($C1804=""," ",[1]!i_pq_pctchange($C1804,I$6,$N$1))</f>
        <v xml:space="preserve"> </v>
      </c>
      <c r="J1804" s="28" t="str">
        <f>IF($C1804=""," ",[1]!i_pq_pctchange($C1804,J$6,$N$1))</f>
        <v xml:space="preserve"> </v>
      </c>
      <c r="K1804" s="28" t="str">
        <f>IF($C1804=""," ",[1]!i_pq_pctchange($C1804,K$6,$N$1))</f>
        <v xml:space="preserve"> </v>
      </c>
      <c r="L1804" s="28" t="str">
        <f>IF(C1804=""," ",[1]!s_wq_pctchange($C1804,$N$1))</f>
        <v xml:space="preserve"> </v>
      </c>
      <c r="M1804" s="28" t="str">
        <f>IF(C1804=""," ",[1]!s_mq_pctchange($C1804,$N$1))</f>
        <v xml:space="preserve"> </v>
      </c>
      <c r="N1804" s="28" t="str">
        <f>IF(C1804=""," ",[1]!s_yq_pctchange($C1804,$N$1))</f>
        <v xml:space="preserve"> </v>
      </c>
      <c r="O1804" s="11"/>
      <c r="P1804" s="7"/>
    </row>
    <row r="1805" spans="1:16" x14ac:dyDescent="0.35">
      <c r="A1805" s="7"/>
      <c r="C1805" s="30" t="str">
        <f>IF(指数列表!B1802="","",指数列表!B1802)</f>
        <v/>
      </c>
      <c r="D1805" s="35" t="str">
        <f>IF(C1805="","",[1]!s_info_name(C1805))</f>
        <v/>
      </c>
      <c r="E1805" s="24" t="str">
        <f>IF(C1805="","",[1]!s_dq_close(C1805,$N$1))</f>
        <v/>
      </c>
      <c r="F1805" s="28" t="str">
        <f>IF($C1805=""," ",[1]!i_pq_pctchange($C1805,F$6,$N$1))</f>
        <v xml:space="preserve"> </v>
      </c>
      <c r="G1805" s="28" t="str">
        <f>IF($C1805=""," ",[1]!i_pq_pctchange($C1805,G$6,$N$1))</f>
        <v xml:space="preserve"> </v>
      </c>
      <c r="H1805" s="28" t="str">
        <f>IF($C1805=""," ",[1]!i_pq_pctchange($C1805,H$6,$N$1))</f>
        <v xml:space="preserve"> </v>
      </c>
      <c r="I1805" s="28" t="str">
        <f>IF($C1805=""," ",[1]!i_pq_pctchange($C1805,I$6,$N$1))</f>
        <v xml:space="preserve"> </v>
      </c>
      <c r="J1805" s="28" t="str">
        <f>IF($C1805=""," ",[1]!i_pq_pctchange($C1805,J$6,$N$1))</f>
        <v xml:space="preserve"> </v>
      </c>
      <c r="K1805" s="28" t="str">
        <f>IF($C1805=""," ",[1]!i_pq_pctchange($C1805,K$6,$N$1))</f>
        <v xml:space="preserve"> </v>
      </c>
      <c r="L1805" s="28" t="str">
        <f>IF(C1805=""," ",[1]!s_wq_pctchange($C1805,$N$1))</f>
        <v xml:space="preserve"> </v>
      </c>
      <c r="M1805" s="28" t="str">
        <f>IF(C1805=""," ",[1]!s_mq_pctchange($C1805,$N$1))</f>
        <v xml:space="preserve"> </v>
      </c>
      <c r="N1805" s="28" t="str">
        <f>IF(C1805=""," ",[1]!s_yq_pctchange($C1805,$N$1))</f>
        <v xml:space="preserve"> </v>
      </c>
      <c r="O1805" s="11"/>
      <c r="P1805" s="7"/>
    </row>
    <row r="1806" spans="1:16" x14ac:dyDescent="0.35">
      <c r="A1806" s="7"/>
      <c r="C1806" s="31" t="str">
        <f>IF(指数列表!B1803="","",指数列表!B1803)</f>
        <v/>
      </c>
      <c r="D1806" s="36" t="str">
        <f>IF(C1806="","",[1]!s_info_name(C1806))</f>
        <v/>
      </c>
      <c r="E1806" s="25" t="str">
        <f>IF(C1806="","",[1]!s_dq_close(C1806,$N$1))</f>
        <v/>
      </c>
      <c r="F1806" s="28" t="str">
        <f>IF($C1806=""," ",[1]!i_pq_pctchange($C1806,F$6,$N$1))</f>
        <v xml:space="preserve"> </v>
      </c>
      <c r="G1806" s="28" t="str">
        <f>IF($C1806=""," ",[1]!i_pq_pctchange($C1806,G$6,$N$1))</f>
        <v xml:space="preserve"> </v>
      </c>
      <c r="H1806" s="28" t="str">
        <f>IF($C1806=""," ",[1]!i_pq_pctchange($C1806,H$6,$N$1))</f>
        <v xml:space="preserve"> </v>
      </c>
      <c r="I1806" s="28" t="str">
        <f>IF($C1806=""," ",[1]!i_pq_pctchange($C1806,I$6,$N$1))</f>
        <v xml:space="preserve"> </v>
      </c>
      <c r="J1806" s="28" t="str">
        <f>IF($C1806=""," ",[1]!i_pq_pctchange($C1806,J$6,$N$1))</f>
        <v xml:space="preserve"> </v>
      </c>
      <c r="K1806" s="28" t="str">
        <f>IF($C1806=""," ",[1]!i_pq_pctchange($C1806,K$6,$N$1))</f>
        <v xml:space="preserve"> </v>
      </c>
      <c r="L1806" s="28" t="str">
        <f>IF(C1806=""," ",[1]!s_wq_pctchange($C1806,$N$1))</f>
        <v xml:space="preserve"> </v>
      </c>
      <c r="M1806" s="28" t="str">
        <f>IF(C1806=""," ",[1]!s_mq_pctchange($C1806,$N$1))</f>
        <v xml:space="preserve"> </v>
      </c>
      <c r="N1806" s="28" t="str">
        <f>IF(C1806=""," ",[1]!s_yq_pctchange($C1806,$N$1))</f>
        <v xml:space="preserve"> </v>
      </c>
      <c r="O1806" s="11"/>
      <c r="P1806" s="7"/>
    </row>
    <row r="1807" spans="1:16" x14ac:dyDescent="0.35">
      <c r="A1807" s="7"/>
      <c r="C1807" s="30" t="str">
        <f>IF(指数列表!B1804="","",指数列表!B1804)</f>
        <v/>
      </c>
      <c r="D1807" s="35" t="str">
        <f>IF(C1807="","",[1]!s_info_name(C1807))</f>
        <v/>
      </c>
      <c r="E1807" s="24" t="str">
        <f>IF(C1807="","",[1]!s_dq_close(C1807,$N$1))</f>
        <v/>
      </c>
      <c r="F1807" s="28" t="str">
        <f>IF($C1807=""," ",[1]!i_pq_pctchange($C1807,F$6,$N$1))</f>
        <v xml:space="preserve"> </v>
      </c>
      <c r="G1807" s="28" t="str">
        <f>IF($C1807=""," ",[1]!i_pq_pctchange($C1807,G$6,$N$1))</f>
        <v xml:space="preserve"> </v>
      </c>
      <c r="H1807" s="28" t="str">
        <f>IF($C1807=""," ",[1]!i_pq_pctchange($C1807,H$6,$N$1))</f>
        <v xml:space="preserve"> </v>
      </c>
      <c r="I1807" s="28" t="str">
        <f>IF($C1807=""," ",[1]!i_pq_pctchange($C1807,I$6,$N$1))</f>
        <v xml:space="preserve"> </v>
      </c>
      <c r="J1807" s="28" t="str">
        <f>IF($C1807=""," ",[1]!i_pq_pctchange($C1807,J$6,$N$1))</f>
        <v xml:space="preserve"> </v>
      </c>
      <c r="K1807" s="28" t="str">
        <f>IF($C1807=""," ",[1]!i_pq_pctchange($C1807,K$6,$N$1))</f>
        <v xml:space="preserve"> </v>
      </c>
      <c r="L1807" s="28" t="str">
        <f>IF(C1807=""," ",[1]!s_wq_pctchange($C1807,$N$1))</f>
        <v xml:space="preserve"> </v>
      </c>
      <c r="M1807" s="28" t="str">
        <f>IF(C1807=""," ",[1]!s_mq_pctchange($C1807,$N$1))</f>
        <v xml:space="preserve"> </v>
      </c>
      <c r="N1807" s="28" t="str">
        <f>IF(C1807=""," ",[1]!s_yq_pctchange($C1807,$N$1))</f>
        <v xml:space="preserve"> </v>
      </c>
      <c r="O1807" s="11"/>
      <c r="P1807" s="7"/>
    </row>
    <row r="1808" spans="1:16" x14ac:dyDescent="0.35">
      <c r="A1808" s="7"/>
      <c r="C1808" s="31" t="str">
        <f>IF(指数列表!B1805="","",指数列表!B1805)</f>
        <v/>
      </c>
      <c r="D1808" s="36" t="str">
        <f>IF(C1808="","",[1]!s_info_name(C1808))</f>
        <v/>
      </c>
      <c r="E1808" s="25" t="str">
        <f>IF(C1808="","",[1]!s_dq_close(C1808,$N$1))</f>
        <v/>
      </c>
      <c r="F1808" s="28" t="str">
        <f>IF($C1808=""," ",[1]!i_pq_pctchange($C1808,F$6,$N$1))</f>
        <v xml:space="preserve"> </v>
      </c>
      <c r="G1808" s="28" t="str">
        <f>IF($C1808=""," ",[1]!i_pq_pctchange($C1808,G$6,$N$1))</f>
        <v xml:space="preserve"> </v>
      </c>
      <c r="H1808" s="28" t="str">
        <f>IF($C1808=""," ",[1]!i_pq_pctchange($C1808,H$6,$N$1))</f>
        <v xml:space="preserve"> </v>
      </c>
      <c r="I1808" s="28" t="str">
        <f>IF($C1808=""," ",[1]!i_pq_pctchange($C1808,I$6,$N$1))</f>
        <v xml:space="preserve"> </v>
      </c>
      <c r="J1808" s="28" t="str">
        <f>IF($C1808=""," ",[1]!i_pq_pctchange($C1808,J$6,$N$1))</f>
        <v xml:space="preserve"> </v>
      </c>
      <c r="K1808" s="28" t="str">
        <f>IF($C1808=""," ",[1]!i_pq_pctchange($C1808,K$6,$N$1))</f>
        <v xml:space="preserve"> </v>
      </c>
      <c r="L1808" s="28" t="str">
        <f>IF(C1808=""," ",[1]!s_wq_pctchange($C1808,$N$1))</f>
        <v xml:space="preserve"> </v>
      </c>
      <c r="M1808" s="28" t="str">
        <f>IF(C1808=""," ",[1]!s_mq_pctchange($C1808,$N$1))</f>
        <v xml:space="preserve"> </v>
      </c>
      <c r="N1808" s="28" t="str">
        <f>IF(C1808=""," ",[1]!s_yq_pctchange($C1808,$N$1))</f>
        <v xml:space="preserve"> </v>
      </c>
      <c r="O1808" s="11"/>
      <c r="P1808" s="7"/>
    </row>
    <row r="1809" spans="1:16" x14ac:dyDescent="0.35">
      <c r="A1809" s="7"/>
      <c r="C1809" s="30" t="str">
        <f>IF(指数列表!B1806="","",指数列表!B1806)</f>
        <v/>
      </c>
      <c r="D1809" s="35" t="str">
        <f>IF(C1809="","",[1]!s_info_name(C1809))</f>
        <v/>
      </c>
      <c r="E1809" s="24" t="str">
        <f>IF(C1809="","",[1]!s_dq_close(C1809,$N$1))</f>
        <v/>
      </c>
      <c r="F1809" s="28" t="str">
        <f>IF($C1809=""," ",[1]!i_pq_pctchange($C1809,F$6,$N$1))</f>
        <v xml:space="preserve"> </v>
      </c>
      <c r="G1809" s="28" t="str">
        <f>IF($C1809=""," ",[1]!i_pq_pctchange($C1809,G$6,$N$1))</f>
        <v xml:space="preserve"> </v>
      </c>
      <c r="H1809" s="28" t="str">
        <f>IF($C1809=""," ",[1]!i_pq_pctchange($C1809,H$6,$N$1))</f>
        <v xml:space="preserve"> </v>
      </c>
      <c r="I1809" s="28" t="str">
        <f>IF($C1809=""," ",[1]!i_pq_pctchange($C1809,I$6,$N$1))</f>
        <v xml:space="preserve"> </v>
      </c>
      <c r="J1809" s="28" t="str">
        <f>IF($C1809=""," ",[1]!i_pq_pctchange($C1809,J$6,$N$1))</f>
        <v xml:space="preserve"> </v>
      </c>
      <c r="K1809" s="28" t="str">
        <f>IF($C1809=""," ",[1]!i_pq_pctchange($C1809,K$6,$N$1))</f>
        <v xml:space="preserve"> </v>
      </c>
      <c r="L1809" s="28" t="str">
        <f>IF(C1809=""," ",[1]!s_wq_pctchange($C1809,$N$1))</f>
        <v xml:space="preserve"> </v>
      </c>
      <c r="M1809" s="28" t="str">
        <f>IF(C1809=""," ",[1]!s_mq_pctchange($C1809,$N$1))</f>
        <v xml:space="preserve"> </v>
      </c>
      <c r="N1809" s="28" t="str">
        <f>IF(C1809=""," ",[1]!s_yq_pctchange($C1809,$N$1))</f>
        <v xml:space="preserve"> </v>
      </c>
      <c r="O1809" s="11"/>
      <c r="P1809" s="7"/>
    </row>
    <row r="1810" spans="1:16" x14ac:dyDescent="0.35">
      <c r="A1810" s="7"/>
      <c r="C1810" s="31" t="str">
        <f>IF(指数列表!B1807="","",指数列表!B1807)</f>
        <v/>
      </c>
      <c r="D1810" s="36" t="str">
        <f>IF(C1810="","",[1]!s_info_name(C1810))</f>
        <v/>
      </c>
      <c r="E1810" s="25" t="str">
        <f>IF(C1810="","",[1]!s_dq_close(C1810,$N$1))</f>
        <v/>
      </c>
      <c r="F1810" s="28" t="str">
        <f>IF($C1810=""," ",[1]!i_pq_pctchange($C1810,F$6,$N$1))</f>
        <v xml:space="preserve"> </v>
      </c>
      <c r="G1810" s="28" t="str">
        <f>IF($C1810=""," ",[1]!i_pq_pctchange($C1810,G$6,$N$1))</f>
        <v xml:space="preserve"> </v>
      </c>
      <c r="H1810" s="28" t="str">
        <f>IF($C1810=""," ",[1]!i_pq_pctchange($C1810,H$6,$N$1))</f>
        <v xml:space="preserve"> </v>
      </c>
      <c r="I1810" s="28" t="str">
        <f>IF($C1810=""," ",[1]!i_pq_pctchange($C1810,I$6,$N$1))</f>
        <v xml:space="preserve"> </v>
      </c>
      <c r="J1810" s="28" t="str">
        <f>IF($C1810=""," ",[1]!i_pq_pctchange($C1810,J$6,$N$1))</f>
        <v xml:space="preserve"> </v>
      </c>
      <c r="K1810" s="28" t="str">
        <f>IF($C1810=""," ",[1]!i_pq_pctchange($C1810,K$6,$N$1))</f>
        <v xml:space="preserve"> </v>
      </c>
      <c r="L1810" s="28" t="str">
        <f>IF(C1810=""," ",[1]!s_wq_pctchange($C1810,$N$1))</f>
        <v xml:space="preserve"> </v>
      </c>
      <c r="M1810" s="28" t="str">
        <f>IF(C1810=""," ",[1]!s_mq_pctchange($C1810,$N$1))</f>
        <v xml:space="preserve"> </v>
      </c>
      <c r="N1810" s="28" t="str">
        <f>IF(C1810=""," ",[1]!s_yq_pctchange($C1810,$N$1))</f>
        <v xml:space="preserve"> </v>
      </c>
      <c r="O1810" s="11"/>
      <c r="P1810" s="7"/>
    </row>
    <row r="1811" spans="1:16" x14ac:dyDescent="0.35">
      <c r="A1811" s="7"/>
      <c r="C1811" s="30" t="str">
        <f>IF(指数列表!B1808="","",指数列表!B1808)</f>
        <v/>
      </c>
      <c r="D1811" s="35" t="str">
        <f>IF(C1811="","",[1]!s_info_name(C1811))</f>
        <v/>
      </c>
      <c r="E1811" s="24" t="str">
        <f>IF(C1811="","",[1]!s_dq_close(C1811,$N$1))</f>
        <v/>
      </c>
      <c r="F1811" s="28" t="str">
        <f>IF($C1811=""," ",[1]!i_pq_pctchange($C1811,F$6,$N$1))</f>
        <v xml:space="preserve"> </v>
      </c>
      <c r="G1811" s="28" t="str">
        <f>IF($C1811=""," ",[1]!i_pq_pctchange($C1811,G$6,$N$1))</f>
        <v xml:space="preserve"> </v>
      </c>
      <c r="H1811" s="28" t="str">
        <f>IF($C1811=""," ",[1]!i_pq_pctchange($C1811,H$6,$N$1))</f>
        <v xml:space="preserve"> </v>
      </c>
      <c r="I1811" s="28" t="str">
        <f>IF($C1811=""," ",[1]!i_pq_pctchange($C1811,I$6,$N$1))</f>
        <v xml:space="preserve"> </v>
      </c>
      <c r="J1811" s="28" t="str">
        <f>IF($C1811=""," ",[1]!i_pq_pctchange($C1811,J$6,$N$1))</f>
        <v xml:space="preserve"> </v>
      </c>
      <c r="K1811" s="28" t="str">
        <f>IF($C1811=""," ",[1]!i_pq_pctchange($C1811,K$6,$N$1))</f>
        <v xml:space="preserve"> </v>
      </c>
      <c r="L1811" s="28" t="str">
        <f>IF(C1811=""," ",[1]!s_wq_pctchange($C1811,$N$1))</f>
        <v xml:space="preserve"> </v>
      </c>
      <c r="M1811" s="28" t="str">
        <f>IF(C1811=""," ",[1]!s_mq_pctchange($C1811,$N$1))</f>
        <v xml:space="preserve"> </v>
      </c>
      <c r="N1811" s="28" t="str">
        <f>IF(C1811=""," ",[1]!s_yq_pctchange($C1811,$N$1))</f>
        <v xml:space="preserve"> </v>
      </c>
      <c r="O1811" s="11"/>
      <c r="P1811" s="7"/>
    </row>
    <row r="1812" spans="1:16" x14ac:dyDescent="0.35">
      <c r="A1812" s="7"/>
      <c r="C1812" s="31" t="str">
        <f>IF(指数列表!B1809="","",指数列表!B1809)</f>
        <v/>
      </c>
      <c r="D1812" s="36" t="str">
        <f>IF(C1812="","",[1]!s_info_name(C1812))</f>
        <v/>
      </c>
      <c r="E1812" s="25" t="str">
        <f>IF(C1812="","",[1]!s_dq_close(C1812,$N$1))</f>
        <v/>
      </c>
      <c r="F1812" s="28" t="str">
        <f>IF($C1812=""," ",[1]!i_pq_pctchange($C1812,F$6,$N$1))</f>
        <v xml:space="preserve"> </v>
      </c>
      <c r="G1812" s="28" t="str">
        <f>IF($C1812=""," ",[1]!i_pq_pctchange($C1812,G$6,$N$1))</f>
        <v xml:space="preserve"> </v>
      </c>
      <c r="H1812" s="28" t="str">
        <f>IF($C1812=""," ",[1]!i_pq_pctchange($C1812,H$6,$N$1))</f>
        <v xml:space="preserve"> </v>
      </c>
      <c r="I1812" s="28" t="str">
        <f>IF($C1812=""," ",[1]!i_pq_pctchange($C1812,I$6,$N$1))</f>
        <v xml:space="preserve"> </v>
      </c>
      <c r="J1812" s="28" t="str">
        <f>IF($C1812=""," ",[1]!i_pq_pctchange($C1812,J$6,$N$1))</f>
        <v xml:space="preserve"> </v>
      </c>
      <c r="K1812" s="28" t="str">
        <f>IF($C1812=""," ",[1]!i_pq_pctchange($C1812,K$6,$N$1))</f>
        <v xml:space="preserve"> </v>
      </c>
      <c r="L1812" s="28" t="str">
        <f>IF(C1812=""," ",[1]!s_wq_pctchange($C1812,$N$1))</f>
        <v xml:space="preserve"> </v>
      </c>
      <c r="M1812" s="28" t="str">
        <f>IF(C1812=""," ",[1]!s_mq_pctchange($C1812,$N$1))</f>
        <v xml:space="preserve"> </v>
      </c>
      <c r="N1812" s="28" t="str">
        <f>IF(C1812=""," ",[1]!s_yq_pctchange($C1812,$N$1))</f>
        <v xml:space="preserve"> </v>
      </c>
      <c r="O1812" s="11"/>
      <c r="P1812" s="7"/>
    </row>
    <row r="1813" spans="1:16" x14ac:dyDescent="0.35">
      <c r="A1813" s="7"/>
      <c r="C1813" s="30" t="str">
        <f>IF(指数列表!B1810="","",指数列表!B1810)</f>
        <v/>
      </c>
      <c r="D1813" s="35" t="str">
        <f>IF(C1813="","",[1]!s_info_name(C1813))</f>
        <v/>
      </c>
      <c r="E1813" s="24" t="str">
        <f>IF(C1813="","",[1]!s_dq_close(C1813,$N$1))</f>
        <v/>
      </c>
      <c r="F1813" s="28" t="str">
        <f>IF($C1813=""," ",[1]!i_pq_pctchange($C1813,F$6,$N$1))</f>
        <v xml:space="preserve"> </v>
      </c>
      <c r="G1813" s="28" t="str">
        <f>IF($C1813=""," ",[1]!i_pq_pctchange($C1813,G$6,$N$1))</f>
        <v xml:space="preserve"> </v>
      </c>
      <c r="H1813" s="28" t="str">
        <f>IF($C1813=""," ",[1]!i_pq_pctchange($C1813,H$6,$N$1))</f>
        <v xml:space="preserve"> </v>
      </c>
      <c r="I1813" s="28" t="str">
        <f>IF($C1813=""," ",[1]!i_pq_pctchange($C1813,I$6,$N$1))</f>
        <v xml:space="preserve"> </v>
      </c>
      <c r="J1813" s="28" t="str">
        <f>IF($C1813=""," ",[1]!i_pq_pctchange($C1813,J$6,$N$1))</f>
        <v xml:space="preserve"> </v>
      </c>
      <c r="K1813" s="28" t="str">
        <f>IF($C1813=""," ",[1]!i_pq_pctchange($C1813,K$6,$N$1))</f>
        <v xml:space="preserve"> </v>
      </c>
      <c r="L1813" s="28" t="str">
        <f>IF(C1813=""," ",[1]!s_wq_pctchange($C1813,$N$1))</f>
        <v xml:space="preserve"> </v>
      </c>
      <c r="M1813" s="28" t="str">
        <f>IF(C1813=""," ",[1]!s_mq_pctchange($C1813,$N$1))</f>
        <v xml:space="preserve"> </v>
      </c>
      <c r="N1813" s="28" t="str">
        <f>IF(C1813=""," ",[1]!s_yq_pctchange($C1813,$N$1))</f>
        <v xml:space="preserve"> </v>
      </c>
      <c r="O1813" s="11"/>
      <c r="P1813" s="7"/>
    </row>
    <row r="1814" spans="1:16" x14ac:dyDescent="0.35">
      <c r="A1814" s="7"/>
      <c r="C1814" s="31" t="str">
        <f>IF(指数列表!B1811="","",指数列表!B1811)</f>
        <v/>
      </c>
      <c r="D1814" s="36" t="str">
        <f>IF(C1814="","",[1]!s_info_name(C1814))</f>
        <v/>
      </c>
      <c r="E1814" s="25" t="str">
        <f>IF(C1814="","",[1]!s_dq_close(C1814,$N$1))</f>
        <v/>
      </c>
      <c r="F1814" s="28" t="str">
        <f>IF($C1814=""," ",[1]!i_pq_pctchange($C1814,F$6,$N$1))</f>
        <v xml:space="preserve"> </v>
      </c>
      <c r="G1814" s="28" t="str">
        <f>IF($C1814=""," ",[1]!i_pq_pctchange($C1814,G$6,$N$1))</f>
        <v xml:space="preserve"> </v>
      </c>
      <c r="H1814" s="28" t="str">
        <f>IF($C1814=""," ",[1]!i_pq_pctchange($C1814,H$6,$N$1))</f>
        <v xml:space="preserve"> </v>
      </c>
      <c r="I1814" s="28" t="str">
        <f>IF($C1814=""," ",[1]!i_pq_pctchange($C1814,I$6,$N$1))</f>
        <v xml:space="preserve"> </v>
      </c>
      <c r="J1814" s="28" t="str">
        <f>IF($C1814=""," ",[1]!i_pq_pctchange($C1814,J$6,$N$1))</f>
        <v xml:space="preserve"> </v>
      </c>
      <c r="K1814" s="28" t="str">
        <f>IF($C1814=""," ",[1]!i_pq_pctchange($C1814,K$6,$N$1))</f>
        <v xml:space="preserve"> </v>
      </c>
      <c r="L1814" s="28" t="str">
        <f>IF(C1814=""," ",[1]!s_wq_pctchange($C1814,$N$1))</f>
        <v xml:space="preserve"> </v>
      </c>
      <c r="M1814" s="28" t="str">
        <f>IF(C1814=""," ",[1]!s_mq_pctchange($C1814,$N$1))</f>
        <v xml:space="preserve"> </v>
      </c>
      <c r="N1814" s="28" t="str">
        <f>IF(C1814=""," ",[1]!s_yq_pctchange($C1814,$N$1))</f>
        <v xml:space="preserve"> </v>
      </c>
      <c r="O1814" s="11"/>
      <c r="P1814" s="7"/>
    </row>
    <row r="1815" spans="1:16" x14ac:dyDescent="0.35">
      <c r="A1815" s="7"/>
      <c r="C1815" s="30" t="str">
        <f>IF(指数列表!B1812="","",指数列表!B1812)</f>
        <v/>
      </c>
      <c r="D1815" s="35" t="str">
        <f>IF(C1815="","",[1]!s_info_name(C1815))</f>
        <v/>
      </c>
      <c r="E1815" s="24" t="str">
        <f>IF(C1815="","",[1]!s_dq_close(C1815,$N$1))</f>
        <v/>
      </c>
      <c r="F1815" s="28" t="str">
        <f>IF($C1815=""," ",[1]!i_pq_pctchange($C1815,F$6,$N$1))</f>
        <v xml:space="preserve"> </v>
      </c>
      <c r="G1815" s="28" t="str">
        <f>IF($C1815=""," ",[1]!i_pq_pctchange($C1815,G$6,$N$1))</f>
        <v xml:space="preserve"> </v>
      </c>
      <c r="H1815" s="28" t="str">
        <f>IF($C1815=""," ",[1]!i_pq_pctchange($C1815,H$6,$N$1))</f>
        <v xml:space="preserve"> </v>
      </c>
      <c r="I1815" s="28" t="str">
        <f>IF($C1815=""," ",[1]!i_pq_pctchange($C1815,I$6,$N$1))</f>
        <v xml:space="preserve"> </v>
      </c>
      <c r="J1815" s="28" t="str">
        <f>IF($C1815=""," ",[1]!i_pq_pctchange($C1815,J$6,$N$1))</f>
        <v xml:space="preserve"> </v>
      </c>
      <c r="K1815" s="28" t="str">
        <f>IF($C1815=""," ",[1]!i_pq_pctchange($C1815,K$6,$N$1))</f>
        <v xml:space="preserve"> </v>
      </c>
      <c r="L1815" s="28" t="str">
        <f>IF(C1815=""," ",[1]!s_wq_pctchange($C1815,$N$1))</f>
        <v xml:space="preserve"> </v>
      </c>
      <c r="M1815" s="28" t="str">
        <f>IF(C1815=""," ",[1]!s_mq_pctchange($C1815,$N$1))</f>
        <v xml:space="preserve"> </v>
      </c>
      <c r="N1815" s="28" t="str">
        <f>IF(C1815=""," ",[1]!s_yq_pctchange($C1815,$N$1))</f>
        <v xml:space="preserve"> </v>
      </c>
      <c r="O1815" s="11"/>
      <c r="P1815" s="7"/>
    </row>
    <row r="1816" spans="1:16" x14ac:dyDescent="0.35">
      <c r="A1816" s="7"/>
      <c r="C1816" s="31" t="str">
        <f>IF(指数列表!B1813="","",指数列表!B1813)</f>
        <v/>
      </c>
      <c r="D1816" s="36" t="str">
        <f>IF(C1816="","",[1]!s_info_name(C1816))</f>
        <v/>
      </c>
      <c r="E1816" s="25" t="str">
        <f>IF(C1816="","",[1]!s_dq_close(C1816,$N$1))</f>
        <v/>
      </c>
      <c r="F1816" s="28" t="str">
        <f>IF($C1816=""," ",[1]!i_pq_pctchange($C1816,F$6,$N$1))</f>
        <v xml:space="preserve"> </v>
      </c>
      <c r="G1816" s="28" t="str">
        <f>IF($C1816=""," ",[1]!i_pq_pctchange($C1816,G$6,$N$1))</f>
        <v xml:space="preserve"> </v>
      </c>
      <c r="H1816" s="28" t="str">
        <f>IF($C1816=""," ",[1]!i_pq_pctchange($C1816,H$6,$N$1))</f>
        <v xml:space="preserve"> </v>
      </c>
      <c r="I1816" s="28" t="str">
        <f>IF($C1816=""," ",[1]!i_pq_pctchange($C1816,I$6,$N$1))</f>
        <v xml:space="preserve"> </v>
      </c>
      <c r="J1816" s="28" t="str">
        <f>IF($C1816=""," ",[1]!i_pq_pctchange($C1816,J$6,$N$1))</f>
        <v xml:space="preserve"> </v>
      </c>
      <c r="K1816" s="28" t="str">
        <f>IF($C1816=""," ",[1]!i_pq_pctchange($C1816,K$6,$N$1))</f>
        <v xml:space="preserve"> </v>
      </c>
      <c r="L1816" s="28" t="str">
        <f>IF(C1816=""," ",[1]!s_wq_pctchange($C1816,$N$1))</f>
        <v xml:space="preserve"> </v>
      </c>
      <c r="M1816" s="28" t="str">
        <f>IF(C1816=""," ",[1]!s_mq_pctchange($C1816,$N$1))</f>
        <v xml:space="preserve"> </v>
      </c>
      <c r="N1816" s="28" t="str">
        <f>IF(C1816=""," ",[1]!s_yq_pctchange($C1816,$N$1))</f>
        <v xml:space="preserve"> </v>
      </c>
      <c r="O1816" s="11"/>
      <c r="P1816" s="7"/>
    </row>
    <row r="1817" spans="1:16" x14ac:dyDescent="0.35">
      <c r="A1817" s="7"/>
      <c r="C1817" s="30" t="str">
        <f>IF(指数列表!B1814="","",指数列表!B1814)</f>
        <v/>
      </c>
      <c r="D1817" s="35" t="str">
        <f>IF(C1817="","",[1]!s_info_name(C1817))</f>
        <v/>
      </c>
      <c r="E1817" s="24" t="str">
        <f>IF(C1817="","",[1]!s_dq_close(C1817,$N$1))</f>
        <v/>
      </c>
      <c r="F1817" s="28" t="str">
        <f>IF($C1817=""," ",[1]!i_pq_pctchange($C1817,F$6,$N$1))</f>
        <v xml:space="preserve"> </v>
      </c>
      <c r="G1817" s="28" t="str">
        <f>IF($C1817=""," ",[1]!i_pq_pctchange($C1817,G$6,$N$1))</f>
        <v xml:space="preserve"> </v>
      </c>
      <c r="H1817" s="28" t="str">
        <f>IF($C1817=""," ",[1]!i_pq_pctchange($C1817,H$6,$N$1))</f>
        <v xml:space="preserve"> </v>
      </c>
      <c r="I1817" s="28" t="str">
        <f>IF($C1817=""," ",[1]!i_pq_pctchange($C1817,I$6,$N$1))</f>
        <v xml:space="preserve"> </v>
      </c>
      <c r="J1817" s="28" t="str">
        <f>IF($C1817=""," ",[1]!i_pq_pctchange($C1817,J$6,$N$1))</f>
        <v xml:space="preserve"> </v>
      </c>
      <c r="K1817" s="28" t="str">
        <f>IF($C1817=""," ",[1]!i_pq_pctchange($C1817,K$6,$N$1))</f>
        <v xml:space="preserve"> </v>
      </c>
      <c r="L1817" s="28" t="str">
        <f>IF(C1817=""," ",[1]!s_wq_pctchange($C1817,$N$1))</f>
        <v xml:space="preserve"> </v>
      </c>
      <c r="M1817" s="28" t="str">
        <f>IF(C1817=""," ",[1]!s_mq_pctchange($C1817,$N$1))</f>
        <v xml:space="preserve"> </v>
      </c>
      <c r="N1817" s="28" t="str">
        <f>IF(C1817=""," ",[1]!s_yq_pctchange($C1817,$N$1))</f>
        <v xml:space="preserve"> </v>
      </c>
      <c r="O1817" s="11"/>
      <c r="P1817" s="7"/>
    </row>
    <row r="1818" spans="1:16" x14ac:dyDescent="0.35">
      <c r="A1818" s="7"/>
      <c r="C1818" s="31" t="str">
        <f>IF(指数列表!B1815="","",指数列表!B1815)</f>
        <v/>
      </c>
      <c r="D1818" s="36" t="str">
        <f>IF(C1818="","",[1]!s_info_name(C1818))</f>
        <v/>
      </c>
      <c r="E1818" s="25" t="str">
        <f>IF(C1818="","",[1]!s_dq_close(C1818,$N$1))</f>
        <v/>
      </c>
      <c r="F1818" s="28" t="str">
        <f>IF($C1818=""," ",[1]!i_pq_pctchange($C1818,F$6,$N$1))</f>
        <v xml:space="preserve"> </v>
      </c>
      <c r="G1818" s="28" t="str">
        <f>IF($C1818=""," ",[1]!i_pq_pctchange($C1818,G$6,$N$1))</f>
        <v xml:space="preserve"> </v>
      </c>
      <c r="H1818" s="28" t="str">
        <f>IF($C1818=""," ",[1]!i_pq_pctchange($C1818,H$6,$N$1))</f>
        <v xml:space="preserve"> </v>
      </c>
      <c r="I1818" s="28" t="str">
        <f>IF($C1818=""," ",[1]!i_pq_pctchange($C1818,I$6,$N$1))</f>
        <v xml:space="preserve"> </v>
      </c>
      <c r="J1818" s="28" t="str">
        <f>IF($C1818=""," ",[1]!i_pq_pctchange($C1818,J$6,$N$1))</f>
        <v xml:space="preserve"> </v>
      </c>
      <c r="K1818" s="28" t="str">
        <f>IF($C1818=""," ",[1]!i_pq_pctchange($C1818,K$6,$N$1))</f>
        <v xml:space="preserve"> </v>
      </c>
      <c r="L1818" s="28" t="str">
        <f>IF(C1818=""," ",[1]!s_wq_pctchange($C1818,$N$1))</f>
        <v xml:space="preserve"> </v>
      </c>
      <c r="M1818" s="28" t="str">
        <f>IF(C1818=""," ",[1]!s_mq_pctchange($C1818,$N$1))</f>
        <v xml:space="preserve"> </v>
      </c>
      <c r="N1818" s="28" t="str">
        <f>IF(C1818=""," ",[1]!s_yq_pctchange($C1818,$N$1))</f>
        <v xml:space="preserve"> </v>
      </c>
      <c r="O1818" s="11"/>
      <c r="P1818" s="7"/>
    </row>
    <row r="1819" spans="1:16" x14ac:dyDescent="0.35">
      <c r="A1819" s="7"/>
      <c r="C1819" s="30" t="str">
        <f>IF(指数列表!B1816="","",指数列表!B1816)</f>
        <v/>
      </c>
      <c r="D1819" s="35" t="str">
        <f>IF(C1819="","",[1]!s_info_name(C1819))</f>
        <v/>
      </c>
      <c r="E1819" s="24" t="str">
        <f>IF(C1819="","",[1]!s_dq_close(C1819,$N$1))</f>
        <v/>
      </c>
      <c r="F1819" s="28" t="str">
        <f>IF($C1819=""," ",[1]!i_pq_pctchange($C1819,F$6,$N$1))</f>
        <v xml:space="preserve"> </v>
      </c>
      <c r="G1819" s="28" t="str">
        <f>IF($C1819=""," ",[1]!i_pq_pctchange($C1819,G$6,$N$1))</f>
        <v xml:space="preserve"> </v>
      </c>
      <c r="H1819" s="28" t="str">
        <f>IF($C1819=""," ",[1]!i_pq_pctchange($C1819,H$6,$N$1))</f>
        <v xml:space="preserve"> </v>
      </c>
      <c r="I1819" s="28" t="str">
        <f>IF($C1819=""," ",[1]!i_pq_pctchange($C1819,I$6,$N$1))</f>
        <v xml:space="preserve"> </v>
      </c>
      <c r="J1819" s="28" t="str">
        <f>IF($C1819=""," ",[1]!i_pq_pctchange($C1819,J$6,$N$1))</f>
        <v xml:space="preserve"> </v>
      </c>
      <c r="K1819" s="28" t="str">
        <f>IF($C1819=""," ",[1]!i_pq_pctchange($C1819,K$6,$N$1))</f>
        <v xml:space="preserve"> </v>
      </c>
      <c r="L1819" s="28" t="str">
        <f>IF(C1819=""," ",[1]!s_wq_pctchange($C1819,$N$1))</f>
        <v xml:space="preserve"> </v>
      </c>
      <c r="M1819" s="28" t="str">
        <f>IF(C1819=""," ",[1]!s_mq_pctchange($C1819,$N$1))</f>
        <v xml:space="preserve"> </v>
      </c>
      <c r="N1819" s="28" t="str">
        <f>IF(C1819=""," ",[1]!s_yq_pctchange($C1819,$N$1))</f>
        <v xml:space="preserve"> </v>
      </c>
      <c r="O1819" s="11"/>
      <c r="P1819" s="7"/>
    </row>
    <row r="1820" spans="1:16" x14ac:dyDescent="0.35">
      <c r="A1820" s="7"/>
      <c r="C1820" s="31" t="str">
        <f>IF(指数列表!B1817="","",指数列表!B1817)</f>
        <v/>
      </c>
      <c r="D1820" s="36" t="str">
        <f>IF(C1820="","",[1]!s_info_name(C1820))</f>
        <v/>
      </c>
      <c r="E1820" s="25" t="str">
        <f>IF(C1820="","",[1]!s_dq_close(C1820,$N$1))</f>
        <v/>
      </c>
      <c r="F1820" s="28" t="str">
        <f>IF($C1820=""," ",[1]!i_pq_pctchange($C1820,F$6,$N$1))</f>
        <v xml:space="preserve"> </v>
      </c>
      <c r="G1820" s="28" t="str">
        <f>IF($C1820=""," ",[1]!i_pq_pctchange($C1820,G$6,$N$1))</f>
        <v xml:space="preserve"> </v>
      </c>
      <c r="H1820" s="28" t="str">
        <f>IF($C1820=""," ",[1]!i_pq_pctchange($C1820,H$6,$N$1))</f>
        <v xml:space="preserve"> </v>
      </c>
      <c r="I1820" s="28" t="str">
        <f>IF($C1820=""," ",[1]!i_pq_pctchange($C1820,I$6,$N$1))</f>
        <v xml:space="preserve"> </v>
      </c>
      <c r="J1820" s="28" t="str">
        <f>IF($C1820=""," ",[1]!i_pq_pctchange($C1820,J$6,$N$1))</f>
        <v xml:space="preserve"> </v>
      </c>
      <c r="K1820" s="28" t="str">
        <f>IF($C1820=""," ",[1]!i_pq_pctchange($C1820,K$6,$N$1))</f>
        <v xml:space="preserve"> </v>
      </c>
      <c r="L1820" s="28" t="str">
        <f>IF(C1820=""," ",[1]!s_wq_pctchange($C1820,$N$1))</f>
        <v xml:space="preserve"> </v>
      </c>
      <c r="M1820" s="28" t="str">
        <f>IF(C1820=""," ",[1]!s_mq_pctchange($C1820,$N$1))</f>
        <v xml:space="preserve"> </v>
      </c>
      <c r="N1820" s="28" t="str">
        <f>IF(C1820=""," ",[1]!s_yq_pctchange($C1820,$N$1))</f>
        <v xml:space="preserve"> </v>
      </c>
      <c r="O1820" s="11"/>
      <c r="P1820" s="7"/>
    </row>
    <row r="1821" spans="1:16" x14ac:dyDescent="0.35">
      <c r="A1821" s="7"/>
      <c r="C1821" s="30" t="str">
        <f>IF(指数列表!B1818="","",指数列表!B1818)</f>
        <v/>
      </c>
      <c r="D1821" s="35" t="str">
        <f>IF(C1821="","",[1]!s_info_name(C1821))</f>
        <v/>
      </c>
      <c r="E1821" s="24" t="str">
        <f>IF(C1821="","",[1]!s_dq_close(C1821,$N$1))</f>
        <v/>
      </c>
      <c r="F1821" s="28" t="str">
        <f>IF($C1821=""," ",[1]!i_pq_pctchange($C1821,F$6,$N$1))</f>
        <v xml:space="preserve"> </v>
      </c>
      <c r="G1821" s="28" t="str">
        <f>IF($C1821=""," ",[1]!i_pq_pctchange($C1821,G$6,$N$1))</f>
        <v xml:space="preserve"> </v>
      </c>
      <c r="H1821" s="28" t="str">
        <f>IF($C1821=""," ",[1]!i_pq_pctchange($C1821,H$6,$N$1))</f>
        <v xml:space="preserve"> </v>
      </c>
      <c r="I1821" s="28" t="str">
        <f>IF($C1821=""," ",[1]!i_pq_pctchange($C1821,I$6,$N$1))</f>
        <v xml:space="preserve"> </v>
      </c>
      <c r="J1821" s="28" t="str">
        <f>IF($C1821=""," ",[1]!i_pq_pctchange($C1821,J$6,$N$1))</f>
        <v xml:space="preserve"> </v>
      </c>
      <c r="K1821" s="28" t="str">
        <f>IF($C1821=""," ",[1]!i_pq_pctchange($C1821,K$6,$N$1))</f>
        <v xml:space="preserve"> </v>
      </c>
      <c r="L1821" s="28" t="str">
        <f>IF(C1821=""," ",[1]!s_wq_pctchange($C1821,$N$1))</f>
        <v xml:space="preserve"> </v>
      </c>
      <c r="M1821" s="28" t="str">
        <f>IF(C1821=""," ",[1]!s_mq_pctchange($C1821,$N$1))</f>
        <v xml:space="preserve"> </v>
      </c>
      <c r="N1821" s="28" t="str">
        <f>IF(C1821=""," ",[1]!s_yq_pctchange($C1821,$N$1))</f>
        <v xml:space="preserve"> </v>
      </c>
      <c r="O1821" s="11"/>
      <c r="P1821" s="7"/>
    </row>
    <row r="1822" spans="1:16" x14ac:dyDescent="0.35">
      <c r="A1822" s="7"/>
      <c r="C1822" s="31" t="str">
        <f>IF(指数列表!B1819="","",指数列表!B1819)</f>
        <v/>
      </c>
      <c r="D1822" s="36" t="str">
        <f>IF(C1822="","",[1]!s_info_name(C1822))</f>
        <v/>
      </c>
      <c r="E1822" s="25" t="str">
        <f>IF(C1822="","",[1]!s_dq_close(C1822,$N$1))</f>
        <v/>
      </c>
      <c r="F1822" s="28" t="str">
        <f>IF($C1822=""," ",[1]!i_pq_pctchange($C1822,F$6,$N$1))</f>
        <v xml:space="preserve"> </v>
      </c>
      <c r="G1822" s="28" t="str">
        <f>IF($C1822=""," ",[1]!i_pq_pctchange($C1822,G$6,$N$1))</f>
        <v xml:space="preserve"> </v>
      </c>
      <c r="H1822" s="28" t="str">
        <f>IF($C1822=""," ",[1]!i_pq_pctchange($C1822,H$6,$N$1))</f>
        <v xml:space="preserve"> </v>
      </c>
      <c r="I1822" s="28" t="str">
        <f>IF($C1822=""," ",[1]!i_pq_pctchange($C1822,I$6,$N$1))</f>
        <v xml:space="preserve"> </v>
      </c>
      <c r="J1822" s="28" t="str">
        <f>IF($C1822=""," ",[1]!i_pq_pctchange($C1822,J$6,$N$1))</f>
        <v xml:space="preserve"> </v>
      </c>
      <c r="K1822" s="28" t="str">
        <f>IF($C1822=""," ",[1]!i_pq_pctchange($C1822,K$6,$N$1))</f>
        <v xml:space="preserve"> </v>
      </c>
      <c r="L1822" s="28" t="str">
        <f>IF(C1822=""," ",[1]!s_wq_pctchange($C1822,$N$1))</f>
        <v xml:space="preserve"> </v>
      </c>
      <c r="M1822" s="28" t="str">
        <f>IF(C1822=""," ",[1]!s_mq_pctchange($C1822,$N$1))</f>
        <v xml:space="preserve"> </v>
      </c>
      <c r="N1822" s="28" t="str">
        <f>IF(C1822=""," ",[1]!s_yq_pctchange($C1822,$N$1))</f>
        <v xml:space="preserve"> </v>
      </c>
      <c r="O1822" s="11"/>
      <c r="P1822" s="7"/>
    </row>
    <row r="1823" spans="1:16" x14ac:dyDescent="0.35">
      <c r="A1823" s="7"/>
      <c r="C1823" s="30" t="str">
        <f>IF(指数列表!B1820="","",指数列表!B1820)</f>
        <v/>
      </c>
      <c r="D1823" s="35" t="str">
        <f>IF(C1823="","",[1]!s_info_name(C1823))</f>
        <v/>
      </c>
      <c r="E1823" s="24" t="str">
        <f>IF(C1823="","",[1]!s_dq_close(C1823,$N$1))</f>
        <v/>
      </c>
      <c r="F1823" s="28" t="str">
        <f>IF($C1823=""," ",[1]!i_pq_pctchange($C1823,F$6,$N$1))</f>
        <v xml:space="preserve"> </v>
      </c>
      <c r="G1823" s="28" t="str">
        <f>IF($C1823=""," ",[1]!i_pq_pctchange($C1823,G$6,$N$1))</f>
        <v xml:space="preserve"> </v>
      </c>
      <c r="H1823" s="28" t="str">
        <f>IF($C1823=""," ",[1]!i_pq_pctchange($C1823,H$6,$N$1))</f>
        <v xml:space="preserve"> </v>
      </c>
      <c r="I1823" s="28" t="str">
        <f>IF($C1823=""," ",[1]!i_pq_pctchange($C1823,I$6,$N$1))</f>
        <v xml:space="preserve"> </v>
      </c>
      <c r="J1823" s="28" t="str">
        <f>IF($C1823=""," ",[1]!i_pq_pctchange($C1823,J$6,$N$1))</f>
        <v xml:space="preserve"> </v>
      </c>
      <c r="K1823" s="28" t="str">
        <f>IF($C1823=""," ",[1]!i_pq_pctchange($C1823,K$6,$N$1))</f>
        <v xml:space="preserve"> </v>
      </c>
      <c r="L1823" s="28" t="str">
        <f>IF(C1823=""," ",[1]!s_wq_pctchange($C1823,$N$1))</f>
        <v xml:space="preserve"> </v>
      </c>
      <c r="M1823" s="28" t="str">
        <f>IF(C1823=""," ",[1]!s_mq_pctchange($C1823,$N$1))</f>
        <v xml:space="preserve"> </v>
      </c>
      <c r="N1823" s="28" t="str">
        <f>IF(C1823=""," ",[1]!s_yq_pctchange($C1823,$N$1))</f>
        <v xml:space="preserve"> </v>
      </c>
      <c r="O1823" s="11"/>
      <c r="P1823" s="7"/>
    </row>
    <row r="1824" spans="1:16" x14ac:dyDescent="0.35">
      <c r="A1824" s="7"/>
      <c r="C1824" s="31" t="str">
        <f>IF(指数列表!B1821="","",指数列表!B1821)</f>
        <v/>
      </c>
      <c r="D1824" s="36" t="str">
        <f>IF(C1824="","",[1]!s_info_name(C1824))</f>
        <v/>
      </c>
      <c r="E1824" s="25" t="str">
        <f>IF(C1824="","",[1]!s_dq_close(C1824,$N$1))</f>
        <v/>
      </c>
      <c r="F1824" s="28" t="str">
        <f>IF($C1824=""," ",[1]!i_pq_pctchange($C1824,F$6,$N$1))</f>
        <v xml:space="preserve"> </v>
      </c>
      <c r="G1824" s="28" t="str">
        <f>IF($C1824=""," ",[1]!i_pq_pctchange($C1824,G$6,$N$1))</f>
        <v xml:space="preserve"> </v>
      </c>
      <c r="H1824" s="28" t="str">
        <f>IF($C1824=""," ",[1]!i_pq_pctchange($C1824,H$6,$N$1))</f>
        <v xml:space="preserve"> </v>
      </c>
      <c r="I1824" s="28" t="str">
        <f>IF($C1824=""," ",[1]!i_pq_pctchange($C1824,I$6,$N$1))</f>
        <v xml:space="preserve"> </v>
      </c>
      <c r="J1824" s="28" t="str">
        <f>IF($C1824=""," ",[1]!i_pq_pctchange($C1824,J$6,$N$1))</f>
        <v xml:space="preserve"> </v>
      </c>
      <c r="K1824" s="28" t="str">
        <f>IF($C1824=""," ",[1]!i_pq_pctchange($C1824,K$6,$N$1))</f>
        <v xml:space="preserve"> </v>
      </c>
      <c r="L1824" s="28" t="str">
        <f>IF(C1824=""," ",[1]!s_wq_pctchange($C1824,$N$1))</f>
        <v xml:space="preserve"> </v>
      </c>
      <c r="M1824" s="28" t="str">
        <f>IF(C1824=""," ",[1]!s_mq_pctchange($C1824,$N$1))</f>
        <v xml:space="preserve"> </v>
      </c>
      <c r="N1824" s="28" t="str">
        <f>IF(C1824=""," ",[1]!s_yq_pctchange($C1824,$N$1))</f>
        <v xml:space="preserve"> </v>
      </c>
      <c r="O1824" s="11"/>
      <c r="P1824" s="7"/>
    </row>
    <row r="1825" spans="1:16" x14ac:dyDescent="0.35">
      <c r="A1825" s="7"/>
      <c r="C1825" s="30" t="str">
        <f>IF(指数列表!B1822="","",指数列表!B1822)</f>
        <v/>
      </c>
      <c r="D1825" s="35" t="str">
        <f>IF(C1825="","",[1]!s_info_name(C1825))</f>
        <v/>
      </c>
      <c r="E1825" s="24" t="str">
        <f>IF(C1825="","",[1]!s_dq_close(C1825,$N$1))</f>
        <v/>
      </c>
      <c r="F1825" s="28" t="str">
        <f>IF($C1825=""," ",[1]!i_pq_pctchange($C1825,F$6,$N$1))</f>
        <v xml:space="preserve"> </v>
      </c>
      <c r="G1825" s="28" t="str">
        <f>IF($C1825=""," ",[1]!i_pq_pctchange($C1825,G$6,$N$1))</f>
        <v xml:space="preserve"> </v>
      </c>
      <c r="H1825" s="28" t="str">
        <f>IF($C1825=""," ",[1]!i_pq_pctchange($C1825,H$6,$N$1))</f>
        <v xml:space="preserve"> </v>
      </c>
      <c r="I1825" s="28" t="str">
        <f>IF($C1825=""," ",[1]!i_pq_pctchange($C1825,I$6,$N$1))</f>
        <v xml:space="preserve"> </v>
      </c>
      <c r="J1825" s="28" t="str">
        <f>IF($C1825=""," ",[1]!i_pq_pctchange($C1825,J$6,$N$1))</f>
        <v xml:space="preserve"> </v>
      </c>
      <c r="K1825" s="28" t="str">
        <f>IF($C1825=""," ",[1]!i_pq_pctchange($C1825,K$6,$N$1))</f>
        <v xml:space="preserve"> </v>
      </c>
      <c r="L1825" s="28" t="str">
        <f>IF(C1825=""," ",[1]!s_wq_pctchange($C1825,$N$1))</f>
        <v xml:space="preserve"> </v>
      </c>
      <c r="M1825" s="28" t="str">
        <f>IF(C1825=""," ",[1]!s_mq_pctchange($C1825,$N$1))</f>
        <v xml:space="preserve"> </v>
      </c>
      <c r="N1825" s="28" t="str">
        <f>IF(C1825=""," ",[1]!s_yq_pctchange($C1825,$N$1))</f>
        <v xml:space="preserve"> </v>
      </c>
      <c r="O1825" s="11"/>
      <c r="P1825" s="7"/>
    </row>
    <row r="1826" spans="1:16" x14ac:dyDescent="0.35">
      <c r="A1826" s="7"/>
      <c r="C1826" s="31" t="str">
        <f>IF(指数列表!B1823="","",指数列表!B1823)</f>
        <v/>
      </c>
      <c r="D1826" s="36" t="str">
        <f>IF(C1826="","",[1]!s_info_name(C1826))</f>
        <v/>
      </c>
      <c r="E1826" s="25" t="str">
        <f>IF(C1826="","",[1]!s_dq_close(C1826,$N$1))</f>
        <v/>
      </c>
      <c r="F1826" s="28" t="str">
        <f>IF($C1826=""," ",[1]!i_pq_pctchange($C1826,F$6,$N$1))</f>
        <v xml:space="preserve"> </v>
      </c>
      <c r="G1826" s="28" t="str">
        <f>IF($C1826=""," ",[1]!i_pq_pctchange($C1826,G$6,$N$1))</f>
        <v xml:space="preserve"> </v>
      </c>
      <c r="H1826" s="28" t="str">
        <f>IF($C1826=""," ",[1]!i_pq_pctchange($C1826,H$6,$N$1))</f>
        <v xml:space="preserve"> </v>
      </c>
      <c r="I1826" s="28" t="str">
        <f>IF($C1826=""," ",[1]!i_pq_pctchange($C1826,I$6,$N$1))</f>
        <v xml:space="preserve"> </v>
      </c>
      <c r="J1826" s="28" t="str">
        <f>IF($C1826=""," ",[1]!i_pq_pctchange($C1826,J$6,$N$1))</f>
        <v xml:space="preserve"> </v>
      </c>
      <c r="K1826" s="28" t="str">
        <f>IF($C1826=""," ",[1]!i_pq_pctchange($C1826,K$6,$N$1))</f>
        <v xml:space="preserve"> </v>
      </c>
      <c r="L1826" s="28" t="str">
        <f>IF(C1826=""," ",[1]!s_wq_pctchange($C1826,$N$1))</f>
        <v xml:space="preserve"> </v>
      </c>
      <c r="M1826" s="28" t="str">
        <f>IF(C1826=""," ",[1]!s_mq_pctchange($C1826,$N$1))</f>
        <v xml:space="preserve"> </v>
      </c>
      <c r="N1826" s="28" t="str">
        <f>IF(C1826=""," ",[1]!s_yq_pctchange($C1826,$N$1))</f>
        <v xml:space="preserve"> </v>
      </c>
      <c r="O1826" s="11"/>
      <c r="P1826" s="7"/>
    </row>
    <row r="1827" spans="1:16" x14ac:dyDescent="0.35">
      <c r="A1827" s="7"/>
      <c r="C1827" s="30" t="str">
        <f>IF(指数列表!B1824="","",指数列表!B1824)</f>
        <v/>
      </c>
      <c r="D1827" s="35" t="str">
        <f>IF(C1827="","",[1]!s_info_name(C1827))</f>
        <v/>
      </c>
      <c r="E1827" s="24" t="str">
        <f>IF(C1827="","",[1]!s_dq_close(C1827,$N$1))</f>
        <v/>
      </c>
      <c r="F1827" s="28" t="str">
        <f>IF($C1827=""," ",[1]!i_pq_pctchange($C1827,F$6,$N$1))</f>
        <v xml:space="preserve"> </v>
      </c>
      <c r="G1827" s="28" t="str">
        <f>IF($C1827=""," ",[1]!i_pq_pctchange($C1827,G$6,$N$1))</f>
        <v xml:space="preserve"> </v>
      </c>
      <c r="H1827" s="28" t="str">
        <f>IF($C1827=""," ",[1]!i_pq_pctchange($C1827,H$6,$N$1))</f>
        <v xml:space="preserve"> </v>
      </c>
      <c r="I1827" s="28" t="str">
        <f>IF($C1827=""," ",[1]!i_pq_pctchange($C1827,I$6,$N$1))</f>
        <v xml:space="preserve"> </v>
      </c>
      <c r="J1827" s="28" t="str">
        <f>IF($C1827=""," ",[1]!i_pq_pctchange($C1827,J$6,$N$1))</f>
        <v xml:space="preserve"> </v>
      </c>
      <c r="K1827" s="28" t="str">
        <f>IF($C1827=""," ",[1]!i_pq_pctchange($C1827,K$6,$N$1))</f>
        <v xml:space="preserve"> </v>
      </c>
      <c r="L1827" s="28" t="str">
        <f>IF(C1827=""," ",[1]!s_wq_pctchange($C1827,$N$1))</f>
        <v xml:space="preserve"> </v>
      </c>
      <c r="M1827" s="28" t="str">
        <f>IF(C1827=""," ",[1]!s_mq_pctchange($C1827,$N$1))</f>
        <v xml:space="preserve"> </v>
      </c>
      <c r="N1827" s="28" t="str">
        <f>IF(C1827=""," ",[1]!s_yq_pctchange($C1827,$N$1))</f>
        <v xml:space="preserve"> </v>
      </c>
      <c r="O1827" s="11"/>
      <c r="P1827" s="7"/>
    </row>
    <row r="1828" spans="1:16" x14ac:dyDescent="0.35">
      <c r="A1828" s="7"/>
      <c r="C1828" s="31" t="str">
        <f>IF(指数列表!B1825="","",指数列表!B1825)</f>
        <v/>
      </c>
      <c r="D1828" s="36" t="str">
        <f>IF(C1828="","",[1]!s_info_name(C1828))</f>
        <v/>
      </c>
      <c r="E1828" s="25" t="str">
        <f>IF(C1828="","",[1]!s_dq_close(C1828,$N$1))</f>
        <v/>
      </c>
      <c r="F1828" s="28" t="str">
        <f>IF($C1828=""," ",[1]!i_pq_pctchange($C1828,F$6,$N$1))</f>
        <v xml:space="preserve"> </v>
      </c>
      <c r="G1828" s="28" t="str">
        <f>IF($C1828=""," ",[1]!i_pq_pctchange($C1828,G$6,$N$1))</f>
        <v xml:space="preserve"> </v>
      </c>
      <c r="H1828" s="28" t="str">
        <f>IF($C1828=""," ",[1]!i_pq_pctchange($C1828,H$6,$N$1))</f>
        <v xml:space="preserve"> </v>
      </c>
      <c r="I1828" s="28" t="str">
        <f>IF($C1828=""," ",[1]!i_pq_pctchange($C1828,I$6,$N$1))</f>
        <v xml:space="preserve"> </v>
      </c>
      <c r="J1828" s="28" t="str">
        <f>IF($C1828=""," ",[1]!i_pq_pctchange($C1828,J$6,$N$1))</f>
        <v xml:space="preserve"> </v>
      </c>
      <c r="K1828" s="28" t="str">
        <f>IF($C1828=""," ",[1]!i_pq_pctchange($C1828,K$6,$N$1))</f>
        <v xml:space="preserve"> </v>
      </c>
      <c r="L1828" s="28" t="str">
        <f>IF(C1828=""," ",[1]!s_wq_pctchange($C1828,$N$1))</f>
        <v xml:space="preserve"> </v>
      </c>
      <c r="M1828" s="28" t="str">
        <f>IF(C1828=""," ",[1]!s_mq_pctchange($C1828,$N$1))</f>
        <v xml:space="preserve"> </v>
      </c>
      <c r="N1828" s="28" t="str">
        <f>IF(C1828=""," ",[1]!s_yq_pctchange($C1828,$N$1))</f>
        <v xml:space="preserve"> </v>
      </c>
      <c r="O1828" s="11"/>
      <c r="P1828" s="7"/>
    </row>
    <row r="1829" spans="1:16" x14ac:dyDescent="0.35">
      <c r="A1829" s="7"/>
      <c r="C1829" s="30" t="str">
        <f>IF(指数列表!B1826="","",指数列表!B1826)</f>
        <v/>
      </c>
      <c r="D1829" s="35" t="str">
        <f>IF(C1829="","",[1]!s_info_name(C1829))</f>
        <v/>
      </c>
      <c r="E1829" s="24" t="str">
        <f>IF(C1829="","",[1]!s_dq_close(C1829,$N$1))</f>
        <v/>
      </c>
      <c r="F1829" s="28" t="str">
        <f>IF($C1829=""," ",[1]!i_pq_pctchange($C1829,F$6,$N$1))</f>
        <v xml:space="preserve"> </v>
      </c>
      <c r="G1829" s="28" t="str">
        <f>IF($C1829=""," ",[1]!i_pq_pctchange($C1829,G$6,$N$1))</f>
        <v xml:space="preserve"> </v>
      </c>
      <c r="H1829" s="28" t="str">
        <f>IF($C1829=""," ",[1]!i_pq_pctchange($C1829,H$6,$N$1))</f>
        <v xml:space="preserve"> </v>
      </c>
      <c r="I1829" s="28" t="str">
        <f>IF($C1829=""," ",[1]!i_pq_pctchange($C1829,I$6,$N$1))</f>
        <v xml:space="preserve"> </v>
      </c>
      <c r="J1829" s="28" t="str">
        <f>IF($C1829=""," ",[1]!i_pq_pctchange($C1829,J$6,$N$1))</f>
        <v xml:space="preserve"> </v>
      </c>
      <c r="K1829" s="28" t="str">
        <f>IF($C1829=""," ",[1]!i_pq_pctchange($C1829,K$6,$N$1))</f>
        <v xml:space="preserve"> </v>
      </c>
      <c r="L1829" s="28" t="str">
        <f>IF(C1829=""," ",[1]!s_wq_pctchange($C1829,$N$1))</f>
        <v xml:space="preserve"> </v>
      </c>
      <c r="M1829" s="28" t="str">
        <f>IF(C1829=""," ",[1]!s_mq_pctchange($C1829,$N$1))</f>
        <v xml:space="preserve"> </v>
      </c>
      <c r="N1829" s="28" t="str">
        <f>IF(C1829=""," ",[1]!s_yq_pctchange($C1829,$N$1))</f>
        <v xml:space="preserve"> </v>
      </c>
      <c r="O1829" s="11"/>
      <c r="P1829" s="7"/>
    </row>
    <row r="1830" spans="1:16" x14ac:dyDescent="0.35">
      <c r="A1830" s="7"/>
      <c r="C1830" s="31" t="str">
        <f>IF(指数列表!B1827="","",指数列表!B1827)</f>
        <v/>
      </c>
      <c r="D1830" s="36" t="str">
        <f>IF(C1830="","",[1]!s_info_name(C1830))</f>
        <v/>
      </c>
      <c r="E1830" s="25" t="str">
        <f>IF(C1830="","",[1]!s_dq_close(C1830,$N$1))</f>
        <v/>
      </c>
      <c r="F1830" s="28" t="str">
        <f>IF($C1830=""," ",[1]!i_pq_pctchange($C1830,F$6,$N$1))</f>
        <v xml:space="preserve"> </v>
      </c>
      <c r="G1830" s="28" t="str">
        <f>IF($C1830=""," ",[1]!i_pq_pctchange($C1830,G$6,$N$1))</f>
        <v xml:space="preserve"> </v>
      </c>
      <c r="H1830" s="28" t="str">
        <f>IF($C1830=""," ",[1]!i_pq_pctchange($C1830,H$6,$N$1))</f>
        <v xml:space="preserve"> </v>
      </c>
      <c r="I1830" s="28" t="str">
        <f>IF($C1830=""," ",[1]!i_pq_pctchange($C1830,I$6,$N$1))</f>
        <v xml:space="preserve"> </v>
      </c>
      <c r="J1830" s="28" t="str">
        <f>IF($C1830=""," ",[1]!i_pq_pctchange($C1830,J$6,$N$1))</f>
        <v xml:space="preserve"> </v>
      </c>
      <c r="K1830" s="28" t="str">
        <f>IF($C1830=""," ",[1]!i_pq_pctchange($C1830,K$6,$N$1))</f>
        <v xml:space="preserve"> </v>
      </c>
      <c r="L1830" s="28" t="str">
        <f>IF(C1830=""," ",[1]!s_wq_pctchange($C1830,$N$1))</f>
        <v xml:space="preserve"> </v>
      </c>
      <c r="M1830" s="28" t="str">
        <f>IF(C1830=""," ",[1]!s_mq_pctchange($C1830,$N$1))</f>
        <v xml:space="preserve"> </v>
      </c>
      <c r="N1830" s="28" t="str">
        <f>IF(C1830=""," ",[1]!s_yq_pctchange($C1830,$N$1))</f>
        <v xml:space="preserve"> </v>
      </c>
      <c r="O1830" s="11"/>
      <c r="P1830" s="7"/>
    </row>
    <row r="1831" spans="1:16" x14ac:dyDescent="0.35">
      <c r="A1831" s="7"/>
      <c r="C1831" s="30" t="str">
        <f>IF(指数列表!B1828="","",指数列表!B1828)</f>
        <v/>
      </c>
      <c r="D1831" s="35" t="str">
        <f>IF(C1831="","",[1]!s_info_name(C1831))</f>
        <v/>
      </c>
      <c r="E1831" s="24" t="str">
        <f>IF(C1831="","",[1]!s_dq_close(C1831,$N$1))</f>
        <v/>
      </c>
      <c r="F1831" s="28" t="str">
        <f>IF($C1831=""," ",[1]!i_pq_pctchange($C1831,F$6,$N$1))</f>
        <v xml:space="preserve"> </v>
      </c>
      <c r="G1831" s="28" t="str">
        <f>IF($C1831=""," ",[1]!i_pq_pctchange($C1831,G$6,$N$1))</f>
        <v xml:space="preserve"> </v>
      </c>
      <c r="H1831" s="28" t="str">
        <f>IF($C1831=""," ",[1]!i_pq_pctchange($C1831,H$6,$N$1))</f>
        <v xml:space="preserve"> </v>
      </c>
      <c r="I1831" s="28" t="str">
        <f>IF($C1831=""," ",[1]!i_pq_pctchange($C1831,I$6,$N$1))</f>
        <v xml:space="preserve"> </v>
      </c>
      <c r="J1831" s="28" t="str">
        <f>IF($C1831=""," ",[1]!i_pq_pctchange($C1831,J$6,$N$1))</f>
        <v xml:space="preserve"> </v>
      </c>
      <c r="K1831" s="28" t="str">
        <f>IF($C1831=""," ",[1]!i_pq_pctchange($C1831,K$6,$N$1))</f>
        <v xml:space="preserve"> </v>
      </c>
      <c r="L1831" s="28" t="str">
        <f>IF(C1831=""," ",[1]!s_wq_pctchange($C1831,$N$1))</f>
        <v xml:space="preserve"> </v>
      </c>
      <c r="M1831" s="28" t="str">
        <f>IF(C1831=""," ",[1]!s_mq_pctchange($C1831,$N$1))</f>
        <v xml:space="preserve"> </v>
      </c>
      <c r="N1831" s="28" t="str">
        <f>IF(C1831=""," ",[1]!s_yq_pctchange($C1831,$N$1))</f>
        <v xml:space="preserve"> </v>
      </c>
      <c r="O1831" s="11"/>
      <c r="P1831" s="7"/>
    </row>
    <row r="1832" spans="1:16" x14ac:dyDescent="0.35">
      <c r="A1832" s="7"/>
      <c r="C1832" s="31" t="str">
        <f>IF(指数列表!B1829="","",指数列表!B1829)</f>
        <v/>
      </c>
      <c r="D1832" s="36" t="str">
        <f>IF(C1832="","",[1]!s_info_name(C1832))</f>
        <v/>
      </c>
      <c r="E1832" s="25" t="str">
        <f>IF(C1832="","",[1]!s_dq_close(C1832,$N$1))</f>
        <v/>
      </c>
      <c r="F1832" s="28" t="str">
        <f>IF($C1832=""," ",[1]!i_pq_pctchange($C1832,F$6,$N$1))</f>
        <v xml:space="preserve"> </v>
      </c>
      <c r="G1832" s="28" t="str">
        <f>IF($C1832=""," ",[1]!i_pq_pctchange($C1832,G$6,$N$1))</f>
        <v xml:space="preserve"> </v>
      </c>
      <c r="H1832" s="28" t="str">
        <f>IF($C1832=""," ",[1]!i_pq_pctchange($C1832,H$6,$N$1))</f>
        <v xml:space="preserve"> </v>
      </c>
      <c r="I1832" s="28" t="str">
        <f>IF($C1832=""," ",[1]!i_pq_pctchange($C1832,I$6,$N$1))</f>
        <v xml:space="preserve"> </v>
      </c>
      <c r="J1832" s="28" t="str">
        <f>IF($C1832=""," ",[1]!i_pq_pctchange($C1832,J$6,$N$1))</f>
        <v xml:space="preserve"> </v>
      </c>
      <c r="K1832" s="28" t="str">
        <f>IF($C1832=""," ",[1]!i_pq_pctchange($C1832,K$6,$N$1))</f>
        <v xml:space="preserve"> </v>
      </c>
      <c r="L1832" s="28" t="str">
        <f>IF(C1832=""," ",[1]!s_wq_pctchange($C1832,$N$1))</f>
        <v xml:space="preserve"> </v>
      </c>
      <c r="M1832" s="28" t="str">
        <f>IF(C1832=""," ",[1]!s_mq_pctchange($C1832,$N$1))</f>
        <v xml:space="preserve"> </v>
      </c>
      <c r="N1832" s="28" t="str">
        <f>IF(C1832=""," ",[1]!s_yq_pctchange($C1832,$N$1))</f>
        <v xml:space="preserve"> </v>
      </c>
      <c r="O1832" s="11"/>
      <c r="P1832" s="7"/>
    </row>
    <row r="1833" spans="1:16" x14ac:dyDescent="0.35">
      <c r="A1833" s="7"/>
      <c r="C1833" s="30" t="str">
        <f>IF(指数列表!B1830="","",指数列表!B1830)</f>
        <v/>
      </c>
      <c r="D1833" s="35" t="str">
        <f>IF(C1833="","",[1]!s_info_name(C1833))</f>
        <v/>
      </c>
      <c r="E1833" s="24" t="str">
        <f>IF(C1833="","",[1]!s_dq_close(C1833,$N$1))</f>
        <v/>
      </c>
      <c r="F1833" s="28" t="str">
        <f>IF($C1833=""," ",[1]!i_pq_pctchange($C1833,F$6,$N$1))</f>
        <v xml:space="preserve"> </v>
      </c>
      <c r="G1833" s="28" t="str">
        <f>IF($C1833=""," ",[1]!i_pq_pctchange($C1833,G$6,$N$1))</f>
        <v xml:space="preserve"> </v>
      </c>
      <c r="H1833" s="28" t="str">
        <f>IF($C1833=""," ",[1]!i_pq_pctchange($C1833,H$6,$N$1))</f>
        <v xml:space="preserve"> </v>
      </c>
      <c r="I1833" s="28" t="str">
        <f>IF($C1833=""," ",[1]!i_pq_pctchange($C1833,I$6,$N$1))</f>
        <v xml:space="preserve"> </v>
      </c>
      <c r="J1833" s="28" t="str">
        <f>IF($C1833=""," ",[1]!i_pq_pctchange($C1833,J$6,$N$1))</f>
        <v xml:space="preserve"> </v>
      </c>
      <c r="K1833" s="28" t="str">
        <f>IF($C1833=""," ",[1]!i_pq_pctchange($C1833,K$6,$N$1))</f>
        <v xml:space="preserve"> </v>
      </c>
      <c r="L1833" s="28" t="str">
        <f>IF(C1833=""," ",[1]!s_wq_pctchange($C1833,$N$1))</f>
        <v xml:space="preserve"> </v>
      </c>
      <c r="M1833" s="28" t="str">
        <f>IF(C1833=""," ",[1]!s_mq_pctchange($C1833,$N$1))</f>
        <v xml:space="preserve"> </v>
      </c>
      <c r="N1833" s="28" t="str">
        <f>IF(C1833=""," ",[1]!s_yq_pctchange($C1833,$N$1))</f>
        <v xml:space="preserve"> </v>
      </c>
      <c r="O1833" s="11"/>
      <c r="P1833" s="7"/>
    </row>
    <row r="1834" spans="1:16" x14ac:dyDescent="0.35">
      <c r="A1834" s="7"/>
      <c r="C1834" s="31" t="str">
        <f>IF(指数列表!B1831="","",指数列表!B1831)</f>
        <v/>
      </c>
      <c r="D1834" s="36" t="str">
        <f>IF(C1834="","",[1]!s_info_name(C1834))</f>
        <v/>
      </c>
      <c r="E1834" s="25" t="str">
        <f>IF(C1834="","",[1]!s_dq_close(C1834,$N$1))</f>
        <v/>
      </c>
      <c r="F1834" s="28" t="str">
        <f>IF($C1834=""," ",[1]!i_pq_pctchange($C1834,F$6,$N$1))</f>
        <v xml:space="preserve"> </v>
      </c>
      <c r="G1834" s="28" t="str">
        <f>IF($C1834=""," ",[1]!i_pq_pctchange($C1834,G$6,$N$1))</f>
        <v xml:space="preserve"> </v>
      </c>
      <c r="H1834" s="28" t="str">
        <f>IF($C1834=""," ",[1]!i_pq_pctchange($C1834,H$6,$N$1))</f>
        <v xml:space="preserve"> </v>
      </c>
      <c r="I1834" s="28" t="str">
        <f>IF($C1834=""," ",[1]!i_pq_pctchange($C1834,I$6,$N$1))</f>
        <v xml:space="preserve"> </v>
      </c>
      <c r="J1834" s="28" t="str">
        <f>IF($C1834=""," ",[1]!i_pq_pctchange($C1834,J$6,$N$1))</f>
        <v xml:space="preserve"> </v>
      </c>
      <c r="K1834" s="28" t="str">
        <f>IF($C1834=""," ",[1]!i_pq_pctchange($C1834,K$6,$N$1))</f>
        <v xml:space="preserve"> </v>
      </c>
      <c r="L1834" s="28" t="str">
        <f>IF(C1834=""," ",[1]!s_wq_pctchange($C1834,$N$1))</f>
        <v xml:space="preserve"> </v>
      </c>
      <c r="M1834" s="28" t="str">
        <f>IF(C1834=""," ",[1]!s_mq_pctchange($C1834,$N$1))</f>
        <v xml:space="preserve"> </v>
      </c>
      <c r="N1834" s="28" t="str">
        <f>IF(C1834=""," ",[1]!s_yq_pctchange($C1834,$N$1))</f>
        <v xml:space="preserve"> </v>
      </c>
      <c r="O1834" s="11"/>
      <c r="P1834" s="7"/>
    </row>
    <row r="1835" spans="1:16" x14ac:dyDescent="0.35">
      <c r="A1835" s="7"/>
      <c r="C1835" s="30" t="str">
        <f>IF(指数列表!B1832="","",指数列表!B1832)</f>
        <v/>
      </c>
      <c r="D1835" s="35" t="str">
        <f>IF(C1835="","",[1]!s_info_name(C1835))</f>
        <v/>
      </c>
      <c r="E1835" s="24" t="str">
        <f>IF(C1835="","",[1]!s_dq_close(C1835,$N$1))</f>
        <v/>
      </c>
      <c r="F1835" s="28" t="str">
        <f>IF($C1835=""," ",[1]!i_pq_pctchange($C1835,F$6,$N$1))</f>
        <v xml:space="preserve"> </v>
      </c>
      <c r="G1835" s="28" t="str">
        <f>IF($C1835=""," ",[1]!i_pq_pctchange($C1835,G$6,$N$1))</f>
        <v xml:space="preserve"> </v>
      </c>
      <c r="H1835" s="28" t="str">
        <f>IF($C1835=""," ",[1]!i_pq_pctchange($C1835,H$6,$N$1))</f>
        <v xml:space="preserve"> </v>
      </c>
      <c r="I1835" s="28" t="str">
        <f>IF($C1835=""," ",[1]!i_pq_pctchange($C1835,I$6,$N$1))</f>
        <v xml:space="preserve"> </v>
      </c>
      <c r="J1835" s="28" t="str">
        <f>IF($C1835=""," ",[1]!i_pq_pctchange($C1835,J$6,$N$1))</f>
        <v xml:space="preserve"> </v>
      </c>
      <c r="K1835" s="28" t="str">
        <f>IF($C1835=""," ",[1]!i_pq_pctchange($C1835,K$6,$N$1))</f>
        <v xml:space="preserve"> </v>
      </c>
      <c r="L1835" s="28" t="str">
        <f>IF(C1835=""," ",[1]!s_wq_pctchange($C1835,$N$1))</f>
        <v xml:space="preserve"> </v>
      </c>
      <c r="M1835" s="28" t="str">
        <f>IF(C1835=""," ",[1]!s_mq_pctchange($C1835,$N$1))</f>
        <v xml:space="preserve"> </v>
      </c>
      <c r="N1835" s="28" t="str">
        <f>IF(C1835=""," ",[1]!s_yq_pctchange($C1835,$N$1))</f>
        <v xml:space="preserve"> </v>
      </c>
      <c r="O1835" s="11"/>
      <c r="P1835" s="7"/>
    </row>
    <row r="1836" spans="1:16" x14ac:dyDescent="0.35">
      <c r="A1836" s="7"/>
      <c r="C1836" s="31" t="str">
        <f>IF(指数列表!B1833="","",指数列表!B1833)</f>
        <v/>
      </c>
      <c r="D1836" s="36" t="str">
        <f>IF(C1836="","",[1]!s_info_name(C1836))</f>
        <v/>
      </c>
      <c r="E1836" s="25" t="str">
        <f>IF(C1836="","",[1]!s_dq_close(C1836,$N$1))</f>
        <v/>
      </c>
      <c r="F1836" s="28" t="str">
        <f>IF($C1836=""," ",[1]!i_pq_pctchange($C1836,F$6,$N$1))</f>
        <v xml:space="preserve"> </v>
      </c>
      <c r="G1836" s="28" t="str">
        <f>IF($C1836=""," ",[1]!i_pq_pctchange($C1836,G$6,$N$1))</f>
        <v xml:space="preserve"> </v>
      </c>
      <c r="H1836" s="28" t="str">
        <f>IF($C1836=""," ",[1]!i_pq_pctchange($C1836,H$6,$N$1))</f>
        <v xml:space="preserve"> </v>
      </c>
      <c r="I1836" s="28" t="str">
        <f>IF($C1836=""," ",[1]!i_pq_pctchange($C1836,I$6,$N$1))</f>
        <v xml:space="preserve"> </v>
      </c>
      <c r="J1836" s="28" t="str">
        <f>IF($C1836=""," ",[1]!i_pq_pctchange($C1836,J$6,$N$1))</f>
        <v xml:space="preserve"> </v>
      </c>
      <c r="K1836" s="28" t="str">
        <f>IF($C1836=""," ",[1]!i_pq_pctchange($C1836,K$6,$N$1))</f>
        <v xml:space="preserve"> </v>
      </c>
      <c r="L1836" s="28" t="str">
        <f>IF(C1836=""," ",[1]!s_wq_pctchange($C1836,$N$1))</f>
        <v xml:space="preserve"> </v>
      </c>
      <c r="M1836" s="28" t="str">
        <f>IF(C1836=""," ",[1]!s_mq_pctchange($C1836,$N$1))</f>
        <v xml:space="preserve"> </v>
      </c>
      <c r="N1836" s="28" t="str">
        <f>IF(C1836=""," ",[1]!s_yq_pctchange($C1836,$N$1))</f>
        <v xml:space="preserve"> </v>
      </c>
      <c r="O1836" s="11"/>
      <c r="P1836" s="7"/>
    </row>
    <row r="1837" spans="1:16" x14ac:dyDescent="0.35">
      <c r="A1837" s="7"/>
      <c r="C1837" s="30" t="str">
        <f>IF(指数列表!B1834="","",指数列表!B1834)</f>
        <v/>
      </c>
      <c r="D1837" s="35" t="str">
        <f>IF(C1837="","",[1]!s_info_name(C1837))</f>
        <v/>
      </c>
      <c r="E1837" s="24" t="str">
        <f>IF(C1837="","",[1]!s_dq_close(C1837,$N$1))</f>
        <v/>
      </c>
      <c r="F1837" s="28" t="str">
        <f>IF($C1837=""," ",[1]!i_pq_pctchange($C1837,F$6,$N$1))</f>
        <v xml:space="preserve"> </v>
      </c>
      <c r="G1837" s="28" t="str">
        <f>IF($C1837=""," ",[1]!i_pq_pctchange($C1837,G$6,$N$1))</f>
        <v xml:space="preserve"> </v>
      </c>
      <c r="H1837" s="28" t="str">
        <f>IF($C1837=""," ",[1]!i_pq_pctchange($C1837,H$6,$N$1))</f>
        <v xml:space="preserve"> </v>
      </c>
      <c r="I1837" s="28" t="str">
        <f>IF($C1837=""," ",[1]!i_pq_pctchange($C1837,I$6,$N$1))</f>
        <v xml:space="preserve"> </v>
      </c>
      <c r="J1837" s="28" t="str">
        <f>IF($C1837=""," ",[1]!i_pq_pctchange($C1837,J$6,$N$1))</f>
        <v xml:space="preserve"> </v>
      </c>
      <c r="K1837" s="28" t="str">
        <f>IF($C1837=""," ",[1]!i_pq_pctchange($C1837,K$6,$N$1))</f>
        <v xml:space="preserve"> </v>
      </c>
      <c r="L1837" s="28" t="str">
        <f>IF(C1837=""," ",[1]!s_wq_pctchange($C1837,$N$1))</f>
        <v xml:space="preserve"> </v>
      </c>
      <c r="M1837" s="28" t="str">
        <f>IF(C1837=""," ",[1]!s_mq_pctchange($C1837,$N$1))</f>
        <v xml:space="preserve"> </v>
      </c>
      <c r="N1837" s="28" t="str">
        <f>IF(C1837=""," ",[1]!s_yq_pctchange($C1837,$N$1))</f>
        <v xml:space="preserve"> </v>
      </c>
      <c r="O1837" s="11"/>
      <c r="P1837" s="7"/>
    </row>
    <row r="1838" spans="1:16" x14ac:dyDescent="0.35">
      <c r="A1838" s="7"/>
      <c r="C1838" s="31" t="str">
        <f>IF(指数列表!B1835="","",指数列表!B1835)</f>
        <v/>
      </c>
      <c r="D1838" s="36" t="str">
        <f>IF(C1838="","",[1]!s_info_name(C1838))</f>
        <v/>
      </c>
      <c r="E1838" s="25" t="str">
        <f>IF(C1838="","",[1]!s_dq_close(C1838,$N$1))</f>
        <v/>
      </c>
      <c r="F1838" s="28" t="str">
        <f>IF($C1838=""," ",[1]!i_pq_pctchange($C1838,F$6,$N$1))</f>
        <v xml:space="preserve"> </v>
      </c>
      <c r="G1838" s="28" t="str">
        <f>IF($C1838=""," ",[1]!i_pq_pctchange($C1838,G$6,$N$1))</f>
        <v xml:space="preserve"> </v>
      </c>
      <c r="H1838" s="28" t="str">
        <f>IF($C1838=""," ",[1]!i_pq_pctchange($C1838,H$6,$N$1))</f>
        <v xml:space="preserve"> </v>
      </c>
      <c r="I1838" s="28" t="str">
        <f>IF($C1838=""," ",[1]!i_pq_pctchange($C1838,I$6,$N$1))</f>
        <v xml:space="preserve"> </v>
      </c>
      <c r="J1838" s="28" t="str">
        <f>IF($C1838=""," ",[1]!i_pq_pctchange($C1838,J$6,$N$1))</f>
        <v xml:space="preserve"> </v>
      </c>
      <c r="K1838" s="28" t="str">
        <f>IF($C1838=""," ",[1]!i_pq_pctchange($C1838,K$6,$N$1))</f>
        <v xml:space="preserve"> </v>
      </c>
      <c r="L1838" s="28" t="str">
        <f>IF(C1838=""," ",[1]!s_wq_pctchange($C1838,$N$1))</f>
        <v xml:space="preserve"> </v>
      </c>
      <c r="M1838" s="28" t="str">
        <f>IF(C1838=""," ",[1]!s_mq_pctchange($C1838,$N$1))</f>
        <v xml:space="preserve"> </v>
      </c>
      <c r="N1838" s="28" t="str">
        <f>IF(C1838=""," ",[1]!s_yq_pctchange($C1838,$N$1))</f>
        <v xml:space="preserve"> </v>
      </c>
      <c r="O1838" s="11"/>
      <c r="P1838" s="7"/>
    </row>
    <row r="1839" spans="1:16" x14ac:dyDescent="0.35">
      <c r="A1839" s="7"/>
      <c r="C1839" s="30" t="str">
        <f>IF(指数列表!B1836="","",指数列表!B1836)</f>
        <v/>
      </c>
      <c r="D1839" s="35" t="str">
        <f>IF(C1839="","",[1]!s_info_name(C1839))</f>
        <v/>
      </c>
      <c r="E1839" s="24" t="str">
        <f>IF(C1839="","",[1]!s_dq_close(C1839,$N$1))</f>
        <v/>
      </c>
      <c r="F1839" s="28" t="str">
        <f>IF($C1839=""," ",[1]!i_pq_pctchange($C1839,F$6,$N$1))</f>
        <v xml:space="preserve"> </v>
      </c>
      <c r="G1839" s="28" t="str">
        <f>IF($C1839=""," ",[1]!i_pq_pctchange($C1839,G$6,$N$1))</f>
        <v xml:space="preserve"> </v>
      </c>
      <c r="H1839" s="28" t="str">
        <f>IF($C1839=""," ",[1]!i_pq_pctchange($C1839,H$6,$N$1))</f>
        <v xml:space="preserve"> </v>
      </c>
      <c r="I1839" s="28" t="str">
        <f>IF($C1839=""," ",[1]!i_pq_pctchange($C1839,I$6,$N$1))</f>
        <v xml:space="preserve"> </v>
      </c>
      <c r="J1839" s="28" t="str">
        <f>IF($C1839=""," ",[1]!i_pq_pctchange($C1839,J$6,$N$1))</f>
        <v xml:space="preserve"> </v>
      </c>
      <c r="K1839" s="28" t="str">
        <f>IF($C1839=""," ",[1]!i_pq_pctchange($C1839,K$6,$N$1))</f>
        <v xml:space="preserve"> </v>
      </c>
      <c r="L1839" s="28" t="str">
        <f>IF(C1839=""," ",[1]!s_wq_pctchange($C1839,$N$1))</f>
        <v xml:space="preserve"> </v>
      </c>
      <c r="M1839" s="28" t="str">
        <f>IF(C1839=""," ",[1]!s_mq_pctchange($C1839,$N$1))</f>
        <v xml:space="preserve"> </v>
      </c>
      <c r="N1839" s="28" t="str">
        <f>IF(C1839=""," ",[1]!s_yq_pctchange($C1839,$N$1))</f>
        <v xml:space="preserve"> </v>
      </c>
      <c r="O1839" s="11"/>
      <c r="P1839" s="7"/>
    </row>
    <row r="1840" spans="1:16" x14ac:dyDescent="0.35">
      <c r="A1840" s="7"/>
      <c r="C1840" s="31" t="str">
        <f>IF(指数列表!B1837="","",指数列表!B1837)</f>
        <v/>
      </c>
      <c r="D1840" s="36" t="str">
        <f>IF(C1840="","",[1]!s_info_name(C1840))</f>
        <v/>
      </c>
      <c r="E1840" s="25" t="str">
        <f>IF(C1840="","",[1]!s_dq_close(C1840,$N$1))</f>
        <v/>
      </c>
      <c r="F1840" s="28" t="str">
        <f>IF($C1840=""," ",[1]!i_pq_pctchange($C1840,F$6,$N$1))</f>
        <v xml:space="preserve"> </v>
      </c>
      <c r="G1840" s="28" t="str">
        <f>IF($C1840=""," ",[1]!i_pq_pctchange($C1840,G$6,$N$1))</f>
        <v xml:space="preserve"> </v>
      </c>
      <c r="H1840" s="28" t="str">
        <f>IF($C1840=""," ",[1]!i_pq_pctchange($C1840,H$6,$N$1))</f>
        <v xml:space="preserve"> </v>
      </c>
      <c r="I1840" s="28" t="str">
        <f>IF($C1840=""," ",[1]!i_pq_pctchange($C1840,I$6,$N$1))</f>
        <v xml:space="preserve"> </v>
      </c>
      <c r="J1840" s="28" t="str">
        <f>IF($C1840=""," ",[1]!i_pq_pctchange($C1840,J$6,$N$1))</f>
        <v xml:space="preserve"> </v>
      </c>
      <c r="K1840" s="28" t="str">
        <f>IF($C1840=""," ",[1]!i_pq_pctchange($C1840,K$6,$N$1))</f>
        <v xml:space="preserve"> </v>
      </c>
      <c r="L1840" s="28" t="str">
        <f>IF(C1840=""," ",[1]!s_wq_pctchange($C1840,$N$1))</f>
        <v xml:space="preserve"> </v>
      </c>
      <c r="M1840" s="28" t="str">
        <f>IF(C1840=""," ",[1]!s_mq_pctchange($C1840,$N$1))</f>
        <v xml:space="preserve"> </v>
      </c>
      <c r="N1840" s="28" t="str">
        <f>IF(C1840=""," ",[1]!s_yq_pctchange($C1840,$N$1))</f>
        <v xml:space="preserve"> </v>
      </c>
      <c r="O1840" s="11"/>
      <c r="P1840" s="7"/>
    </row>
    <row r="1841" spans="1:16" x14ac:dyDescent="0.35">
      <c r="A1841" s="7"/>
      <c r="C1841" s="30" t="str">
        <f>IF(指数列表!B1838="","",指数列表!B1838)</f>
        <v/>
      </c>
      <c r="D1841" s="35" t="str">
        <f>IF(C1841="","",[1]!s_info_name(C1841))</f>
        <v/>
      </c>
      <c r="E1841" s="24" t="str">
        <f>IF(C1841="","",[1]!s_dq_close(C1841,$N$1))</f>
        <v/>
      </c>
      <c r="F1841" s="28" t="str">
        <f>IF($C1841=""," ",[1]!i_pq_pctchange($C1841,F$6,$N$1))</f>
        <v xml:space="preserve"> </v>
      </c>
      <c r="G1841" s="28" t="str">
        <f>IF($C1841=""," ",[1]!i_pq_pctchange($C1841,G$6,$N$1))</f>
        <v xml:space="preserve"> </v>
      </c>
      <c r="H1841" s="28" t="str">
        <f>IF($C1841=""," ",[1]!i_pq_pctchange($C1841,H$6,$N$1))</f>
        <v xml:space="preserve"> </v>
      </c>
      <c r="I1841" s="28" t="str">
        <f>IF($C1841=""," ",[1]!i_pq_pctchange($C1841,I$6,$N$1))</f>
        <v xml:space="preserve"> </v>
      </c>
      <c r="J1841" s="28" t="str">
        <f>IF($C1841=""," ",[1]!i_pq_pctchange($C1841,J$6,$N$1))</f>
        <v xml:space="preserve"> </v>
      </c>
      <c r="K1841" s="28" t="str">
        <f>IF($C1841=""," ",[1]!i_pq_pctchange($C1841,K$6,$N$1))</f>
        <v xml:space="preserve"> </v>
      </c>
      <c r="L1841" s="28" t="str">
        <f>IF(C1841=""," ",[1]!s_wq_pctchange($C1841,$N$1))</f>
        <v xml:space="preserve"> </v>
      </c>
      <c r="M1841" s="28" t="str">
        <f>IF(C1841=""," ",[1]!s_mq_pctchange($C1841,$N$1))</f>
        <v xml:space="preserve"> </v>
      </c>
      <c r="N1841" s="28" t="str">
        <f>IF(C1841=""," ",[1]!s_yq_pctchange($C1841,$N$1))</f>
        <v xml:space="preserve"> </v>
      </c>
      <c r="O1841" s="11"/>
      <c r="P1841" s="7"/>
    </row>
    <row r="1842" spans="1:16" x14ac:dyDescent="0.35">
      <c r="A1842" s="7"/>
      <c r="C1842" s="31" t="str">
        <f>IF(指数列表!B1839="","",指数列表!B1839)</f>
        <v/>
      </c>
      <c r="D1842" s="36" t="str">
        <f>IF(C1842="","",[1]!s_info_name(C1842))</f>
        <v/>
      </c>
      <c r="E1842" s="25" t="str">
        <f>IF(C1842="","",[1]!s_dq_close(C1842,$N$1))</f>
        <v/>
      </c>
      <c r="F1842" s="28" t="str">
        <f>IF($C1842=""," ",[1]!i_pq_pctchange($C1842,F$6,$N$1))</f>
        <v xml:space="preserve"> </v>
      </c>
      <c r="G1842" s="28" t="str">
        <f>IF($C1842=""," ",[1]!i_pq_pctchange($C1842,G$6,$N$1))</f>
        <v xml:space="preserve"> </v>
      </c>
      <c r="H1842" s="28" t="str">
        <f>IF($C1842=""," ",[1]!i_pq_pctchange($C1842,H$6,$N$1))</f>
        <v xml:space="preserve"> </v>
      </c>
      <c r="I1842" s="28" t="str">
        <f>IF($C1842=""," ",[1]!i_pq_pctchange($C1842,I$6,$N$1))</f>
        <v xml:space="preserve"> </v>
      </c>
      <c r="J1842" s="28" t="str">
        <f>IF($C1842=""," ",[1]!i_pq_pctchange($C1842,J$6,$N$1))</f>
        <v xml:space="preserve"> </v>
      </c>
      <c r="K1842" s="28" t="str">
        <f>IF($C1842=""," ",[1]!i_pq_pctchange($C1842,K$6,$N$1))</f>
        <v xml:space="preserve"> </v>
      </c>
      <c r="L1842" s="28" t="str">
        <f>IF(C1842=""," ",[1]!s_wq_pctchange($C1842,$N$1))</f>
        <v xml:space="preserve"> </v>
      </c>
      <c r="M1842" s="28" t="str">
        <f>IF(C1842=""," ",[1]!s_mq_pctchange($C1842,$N$1))</f>
        <v xml:space="preserve"> </v>
      </c>
      <c r="N1842" s="28" t="str">
        <f>IF(C1842=""," ",[1]!s_yq_pctchange($C1842,$N$1))</f>
        <v xml:space="preserve"> </v>
      </c>
      <c r="O1842" s="11"/>
      <c r="P1842" s="7"/>
    </row>
    <row r="1843" spans="1:16" x14ac:dyDescent="0.35">
      <c r="A1843" s="7"/>
      <c r="C1843" s="30" t="str">
        <f>IF(指数列表!B1840="","",指数列表!B1840)</f>
        <v/>
      </c>
      <c r="D1843" s="35" t="str">
        <f>IF(C1843="","",[1]!s_info_name(C1843))</f>
        <v/>
      </c>
      <c r="E1843" s="24" t="str">
        <f>IF(C1843="","",[1]!s_dq_close(C1843,$N$1))</f>
        <v/>
      </c>
      <c r="F1843" s="28" t="str">
        <f>IF($C1843=""," ",[1]!i_pq_pctchange($C1843,F$6,$N$1))</f>
        <v xml:space="preserve"> </v>
      </c>
      <c r="G1843" s="28" t="str">
        <f>IF($C1843=""," ",[1]!i_pq_pctchange($C1843,G$6,$N$1))</f>
        <v xml:space="preserve"> </v>
      </c>
      <c r="H1843" s="28" t="str">
        <f>IF($C1843=""," ",[1]!i_pq_pctchange($C1843,H$6,$N$1))</f>
        <v xml:space="preserve"> </v>
      </c>
      <c r="I1843" s="28" t="str">
        <f>IF($C1843=""," ",[1]!i_pq_pctchange($C1843,I$6,$N$1))</f>
        <v xml:space="preserve"> </v>
      </c>
      <c r="J1843" s="28" t="str">
        <f>IF($C1843=""," ",[1]!i_pq_pctchange($C1843,J$6,$N$1))</f>
        <v xml:space="preserve"> </v>
      </c>
      <c r="K1843" s="28" t="str">
        <f>IF($C1843=""," ",[1]!i_pq_pctchange($C1843,K$6,$N$1))</f>
        <v xml:space="preserve"> </v>
      </c>
      <c r="L1843" s="28" t="str">
        <f>IF(C1843=""," ",[1]!s_wq_pctchange($C1843,$N$1))</f>
        <v xml:space="preserve"> </v>
      </c>
      <c r="M1843" s="28" t="str">
        <f>IF(C1843=""," ",[1]!s_mq_pctchange($C1843,$N$1))</f>
        <v xml:space="preserve"> </v>
      </c>
      <c r="N1843" s="28" t="str">
        <f>IF(C1843=""," ",[1]!s_yq_pctchange($C1843,$N$1))</f>
        <v xml:space="preserve"> </v>
      </c>
      <c r="O1843" s="11"/>
      <c r="P1843" s="7"/>
    </row>
    <row r="1844" spans="1:16" x14ac:dyDescent="0.35">
      <c r="A1844" s="7"/>
      <c r="C1844" s="31" t="str">
        <f>IF(指数列表!B1841="","",指数列表!B1841)</f>
        <v/>
      </c>
      <c r="D1844" s="36" t="str">
        <f>IF(C1844="","",[1]!s_info_name(C1844))</f>
        <v/>
      </c>
      <c r="E1844" s="25" t="str">
        <f>IF(C1844="","",[1]!s_dq_close(C1844,$N$1))</f>
        <v/>
      </c>
      <c r="F1844" s="28" t="str">
        <f>IF($C1844=""," ",[1]!i_pq_pctchange($C1844,F$6,$N$1))</f>
        <v xml:space="preserve"> </v>
      </c>
      <c r="G1844" s="28" t="str">
        <f>IF($C1844=""," ",[1]!i_pq_pctchange($C1844,G$6,$N$1))</f>
        <v xml:space="preserve"> </v>
      </c>
      <c r="H1844" s="28" t="str">
        <f>IF($C1844=""," ",[1]!i_pq_pctchange($C1844,H$6,$N$1))</f>
        <v xml:space="preserve"> </v>
      </c>
      <c r="I1844" s="28" t="str">
        <f>IF($C1844=""," ",[1]!i_pq_pctchange($C1844,I$6,$N$1))</f>
        <v xml:space="preserve"> </v>
      </c>
      <c r="J1844" s="28" t="str">
        <f>IF($C1844=""," ",[1]!i_pq_pctchange($C1844,J$6,$N$1))</f>
        <v xml:space="preserve"> </v>
      </c>
      <c r="K1844" s="28" t="str">
        <f>IF($C1844=""," ",[1]!i_pq_pctchange($C1844,K$6,$N$1))</f>
        <v xml:space="preserve"> </v>
      </c>
      <c r="L1844" s="28" t="str">
        <f>IF(C1844=""," ",[1]!s_wq_pctchange($C1844,$N$1))</f>
        <v xml:space="preserve"> </v>
      </c>
      <c r="M1844" s="28" t="str">
        <f>IF(C1844=""," ",[1]!s_mq_pctchange($C1844,$N$1))</f>
        <v xml:space="preserve"> </v>
      </c>
      <c r="N1844" s="28" t="str">
        <f>IF(C1844=""," ",[1]!s_yq_pctchange($C1844,$N$1))</f>
        <v xml:space="preserve"> </v>
      </c>
      <c r="O1844" s="11"/>
      <c r="P1844" s="7"/>
    </row>
    <row r="1845" spans="1:16" x14ac:dyDescent="0.35">
      <c r="A1845" s="7"/>
      <c r="C1845" s="30" t="str">
        <f>IF(指数列表!B1842="","",指数列表!B1842)</f>
        <v/>
      </c>
      <c r="D1845" s="35" t="str">
        <f>IF(C1845="","",[1]!s_info_name(C1845))</f>
        <v/>
      </c>
      <c r="E1845" s="24" t="str">
        <f>IF(C1845="","",[1]!s_dq_close(C1845,$N$1))</f>
        <v/>
      </c>
      <c r="F1845" s="28" t="str">
        <f>IF($C1845=""," ",[1]!i_pq_pctchange($C1845,F$6,$N$1))</f>
        <v xml:space="preserve"> </v>
      </c>
      <c r="G1845" s="28" t="str">
        <f>IF($C1845=""," ",[1]!i_pq_pctchange($C1845,G$6,$N$1))</f>
        <v xml:space="preserve"> </v>
      </c>
      <c r="H1845" s="28" t="str">
        <f>IF($C1845=""," ",[1]!i_pq_pctchange($C1845,H$6,$N$1))</f>
        <v xml:space="preserve"> </v>
      </c>
      <c r="I1845" s="28" t="str">
        <f>IF($C1845=""," ",[1]!i_pq_pctchange($C1845,I$6,$N$1))</f>
        <v xml:space="preserve"> </v>
      </c>
      <c r="J1845" s="28" t="str">
        <f>IF($C1845=""," ",[1]!i_pq_pctchange($C1845,J$6,$N$1))</f>
        <v xml:space="preserve"> </v>
      </c>
      <c r="K1845" s="28" t="str">
        <f>IF($C1845=""," ",[1]!i_pq_pctchange($C1845,K$6,$N$1))</f>
        <v xml:space="preserve"> </v>
      </c>
      <c r="L1845" s="28" t="str">
        <f>IF(C1845=""," ",[1]!s_wq_pctchange($C1845,$N$1))</f>
        <v xml:space="preserve"> </v>
      </c>
      <c r="M1845" s="28" t="str">
        <f>IF(C1845=""," ",[1]!s_mq_pctchange($C1845,$N$1))</f>
        <v xml:space="preserve"> </v>
      </c>
      <c r="N1845" s="28" t="str">
        <f>IF(C1845=""," ",[1]!s_yq_pctchange($C1845,$N$1))</f>
        <v xml:space="preserve"> </v>
      </c>
      <c r="O1845" s="11"/>
      <c r="P1845" s="7"/>
    </row>
    <row r="1846" spans="1:16" x14ac:dyDescent="0.35">
      <c r="A1846" s="7"/>
      <c r="C1846" s="31" t="str">
        <f>IF(指数列表!B1843="","",指数列表!B1843)</f>
        <v/>
      </c>
      <c r="D1846" s="36" t="str">
        <f>IF(C1846="","",[1]!s_info_name(C1846))</f>
        <v/>
      </c>
      <c r="E1846" s="25" t="str">
        <f>IF(C1846="","",[1]!s_dq_close(C1846,$N$1))</f>
        <v/>
      </c>
      <c r="F1846" s="28" t="str">
        <f>IF($C1846=""," ",[1]!i_pq_pctchange($C1846,F$6,$N$1))</f>
        <v xml:space="preserve"> </v>
      </c>
      <c r="G1846" s="28" t="str">
        <f>IF($C1846=""," ",[1]!i_pq_pctchange($C1846,G$6,$N$1))</f>
        <v xml:space="preserve"> </v>
      </c>
      <c r="H1846" s="28" t="str">
        <f>IF($C1846=""," ",[1]!i_pq_pctchange($C1846,H$6,$N$1))</f>
        <v xml:space="preserve"> </v>
      </c>
      <c r="I1846" s="28" t="str">
        <f>IF($C1846=""," ",[1]!i_pq_pctchange($C1846,I$6,$N$1))</f>
        <v xml:space="preserve"> </v>
      </c>
      <c r="J1846" s="28" t="str">
        <f>IF($C1846=""," ",[1]!i_pq_pctchange($C1846,J$6,$N$1))</f>
        <v xml:space="preserve"> </v>
      </c>
      <c r="K1846" s="28" t="str">
        <f>IF($C1846=""," ",[1]!i_pq_pctchange($C1846,K$6,$N$1))</f>
        <v xml:space="preserve"> </v>
      </c>
      <c r="L1846" s="28" t="str">
        <f>IF(C1846=""," ",[1]!s_wq_pctchange($C1846,$N$1))</f>
        <v xml:space="preserve"> </v>
      </c>
      <c r="M1846" s="28" t="str">
        <f>IF(C1846=""," ",[1]!s_mq_pctchange($C1846,$N$1))</f>
        <v xml:space="preserve"> </v>
      </c>
      <c r="N1846" s="28" t="str">
        <f>IF(C1846=""," ",[1]!s_yq_pctchange($C1846,$N$1))</f>
        <v xml:space="preserve"> </v>
      </c>
      <c r="O1846" s="11"/>
      <c r="P1846" s="7"/>
    </row>
    <row r="1847" spans="1:16" x14ac:dyDescent="0.35">
      <c r="A1847" s="7"/>
      <c r="C1847" s="30" t="str">
        <f>IF(指数列表!B1844="","",指数列表!B1844)</f>
        <v/>
      </c>
      <c r="D1847" s="35" t="str">
        <f>IF(C1847="","",[1]!s_info_name(C1847))</f>
        <v/>
      </c>
      <c r="E1847" s="24" t="str">
        <f>IF(C1847="","",[1]!s_dq_close(C1847,$N$1))</f>
        <v/>
      </c>
      <c r="F1847" s="28" t="str">
        <f>IF($C1847=""," ",[1]!i_pq_pctchange($C1847,F$6,$N$1))</f>
        <v xml:space="preserve"> </v>
      </c>
      <c r="G1847" s="28" t="str">
        <f>IF($C1847=""," ",[1]!i_pq_pctchange($C1847,G$6,$N$1))</f>
        <v xml:space="preserve"> </v>
      </c>
      <c r="H1847" s="28" t="str">
        <f>IF($C1847=""," ",[1]!i_pq_pctchange($C1847,H$6,$N$1))</f>
        <v xml:space="preserve"> </v>
      </c>
      <c r="I1847" s="28" t="str">
        <f>IF($C1847=""," ",[1]!i_pq_pctchange($C1847,I$6,$N$1))</f>
        <v xml:space="preserve"> </v>
      </c>
      <c r="J1847" s="28" t="str">
        <f>IF($C1847=""," ",[1]!i_pq_pctchange($C1847,J$6,$N$1))</f>
        <v xml:space="preserve"> </v>
      </c>
      <c r="K1847" s="28" t="str">
        <f>IF($C1847=""," ",[1]!i_pq_pctchange($C1847,K$6,$N$1))</f>
        <v xml:space="preserve"> </v>
      </c>
      <c r="L1847" s="28" t="str">
        <f>IF(C1847=""," ",[1]!s_wq_pctchange($C1847,$N$1))</f>
        <v xml:space="preserve"> </v>
      </c>
      <c r="M1847" s="28" t="str">
        <f>IF(C1847=""," ",[1]!s_mq_pctchange($C1847,$N$1))</f>
        <v xml:space="preserve"> </v>
      </c>
      <c r="N1847" s="28" t="str">
        <f>IF(C1847=""," ",[1]!s_yq_pctchange($C1847,$N$1))</f>
        <v xml:space="preserve"> </v>
      </c>
      <c r="O1847" s="11"/>
      <c r="P1847" s="7"/>
    </row>
    <row r="1848" spans="1:16" x14ac:dyDescent="0.35">
      <c r="A1848" s="7"/>
      <c r="C1848" s="31" t="str">
        <f>IF(指数列表!B1845="","",指数列表!B1845)</f>
        <v/>
      </c>
      <c r="D1848" s="36" t="str">
        <f>IF(C1848="","",[1]!s_info_name(C1848))</f>
        <v/>
      </c>
      <c r="E1848" s="25" t="str">
        <f>IF(C1848="","",[1]!s_dq_close(C1848,$N$1))</f>
        <v/>
      </c>
      <c r="F1848" s="28" t="str">
        <f>IF($C1848=""," ",[1]!i_pq_pctchange($C1848,F$6,$N$1))</f>
        <v xml:space="preserve"> </v>
      </c>
      <c r="G1848" s="28" t="str">
        <f>IF($C1848=""," ",[1]!i_pq_pctchange($C1848,G$6,$N$1))</f>
        <v xml:space="preserve"> </v>
      </c>
      <c r="H1848" s="28" t="str">
        <f>IF($C1848=""," ",[1]!i_pq_pctchange($C1848,H$6,$N$1))</f>
        <v xml:space="preserve"> </v>
      </c>
      <c r="I1848" s="28" t="str">
        <f>IF($C1848=""," ",[1]!i_pq_pctchange($C1848,I$6,$N$1))</f>
        <v xml:space="preserve"> </v>
      </c>
      <c r="J1848" s="28" t="str">
        <f>IF($C1848=""," ",[1]!i_pq_pctchange($C1848,J$6,$N$1))</f>
        <v xml:space="preserve"> </v>
      </c>
      <c r="K1848" s="28" t="str">
        <f>IF($C1848=""," ",[1]!i_pq_pctchange($C1848,K$6,$N$1))</f>
        <v xml:space="preserve"> </v>
      </c>
      <c r="L1848" s="28" t="str">
        <f>IF(C1848=""," ",[1]!s_wq_pctchange($C1848,$N$1))</f>
        <v xml:space="preserve"> </v>
      </c>
      <c r="M1848" s="28" t="str">
        <f>IF(C1848=""," ",[1]!s_mq_pctchange($C1848,$N$1))</f>
        <v xml:space="preserve"> </v>
      </c>
      <c r="N1848" s="28" t="str">
        <f>IF(C1848=""," ",[1]!s_yq_pctchange($C1848,$N$1))</f>
        <v xml:space="preserve"> </v>
      </c>
      <c r="O1848" s="11"/>
      <c r="P1848" s="7"/>
    </row>
    <row r="1849" spans="1:16" x14ac:dyDescent="0.35">
      <c r="A1849" s="7"/>
      <c r="C1849" s="30" t="str">
        <f>IF(指数列表!B1846="","",指数列表!B1846)</f>
        <v/>
      </c>
      <c r="D1849" s="35" t="str">
        <f>IF(C1849="","",[1]!s_info_name(C1849))</f>
        <v/>
      </c>
      <c r="E1849" s="24" t="str">
        <f>IF(C1849="","",[1]!s_dq_close(C1849,$N$1))</f>
        <v/>
      </c>
      <c r="F1849" s="28" t="str">
        <f>IF($C1849=""," ",[1]!i_pq_pctchange($C1849,F$6,$N$1))</f>
        <v xml:space="preserve"> </v>
      </c>
      <c r="G1849" s="28" t="str">
        <f>IF($C1849=""," ",[1]!i_pq_pctchange($C1849,G$6,$N$1))</f>
        <v xml:space="preserve"> </v>
      </c>
      <c r="H1849" s="28" t="str">
        <f>IF($C1849=""," ",[1]!i_pq_pctchange($C1849,H$6,$N$1))</f>
        <v xml:space="preserve"> </v>
      </c>
      <c r="I1849" s="28" t="str">
        <f>IF($C1849=""," ",[1]!i_pq_pctchange($C1849,I$6,$N$1))</f>
        <v xml:space="preserve"> </v>
      </c>
      <c r="J1849" s="28" t="str">
        <f>IF($C1849=""," ",[1]!i_pq_pctchange($C1849,J$6,$N$1))</f>
        <v xml:space="preserve"> </v>
      </c>
      <c r="K1849" s="28" t="str">
        <f>IF($C1849=""," ",[1]!i_pq_pctchange($C1849,K$6,$N$1))</f>
        <v xml:space="preserve"> </v>
      </c>
      <c r="L1849" s="28" t="str">
        <f>IF(C1849=""," ",[1]!s_wq_pctchange($C1849,$N$1))</f>
        <v xml:space="preserve"> </v>
      </c>
      <c r="M1849" s="28" t="str">
        <f>IF(C1849=""," ",[1]!s_mq_pctchange($C1849,$N$1))</f>
        <v xml:space="preserve"> </v>
      </c>
      <c r="N1849" s="28" t="str">
        <f>IF(C1849=""," ",[1]!s_yq_pctchange($C1849,$N$1))</f>
        <v xml:space="preserve"> </v>
      </c>
      <c r="O1849" s="11"/>
      <c r="P1849" s="7"/>
    </row>
    <row r="1850" spans="1:16" x14ac:dyDescent="0.35">
      <c r="A1850" s="7"/>
      <c r="C1850" s="31" t="str">
        <f>IF(指数列表!B1847="","",指数列表!B1847)</f>
        <v/>
      </c>
      <c r="D1850" s="36" t="str">
        <f>IF(C1850="","",[1]!s_info_name(C1850))</f>
        <v/>
      </c>
      <c r="E1850" s="25" t="str">
        <f>IF(C1850="","",[1]!s_dq_close(C1850,$N$1))</f>
        <v/>
      </c>
      <c r="F1850" s="28" t="str">
        <f>IF($C1850=""," ",[1]!i_pq_pctchange($C1850,F$6,$N$1))</f>
        <v xml:space="preserve"> </v>
      </c>
      <c r="G1850" s="28" t="str">
        <f>IF($C1850=""," ",[1]!i_pq_pctchange($C1850,G$6,$N$1))</f>
        <v xml:space="preserve"> </v>
      </c>
      <c r="H1850" s="28" t="str">
        <f>IF($C1850=""," ",[1]!i_pq_pctchange($C1850,H$6,$N$1))</f>
        <v xml:space="preserve"> </v>
      </c>
      <c r="I1850" s="28" t="str">
        <f>IF($C1850=""," ",[1]!i_pq_pctchange($C1850,I$6,$N$1))</f>
        <v xml:space="preserve"> </v>
      </c>
      <c r="J1850" s="28" t="str">
        <f>IF($C1850=""," ",[1]!i_pq_pctchange($C1850,J$6,$N$1))</f>
        <v xml:space="preserve"> </v>
      </c>
      <c r="K1850" s="28" t="str">
        <f>IF($C1850=""," ",[1]!i_pq_pctchange($C1850,K$6,$N$1))</f>
        <v xml:space="preserve"> </v>
      </c>
      <c r="L1850" s="28" t="str">
        <f>IF(C1850=""," ",[1]!s_wq_pctchange($C1850,$N$1))</f>
        <v xml:space="preserve"> </v>
      </c>
      <c r="M1850" s="28" t="str">
        <f>IF(C1850=""," ",[1]!s_mq_pctchange($C1850,$N$1))</f>
        <v xml:space="preserve"> </v>
      </c>
      <c r="N1850" s="28" t="str">
        <f>IF(C1850=""," ",[1]!s_yq_pctchange($C1850,$N$1))</f>
        <v xml:space="preserve"> </v>
      </c>
      <c r="O1850" s="11"/>
      <c r="P1850" s="7"/>
    </row>
    <row r="1851" spans="1:16" x14ac:dyDescent="0.35">
      <c r="A1851" s="7"/>
      <c r="C1851" s="30" t="str">
        <f>IF(指数列表!B1848="","",指数列表!B1848)</f>
        <v/>
      </c>
      <c r="D1851" s="35" t="str">
        <f>IF(C1851="","",[1]!s_info_name(C1851))</f>
        <v/>
      </c>
      <c r="E1851" s="24" t="str">
        <f>IF(C1851="","",[1]!s_dq_close(C1851,$N$1))</f>
        <v/>
      </c>
      <c r="F1851" s="28" t="str">
        <f>IF($C1851=""," ",[1]!i_pq_pctchange($C1851,F$6,$N$1))</f>
        <v xml:space="preserve"> </v>
      </c>
      <c r="G1851" s="28" t="str">
        <f>IF($C1851=""," ",[1]!i_pq_pctchange($C1851,G$6,$N$1))</f>
        <v xml:space="preserve"> </v>
      </c>
      <c r="H1851" s="28" t="str">
        <f>IF($C1851=""," ",[1]!i_pq_pctchange($C1851,H$6,$N$1))</f>
        <v xml:space="preserve"> </v>
      </c>
      <c r="I1851" s="28" t="str">
        <f>IF($C1851=""," ",[1]!i_pq_pctchange($C1851,I$6,$N$1))</f>
        <v xml:space="preserve"> </v>
      </c>
      <c r="J1851" s="28" t="str">
        <f>IF($C1851=""," ",[1]!i_pq_pctchange($C1851,J$6,$N$1))</f>
        <v xml:space="preserve"> </v>
      </c>
      <c r="K1851" s="28" t="str">
        <f>IF($C1851=""," ",[1]!i_pq_pctchange($C1851,K$6,$N$1))</f>
        <v xml:space="preserve"> </v>
      </c>
      <c r="L1851" s="28" t="str">
        <f>IF(C1851=""," ",[1]!s_wq_pctchange($C1851,$N$1))</f>
        <v xml:space="preserve"> </v>
      </c>
      <c r="M1851" s="28" t="str">
        <f>IF(C1851=""," ",[1]!s_mq_pctchange($C1851,$N$1))</f>
        <v xml:space="preserve"> </v>
      </c>
      <c r="N1851" s="28" t="str">
        <f>IF(C1851=""," ",[1]!s_yq_pctchange($C1851,$N$1))</f>
        <v xml:space="preserve"> </v>
      </c>
      <c r="O1851" s="11"/>
      <c r="P1851" s="7"/>
    </row>
    <row r="1852" spans="1:16" x14ac:dyDescent="0.35">
      <c r="A1852" s="7"/>
      <c r="C1852" s="31" t="str">
        <f>IF(指数列表!B1849="","",指数列表!B1849)</f>
        <v/>
      </c>
      <c r="D1852" s="36" t="str">
        <f>IF(C1852="","",[1]!s_info_name(C1852))</f>
        <v/>
      </c>
      <c r="E1852" s="25" t="str">
        <f>IF(C1852="","",[1]!s_dq_close(C1852,$N$1))</f>
        <v/>
      </c>
      <c r="F1852" s="28" t="str">
        <f>IF($C1852=""," ",[1]!i_pq_pctchange($C1852,F$6,$N$1))</f>
        <v xml:space="preserve"> </v>
      </c>
      <c r="G1852" s="28" t="str">
        <f>IF($C1852=""," ",[1]!i_pq_pctchange($C1852,G$6,$N$1))</f>
        <v xml:space="preserve"> </v>
      </c>
      <c r="H1852" s="28" t="str">
        <f>IF($C1852=""," ",[1]!i_pq_pctchange($C1852,H$6,$N$1))</f>
        <v xml:space="preserve"> </v>
      </c>
      <c r="I1852" s="28" t="str">
        <f>IF($C1852=""," ",[1]!i_pq_pctchange($C1852,I$6,$N$1))</f>
        <v xml:space="preserve"> </v>
      </c>
      <c r="J1852" s="28" t="str">
        <f>IF($C1852=""," ",[1]!i_pq_pctchange($C1852,J$6,$N$1))</f>
        <v xml:space="preserve"> </v>
      </c>
      <c r="K1852" s="28" t="str">
        <f>IF($C1852=""," ",[1]!i_pq_pctchange($C1852,K$6,$N$1))</f>
        <v xml:space="preserve"> </v>
      </c>
      <c r="L1852" s="28" t="str">
        <f>IF(C1852=""," ",[1]!s_wq_pctchange($C1852,$N$1))</f>
        <v xml:space="preserve"> </v>
      </c>
      <c r="M1852" s="28" t="str">
        <f>IF(C1852=""," ",[1]!s_mq_pctchange($C1852,$N$1))</f>
        <v xml:space="preserve"> </v>
      </c>
      <c r="N1852" s="28" t="str">
        <f>IF(C1852=""," ",[1]!s_yq_pctchange($C1852,$N$1))</f>
        <v xml:space="preserve"> </v>
      </c>
      <c r="O1852" s="11"/>
      <c r="P1852" s="7"/>
    </row>
    <row r="1853" spans="1:16" x14ac:dyDescent="0.35">
      <c r="A1853" s="7"/>
      <c r="C1853" s="30" t="str">
        <f>IF(指数列表!B1850="","",指数列表!B1850)</f>
        <v/>
      </c>
      <c r="D1853" s="35" t="str">
        <f>IF(C1853="","",[1]!s_info_name(C1853))</f>
        <v/>
      </c>
      <c r="E1853" s="24" t="str">
        <f>IF(C1853="","",[1]!s_dq_close(C1853,$N$1))</f>
        <v/>
      </c>
      <c r="F1853" s="28" t="str">
        <f>IF($C1853=""," ",[1]!i_pq_pctchange($C1853,F$6,$N$1))</f>
        <v xml:space="preserve"> </v>
      </c>
      <c r="G1853" s="28" t="str">
        <f>IF($C1853=""," ",[1]!i_pq_pctchange($C1853,G$6,$N$1))</f>
        <v xml:space="preserve"> </v>
      </c>
      <c r="H1853" s="28" t="str">
        <f>IF($C1853=""," ",[1]!i_pq_pctchange($C1853,H$6,$N$1))</f>
        <v xml:space="preserve"> </v>
      </c>
      <c r="I1853" s="28" t="str">
        <f>IF($C1853=""," ",[1]!i_pq_pctchange($C1853,I$6,$N$1))</f>
        <v xml:space="preserve"> </v>
      </c>
      <c r="J1853" s="28" t="str">
        <f>IF($C1853=""," ",[1]!i_pq_pctchange($C1853,J$6,$N$1))</f>
        <v xml:space="preserve"> </v>
      </c>
      <c r="K1853" s="28" t="str">
        <f>IF($C1853=""," ",[1]!i_pq_pctchange($C1853,K$6,$N$1))</f>
        <v xml:space="preserve"> </v>
      </c>
      <c r="L1853" s="28" t="str">
        <f>IF(C1853=""," ",[1]!s_wq_pctchange($C1853,$N$1))</f>
        <v xml:space="preserve"> </v>
      </c>
      <c r="M1853" s="28" t="str">
        <f>IF(C1853=""," ",[1]!s_mq_pctchange($C1853,$N$1))</f>
        <v xml:space="preserve"> </v>
      </c>
      <c r="N1853" s="28" t="str">
        <f>IF(C1853=""," ",[1]!s_yq_pctchange($C1853,$N$1))</f>
        <v xml:space="preserve"> </v>
      </c>
      <c r="O1853" s="11"/>
      <c r="P1853" s="7"/>
    </row>
    <row r="1854" spans="1:16" x14ac:dyDescent="0.35">
      <c r="A1854" s="7"/>
      <c r="C1854" s="31" t="str">
        <f>IF(指数列表!B1851="","",指数列表!B1851)</f>
        <v/>
      </c>
      <c r="D1854" s="36" t="str">
        <f>IF(C1854="","",[1]!s_info_name(C1854))</f>
        <v/>
      </c>
      <c r="E1854" s="25" t="str">
        <f>IF(C1854="","",[1]!s_dq_close(C1854,$N$1))</f>
        <v/>
      </c>
      <c r="F1854" s="28" t="str">
        <f>IF($C1854=""," ",[1]!i_pq_pctchange($C1854,F$6,$N$1))</f>
        <v xml:space="preserve"> </v>
      </c>
      <c r="G1854" s="28" t="str">
        <f>IF($C1854=""," ",[1]!i_pq_pctchange($C1854,G$6,$N$1))</f>
        <v xml:space="preserve"> </v>
      </c>
      <c r="H1854" s="28" t="str">
        <f>IF($C1854=""," ",[1]!i_pq_pctchange($C1854,H$6,$N$1))</f>
        <v xml:space="preserve"> </v>
      </c>
      <c r="I1854" s="28" t="str">
        <f>IF($C1854=""," ",[1]!i_pq_pctchange($C1854,I$6,$N$1))</f>
        <v xml:space="preserve"> </v>
      </c>
      <c r="J1854" s="28" t="str">
        <f>IF($C1854=""," ",[1]!i_pq_pctchange($C1854,J$6,$N$1))</f>
        <v xml:space="preserve"> </v>
      </c>
      <c r="K1854" s="28" t="str">
        <f>IF($C1854=""," ",[1]!i_pq_pctchange($C1854,K$6,$N$1))</f>
        <v xml:space="preserve"> </v>
      </c>
      <c r="L1854" s="28" t="str">
        <f>IF(C1854=""," ",[1]!s_wq_pctchange($C1854,$N$1))</f>
        <v xml:space="preserve"> </v>
      </c>
      <c r="M1854" s="28" t="str">
        <f>IF(C1854=""," ",[1]!s_mq_pctchange($C1854,$N$1))</f>
        <v xml:space="preserve"> </v>
      </c>
      <c r="N1854" s="28" t="str">
        <f>IF(C1854=""," ",[1]!s_yq_pctchange($C1854,$N$1))</f>
        <v xml:space="preserve"> </v>
      </c>
      <c r="O1854" s="11"/>
      <c r="P1854" s="7"/>
    </row>
    <row r="1855" spans="1:16" x14ac:dyDescent="0.35">
      <c r="A1855" s="7"/>
      <c r="C1855" s="30" t="str">
        <f>IF(指数列表!B1852="","",指数列表!B1852)</f>
        <v/>
      </c>
      <c r="D1855" s="35" t="str">
        <f>IF(C1855="","",[1]!s_info_name(C1855))</f>
        <v/>
      </c>
      <c r="E1855" s="24" t="str">
        <f>IF(C1855="","",[1]!s_dq_close(C1855,$N$1))</f>
        <v/>
      </c>
      <c r="F1855" s="28" t="str">
        <f>IF($C1855=""," ",[1]!i_pq_pctchange($C1855,F$6,$N$1))</f>
        <v xml:space="preserve"> </v>
      </c>
      <c r="G1855" s="28" t="str">
        <f>IF($C1855=""," ",[1]!i_pq_pctchange($C1855,G$6,$N$1))</f>
        <v xml:space="preserve"> </v>
      </c>
      <c r="H1855" s="28" t="str">
        <f>IF($C1855=""," ",[1]!i_pq_pctchange($C1855,H$6,$N$1))</f>
        <v xml:space="preserve"> </v>
      </c>
      <c r="I1855" s="28" t="str">
        <f>IF($C1855=""," ",[1]!i_pq_pctchange($C1855,I$6,$N$1))</f>
        <v xml:space="preserve"> </v>
      </c>
      <c r="J1855" s="28" t="str">
        <f>IF($C1855=""," ",[1]!i_pq_pctchange($C1855,J$6,$N$1))</f>
        <v xml:space="preserve"> </v>
      </c>
      <c r="K1855" s="28" t="str">
        <f>IF($C1855=""," ",[1]!i_pq_pctchange($C1855,K$6,$N$1))</f>
        <v xml:space="preserve"> </v>
      </c>
      <c r="L1855" s="28" t="str">
        <f>IF(C1855=""," ",[1]!s_wq_pctchange($C1855,$N$1))</f>
        <v xml:space="preserve"> </v>
      </c>
      <c r="M1855" s="28" t="str">
        <f>IF(C1855=""," ",[1]!s_mq_pctchange($C1855,$N$1))</f>
        <v xml:space="preserve"> </v>
      </c>
      <c r="N1855" s="28" t="str">
        <f>IF(C1855=""," ",[1]!s_yq_pctchange($C1855,$N$1))</f>
        <v xml:space="preserve"> </v>
      </c>
      <c r="O1855" s="11"/>
      <c r="P1855" s="7"/>
    </row>
    <row r="1856" spans="1:16" x14ac:dyDescent="0.35">
      <c r="A1856" s="7"/>
      <c r="C1856" s="31" t="str">
        <f>IF(指数列表!B1853="","",指数列表!B1853)</f>
        <v/>
      </c>
      <c r="D1856" s="36" t="str">
        <f>IF(C1856="","",[1]!s_info_name(C1856))</f>
        <v/>
      </c>
      <c r="E1856" s="25" t="str">
        <f>IF(C1856="","",[1]!s_dq_close(C1856,$N$1))</f>
        <v/>
      </c>
      <c r="F1856" s="28" t="str">
        <f>IF($C1856=""," ",[1]!i_pq_pctchange($C1856,F$6,$N$1))</f>
        <v xml:space="preserve"> </v>
      </c>
      <c r="G1856" s="28" t="str">
        <f>IF($C1856=""," ",[1]!i_pq_pctchange($C1856,G$6,$N$1))</f>
        <v xml:space="preserve"> </v>
      </c>
      <c r="H1856" s="28" t="str">
        <f>IF($C1856=""," ",[1]!i_pq_pctchange($C1856,H$6,$N$1))</f>
        <v xml:space="preserve"> </v>
      </c>
      <c r="I1856" s="28" t="str">
        <f>IF($C1856=""," ",[1]!i_pq_pctchange($C1856,I$6,$N$1))</f>
        <v xml:space="preserve"> </v>
      </c>
      <c r="J1856" s="28" t="str">
        <f>IF($C1856=""," ",[1]!i_pq_pctchange($C1856,J$6,$N$1))</f>
        <v xml:space="preserve"> </v>
      </c>
      <c r="K1856" s="28" t="str">
        <f>IF($C1856=""," ",[1]!i_pq_pctchange($C1856,K$6,$N$1))</f>
        <v xml:space="preserve"> </v>
      </c>
      <c r="L1856" s="28" t="str">
        <f>IF(C1856=""," ",[1]!s_wq_pctchange($C1856,$N$1))</f>
        <v xml:space="preserve"> </v>
      </c>
      <c r="M1856" s="28" t="str">
        <f>IF(C1856=""," ",[1]!s_mq_pctchange($C1856,$N$1))</f>
        <v xml:space="preserve"> </v>
      </c>
      <c r="N1856" s="28" t="str">
        <f>IF(C1856=""," ",[1]!s_yq_pctchange($C1856,$N$1))</f>
        <v xml:space="preserve"> </v>
      </c>
      <c r="O1856" s="11"/>
      <c r="P1856" s="7"/>
    </row>
    <row r="1857" spans="1:16" x14ac:dyDescent="0.35">
      <c r="A1857" s="7"/>
      <c r="C1857" s="30" t="str">
        <f>IF(指数列表!B1854="","",指数列表!B1854)</f>
        <v/>
      </c>
      <c r="D1857" s="35" t="str">
        <f>IF(C1857="","",[1]!s_info_name(C1857))</f>
        <v/>
      </c>
      <c r="E1857" s="24" t="str">
        <f>IF(C1857="","",[1]!s_dq_close(C1857,$N$1))</f>
        <v/>
      </c>
      <c r="F1857" s="28" t="str">
        <f>IF($C1857=""," ",[1]!i_pq_pctchange($C1857,F$6,$N$1))</f>
        <v xml:space="preserve"> </v>
      </c>
      <c r="G1857" s="28" t="str">
        <f>IF($C1857=""," ",[1]!i_pq_pctchange($C1857,G$6,$N$1))</f>
        <v xml:space="preserve"> </v>
      </c>
      <c r="H1857" s="28" t="str">
        <f>IF($C1857=""," ",[1]!i_pq_pctchange($C1857,H$6,$N$1))</f>
        <v xml:space="preserve"> </v>
      </c>
      <c r="I1857" s="28" t="str">
        <f>IF($C1857=""," ",[1]!i_pq_pctchange($C1857,I$6,$N$1))</f>
        <v xml:space="preserve"> </v>
      </c>
      <c r="J1857" s="28" t="str">
        <f>IF($C1857=""," ",[1]!i_pq_pctchange($C1857,J$6,$N$1))</f>
        <v xml:space="preserve"> </v>
      </c>
      <c r="K1857" s="28" t="str">
        <f>IF($C1857=""," ",[1]!i_pq_pctchange($C1857,K$6,$N$1))</f>
        <v xml:space="preserve"> </v>
      </c>
      <c r="L1857" s="28" t="str">
        <f>IF(C1857=""," ",[1]!s_wq_pctchange($C1857,$N$1))</f>
        <v xml:space="preserve"> </v>
      </c>
      <c r="M1857" s="28" t="str">
        <f>IF(C1857=""," ",[1]!s_mq_pctchange($C1857,$N$1))</f>
        <v xml:space="preserve"> </v>
      </c>
      <c r="N1857" s="28" t="str">
        <f>IF(C1857=""," ",[1]!s_yq_pctchange($C1857,$N$1))</f>
        <v xml:space="preserve"> </v>
      </c>
      <c r="O1857" s="11"/>
      <c r="P1857" s="7"/>
    </row>
    <row r="1858" spans="1:16" x14ac:dyDescent="0.35">
      <c r="A1858" s="7"/>
      <c r="C1858" s="31" t="str">
        <f>IF(指数列表!B1855="","",指数列表!B1855)</f>
        <v/>
      </c>
      <c r="D1858" s="36" t="str">
        <f>IF(C1858="","",[1]!s_info_name(C1858))</f>
        <v/>
      </c>
      <c r="E1858" s="25" t="str">
        <f>IF(C1858="","",[1]!s_dq_close(C1858,$N$1))</f>
        <v/>
      </c>
      <c r="F1858" s="28" t="str">
        <f>IF($C1858=""," ",[1]!i_pq_pctchange($C1858,F$6,$N$1))</f>
        <v xml:space="preserve"> </v>
      </c>
      <c r="G1858" s="28" t="str">
        <f>IF($C1858=""," ",[1]!i_pq_pctchange($C1858,G$6,$N$1))</f>
        <v xml:space="preserve"> </v>
      </c>
      <c r="H1858" s="28" t="str">
        <f>IF($C1858=""," ",[1]!i_pq_pctchange($C1858,H$6,$N$1))</f>
        <v xml:space="preserve"> </v>
      </c>
      <c r="I1858" s="28" t="str">
        <f>IF($C1858=""," ",[1]!i_pq_pctchange($C1858,I$6,$N$1))</f>
        <v xml:space="preserve"> </v>
      </c>
      <c r="J1858" s="28" t="str">
        <f>IF($C1858=""," ",[1]!i_pq_pctchange($C1858,J$6,$N$1))</f>
        <v xml:space="preserve"> </v>
      </c>
      <c r="K1858" s="28" t="str">
        <f>IF($C1858=""," ",[1]!i_pq_pctchange($C1858,K$6,$N$1))</f>
        <v xml:space="preserve"> </v>
      </c>
      <c r="L1858" s="28" t="str">
        <f>IF(C1858=""," ",[1]!s_wq_pctchange($C1858,$N$1))</f>
        <v xml:space="preserve"> </v>
      </c>
      <c r="M1858" s="28" t="str">
        <f>IF(C1858=""," ",[1]!s_mq_pctchange($C1858,$N$1))</f>
        <v xml:space="preserve"> </v>
      </c>
      <c r="N1858" s="28" t="str">
        <f>IF(C1858=""," ",[1]!s_yq_pctchange($C1858,$N$1))</f>
        <v xml:space="preserve"> </v>
      </c>
      <c r="O1858" s="11"/>
      <c r="P1858" s="7"/>
    </row>
    <row r="1859" spans="1:16" x14ac:dyDescent="0.35">
      <c r="A1859" s="7"/>
      <c r="C1859" s="30" t="str">
        <f>IF(指数列表!B1856="","",指数列表!B1856)</f>
        <v/>
      </c>
      <c r="D1859" s="35" t="str">
        <f>IF(C1859="","",[1]!s_info_name(C1859))</f>
        <v/>
      </c>
      <c r="E1859" s="24" t="str">
        <f>IF(C1859="","",[1]!s_dq_close(C1859,$N$1))</f>
        <v/>
      </c>
      <c r="F1859" s="28" t="str">
        <f>IF($C1859=""," ",[1]!i_pq_pctchange($C1859,F$6,$N$1))</f>
        <v xml:space="preserve"> </v>
      </c>
      <c r="G1859" s="28" t="str">
        <f>IF($C1859=""," ",[1]!i_pq_pctchange($C1859,G$6,$N$1))</f>
        <v xml:space="preserve"> </v>
      </c>
      <c r="H1859" s="28" t="str">
        <f>IF($C1859=""," ",[1]!i_pq_pctchange($C1859,H$6,$N$1))</f>
        <v xml:space="preserve"> </v>
      </c>
      <c r="I1859" s="28" t="str">
        <f>IF($C1859=""," ",[1]!i_pq_pctchange($C1859,I$6,$N$1))</f>
        <v xml:space="preserve"> </v>
      </c>
      <c r="J1859" s="28" t="str">
        <f>IF($C1859=""," ",[1]!i_pq_pctchange($C1859,J$6,$N$1))</f>
        <v xml:space="preserve"> </v>
      </c>
      <c r="K1859" s="28" t="str">
        <f>IF($C1859=""," ",[1]!i_pq_pctchange($C1859,K$6,$N$1))</f>
        <v xml:space="preserve"> </v>
      </c>
      <c r="L1859" s="28" t="str">
        <f>IF(C1859=""," ",[1]!s_wq_pctchange($C1859,$N$1))</f>
        <v xml:space="preserve"> </v>
      </c>
      <c r="M1859" s="28" t="str">
        <f>IF(C1859=""," ",[1]!s_mq_pctchange($C1859,$N$1))</f>
        <v xml:space="preserve"> </v>
      </c>
      <c r="N1859" s="28" t="str">
        <f>IF(C1859=""," ",[1]!s_yq_pctchange($C1859,$N$1))</f>
        <v xml:space="preserve"> </v>
      </c>
      <c r="O1859" s="11"/>
      <c r="P1859" s="7"/>
    </row>
    <row r="1860" spans="1:16" x14ac:dyDescent="0.35">
      <c r="A1860" s="7"/>
      <c r="C1860" s="31" t="str">
        <f>IF(指数列表!B1857="","",指数列表!B1857)</f>
        <v/>
      </c>
      <c r="D1860" s="36" t="str">
        <f>IF(C1860="","",[1]!s_info_name(C1860))</f>
        <v/>
      </c>
      <c r="E1860" s="25" t="str">
        <f>IF(C1860="","",[1]!s_dq_close(C1860,$N$1))</f>
        <v/>
      </c>
      <c r="F1860" s="28" t="str">
        <f>IF($C1860=""," ",[1]!i_pq_pctchange($C1860,F$6,$N$1))</f>
        <v xml:space="preserve"> </v>
      </c>
      <c r="G1860" s="28" t="str">
        <f>IF($C1860=""," ",[1]!i_pq_pctchange($C1860,G$6,$N$1))</f>
        <v xml:space="preserve"> </v>
      </c>
      <c r="H1860" s="28" t="str">
        <f>IF($C1860=""," ",[1]!i_pq_pctchange($C1860,H$6,$N$1))</f>
        <v xml:space="preserve"> </v>
      </c>
      <c r="I1860" s="28" t="str">
        <f>IF($C1860=""," ",[1]!i_pq_pctchange($C1860,I$6,$N$1))</f>
        <v xml:space="preserve"> </v>
      </c>
      <c r="J1860" s="28" t="str">
        <f>IF($C1860=""," ",[1]!i_pq_pctchange($C1860,J$6,$N$1))</f>
        <v xml:space="preserve"> </v>
      </c>
      <c r="K1860" s="28" t="str">
        <f>IF($C1860=""," ",[1]!i_pq_pctchange($C1860,K$6,$N$1))</f>
        <v xml:space="preserve"> </v>
      </c>
      <c r="L1860" s="28" t="str">
        <f>IF(C1860=""," ",[1]!s_wq_pctchange($C1860,$N$1))</f>
        <v xml:space="preserve"> </v>
      </c>
      <c r="M1860" s="28" t="str">
        <f>IF(C1860=""," ",[1]!s_mq_pctchange($C1860,$N$1))</f>
        <v xml:space="preserve"> </v>
      </c>
      <c r="N1860" s="28" t="str">
        <f>IF(C1860=""," ",[1]!s_yq_pctchange($C1860,$N$1))</f>
        <v xml:space="preserve"> </v>
      </c>
      <c r="O1860" s="11"/>
      <c r="P1860" s="7"/>
    </row>
    <row r="1861" spans="1:16" x14ac:dyDescent="0.35">
      <c r="A1861" s="7"/>
      <c r="C1861" s="30" t="str">
        <f>IF(指数列表!B1858="","",指数列表!B1858)</f>
        <v/>
      </c>
      <c r="D1861" s="35" t="str">
        <f>IF(C1861="","",[1]!s_info_name(C1861))</f>
        <v/>
      </c>
      <c r="E1861" s="24" t="str">
        <f>IF(C1861="","",[1]!s_dq_close(C1861,$N$1))</f>
        <v/>
      </c>
      <c r="F1861" s="28" t="str">
        <f>IF($C1861=""," ",[1]!i_pq_pctchange($C1861,F$6,$N$1))</f>
        <v xml:space="preserve"> </v>
      </c>
      <c r="G1861" s="28" t="str">
        <f>IF($C1861=""," ",[1]!i_pq_pctchange($C1861,G$6,$N$1))</f>
        <v xml:space="preserve"> </v>
      </c>
      <c r="H1861" s="28" t="str">
        <f>IF($C1861=""," ",[1]!i_pq_pctchange($C1861,H$6,$N$1))</f>
        <v xml:space="preserve"> </v>
      </c>
      <c r="I1861" s="28" t="str">
        <f>IF($C1861=""," ",[1]!i_pq_pctchange($C1861,I$6,$N$1))</f>
        <v xml:space="preserve"> </v>
      </c>
      <c r="J1861" s="28" t="str">
        <f>IF($C1861=""," ",[1]!i_pq_pctchange($C1861,J$6,$N$1))</f>
        <v xml:space="preserve"> </v>
      </c>
      <c r="K1861" s="28" t="str">
        <f>IF($C1861=""," ",[1]!i_pq_pctchange($C1861,K$6,$N$1))</f>
        <v xml:space="preserve"> </v>
      </c>
      <c r="L1861" s="28" t="str">
        <f>IF(C1861=""," ",[1]!s_wq_pctchange($C1861,$N$1))</f>
        <v xml:space="preserve"> </v>
      </c>
      <c r="M1861" s="28" t="str">
        <f>IF(C1861=""," ",[1]!s_mq_pctchange($C1861,$N$1))</f>
        <v xml:space="preserve"> </v>
      </c>
      <c r="N1861" s="28" t="str">
        <f>IF(C1861=""," ",[1]!s_yq_pctchange($C1861,$N$1))</f>
        <v xml:space="preserve"> </v>
      </c>
      <c r="O1861" s="11"/>
      <c r="P1861" s="7"/>
    </row>
    <row r="1862" spans="1:16" x14ac:dyDescent="0.35">
      <c r="A1862" s="7"/>
      <c r="C1862" s="31" t="str">
        <f>IF(指数列表!B1859="","",指数列表!B1859)</f>
        <v/>
      </c>
      <c r="D1862" s="36" t="str">
        <f>IF(C1862="","",[1]!s_info_name(C1862))</f>
        <v/>
      </c>
      <c r="E1862" s="25" t="str">
        <f>IF(C1862="","",[1]!s_dq_close(C1862,$N$1))</f>
        <v/>
      </c>
      <c r="F1862" s="28" t="str">
        <f>IF($C1862=""," ",[1]!i_pq_pctchange($C1862,F$6,$N$1))</f>
        <v xml:space="preserve"> </v>
      </c>
      <c r="G1862" s="28" t="str">
        <f>IF($C1862=""," ",[1]!i_pq_pctchange($C1862,G$6,$N$1))</f>
        <v xml:space="preserve"> </v>
      </c>
      <c r="H1862" s="28" t="str">
        <f>IF($C1862=""," ",[1]!i_pq_pctchange($C1862,H$6,$N$1))</f>
        <v xml:space="preserve"> </v>
      </c>
      <c r="I1862" s="28" t="str">
        <f>IF($C1862=""," ",[1]!i_pq_pctchange($C1862,I$6,$N$1))</f>
        <v xml:space="preserve"> </v>
      </c>
      <c r="J1862" s="28" t="str">
        <f>IF($C1862=""," ",[1]!i_pq_pctchange($C1862,J$6,$N$1))</f>
        <v xml:space="preserve"> </v>
      </c>
      <c r="K1862" s="28" t="str">
        <f>IF($C1862=""," ",[1]!i_pq_pctchange($C1862,K$6,$N$1))</f>
        <v xml:space="preserve"> </v>
      </c>
      <c r="L1862" s="28" t="str">
        <f>IF(C1862=""," ",[1]!s_wq_pctchange($C1862,$N$1))</f>
        <v xml:space="preserve"> </v>
      </c>
      <c r="M1862" s="28" t="str">
        <f>IF(C1862=""," ",[1]!s_mq_pctchange($C1862,$N$1))</f>
        <v xml:space="preserve"> </v>
      </c>
      <c r="N1862" s="28" t="str">
        <f>IF(C1862=""," ",[1]!s_yq_pctchange($C1862,$N$1))</f>
        <v xml:space="preserve"> </v>
      </c>
      <c r="O1862" s="11"/>
      <c r="P1862" s="7"/>
    </row>
    <row r="1863" spans="1:16" x14ac:dyDescent="0.35">
      <c r="A1863" s="7"/>
      <c r="C1863" s="30" t="str">
        <f>IF(指数列表!B1860="","",指数列表!B1860)</f>
        <v/>
      </c>
      <c r="D1863" s="35" t="str">
        <f>IF(C1863="","",[1]!s_info_name(C1863))</f>
        <v/>
      </c>
      <c r="E1863" s="24" t="str">
        <f>IF(C1863="","",[1]!s_dq_close(C1863,$N$1))</f>
        <v/>
      </c>
      <c r="F1863" s="28" t="str">
        <f>IF($C1863=""," ",[1]!i_pq_pctchange($C1863,F$6,$N$1))</f>
        <v xml:space="preserve"> </v>
      </c>
      <c r="G1863" s="28" t="str">
        <f>IF($C1863=""," ",[1]!i_pq_pctchange($C1863,G$6,$N$1))</f>
        <v xml:space="preserve"> </v>
      </c>
      <c r="H1863" s="28" t="str">
        <f>IF($C1863=""," ",[1]!i_pq_pctchange($C1863,H$6,$N$1))</f>
        <v xml:space="preserve"> </v>
      </c>
      <c r="I1863" s="28" t="str">
        <f>IF($C1863=""," ",[1]!i_pq_pctchange($C1863,I$6,$N$1))</f>
        <v xml:space="preserve"> </v>
      </c>
      <c r="J1863" s="28" t="str">
        <f>IF($C1863=""," ",[1]!i_pq_pctchange($C1863,J$6,$N$1))</f>
        <v xml:space="preserve"> </v>
      </c>
      <c r="K1863" s="28" t="str">
        <f>IF($C1863=""," ",[1]!i_pq_pctchange($C1863,K$6,$N$1))</f>
        <v xml:space="preserve"> </v>
      </c>
      <c r="L1863" s="28" t="str">
        <f>IF(C1863=""," ",[1]!s_wq_pctchange($C1863,$N$1))</f>
        <v xml:space="preserve"> </v>
      </c>
      <c r="M1863" s="28" t="str">
        <f>IF(C1863=""," ",[1]!s_mq_pctchange($C1863,$N$1))</f>
        <v xml:space="preserve"> </v>
      </c>
      <c r="N1863" s="28" t="str">
        <f>IF(C1863=""," ",[1]!s_yq_pctchange($C1863,$N$1))</f>
        <v xml:space="preserve"> </v>
      </c>
      <c r="O1863" s="11"/>
      <c r="P1863" s="7"/>
    </row>
    <row r="1864" spans="1:16" x14ac:dyDescent="0.35">
      <c r="A1864" s="7"/>
      <c r="C1864" s="31" t="str">
        <f>IF(指数列表!B1861="","",指数列表!B1861)</f>
        <v/>
      </c>
      <c r="D1864" s="36" t="str">
        <f>IF(C1864="","",[1]!s_info_name(C1864))</f>
        <v/>
      </c>
      <c r="E1864" s="25" t="str">
        <f>IF(C1864="","",[1]!s_dq_close(C1864,$N$1))</f>
        <v/>
      </c>
      <c r="F1864" s="28" t="str">
        <f>IF($C1864=""," ",[1]!i_pq_pctchange($C1864,F$6,$N$1))</f>
        <v xml:space="preserve"> </v>
      </c>
      <c r="G1864" s="28" t="str">
        <f>IF($C1864=""," ",[1]!i_pq_pctchange($C1864,G$6,$N$1))</f>
        <v xml:space="preserve"> </v>
      </c>
      <c r="H1864" s="28" t="str">
        <f>IF($C1864=""," ",[1]!i_pq_pctchange($C1864,H$6,$N$1))</f>
        <v xml:space="preserve"> </v>
      </c>
      <c r="I1864" s="28" t="str">
        <f>IF($C1864=""," ",[1]!i_pq_pctchange($C1864,I$6,$N$1))</f>
        <v xml:space="preserve"> </v>
      </c>
      <c r="J1864" s="28" t="str">
        <f>IF($C1864=""," ",[1]!i_pq_pctchange($C1864,J$6,$N$1))</f>
        <v xml:space="preserve"> </v>
      </c>
      <c r="K1864" s="28" t="str">
        <f>IF($C1864=""," ",[1]!i_pq_pctchange($C1864,K$6,$N$1))</f>
        <v xml:space="preserve"> </v>
      </c>
      <c r="L1864" s="28" t="str">
        <f>IF(C1864=""," ",[1]!s_wq_pctchange($C1864,$N$1))</f>
        <v xml:space="preserve"> </v>
      </c>
      <c r="M1864" s="28" t="str">
        <f>IF(C1864=""," ",[1]!s_mq_pctchange($C1864,$N$1))</f>
        <v xml:space="preserve"> </v>
      </c>
      <c r="N1864" s="28" t="str">
        <f>IF(C1864=""," ",[1]!s_yq_pctchange($C1864,$N$1))</f>
        <v xml:space="preserve"> </v>
      </c>
      <c r="O1864" s="11"/>
      <c r="P1864" s="7"/>
    </row>
    <row r="1865" spans="1:16" x14ac:dyDescent="0.35">
      <c r="A1865" s="7"/>
      <c r="C1865" s="30" t="str">
        <f>IF(指数列表!B1862="","",指数列表!B1862)</f>
        <v/>
      </c>
      <c r="D1865" s="35" t="str">
        <f>IF(C1865="","",[1]!s_info_name(C1865))</f>
        <v/>
      </c>
      <c r="E1865" s="24" t="str">
        <f>IF(C1865="","",[1]!s_dq_close(C1865,$N$1))</f>
        <v/>
      </c>
      <c r="F1865" s="28" t="str">
        <f>IF($C1865=""," ",[1]!i_pq_pctchange($C1865,F$6,$N$1))</f>
        <v xml:space="preserve"> </v>
      </c>
      <c r="G1865" s="28" t="str">
        <f>IF($C1865=""," ",[1]!i_pq_pctchange($C1865,G$6,$N$1))</f>
        <v xml:space="preserve"> </v>
      </c>
      <c r="H1865" s="28" t="str">
        <f>IF($C1865=""," ",[1]!i_pq_pctchange($C1865,H$6,$N$1))</f>
        <v xml:space="preserve"> </v>
      </c>
      <c r="I1865" s="28" t="str">
        <f>IF($C1865=""," ",[1]!i_pq_pctchange($C1865,I$6,$N$1))</f>
        <v xml:space="preserve"> </v>
      </c>
      <c r="J1865" s="28" t="str">
        <f>IF($C1865=""," ",[1]!i_pq_pctchange($C1865,J$6,$N$1))</f>
        <v xml:space="preserve"> </v>
      </c>
      <c r="K1865" s="28" t="str">
        <f>IF($C1865=""," ",[1]!i_pq_pctchange($C1865,K$6,$N$1))</f>
        <v xml:space="preserve"> </v>
      </c>
      <c r="L1865" s="28" t="str">
        <f>IF(C1865=""," ",[1]!s_wq_pctchange($C1865,$N$1))</f>
        <v xml:space="preserve"> </v>
      </c>
      <c r="M1865" s="28" t="str">
        <f>IF(C1865=""," ",[1]!s_mq_pctchange($C1865,$N$1))</f>
        <v xml:space="preserve"> </v>
      </c>
      <c r="N1865" s="28" t="str">
        <f>IF(C1865=""," ",[1]!s_yq_pctchange($C1865,$N$1))</f>
        <v xml:space="preserve"> </v>
      </c>
      <c r="O1865" s="11"/>
      <c r="P1865" s="7"/>
    </row>
    <row r="1866" spans="1:16" x14ac:dyDescent="0.35">
      <c r="A1866" s="7"/>
      <c r="C1866" s="31" t="str">
        <f>IF(指数列表!B1863="","",指数列表!B1863)</f>
        <v/>
      </c>
      <c r="D1866" s="36" t="str">
        <f>IF(C1866="","",[1]!s_info_name(C1866))</f>
        <v/>
      </c>
      <c r="E1866" s="25" t="str">
        <f>IF(C1866="","",[1]!s_dq_close(C1866,$N$1))</f>
        <v/>
      </c>
      <c r="F1866" s="28" t="str">
        <f>IF($C1866=""," ",[1]!i_pq_pctchange($C1866,F$6,$N$1))</f>
        <v xml:space="preserve"> </v>
      </c>
      <c r="G1866" s="28" t="str">
        <f>IF($C1866=""," ",[1]!i_pq_pctchange($C1866,G$6,$N$1))</f>
        <v xml:space="preserve"> </v>
      </c>
      <c r="H1866" s="28" t="str">
        <f>IF($C1866=""," ",[1]!i_pq_pctchange($C1866,H$6,$N$1))</f>
        <v xml:space="preserve"> </v>
      </c>
      <c r="I1866" s="28" t="str">
        <f>IF($C1866=""," ",[1]!i_pq_pctchange($C1866,I$6,$N$1))</f>
        <v xml:space="preserve"> </v>
      </c>
      <c r="J1866" s="28" t="str">
        <f>IF($C1866=""," ",[1]!i_pq_pctchange($C1866,J$6,$N$1))</f>
        <v xml:space="preserve"> </v>
      </c>
      <c r="K1866" s="28" t="str">
        <f>IF($C1866=""," ",[1]!i_pq_pctchange($C1866,K$6,$N$1))</f>
        <v xml:space="preserve"> </v>
      </c>
      <c r="L1866" s="28" t="str">
        <f>IF(C1866=""," ",[1]!s_wq_pctchange($C1866,$N$1))</f>
        <v xml:space="preserve"> </v>
      </c>
      <c r="M1866" s="28" t="str">
        <f>IF(C1866=""," ",[1]!s_mq_pctchange($C1866,$N$1))</f>
        <v xml:space="preserve"> </v>
      </c>
      <c r="N1866" s="28" t="str">
        <f>IF(C1866=""," ",[1]!s_yq_pctchange($C1866,$N$1))</f>
        <v xml:space="preserve"> </v>
      </c>
      <c r="O1866" s="11"/>
      <c r="P1866" s="7"/>
    </row>
    <row r="1867" spans="1:16" x14ac:dyDescent="0.35">
      <c r="A1867" s="7"/>
      <c r="C1867" s="30" t="str">
        <f>IF(指数列表!B1864="","",指数列表!B1864)</f>
        <v/>
      </c>
      <c r="D1867" s="35" t="str">
        <f>IF(C1867="","",[1]!s_info_name(C1867))</f>
        <v/>
      </c>
      <c r="E1867" s="24" t="str">
        <f>IF(C1867="","",[1]!s_dq_close(C1867,$N$1))</f>
        <v/>
      </c>
      <c r="F1867" s="28" t="str">
        <f>IF($C1867=""," ",[1]!i_pq_pctchange($C1867,F$6,$N$1))</f>
        <v xml:space="preserve"> </v>
      </c>
      <c r="G1867" s="28" t="str">
        <f>IF($C1867=""," ",[1]!i_pq_pctchange($C1867,G$6,$N$1))</f>
        <v xml:space="preserve"> </v>
      </c>
      <c r="H1867" s="28" t="str">
        <f>IF($C1867=""," ",[1]!i_pq_pctchange($C1867,H$6,$N$1))</f>
        <v xml:space="preserve"> </v>
      </c>
      <c r="I1867" s="28" t="str">
        <f>IF($C1867=""," ",[1]!i_pq_pctchange($C1867,I$6,$N$1))</f>
        <v xml:space="preserve"> </v>
      </c>
      <c r="J1867" s="28" t="str">
        <f>IF($C1867=""," ",[1]!i_pq_pctchange($C1867,J$6,$N$1))</f>
        <v xml:space="preserve"> </v>
      </c>
      <c r="K1867" s="28" t="str">
        <f>IF($C1867=""," ",[1]!i_pq_pctchange($C1867,K$6,$N$1))</f>
        <v xml:space="preserve"> </v>
      </c>
      <c r="L1867" s="28" t="str">
        <f>IF(C1867=""," ",[1]!s_wq_pctchange($C1867,$N$1))</f>
        <v xml:space="preserve"> </v>
      </c>
      <c r="M1867" s="28" t="str">
        <f>IF(C1867=""," ",[1]!s_mq_pctchange($C1867,$N$1))</f>
        <v xml:space="preserve"> </v>
      </c>
      <c r="N1867" s="28" t="str">
        <f>IF(C1867=""," ",[1]!s_yq_pctchange($C1867,$N$1))</f>
        <v xml:space="preserve"> </v>
      </c>
      <c r="O1867" s="11"/>
      <c r="P1867" s="7"/>
    </row>
    <row r="1868" spans="1:16" x14ac:dyDescent="0.35">
      <c r="A1868" s="7"/>
      <c r="C1868" s="31" t="str">
        <f>IF(指数列表!B1865="","",指数列表!B1865)</f>
        <v/>
      </c>
      <c r="D1868" s="36" t="str">
        <f>IF(C1868="","",[1]!s_info_name(C1868))</f>
        <v/>
      </c>
      <c r="E1868" s="25" t="str">
        <f>IF(C1868="","",[1]!s_dq_close(C1868,$N$1))</f>
        <v/>
      </c>
      <c r="F1868" s="28" t="str">
        <f>IF($C1868=""," ",[1]!i_pq_pctchange($C1868,F$6,$N$1))</f>
        <v xml:space="preserve"> </v>
      </c>
      <c r="G1868" s="28" t="str">
        <f>IF($C1868=""," ",[1]!i_pq_pctchange($C1868,G$6,$N$1))</f>
        <v xml:space="preserve"> </v>
      </c>
      <c r="H1868" s="28" t="str">
        <f>IF($C1868=""," ",[1]!i_pq_pctchange($C1868,H$6,$N$1))</f>
        <v xml:space="preserve"> </v>
      </c>
      <c r="I1868" s="28" t="str">
        <f>IF($C1868=""," ",[1]!i_pq_pctchange($C1868,I$6,$N$1))</f>
        <v xml:space="preserve"> </v>
      </c>
      <c r="J1868" s="28" t="str">
        <f>IF($C1868=""," ",[1]!i_pq_pctchange($C1868,J$6,$N$1))</f>
        <v xml:space="preserve"> </v>
      </c>
      <c r="K1868" s="28" t="str">
        <f>IF($C1868=""," ",[1]!i_pq_pctchange($C1868,K$6,$N$1))</f>
        <v xml:space="preserve"> </v>
      </c>
      <c r="L1868" s="28" t="str">
        <f>IF(C1868=""," ",[1]!s_wq_pctchange($C1868,$N$1))</f>
        <v xml:space="preserve"> </v>
      </c>
      <c r="M1868" s="28" t="str">
        <f>IF(C1868=""," ",[1]!s_mq_pctchange($C1868,$N$1))</f>
        <v xml:space="preserve"> </v>
      </c>
      <c r="N1868" s="28" t="str">
        <f>IF(C1868=""," ",[1]!s_yq_pctchange($C1868,$N$1))</f>
        <v xml:space="preserve"> </v>
      </c>
      <c r="O1868" s="11"/>
      <c r="P1868" s="7"/>
    </row>
    <row r="1869" spans="1:16" x14ac:dyDescent="0.35">
      <c r="A1869" s="7"/>
      <c r="C1869" s="30" t="str">
        <f>IF(指数列表!B1866="","",指数列表!B1866)</f>
        <v/>
      </c>
      <c r="D1869" s="35" t="str">
        <f>IF(C1869="","",[1]!s_info_name(C1869))</f>
        <v/>
      </c>
      <c r="E1869" s="24" t="str">
        <f>IF(C1869="","",[1]!s_dq_close(C1869,$N$1))</f>
        <v/>
      </c>
      <c r="F1869" s="28" t="str">
        <f>IF($C1869=""," ",[1]!i_pq_pctchange($C1869,F$6,$N$1))</f>
        <v xml:space="preserve"> </v>
      </c>
      <c r="G1869" s="28" t="str">
        <f>IF($C1869=""," ",[1]!i_pq_pctchange($C1869,G$6,$N$1))</f>
        <v xml:space="preserve"> </v>
      </c>
      <c r="H1869" s="28" t="str">
        <f>IF($C1869=""," ",[1]!i_pq_pctchange($C1869,H$6,$N$1))</f>
        <v xml:space="preserve"> </v>
      </c>
      <c r="I1869" s="28" t="str">
        <f>IF($C1869=""," ",[1]!i_pq_pctchange($C1869,I$6,$N$1))</f>
        <v xml:space="preserve"> </v>
      </c>
      <c r="J1869" s="28" t="str">
        <f>IF($C1869=""," ",[1]!i_pq_pctchange($C1869,J$6,$N$1))</f>
        <v xml:space="preserve"> </v>
      </c>
      <c r="K1869" s="28" t="str">
        <f>IF($C1869=""," ",[1]!i_pq_pctchange($C1869,K$6,$N$1))</f>
        <v xml:space="preserve"> </v>
      </c>
      <c r="L1869" s="28" t="str">
        <f>IF(C1869=""," ",[1]!s_wq_pctchange($C1869,$N$1))</f>
        <v xml:space="preserve"> </v>
      </c>
      <c r="M1869" s="28" t="str">
        <f>IF(C1869=""," ",[1]!s_mq_pctchange($C1869,$N$1))</f>
        <v xml:space="preserve"> </v>
      </c>
      <c r="N1869" s="28" t="str">
        <f>IF(C1869=""," ",[1]!s_yq_pctchange($C1869,$N$1))</f>
        <v xml:space="preserve"> </v>
      </c>
      <c r="O1869" s="11"/>
      <c r="P1869" s="7"/>
    </row>
    <row r="1870" spans="1:16" x14ac:dyDescent="0.35">
      <c r="A1870" s="7"/>
      <c r="C1870" s="31" t="str">
        <f>IF(指数列表!B1867="","",指数列表!B1867)</f>
        <v/>
      </c>
      <c r="D1870" s="36" t="str">
        <f>IF(C1870="","",[1]!s_info_name(C1870))</f>
        <v/>
      </c>
      <c r="E1870" s="25" t="str">
        <f>IF(C1870="","",[1]!s_dq_close(C1870,$N$1))</f>
        <v/>
      </c>
      <c r="F1870" s="28" t="str">
        <f>IF($C1870=""," ",[1]!i_pq_pctchange($C1870,F$6,$N$1))</f>
        <v xml:space="preserve"> </v>
      </c>
      <c r="G1870" s="28" t="str">
        <f>IF($C1870=""," ",[1]!i_pq_pctchange($C1870,G$6,$N$1))</f>
        <v xml:space="preserve"> </v>
      </c>
      <c r="H1870" s="28" t="str">
        <f>IF($C1870=""," ",[1]!i_pq_pctchange($C1870,H$6,$N$1))</f>
        <v xml:space="preserve"> </v>
      </c>
      <c r="I1870" s="28" t="str">
        <f>IF($C1870=""," ",[1]!i_pq_pctchange($C1870,I$6,$N$1))</f>
        <v xml:space="preserve"> </v>
      </c>
      <c r="J1870" s="28" t="str">
        <f>IF($C1870=""," ",[1]!i_pq_pctchange($C1870,J$6,$N$1))</f>
        <v xml:space="preserve"> </v>
      </c>
      <c r="K1870" s="28" t="str">
        <f>IF($C1870=""," ",[1]!i_pq_pctchange($C1870,K$6,$N$1))</f>
        <v xml:space="preserve"> </v>
      </c>
      <c r="L1870" s="28" t="str">
        <f>IF(C1870=""," ",[1]!s_wq_pctchange($C1870,$N$1))</f>
        <v xml:space="preserve"> </v>
      </c>
      <c r="M1870" s="28" t="str">
        <f>IF(C1870=""," ",[1]!s_mq_pctchange($C1870,$N$1))</f>
        <v xml:space="preserve"> </v>
      </c>
      <c r="N1870" s="28" t="str">
        <f>IF(C1870=""," ",[1]!s_yq_pctchange($C1870,$N$1))</f>
        <v xml:space="preserve"> </v>
      </c>
      <c r="O1870" s="11"/>
      <c r="P1870" s="7"/>
    </row>
    <row r="1871" spans="1:16" x14ac:dyDescent="0.35">
      <c r="A1871" s="7"/>
      <c r="C1871" s="30" t="str">
        <f>IF(指数列表!B1868="","",指数列表!B1868)</f>
        <v/>
      </c>
      <c r="D1871" s="35" t="str">
        <f>IF(C1871="","",[1]!s_info_name(C1871))</f>
        <v/>
      </c>
      <c r="E1871" s="24" t="str">
        <f>IF(C1871="","",[1]!s_dq_close(C1871,$N$1))</f>
        <v/>
      </c>
      <c r="F1871" s="28" t="str">
        <f>IF($C1871=""," ",[1]!i_pq_pctchange($C1871,F$6,$N$1))</f>
        <v xml:space="preserve"> </v>
      </c>
      <c r="G1871" s="28" t="str">
        <f>IF($C1871=""," ",[1]!i_pq_pctchange($C1871,G$6,$N$1))</f>
        <v xml:space="preserve"> </v>
      </c>
      <c r="H1871" s="28" t="str">
        <f>IF($C1871=""," ",[1]!i_pq_pctchange($C1871,H$6,$N$1))</f>
        <v xml:space="preserve"> </v>
      </c>
      <c r="I1871" s="28" t="str">
        <f>IF($C1871=""," ",[1]!i_pq_pctchange($C1871,I$6,$N$1))</f>
        <v xml:space="preserve"> </v>
      </c>
      <c r="J1871" s="28" t="str">
        <f>IF($C1871=""," ",[1]!i_pq_pctchange($C1871,J$6,$N$1))</f>
        <v xml:space="preserve"> </v>
      </c>
      <c r="K1871" s="28" t="str">
        <f>IF($C1871=""," ",[1]!i_pq_pctchange($C1871,K$6,$N$1))</f>
        <v xml:space="preserve"> </v>
      </c>
      <c r="L1871" s="28" t="str">
        <f>IF(C1871=""," ",[1]!s_wq_pctchange($C1871,$N$1))</f>
        <v xml:space="preserve"> </v>
      </c>
      <c r="M1871" s="28" t="str">
        <f>IF(C1871=""," ",[1]!s_mq_pctchange($C1871,$N$1))</f>
        <v xml:space="preserve"> </v>
      </c>
      <c r="N1871" s="28" t="str">
        <f>IF(C1871=""," ",[1]!s_yq_pctchange($C1871,$N$1))</f>
        <v xml:space="preserve"> </v>
      </c>
      <c r="O1871" s="11"/>
      <c r="P1871" s="7"/>
    </row>
    <row r="1872" spans="1:16" x14ac:dyDescent="0.35">
      <c r="A1872" s="7"/>
      <c r="C1872" s="31" t="str">
        <f>IF(指数列表!B1869="","",指数列表!B1869)</f>
        <v/>
      </c>
      <c r="D1872" s="36" t="str">
        <f>IF(C1872="","",[1]!s_info_name(C1872))</f>
        <v/>
      </c>
      <c r="E1872" s="25" t="str">
        <f>IF(C1872="","",[1]!s_dq_close(C1872,$N$1))</f>
        <v/>
      </c>
      <c r="F1872" s="28" t="str">
        <f>IF($C1872=""," ",[1]!i_pq_pctchange($C1872,F$6,$N$1))</f>
        <v xml:space="preserve"> </v>
      </c>
      <c r="G1872" s="28" t="str">
        <f>IF($C1872=""," ",[1]!i_pq_pctchange($C1872,G$6,$N$1))</f>
        <v xml:space="preserve"> </v>
      </c>
      <c r="H1872" s="28" t="str">
        <f>IF($C1872=""," ",[1]!i_pq_pctchange($C1872,H$6,$N$1))</f>
        <v xml:space="preserve"> </v>
      </c>
      <c r="I1872" s="28" t="str">
        <f>IF($C1872=""," ",[1]!i_pq_pctchange($C1872,I$6,$N$1))</f>
        <v xml:space="preserve"> </v>
      </c>
      <c r="J1872" s="28" t="str">
        <f>IF($C1872=""," ",[1]!i_pq_pctchange($C1872,J$6,$N$1))</f>
        <v xml:space="preserve"> </v>
      </c>
      <c r="K1872" s="28" t="str">
        <f>IF($C1872=""," ",[1]!i_pq_pctchange($C1872,K$6,$N$1))</f>
        <v xml:space="preserve"> </v>
      </c>
      <c r="L1872" s="28" t="str">
        <f>IF(C1872=""," ",[1]!s_wq_pctchange($C1872,$N$1))</f>
        <v xml:space="preserve"> </v>
      </c>
      <c r="M1872" s="28" t="str">
        <f>IF(C1872=""," ",[1]!s_mq_pctchange($C1872,$N$1))</f>
        <v xml:space="preserve"> </v>
      </c>
      <c r="N1872" s="28" t="str">
        <f>IF(C1872=""," ",[1]!s_yq_pctchange($C1872,$N$1))</f>
        <v xml:space="preserve"> </v>
      </c>
      <c r="O1872" s="11"/>
      <c r="P1872" s="7"/>
    </row>
    <row r="1873" spans="1:16" x14ac:dyDescent="0.35">
      <c r="A1873" s="7"/>
      <c r="C1873" s="30" t="str">
        <f>IF(指数列表!B1870="","",指数列表!B1870)</f>
        <v/>
      </c>
      <c r="D1873" s="35" t="str">
        <f>IF(C1873="","",[1]!s_info_name(C1873))</f>
        <v/>
      </c>
      <c r="E1873" s="24" t="str">
        <f>IF(C1873="","",[1]!s_dq_close(C1873,$N$1))</f>
        <v/>
      </c>
      <c r="F1873" s="28" t="str">
        <f>IF($C1873=""," ",[1]!i_pq_pctchange($C1873,F$6,$N$1))</f>
        <v xml:space="preserve"> </v>
      </c>
      <c r="G1873" s="28" t="str">
        <f>IF($C1873=""," ",[1]!i_pq_pctchange($C1873,G$6,$N$1))</f>
        <v xml:space="preserve"> </v>
      </c>
      <c r="H1873" s="28" t="str">
        <f>IF($C1873=""," ",[1]!i_pq_pctchange($C1873,H$6,$N$1))</f>
        <v xml:space="preserve"> </v>
      </c>
      <c r="I1873" s="28" t="str">
        <f>IF($C1873=""," ",[1]!i_pq_pctchange($C1873,I$6,$N$1))</f>
        <v xml:space="preserve"> </v>
      </c>
      <c r="J1873" s="28" t="str">
        <f>IF($C1873=""," ",[1]!i_pq_pctchange($C1873,J$6,$N$1))</f>
        <v xml:space="preserve"> </v>
      </c>
      <c r="K1873" s="28" t="str">
        <f>IF($C1873=""," ",[1]!i_pq_pctchange($C1873,K$6,$N$1))</f>
        <v xml:space="preserve"> </v>
      </c>
      <c r="L1873" s="28" t="str">
        <f>IF(C1873=""," ",[1]!s_wq_pctchange($C1873,$N$1))</f>
        <v xml:space="preserve"> </v>
      </c>
      <c r="M1873" s="28" t="str">
        <f>IF(C1873=""," ",[1]!s_mq_pctchange($C1873,$N$1))</f>
        <v xml:space="preserve"> </v>
      </c>
      <c r="N1873" s="28" t="str">
        <f>IF(C1873=""," ",[1]!s_yq_pctchange($C1873,$N$1))</f>
        <v xml:space="preserve"> </v>
      </c>
      <c r="O1873" s="11"/>
      <c r="P1873" s="7"/>
    </row>
    <row r="1874" spans="1:16" x14ac:dyDescent="0.35">
      <c r="A1874" s="7"/>
      <c r="C1874" s="31" t="str">
        <f>IF(指数列表!B1871="","",指数列表!B1871)</f>
        <v/>
      </c>
      <c r="D1874" s="36" t="str">
        <f>IF(C1874="","",[1]!s_info_name(C1874))</f>
        <v/>
      </c>
      <c r="E1874" s="25" t="str">
        <f>IF(C1874="","",[1]!s_dq_close(C1874,$N$1))</f>
        <v/>
      </c>
      <c r="F1874" s="28" t="str">
        <f>IF($C1874=""," ",[1]!i_pq_pctchange($C1874,F$6,$N$1))</f>
        <v xml:space="preserve"> </v>
      </c>
      <c r="G1874" s="28" t="str">
        <f>IF($C1874=""," ",[1]!i_pq_pctchange($C1874,G$6,$N$1))</f>
        <v xml:space="preserve"> </v>
      </c>
      <c r="H1874" s="28" t="str">
        <f>IF($C1874=""," ",[1]!i_pq_pctchange($C1874,H$6,$N$1))</f>
        <v xml:space="preserve"> </v>
      </c>
      <c r="I1874" s="28" t="str">
        <f>IF($C1874=""," ",[1]!i_pq_pctchange($C1874,I$6,$N$1))</f>
        <v xml:space="preserve"> </v>
      </c>
      <c r="J1874" s="28" t="str">
        <f>IF($C1874=""," ",[1]!i_pq_pctchange($C1874,J$6,$N$1))</f>
        <v xml:space="preserve"> </v>
      </c>
      <c r="K1874" s="28" t="str">
        <f>IF($C1874=""," ",[1]!i_pq_pctchange($C1874,K$6,$N$1))</f>
        <v xml:space="preserve"> </v>
      </c>
      <c r="L1874" s="28" t="str">
        <f>IF(C1874=""," ",[1]!s_wq_pctchange($C1874,$N$1))</f>
        <v xml:space="preserve"> </v>
      </c>
      <c r="M1874" s="28" t="str">
        <f>IF(C1874=""," ",[1]!s_mq_pctchange($C1874,$N$1))</f>
        <v xml:space="preserve"> </v>
      </c>
      <c r="N1874" s="28" t="str">
        <f>IF(C1874=""," ",[1]!s_yq_pctchange($C1874,$N$1))</f>
        <v xml:space="preserve"> </v>
      </c>
      <c r="O1874" s="11"/>
      <c r="P1874" s="7"/>
    </row>
    <row r="1875" spans="1:16" x14ac:dyDescent="0.35">
      <c r="A1875" s="7"/>
      <c r="C1875" s="30" t="str">
        <f>IF(指数列表!B1872="","",指数列表!B1872)</f>
        <v/>
      </c>
      <c r="D1875" s="35" t="str">
        <f>IF(C1875="","",[1]!s_info_name(C1875))</f>
        <v/>
      </c>
      <c r="E1875" s="24" t="str">
        <f>IF(C1875="","",[1]!s_dq_close(C1875,$N$1))</f>
        <v/>
      </c>
      <c r="F1875" s="28" t="str">
        <f>IF($C1875=""," ",[1]!i_pq_pctchange($C1875,F$6,$N$1))</f>
        <v xml:space="preserve"> </v>
      </c>
      <c r="G1875" s="28" t="str">
        <f>IF($C1875=""," ",[1]!i_pq_pctchange($C1875,G$6,$N$1))</f>
        <v xml:space="preserve"> </v>
      </c>
      <c r="H1875" s="28" t="str">
        <f>IF($C1875=""," ",[1]!i_pq_pctchange($C1875,H$6,$N$1))</f>
        <v xml:space="preserve"> </v>
      </c>
      <c r="I1875" s="28" t="str">
        <f>IF($C1875=""," ",[1]!i_pq_pctchange($C1875,I$6,$N$1))</f>
        <v xml:space="preserve"> </v>
      </c>
      <c r="J1875" s="28" t="str">
        <f>IF($C1875=""," ",[1]!i_pq_pctchange($C1875,J$6,$N$1))</f>
        <v xml:space="preserve"> </v>
      </c>
      <c r="K1875" s="28" t="str">
        <f>IF($C1875=""," ",[1]!i_pq_pctchange($C1875,K$6,$N$1))</f>
        <v xml:space="preserve"> </v>
      </c>
      <c r="L1875" s="28" t="str">
        <f>IF(C1875=""," ",[1]!s_wq_pctchange($C1875,$N$1))</f>
        <v xml:space="preserve"> </v>
      </c>
      <c r="M1875" s="28" t="str">
        <f>IF(C1875=""," ",[1]!s_mq_pctchange($C1875,$N$1))</f>
        <v xml:space="preserve"> </v>
      </c>
      <c r="N1875" s="28" t="str">
        <f>IF(C1875=""," ",[1]!s_yq_pctchange($C1875,$N$1))</f>
        <v xml:space="preserve"> </v>
      </c>
      <c r="O1875" s="11"/>
      <c r="P1875" s="7"/>
    </row>
    <row r="1876" spans="1:16" x14ac:dyDescent="0.35">
      <c r="A1876" s="7"/>
      <c r="C1876" s="31" t="str">
        <f>IF(指数列表!B1873="","",指数列表!B1873)</f>
        <v/>
      </c>
      <c r="D1876" s="36" t="str">
        <f>IF(C1876="","",[1]!s_info_name(C1876))</f>
        <v/>
      </c>
      <c r="E1876" s="25" t="str">
        <f>IF(C1876="","",[1]!s_dq_close(C1876,$N$1))</f>
        <v/>
      </c>
      <c r="F1876" s="28" t="str">
        <f>IF($C1876=""," ",[1]!i_pq_pctchange($C1876,F$6,$N$1))</f>
        <v xml:space="preserve"> </v>
      </c>
      <c r="G1876" s="28" t="str">
        <f>IF($C1876=""," ",[1]!i_pq_pctchange($C1876,G$6,$N$1))</f>
        <v xml:space="preserve"> </v>
      </c>
      <c r="H1876" s="28" t="str">
        <f>IF($C1876=""," ",[1]!i_pq_pctchange($C1876,H$6,$N$1))</f>
        <v xml:space="preserve"> </v>
      </c>
      <c r="I1876" s="28" t="str">
        <f>IF($C1876=""," ",[1]!i_pq_pctchange($C1876,I$6,$N$1))</f>
        <v xml:space="preserve"> </v>
      </c>
      <c r="J1876" s="28" t="str">
        <f>IF($C1876=""," ",[1]!i_pq_pctchange($C1876,J$6,$N$1))</f>
        <v xml:space="preserve"> </v>
      </c>
      <c r="K1876" s="28" t="str">
        <f>IF($C1876=""," ",[1]!i_pq_pctchange($C1876,K$6,$N$1))</f>
        <v xml:space="preserve"> </v>
      </c>
      <c r="L1876" s="28" t="str">
        <f>IF(C1876=""," ",[1]!s_wq_pctchange($C1876,$N$1))</f>
        <v xml:space="preserve"> </v>
      </c>
      <c r="M1876" s="28" t="str">
        <f>IF(C1876=""," ",[1]!s_mq_pctchange($C1876,$N$1))</f>
        <v xml:space="preserve"> </v>
      </c>
      <c r="N1876" s="28" t="str">
        <f>IF(C1876=""," ",[1]!s_yq_pctchange($C1876,$N$1))</f>
        <v xml:space="preserve"> </v>
      </c>
      <c r="O1876" s="11"/>
      <c r="P1876" s="7"/>
    </row>
    <row r="1877" spans="1:16" x14ac:dyDescent="0.35">
      <c r="A1877" s="7"/>
      <c r="C1877" s="30" t="str">
        <f>IF(指数列表!B1874="","",指数列表!B1874)</f>
        <v/>
      </c>
      <c r="D1877" s="35" t="str">
        <f>IF(C1877="","",[1]!s_info_name(C1877))</f>
        <v/>
      </c>
      <c r="E1877" s="24" t="str">
        <f>IF(C1877="","",[1]!s_dq_close(C1877,$N$1))</f>
        <v/>
      </c>
      <c r="F1877" s="28" t="str">
        <f>IF($C1877=""," ",[1]!i_pq_pctchange($C1877,F$6,$N$1))</f>
        <v xml:space="preserve"> </v>
      </c>
      <c r="G1877" s="28" t="str">
        <f>IF($C1877=""," ",[1]!i_pq_pctchange($C1877,G$6,$N$1))</f>
        <v xml:space="preserve"> </v>
      </c>
      <c r="H1877" s="28" t="str">
        <f>IF($C1877=""," ",[1]!i_pq_pctchange($C1877,H$6,$N$1))</f>
        <v xml:space="preserve"> </v>
      </c>
      <c r="I1877" s="28" t="str">
        <f>IF($C1877=""," ",[1]!i_pq_pctchange($C1877,I$6,$N$1))</f>
        <v xml:space="preserve"> </v>
      </c>
      <c r="J1877" s="28" t="str">
        <f>IF($C1877=""," ",[1]!i_pq_pctchange($C1877,J$6,$N$1))</f>
        <v xml:space="preserve"> </v>
      </c>
      <c r="K1877" s="28" t="str">
        <f>IF($C1877=""," ",[1]!i_pq_pctchange($C1877,K$6,$N$1))</f>
        <v xml:space="preserve"> </v>
      </c>
      <c r="L1877" s="28" t="str">
        <f>IF(C1877=""," ",[1]!s_wq_pctchange($C1877,$N$1))</f>
        <v xml:space="preserve"> </v>
      </c>
      <c r="M1877" s="28" t="str">
        <f>IF(C1877=""," ",[1]!s_mq_pctchange($C1877,$N$1))</f>
        <v xml:space="preserve"> </v>
      </c>
      <c r="N1877" s="28" t="str">
        <f>IF(C1877=""," ",[1]!s_yq_pctchange($C1877,$N$1))</f>
        <v xml:space="preserve"> </v>
      </c>
      <c r="O1877" s="11"/>
      <c r="P1877" s="7"/>
    </row>
    <row r="1878" spans="1:16" x14ac:dyDescent="0.35">
      <c r="A1878" s="7"/>
      <c r="C1878" s="31" t="str">
        <f>IF(指数列表!B1875="","",指数列表!B1875)</f>
        <v/>
      </c>
      <c r="D1878" s="36" t="str">
        <f>IF(C1878="","",[1]!s_info_name(C1878))</f>
        <v/>
      </c>
      <c r="E1878" s="25" t="str">
        <f>IF(C1878="","",[1]!s_dq_close(C1878,$N$1))</f>
        <v/>
      </c>
      <c r="F1878" s="28" t="str">
        <f>IF($C1878=""," ",[1]!i_pq_pctchange($C1878,F$6,$N$1))</f>
        <v xml:space="preserve"> </v>
      </c>
      <c r="G1878" s="28" t="str">
        <f>IF($C1878=""," ",[1]!i_pq_pctchange($C1878,G$6,$N$1))</f>
        <v xml:space="preserve"> </v>
      </c>
      <c r="H1878" s="28" t="str">
        <f>IF($C1878=""," ",[1]!i_pq_pctchange($C1878,H$6,$N$1))</f>
        <v xml:space="preserve"> </v>
      </c>
      <c r="I1878" s="28" t="str">
        <f>IF($C1878=""," ",[1]!i_pq_pctchange($C1878,I$6,$N$1))</f>
        <v xml:space="preserve"> </v>
      </c>
      <c r="J1878" s="28" t="str">
        <f>IF($C1878=""," ",[1]!i_pq_pctchange($C1878,J$6,$N$1))</f>
        <v xml:space="preserve"> </v>
      </c>
      <c r="K1878" s="28" t="str">
        <f>IF($C1878=""," ",[1]!i_pq_pctchange($C1878,K$6,$N$1))</f>
        <v xml:space="preserve"> </v>
      </c>
      <c r="L1878" s="28" t="str">
        <f>IF(C1878=""," ",[1]!s_wq_pctchange($C1878,$N$1))</f>
        <v xml:space="preserve"> </v>
      </c>
      <c r="M1878" s="28" t="str">
        <f>IF(C1878=""," ",[1]!s_mq_pctchange($C1878,$N$1))</f>
        <v xml:space="preserve"> </v>
      </c>
      <c r="N1878" s="28" t="str">
        <f>IF(C1878=""," ",[1]!s_yq_pctchange($C1878,$N$1))</f>
        <v xml:space="preserve"> </v>
      </c>
      <c r="O1878" s="11"/>
      <c r="P1878" s="7"/>
    </row>
    <row r="1879" spans="1:16" x14ac:dyDescent="0.35">
      <c r="A1879" s="7"/>
      <c r="C1879" s="30" t="str">
        <f>IF(指数列表!B1876="","",指数列表!B1876)</f>
        <v/>
      </c>
      <c r="D1879" s="35" t="str">
        <f>IF(C1879="","",[1]!s_info_name(C1879))</f>
        <v/>
      </c>
      <c r="E1879" s="24" t="str">
        <f>IF(C1879="","",[1]!s_dq_close(C1879,$N$1))</f>
        <v/>
      </c>
      <c r="F1879" s="28" t="str">
        <f>IF($C1879=""," ",[1]!i_pq_pctchange($C1879,F$6,$N$1))</f>
        <v xml:space="preserve"> </v>
      </c>
      <c r="G1879" s="28" t="str">
        <f>IF($C1879=""," ",[1]!i_pq_pctchange($C1879,G$6,$N$1))</f>
        <v xml:space="preserve"> </v>
      </c>
      <c r="H1879" s="28" t="str">
        <f>IF($C1879=""," ",[1]!i_pq_pctchange($C1879,H$6,$N$1))</f>
        <v xml:space="preserve"> </v>
      </c>
      <c r="I1879" s="28" t="str">
        <f>IF($C1879=""," ",[1]!i_pq_pctchange($C1879,I$6,$N$1))</f>
        <v xml:space="preserve"> </v>
      </c>
      <c r="J1879" s="28" t="str">
        <f>IF($C1879=""," ",[1]!i_pq_pctchange($C1879,J$6,$N$1))</f>
        <v xml:space="preserve"> </v>
      </c>
      <c r="K1879" s="28" t="str">
        <f>IF($C1879=""," ",[1]!i_pq_pctchange($C1879,K$6,$N$1))</f>
        <v xml:space="preserve"> </v>
      </c>
      <c r="L1879" s="28" t="str">
        <f>IF(C1879=""," ",[1]!s_wq_pctchange($C1879,$N$1))</f>
        <v xml:space="preserve"> </v>
      </c>
      <c r="M1879" s="28" t="str">
        <f>IF(C1879=""," ",[1]!s_mq_pctchange($C1879,$N$1))</f>
        <v xml:space="preserve"> </v>
      </c>
      <c r="N1879" s="28" t="str">
        <f>IF(C1879=""," ",[1]!s_yq_pctchange($C1879,$N$1))</f>
        <v xml:space="preserve"> </v>
      </c>
      <c r="O1879" s="11"/>
      <c r="P1879" s="7"/>
    </row>
    <row r="1880" spans="1:16" x14ac:dyDescent="0.35">
      <c r="A1880" s="7"/>
      <c r="C1880" s="31" t="str">
        <f>IF(指数列表!B1877="","",指数列表!B1877)</f>
        <v/>
      </c>
      <c r="D1880" s="36" t="str">
        <f>IF(C1880="","",[1]!s_info_name(C1880))</f>
        <v/>
      </c>
      <c r="E1880" s="25" t="str">
        <f>IF(C1880="","",[1]!s_dq_close(C1880,$N$1))</f>
        <v/>
      </c>
      <c r="F1880" s="28" t="str">
        <f>IF($C1880=""," ",[1]!i_pq_pctchange($C1880,F$6,$N$1))</f>
        <v xml:space="preserve"> </v>
      </c>
      <c r="G1880" s="28" t="str">
        <f>IF($C1880=""," ",[1]!i_pq_pctchange($C1880,G$6,$N$1))</f>
        <v xml:space="preserve"> </v>
      </c>
      <c r="H1880" s="28" t="str">
        <f>IF($C1880=""," ",[1]!i_pq_pctchange($C1880,H$6,$N$1))</f>
        <v xml:space="preserve"> </v>
      </c>
      <c r="I1880" s="28" t="str">
        <f>IF($C1880=""," ",[1]!i_pq_pctchange($C1880,I$6,$N$1))</f>
        <v xml:space="preserve"> </v>
      </c>
      <c r="J1880" s="28" t="str">
        <f>IF($C1880=""," ",[1]!i_pq_pctchange($C1880,J$6,$N$1))</f>
        <v xml:space="preserve"> </v>
      </c>
      <c r="K1880" s="28" t="str">
        <f>IF($C1880=""," ",[1]!i_pq_pctchange($C1880,K$6,$N$1))</f>
        <v xml:space="preserve"> </v>
      </c>
      <c r="L1880" s="28" t="str">
        <f>IF(C1880=""," ",[1]!s_wq_pctchange($C1880,$N$1))</f>
        <v xml:space="preserve"> </v>
      </c>
      <c r="M1880" s="28" t="str">
        <f>IF(C1880=""," ",[1]!s_mq_pctchange($C1880,$N$1))</f>
        <v xml:space="preserve"> </v>
      </c>
      <c r="N1880" s="28" t="str">
        <f>IF(C1880=""," ",[1]!s_yq_pctchange($C1880,$N$1))</f>
        <v xml:space="preserve"> </v>
      </c>
      <c r="O1880" s="11"/>
      <c r="P1880" s="7"/>
    </row>
    <row r="1881" spans="1:16" x14ac:dyDescent="0.35">
      <c r="A1881" s="7"/>
      <c r="C1881" s="30" t="str">
        <f>IF(指数列表!B1878="","",指数列表!B1878)</f>
        <v/>
      </c>
      <c r="D1881" s="35" t="str">
        <f>IF(C1881="","",[1]!s_info_name(C1881))</f>
        <v/>
      </c>
      <c r="E1881" s="24" t="str">
        <f>IF(C1881="","",[1]!s_dq_close(C1881,$N$1))</f>
        <v/>
      </c>
      <c r="F1881" s="28" t="str">
        <f>IF($C1881=""," ",[1]!i_pq_pctchange($C1881,F$6,$N$1))</f>
        <v xml:space="preserve"> </v>
      </c>
      <c r="G1881" s="28" t="str">
        <f>IF($C1881=""," ",[1]!i_pq_pctchange($C1881,G$6,$N$1))</f>
        <v xml:space="preserve"> </v>
      </c>
      <c r="H1881" s="28" t="str">
        <f>IF($C1881=""," ",[1]!i_pq_pctchange($C1881,H$6,$N$1))</f>
        <v xml:space="preserve"> </v>
      </c>
      <c r="I1881" s="28" t="str">
        <f>IF($C1881=""," ",[1]!i_pq_pctchange($C1881,I$6,$N$1))</f>
        <v xml:space="preserve"> </v>
      </c>
      <c r="J1881" s="28" t="str">
        <f>IF($C1881=""," ",[1]!i_pq_pctchange($C1881,J$6,$N$1))</f>
        <v xml:space="preserve"> </v>
      </c>
      <c r="K1881" s="28" t="str">
        <f>IF($C1881=""," ",[1]!i_pq_pctchange($C1881,K$6,$N$1))</f>
        <v xml:space="preserve"> </v>
      </c>
      <c r="L1881" s="28" t="str">
        <f>IF(C1881=""," ",[1]!s_wq_pctchange($C1881,$N$1))</f>
        <v xml:space="preserve"> </v>
      </c>
      <c r="M1881" s="28" t="str">
        <f>IF(C1881=""," ",[1]!s_mq_pctchange($C1881,$N$1))</f>
        <v xml:space="preserve"> </v>
      </c>
      <c r="N1881" s="28" t="str">
        <f>IF(C1881=""," ",[1]!s_yq_pctchange($C1881,$N$1))</f>
        <v xml:space="preserve"> </v>
      </c>
      <c r="O1881" s="11"/>
      <c r="P1881" s="7"/>
    </row>
    <row r="1882" spans="1:16" x14ac:dyDescent="0.35">
      <c r="A1882" s="7"/>
      <c r="C1882" s="31" t="str">
        <f>IF(指数列表!B1879="","",指数列表!B1879)</f>
        <v/>
      </c>
      <c r="D1882" s="36" t="str">
        <f>IF(C1882="","",[1]!s_info_name(C1882))</f>
        <v/>
      </c>
      <c r="E1882" s="25" t="str">
        <f>IF(C1882="","",[1]!s_dq_close(C1882,$N$1))</f>
        <v/>
      </c>
      <c r="F1882" s="28" t="str">
        <f>IF($C1882=""," ",[1]!i_pq_pctchange($C1882,F$6,$N$1))</f>
        <v xml:space="preserve"> </v>
      </c>
      <c r="G1882" s="28" t="str">
        <f>IF($C1882=""," ",[1]!i_pq_pctchange($C1882,G$6,$N$1))</f>
        <v xml:space="preserve"> </v>
      </c>
      <c r="H1882" s="28" t="str">
        <f>IF($C1882=""," ",[1]!i_pq_pctchange($C1882,H$6,$N$1))</f>
        <v xml:space="preserve"> </v>
      </c>
      <c r="I1882" s="28" t="str">
        <f>IF($C1882=""," ",[1]!i_pq_pctchange($C1882,I$6,$N$1))</f>
        <v xml:space="preserve"> </v>
      </c>
      <c r="J1882" s="28" t="str">
        <f>IF($C1882=""," ",[1]!i_pq_pctchange($C1882,J$6,$N$1))</f>
        <v xml:space="preserve"> </v>
      </c>
      <c r="K1882" s="28" t="str">
        <f>IF($C1882=""," ",[1]!i_pq_pctchange($C1882,K$6,$N$1))</f>
        <v xml:space="preserve"> </v>
      </c>
      <c r="L1882" s="28" t="str">
        <f>IF(C1882=""," ",[1]!s_wq_pctchange($C1882,$N$1))</f>
        <v xml:space="preserve"> </v>
      </c>
      <c r="M1882" s="28" t="str">
        <f>IF(C1882=""," ",[1]!s_mq_pctchange($C1882,$N$1))</f>
        <v xml:space="preserve"> </v>
      </c>
      <c r="N1882" s="28" t="str">
        <f>IF(C1882=""," ",[1]!s_yq_pctchange($C1882,$N$1))</f>
        <v xml:space="preserve"> </v>
      </c>
      <c r="O1882" s="11"/>
      <c r="P1882" s="7"/>
    </row>
    <row r="1883" spans="1:16" x14ac:dyDescent="0.35">
      <c r="A1883" s="7"/>
      <c r="C1883" s="30" t="str">
        <f>IF(指数列表!B1880="","",指数列表!B1880)</f>
        <v/>
      </c>
      <c r="D1883" s="35" t="str">
        <f>IF(C1883="","",[1]!s_info_name(C1883))</f>
        <v/>
      </c>
      <c r="E1883" s="24" t="str">
        <f>IF(C1883="","",[1]!s_dq_close(C1883,$N$1))</f>
        <v/>
      </c>
      <c r="F1883" s="28" t="str">
        <f>IF($C1883=""," ",[1]!i_pq_pctchange($C1883,F$6,$N$1))</f>
        <v xml:space="preserve"> </v>
      </c>
      <c r="G1883" s="28" t="str">
        <f>IF($C1883=""," ",[1]!i_pq_pctchange($C1883,G$6,$N$1))</f>
        <v xml:space="preserve"> </v>
      </c>
      <c r="H1883" s="28" t="str">
        <f>IF($C1883=""," ",[1]!i_pq_pctchange($C1883,H$6,$N$1))</f>
        <v xml:space="preserve"> </v>
      </c>
      <c r="I1883" s="28" t="str">
        <f>IF($C1883=""," ",[1]!i_pq_pctchange($C1883,I$6,$N$1))</f>
        <v xml:space="preserve"> </v>
      </c>
      <c r="J1883" s="28" t="str">
        <f>IF($C1883=""," ",[1]!i_pq_pctchange($C1883,J$6,$N$1))</f>
        <v xml:space="preserve"> </v>
      </c>
      <c r="K1883" s="28" t="str">
        <f>IF($C1883=""," ",[1]!i_pq_pctchange($C1883,K$6,$N$1))</f>
        <v xml:space="preserve"> </v>
      </c>
      <c r="L1883" s="28" t="str">
        <f>IF(C1883=""," ",[1]!s_wq_pctchange($C1883,$N$1))</f>
        <v xml:space="preserve"> </v>
      </c>
      <c r="M1883" s="28" t="str">
        <f>IF(C1883=""," ",[1]!s_mq_pctchange($C1883,$N$1))</f>
        <v xml:space="preserve"> </v>
      </c>
      <c r="N1883" s="28" t="str">
        <f>IF(C1883=""," ",[1]!s_yq_pctchange($C1883,$N$1))</f>
        <v xml:space="preserve"> </v>
      </c>
      <c r="O1883" s="11"/>
      <c r="P1883" s="7"/>
    </row>
    <row r="1884" spans="1:16" x14ac:dyDescent="0.35">
      <c r="A1884" s="7"/>
      <c r="C1884" s="31" t="str">
        <f>IF(指数列表!B1881="","",指数列表!B1881)</f>
        <v/>
      </c>
      <c r="D1884" s="36" t="str">
        <f>IF(C1884="","",[1]!s_info_name(C1884))</f>
        <v/>
      </c>
      <c r="E1884" s="25" t="str">
        <f>IF(C1884="","",[1]!s_dq_close(C1884,$N$1))</f>
        <v/>
      </c>
      <c r="F1884" s="28" t="str">
        <f>IF($C1884=""," ",[1]!i_pq_pctchange($C1884,F$6,$N$1))</f>
        <v xml:space="preserve"> </v>
      </c>
      <c r="G1884" s="28" t="str">
        <f>IF($C1884=""," ",[1]!i_pq_pctchange($C1884,G$6,$N$1))</f>
        <v xml:space="preserve"> </v>
      </c>
      <c r="H1884" s="28" t="str">
        <f>IF($C1884=""," ",[1]!i_pq_pctchange($C1884,H$6,$N$1))</f>
        <v xml:space="preserve"> </v>
      </c>
      <c r="I1884" s="28" t="str">
        <f>IF($C1884=""," ",[1]!i_pq_pctchange($C1884,I$6,$N$1))</f>
        <v xml:space="preserve"> </v>
      </c>
      <c r="J1884" s="28" t="str">
        <f>IF($C1884=""," ",[1]!i_pq_pctchange($C1884,J$6,$N$1))</f>
        <v xml:space="preserve"> </v>
      </c>
      <c r="K1884" s="28" t="str">
        <f>IF($C1884=""," ",[1]!i_pq_pctchange($C1884,K$6,$N$1))</f>
        <v xml:space="preserve"> </v>
      </c>
      <c r="L1884" s="28" t="str">
        <f>IF(C1884=""," ",[1]!s_wq_pctchange($C1884,$N$1))</f>
        <v xml:space="preserve"> </v>
      </c>
      <c r="M1884" s="28" t="str">
        <f>IF(C1884=""," ",[1]!s_mq_pctchange($C1884,$N$1))</f>
        <v xml:space="preserve"> </v>
      </c>
      <c r="N1884" s="28" t="str">
        <f>IF(C1884=""," ",[1]!s_yq_pctchange($C1884,$N$1))</f>
        <v xml:space="preserve"> </v>
      </c>
      <c r="O1884" s="11"/>
      <c r="P1884" s="7"/>
    </row>
    <row r="1885" spans="1:16" x14ac:dyDescent="0.35">
      <c r="A1885" s="7"/>
      <c r="C1885" s="30" t="str">
        <f>IF(指数列表!B1882="","",指数列表!B1882)</f>
        <v/>
      </c>
      <c r="D1885" s="35" t="str">
        <f>IF(C1885="","",[1]!s_info_name(C1885))</f>
        <v/>
      </c>
      <c r="E1885" s="24" t="str">
        <f>IF(C1885="","",[1]!s_dq_close(C1885,$N$1))</f>
        <v/>
      </c>
      <c r="F1885" s="28" t="str">
        <f>IF($C1885=""," ",[1]!i_pq_pctchange($C1885,F$6,$N$1))</f>
        <v xml:space="preserve"> </v>
      </c>
      <c r="G1885" s="28" t="str">
        <f>IF($C1885=""," ",[1]!i_pq_pctchange($C1885,G$6,$N$1))</f>
        <v xml:space="preserve"> </v>
      </c>
      <c r="H1885" s="28" t="str">
        <f>IF($C1885=""," ",[1]!i_pq_pctchange($C1885,H$6,$N$1))</f>
        <v xml:space="preserve"> </v>
      </c>
      <c r="I1885" s="28" t="str">
        <f>IF($C1885=""," ",[1]!i_pq_pctchange($C1885,I$6,$N$1))</f>
        <v xml:space="preserve"> </v>
      </c>
      <c r="J1885" s="28" t="str">
        <f>IF($C1885=""," ",[1]!i_pq_pctchange($C1885,J$6,$N$1))</f>
        <v xml:space="preserve"> </v>
      </c>
      <c r="K1885" s="28" t="str">
        <f>IF($C1885=""," ",[1]!i_pq_pctchange($C1885,K$6,$N$1))</f>
        <v xml:space="preserve"> </v>
      </c>
      <c r="L1885" s="28" t="str">
        <f>IF(C1885=""," ",[1]!s_wq_pctchange($C1885,$N$1))</f>
        <v xml:space="preserve"> </v>
      </c>
      <c r="M1885" s="28" t="str">
        <f>IF(C1885=""," ",[1]!s_mq_pctchange($C1885,$N$1))</f>
        <v xml:space="preserve"> </v>
      </c>
      <c r="N1885" s="28" t="str">
        <f>IF(C1885=""," ",[1]!s_yq_pctchange($C1885,$N$1))</f>
        <v xml:space="preserve"> </v>
      </c>
      <c r="O1885" s="11"/>
      <c r="P1885" s="7"/>
    </row>
    <row r="1886" spans="1:16" x14ac:dyDescent="0.35">
      <c r="A1886" s="7"/>
      <c r="C1886" s="31" t="str">
        <f>IF(指数列表!B1883="","",指数列表!B1883)</f>
        <v/>
      </c>
      <c r="D1886" s="36" t="str">
        <f>IF(C1886="","",[1]!s_info_name(C1886))</f>
        <v/>
      </c>
      <c r="E1886" s="25" t="str">
        <f>IF(C1886="","",[1]!s_dq_close(C1886,$N$1))</f>
        <v/>
      </c>
      <c r="F1886" s="28" t="str">
        <f>IF($C1886=""," ",[1]!i_pq_pctchange($C1886,F$6,$N$1))</f>
        <v xml:space="preserve"> </v>
      </c>
      <c r="G1886" s="28" t="str">
        <f>IF($C1886=""," ",[1]!i_pq_pctchange($C1886,G$6,$N$1))</f>
        <v xml:space="preserve"> </v>
      </c>
      <c r="H1886" s="28" t="str">
        <f>IF($C1886=""," ",[1]!i_pq_pctchange($C1886,H$6,$N$1))</f>
        <v xml:space="preserve"> </v>
      </c>
      <c r="I1886" s="28" t="str">
        <f>IF($C1886=""," ",[1]!i_pq_pctchange($C1886,I$6,$N$1))</f>
        <v xml:space="preserve"> </v>
      </c>
      <c r="J1886" s="28" t="str">
        <f>IF($C1886=""," ",[1]!i_pq_pctchange($C1886,J$6,$N$1))</f>
        <v xml:space="preserve"> </v>
      </c>
      <c r="K1886" s="28" t="str">
        <f>IF($C1886=""," ",[1]!i_pq_pctchange($C1886,K$6,$N$1))</f>
        <v xml:space="preserve"> </v>
      </c>
      <c r="L1886" s="28" t="str">
        <f>IF(C1886=""," ",[1]!s_wq_pctchange($C1886,$N$1))</f>
        <v xml:space="preserve"> </v>
      </c>
      <c r="M1886" s="28" t="str">
        <f>IF(C1886=""," ",[1]!s_mq_pctchange($C1886,$N$1))</f>
        <v xml:space="preserve"> </v>
      </c>
      <c r="N1886" s="28" t="str">
        <f>IF(C1886=""," ",[1]!s_yq_pctchange($C1886,$N$1))</f>
        <v xml:space="preserve"> </v>
      </c>
      <c r="O1886" s="11"/>
      <c r="P1886" s="7"/>
    </row>
    <row r="1887" spans="1:16" x14ac:dyDescent="0.35">
      <c r="A1887" s="7"/>
      <c r="C1887" s="30" t="str">
        <f>IF(指数列表!B1884="","",指数列表!B1884)</f>
        <v/>
      </c>
      <c r="D1887" s="35" t="str">
        <f>IF(C1887="","",[1]!s_info_name(C1887))</f>
        <v/>
      </c>
      <c r="E1887" s="24" t="str">
        <f>IF(C1887="","",[1]!s_dq_close(C1887,$N$1))</f>
        <v/>
      </c>
      <c r="F1887" s="28" t="str">
        <f>IF($C1887=""," ",[1]!i_pq_pctchange($C1887,F$6,$N$1))</f>
        <v xml:space="preserve"> </v>
      </c>
      <c r="G1887" s="28" t="str">
        <f>IF($C1887=""," ",[1]!i_pq_pctchange($C1887,G$6,$N$1))</f>
        <v xml:space="preserve"> </v>
      </c>
      <c r="H1887" s="28" t="str">
        <f>IF($C1887=""," ",[1]!i_pq_pctchange($C1887,H$6,$N$1))</f>
        <v xml:space="preserve"> </v>
      </c>
      <c r="I1887" s="28" t="str">
        <f>IF($C1887=""," ",[1]!i_pq_pctchange($C1887,I$6,$N$1))</f>
        <v xml:space="preserve"> </v>
      </c>
      <c r="J1887" s="28" t="str">
        <f>IF($C1887=""," ",[1]!i_pq_pctchange($C1887,J$6,$N$1))</f>
        <v xml:space="preserve"> </v>
      </c>
      <c r="K1887" s="28" t="str">
        <f>IF($C1887=""," ",[1]!i_pq_pctchange($C1887,K$6,$N$1))</f>
        <v xml:space="preserve"> </v>
      </c>
      <c r="L1887" s="28" t="str">
        <f>IF(C1887=""," ",[1]!s_wq_pctchange($C1887,$N$1))</f>
        <v xml:space="preserve"> </v>
      </c>
      <c r="M1887" s="28" t="str">
        <f>IF(C1887=""," ",[1]!s_mq_pctchange($C1887,$N$1))</f>
        <v xml:space="preserve"> </v>
      </c>
      <c r="N1887" s="28" t="str">
        <f>IF(C1887=""," ",[1]!s_yq_pctchange($C1887,$N$1))</f>
        <v xml:space="preserve"> </v>
      </c>
      <c r="O1887" s="11"/>
      <c r="P1887" s="7"/>
    </row>
    <row r="1888" spans="1:16" x14ac:dyDescent="0.35">
      <c r="A1888" s="7"/>
      <c r="C1888" s="31" t="str">
        <f>IF(指数列表!B1885="","",指数列表!B1885)</f>
        <v/>
      </c>
      <c r="D1888" s="36" t="str">
        <f>IF(C1888="","",[1]!s_info_name(C1888))</f>
        <v/>
      </c>
      <c r="E1888" s="25" t="str">
        <f>IF(C1888="","",[1]!s_dq_close(C1888,$N$1))</f>
        <v/>
      </c>
      <c r="F1888" s="28" t="str">
        <f>IF($C1888=""," ",[1]!i_pq_pctchange($C1888,F$6,$N$1))</f>
        <v xml:space="preserve"> </v>
      </c>
      <c r="G1888" s="28" t="str">
        <f>IF($C1888=""," ",[1]!i_pq_pctchange($C1888,G$6,$N$1))</f>
        <v xml:space="preserve"> </v>
      </c>
      <c r="H1888" s="28" t="str">
        <f>IF($C1888=""," ",[1]!i_pq_pctchange($C1888,H$6,$N$1))</f>
        <v xml:space="preserve"> </v>
      </c>
      <c r="I1888" s="28" t="str">
        <f>IF($C1888=""," ",[1]!i_pq_pctchange($C1888,I$6,$N$1))</f>
        <v xml:space="preserve"> </v>
      </c>
      <c r="J1888" s="28" t="str">
        <f>IF($C1888=""," ",[1]!i_pq_pctchange($C1888,J$6,$N$1))</f>
        <v xml:space="preserve"> </v>
      </c>
      <c r="K1888" s="28" t="str">
        <f>IF($C1888=""," ",[1]!i_pq_pctchange($C1888,K$6,$N$1))</f>
        <v xml:space="preserve"> </v>
      </c>
      <c r="L1888" s="28" t="str">
        <f>IF(C1888=""," ",[1]!s_wq_pctchange($C1888,$N$1))</f>
        <v xml:space="preserve"> </v>
      </c>
      <c r="M1888" s="28" t="str">
        <f>IF(C1888=""," ",[1]!s_mq_pctchange($C1888,$N$1))</f>
        <v xml:space="preserve"> </v>
      </c>
      <c r="N1888" s="28" t="str">
        <f>IF(C1888=""," ",[1]!s_yq_pctchange($C1888,$N$1))</f>
        <v xml:space="preserve"> </v>
      </c>
      <c r="O1888" s="11"/>
      <c r="P1888" s="7"/>
    </row>
    <row r="1889" spans="1:16" x14ac:dyDescent="0.35">
      <c r="A1889" s="7"/>
      <c r="C1889" s="30" t="str">
        <f>IF(指数列表!B1886="","",指数列表!B1886)</f>
        <v/>
      </c>
      <c r="D1889" s="35" t="str">
        <f>IF(C1889="","",[1]!s_info_name(C1889))</f>
        <v/>
      </c>
      <c r="E1889" s="24" t="str">
        <f>IF(C1889="","",[1]!s_dq_close(C1889,$N$1))</f>
        <v/>
      </c>
      <c r="F1889" s="28" t="str">
        <f>IF($C1889=""," ",[1]!i_pq_pctchange($C1889,F$6,$N$1))</f>
        <v xml:space="preserve"> </v>
      </c>
      <c r="G1889" s="28" t="str">
        <f>IF($C1889=""," ",[1]!i_pq_pctchange($C1889,G$6,$N$1))</f>
        <v xml:space="preserve"> </v>
      </c>
      <c r="H1889" s="28" t="str">
        <f>IF($C1889=""," ",[1]!i_pq_pctchange($C1889,H$6,$N$1))</f>
        <v xml:space="preserve"> </v>
      </c>
      <c r="I1889" s="28" t="str">
        <f>IF($C1889=""," ",[1]!i_pq_pctchange($C1889,I$6,$N$1))</f>
        <v xml:space="preserve"> </v>
      </c>
      <c r="J1889" s="28" t="str">
        <f>IF($C1889=""," ",[1]!i_pq_pctchange($C1889,J$6,$N$1))</f>
        <v xml:space="preserve"> </v>
      </c>
      <c r="K1889" s="28" t="str">
        <f>IF($C1889=""," ",[1]!i_pq_pctchange($C1889,K$6,$N$1))</f>
        <v xml:space="preserve"> </v>
      </c>
      <c r="L1889" s="28" t="str">
        <f>IF(C1889=""," ",[1]!s_wq_pctchange($C1889,$N$1))</f>
        <v xml:space="preserve"> </v>
      </c>
      <c r="M1889" s="28" t="str">
        <f>IF(C1889=""," ",[1]!s_mq_pctchange($C1889,$N$1))</f>
        <v xml:space="preserve"> </v>
      </c>
      <c r="N1889" s="28" t="str">
        <f>IF(C1889=""," ",[1]!s_yq_pctchange($C1889,$N$1))</f>
        <v xml:space="preserve"> </v>
      </c>
      <c r="O1889" s="11"/>
      <c r="P1889" s="7"/>
    </row>
    <row r="1890" spans="1:16" x14ac:dyDescent="0.35">
      <c r="A1890" s="7"/>
      <c r="C1890" s="31" t="str">
        <f>IF(指数列表!B1887="","",指数列表!B1887)</f>
        <v/>
      </c>
      <c r="D1890" s="36" t="str">
        <f>IF(C1890="","",[1]!s_info_name(C1890))</f>
        <v/>
      </c>
      <c r="E1890" s="25" t="str">
        <f>IF(C1890="","",[1]!s_dq_close(C1890,$N$1))</f>
        <v/>
      </c>
      <c r="F1890" s="28" t="str">
        <f>IF($C1890=""," ",[1]!i_pq_pctchange($C1890,F$6,$N$1))</f>
        <v xml:space="preserve"> </v>
      </c>
      <c r="G1890" s="28" t="str">
        <f>IF($C1890=""," ",[1]!i_pq_pctchange($C1890,G$6,$N$1))</f>
        <v xml:space="preserve"> </v>
      </c>
      <c r="H1890" s="28" t="str">
        <f>IF($C1890=""," ",[1]!i_pq_pctchange($C1890,H$6,$N$1))</f>
        <v xml:space="preserve"> </v>
      </c>
      <c r="I1890" s="28" t="str">
        <f>IF($C1890=""," ",[1]!i_pq_pctchange($C1890,I$6,$N$1))</f>
        <v xml:space="preserve"> </v>
      </c>
      <c r="J1890" s="28" t="str">
        <f>IF($C1890=""," ",[1]!i_pq_pctchange($C1890,J$6,$N$1))</f>
        <v xml:space="preserve"> </v>
      </c>
      <c r="K1890" s="28" t="str">
        <f>IF($C1890=""," ",[1]!i_pq_pctchange($C1890,K$6,$N$1))</f>
        <v xml:space="preserve"> </v>
      </c>
      <c r="L1890" s="28" t="str">
        <f>IF(C1890=""," ",[1]!s_wq_pctchange($C1890,$N$1))</f>
        <v xml:space="preserve"> </v>
      </c>
      <c r="M1890" s="28" t="str">
        <f>IF(C1890=""," ",[1]!s_mq_pctchange($C1890,$N$1))</f>
        <v xml:space="preserve"> </v>
      </c>
      <c r="N1890" s="28" t="str">
        <f>IF(C1890=""," ",[1]!s_yq_pctchange($C1890,$N$1))</f>
        <v xml:space="preserve"> </v>
      </c>
      <c r="O1890" s="11"/>
      <c r="P1890" s="7"/>
    </row>
    <row r="1891" spans="1:16" x14ac:dyDescent="0.35">
      <c r="A1891" s="7"/>
      <c r="C1891" s="30" t="str">
        <f>IF(指数列表!B1888="","",指数列表!B1888)</f>
        <v/>
      </c>
      <c r="D1891" s="35" t="str">
        <f>IF(C1891="","",[1]!s_info_name(C1891))</f>
        <v/>
      </c>
      <c r="E1891" s="24" t="str">
        <f>IF(C1891="","",[1]!s_dq_close(C1891,$N$1))</f>
        <v/>
      </c>
      <c r="F1891" s="28" t="str">
        <f>IF($C1891=""," ",[1]!i_pq_pctchange($C1891,F$6,$N$1))</f>
        <v xml:space="preserve"> </v>
      </c>
      <c r="G1891" s="28" t="str">
        <f>IF($C1891=""," ",[1]!i_pq_pctchange($C1891,G$6,$N$1))</f>
        <v xml:space="preserve"> </v>
      </c>
      <c r="H1891" s="28" t="str">
        <f>IF($C1891=""," ",[1]!i_pq_pctchange($C1891,H$6,$N$1))</f>
        <v xml:space="preserve"> </v>
      </c>
      <c r="I1891" s="28" t="str">
        <f>IF($C1891=""," ",[1]!i_pq_pctchange($C1891,I$6,$N$1))</f>
        <v xml:space="preserve"> </v>
      </c>
      <c r="J1891" s="28" t="str">
        <f>IF($C1891=""," ",[1]!i_pq_pctchange($C1891,J$6,$N$1))</f>
        <v xml:space="preserve"> </v>
      </c>
      <c r="K1891" s="28" t="str">
        <f>IF($C1891=""," ",[1]!i_pq_pctchange($C1891,K$6,$N$1))</f>
        <v xml:space="preserve"> </v>
      </c>
      <c r="L1891" s="28" t="str">
        <f>IF(C1891=""," ",[1]!s_wq_pctchange($C1891,$N$1))</f>
        <v xml:space="preserve"> </v>
      </c>
      <c r="M1891" s="28" t="str">
        <f>IF(C1891=""," ",[1]!s_mq_pctchange($C1891,$N$1))</f>
        <v xml:space="preserve"> </v>
      </c>
      <c r="N1891" s="28" t="str">
        <f>IF(C1891=""," ",[1]!s_yq_pctchange($C1891,$N$1))</f>
        <v xml:space="preserve"> </v>
      </c>
      <c r="O1891" s="11"/>
      <c r="P1891" s="7"/>
    </row>
    <row r="1892" spans="1:16" x14ac:dyDescent="0.35">
      <c r="A1892" s="7"/>
      <c r="C1892" s="31" t="str">
        <f>IF(指数列表!B1889="","",指数列表!B1889)</f>
        <v/>
      </c>
      <c r="D1892" s="36" t="str">
        <f>IF(C1892="","",[1]!s_info_name(C1892))</f>
        <v/>
      </c>
      <c r="E1892" s="25" t="str">
        <f>IF(C1892="","",[1]!s_dq_close(C1892,$N$1))</f>
        <v/>
      </c>
      <c r="F1892" s="28" t="str">
        <f>IF($C1892=""," ",[1]!i_pq_pctchange($C1892,F$6,$N$1))</f>
        <v xml:space="preserve"> </v>
      </c>
      <c r="G1892" s="28" t="str">
        <f>IF($C1892=""," ",[1]!i_pq_pctchange($C1892,G$6,$N$1))</f>
        <v xml:space="preserve"> </v>
      </c>
      <c r="H1892" s="28" t="str">
        <f>IF($C1892=""," ",[1]!i_pq_pctchange($C1892,H$6,$N$1))</f>
        <v xml:space="preserve"> </v>
      </c>
      <c r="I1892" s="28" t="str">
        <f>IF($C1892=""," ",[1]!i_pq_pctchange($C1892,I$6,$N$1))</f>
        <v xml:space="preserve"> </v>
      </c>
      <c r="J1892" s="28" t="str">
        <f>IF($C1892=""," ",[1]!i_pq_pctchange($C1892,J$6,$N$1))</f>
        <v xml:space="preserve"> </v>
      </c>
      <c r="K1892" s="28" t="str">
        <f>IF($C1892=""," ",[1]!i_pq_pctchange($C1892,K$6,$N$1))</f>
        <v xml:space="preserve"> </v>
      </c>
      <c r="L1892" s="28" t="str">
        <f>IF(C1892=""," ",[1]!s_wq_pctchange($C1892,$N$1))</f>
        <v xml:space="preserve"> </v>
      </c>
      <c r="M1892" s="28" t="str">
        <f>IF(C1892=""," ",[1]!s_mq_pctchange($C1892,$N$1))</f>
        <v xml:space="preserve"> </v>
      </c>
      <c r="N1892" s="28" t="str">
        <f>IF(C1892=""," ",[1]!s_yq_pctchange($C1892,$N$1))</f>
        <v xml:space="preserve"> </v>
      </c>
      <c r="O1892" s="11"/>
      <c r="P1892" s="7"/>
    </row>
    <row r="1893" spans="1:16" x14ac:dyDescent="0.35">
      <c r="A1893" s="7"/>
      <c r="C1893" s="30" t="str">
        <f>IF(指数列表!B1890="","",指数列表!B1890)</f>
        <v/>
      </c>
      <c r="D1893" s="35" t="str">
        <f>IF(C1893="","",[1]!s_info_name(C1893))</f>
        <v/>
      </c>
      <c r="E1893" s="24" t="str">
        <f>IF(C1893="","",[1]!s_dq_close(C1893,$N$1))</f>
        <v/>
      </c>
      <c r="F1893" s="28" t="str">
        <f>IF($C1893=""," ",[1]!i_pq_pctchange($C1893,F$6,$N$1))</f>
        <v xml:space="preserve"> </v>
      </c>
      <c r="G1893" s="28" t="str">
        <f>IF($C1893=""," ",[1]!i_pq_pctchange($C1893,G$6,$N$1))</f>
        <v xml:space="preserve"> </v>
      </c>
      <c r="H1893" s="28" t="str">
        <f>IF($C1893=""," ",[1]!i_pq_pctchange($C1893,H$6,$N$1))</f>
        <v xml:space="preserve"> </v>
      </c>
      <c r="I1893" s="28" t="str">
        <f>IF($C1893=""," ",[1]!i_pq_pctchange($C1893,I$6,$N$1))</f>
        <v xml:space="preserve"> </v>
      </c>
      <c r="J1893" s="28" t="str">
        <f>IF($C1893=""," ",[1]!i_pq_pctchange($C1893,J$6,$N$1))</f>
        <v xml:space="preserve"> </v>
      </c>
      <c r="K1893" s="28" t="str">
        <f>IF($C1893=""," ",[1]!i_pq_pctchange($C1893,K$6,$N$1))</f>
        <v xml:space="preserve"> </v>
      </c>
      <c r="L1893" s="28" t="str">
        <f>IF(C1893=""," ",[1]!s_wq_pctchange($C1893,$N$1))</f>
        <v xml:space="preserve"> </v>
      </c>
      <c r="M1893" s="28" t="str">
        <f>IF(C1893=""," ",[1]!s_mq_pctchange($C1893,$N$1))</f>
        <v xml:space="preserve"> </v>
      </c>
      <c r="N1893" s="28" t="str">
        <f>IF(C1893=""," ",[1]!s_yq_pctchange($C1893,$N$1))</f>
        <v xml:space="preserve"> </v>
      </c>
      <c r="O1893" s="11"/>
      <c r="P1893" s="7"/>
    </row>
    <row r="1894" spans="1:16" x14ac:dyDescent="0.35">
      <c r="A1894" s="7"/>
      <c r="C1894" s="31" t="str">
        <f>IF(指数列表!B1891="","",指数列表!B1891)</f>
        <v/>
      </c>
      <c r="D1894" s="36" t="str">
        <f>IF(C1894="","",[1]!s_info_name(C1894))</f>
        <v/>
      </c>
      <c r="E1894" s="25" t="str">
        <f>IF(C1894="","",[1]!s_dq_close(C1894,$N$1))</f>
        <v/>
      </c>
      <c r="F1894" s="28" t="str">
        <f>IF($C1894=""," ",[1]!i_pq_pctchange($C1894,F$6,$N$1))</f>
        <v xml:space="preserve"> </v>
      </c>
      <c r="G1894" s="28" t="str">
        <f>IF($C1894=""," ",[1]!i_pq_pctchange($C1894,G$6,$N$1))</f>
        <v xml:space="preserve"> </v>
      </c>
      <c r="H1894" s="28" t="str">
        <f>IF($C1894=""," ",[1]!i_pq_pctchange($C1894,H$6,$N$1))</f>
        <v xml:space="preserve"> </v>
      </c>
      <c r="I1894" s="28" t="str">
        <f>IF($C1894=""," ",[1]!i_pq_pctchange($C1894,I$6,$N$1))</f>
        <v xml:space="preserve"> </v>
      </c>
      <c r="J1894" s="28" t="str">
        <f>IF($C1894=""," ",[1]!i_pq_pctchange($C1894,J$6,$N$1))</f>
        <v xml:space="preserve"> </v>
      </c>
      <c r="K1894" s="28" t="str">
        <f>IF($C1894=""," ",[1]!i_pq_pctchange($C1894,K$6,$N$1))</f>
        <v xml:space="preserve"> </v>
      </c>
      <c r="L1894" s="28" t="str">
        <f>IF(C1894=""," ",[1]!s_wq_pctchange($C1894,$N$1))</f>
        <v xml:space="preserve"> </v>
      </c>
      <c r="M1894" s="28" t="str">
        <f>IF(C1894=""," ",[1]!s_mq_pctchange($C1894,$N$1))</f>
        <v xml:space="preserve"> </v>
      </c>
      <c r="N1894" s="28" t="str">
        <f>IF(C1894=""," ",[1]!s_yq_pctchange($C1894,$N$1))</f>
        <v xml:space="preserve"> </v>
      </c>
      <c r="O1894" s="11"/>
      <c r="P1894" s="7"/>
    </row>
    <row r="1895" spans="1:16" x14ac:dyDescent="0.35">
      <c r="A1895" s="7"/>
      <c r="C1895" s="30" t="str">
        <f>IF(指数列表!B1892="","",指数列表!B1892)</f>
        <v/>
      </c>
      <c r="D1895" s="35" t="str">
        <f>IF(C1895="","",[1]!s_info_name(C1895))</f>
        <v/>
      </c>
      <c r="E1895" s="24" t="str">
        <f>IF(C1895="","",[1]!s_dq_close(C1895,$N$1))</f>
        <v/>
      </c>
      <c r="F1895" s="28" t="str">
        <f>IF($C1895=""," ",[1]!i_pq_pctchange($C1895,F$6,$N$1))</f>
        <v xml:space="preserve"> </v>
      </c>
      <c r="G1895" s="28" t="str">
        <f>IF($C1895=""," ",[1]!i_pq_pctchange($C1895,G$6,$N$1))</f>
        <v xml:space="preserve"> </v>
      </c>
      <c r="H1895" s="28" t="str">
        <f>IF($C1895=""," ",[1]!i_pq_pctchange($C1895,H$6,$N$1))</f>
        <v xml:space="preserve"> </v>
      </c>
      <c r="I1895" s="28" t="str">
        <f>IF($C1895=""," ",[1]!i_pq_pctchange($C1895,I$6,$N$1))</f>
        <v xml:space="preserve"> </v>
      </c>
      <c r="J1895" s="28" t="str">
        <f>IF($C1895=""," ",[1]!i_pq_pctchange($C1895,J$6,$N$1))</f>
        <v xml:space="preserve"> </v>
      </c>
      <c r="K1895" s="28" t="str">
        <f>IF($C1895=""," ",[1]!i_pq_pctchange($C1895,K$6,$N$1))</f>
        <v xml:space="preserve"> </v>
      </c>
      <c r="L1895" s="28" t="str">
        <f>IF(C1895=""," ",[1]!s_wq_pctchange($C1895,$N$1))</f>
        <v xml:space="preserve"> </v>
      </c>
      <c r="M1895" s="28" t="str">
        <f>IF(C1895=""," ",[1]!s_mq_pctchange($C1895,$N$1))</f>
        <v xml:space="preserve"> </v>
      </c>
      <c r="N1895" s="28" t="str">
        <f>IF(C1895=""," ",[1]!s_yq_pctchange($C1895,$N$1))</f>
        <v xml:space="preserve"> </v>
      </c>
      <c r="O1895" s="11"/>
      <c r="P1895" s="7"/>
    </row>
    <row r="1896" spans="1:16" x14ac:dyDescent="0.35">
      <c r="A1896" s="7"/>
      <c r="C1896" s="31" t="str">
        <f>IF(指数列表!B1893="","",指数列表!B1893)</f>
        <v/>
      </c>
      <c r="D1896" s="36" t="str">
        <f>IF(C1896="","",[1]!s_info_name(C1896))</f>
        <v/>
      </c>
      <c r="E1896" s="25" t="str">
        <f>IF(C1896="","",[1]!s_dq_close(C1896,$N$1))</f>
        <v/>
      </c>
      <c r="F1896" s="28" t="str">
        <f>IF($C1896=""," ",[1]!i_pq_pctchange($C1896,F$6,$N$1))</f>
        <v xml:space="preserve"> </v>
      </c>
      <c r="G1896" s="28" t="str">
        <f>IF($C1896=""," ",[1]!i_pq_pctchange($C1896,G$6,$N$1))</f>
        <v xml:space="preserve"> </v>
      </c>
      <c r="H1896" s="28" t="str">
        <f>IF($C1896=""," ",[1]!i_pq_pctchange($C1896,H$6,$N$1))</f>
        <v xml:space="preserve"> </v>
      </c>
      <c r="I1896" s="28" t="str">
        <f>IF($C1896=""," ",[1]!i_pq_pctchange($C1896,I$6,$N$1))</f>
        <v xml:space="preserve"> </v>
      </c>
      <c r="J1896" s="28" t="str">
        <f>IF($C1896=""," ",[1]!i_pq_pctchange($C1896,J$6,$N$1))</f>
        <v xml:space="preserve"> </v>
      </c>
      <c r="K1896" s="28" t="str">
        <f>IF($C1896=""," ",[1]!i_pq_pctchange($C1896,K$6,$N$1))</f>
        <v xml:space="preserve"> </v>
      </c>
      <c r="L1896" s="28" t="str">
        <f>IF(C1896=""," ",[1]!s_wq_pctchange($C1896,$N$1))</f>
        <v xml:space="preserve"> </v>
      </c>
      <c r="M1896" s="28" t="str">
        <f>IF(C1896=""," ",[1]!s_mq_pctchange($C1896,$N$1))</f>
        <v xml:space="preserve"> </v>
      </c>
      <c r="N1896" s="28" t="str">
        <f>IF(C1896=""," ",[1]!s_yq_pctchange($C1896,$N$1))</f>
        <v xml:space="preserve"> </v>
      </c>
      <c r="O1896" s="11"/>
      <c r="P1896" s="7"/>
    </row>
    <row r="1897" spans="1:16" x14ac:dyDescent="0.35">
      <c r="A1897" s="7"/>
      <c r="C1897" s="30" t="str">
        <f>IF(指数列表!B1894="","",指数列表!B1894)</f>
        <v/>
      </c>
      <c r="D1897" s="35" t="str">
        <f>IF(C1897="","",[1]!s_info_name(C1897))</f>
        <v/>
      </c>
      <c r="E1897" s="24" t="str">
        <f>IF(C1897="","",[1]!s_dq_close(C1897,$N$1))</f>
        <v/>
      </c>
      <c r="F1897" s="28" t="str">
        <f>IF($C1897=""," ",[1]!i_pq_pctchange($C1897,F$6,$N$1))</f>
        <v xml:space="preserve"> </v>
      </c>
      <c r="G1897" s="28" t="str">
        <f>IF($C1897=""," ",[1]!i_pq_pctchange($C1897,G$6,$N$1))</f>
        <v xml:space="preserve"> </v>
      </c>
      <c r="H1897" s="28" t="str">
        <f>IF($C1897=""," ",[1]!i_pq_pctchange($C1897,H$6,$N$1))</f>
        <v xml:space="preserve"> </v>
      </c>
      <c r="I1897" s="28" t="str">
        <f>IF($C1897=""," ",[1]!i_pq_pctchange($C1897,I$6,$N$1))</f>
        <v xml:space="preserve"> </v>
      </c>
      <c r="J1897" s="28" t="str">
        <f>IF($C1897=""," ",[1]!i_pq_pctchange($C1897,J$6,$N$1))</f>
        <v xml:space="preserve"> </v>
      </c>
      <c r="K1897" s="28" t="str">
        <f>IF($C1897=""," ",[1]!i_pq_pctchange($C1897,K$6,$N$1))</f>
        <v xml:space="preserve"> </v>
      </c>
      <c r="L1897" s="28" t="str">
        <f>IF(C1897=""," ",[1]!s_wq_pctchange($C1897,$N$1))</f>
        <v xml:space="preserve"> </v>
      </c>
      <c r="M1897" s="28" t="str">
        <f>IF(C1897=""," ",[1]!s_mq_pctchange($C1897,$N$1))</f>
        <v xml:space="preserve"> </v>
      </c>
      <c r="N1897" s="28" t="str">
        <f>IF(C1897=""," ",[1]!s_yq_pctchange($C1897,$N$1))</f>
        <v xml:space="preserve"> </v>
      </c>
      <c r="O1897" s="11"/>
      <c r="P1897" s="7"/>
    </row>
    <row r="1898" spans="1:16" x14ac:dyDescent="0.35">
      <c r="A1898" s="7"/>
      <c r="C1898" s="31" t="str">
        <f>IF(指数列表!B1895="","",指数列表!B1895)</f>
        <v/>
      </c>
      <c r="D1898" s="36" t="str">
        <f>IF(C1898="","",[1]!s_info_name(C1898))</f>
        <v/>
      </c>
      <c r="E1898" s="25" t="str">
        <f>IF(C1898="","",[1]!s_dq_close(C1898,$N$1))</f>
        <v/>
      </c>
      <c r="F1898" s="28" t="str">
        <f>IF($C1898=""," ",[1]!i_pq_pctchange($C1898,F$6,$N$1))</f>
        <v xml:space="preserve"> </v>
      </c>
      <c r="G1898" s="28" t="str">
        <f>IF($C1898=""," ",[1]!i_pq_pctchange($C1898,G$6,$N$1))</f>
        <v xml:space="preserve"> </v>
      </c>
      <c r="H1898" s="28" t="str">
        <f>IF($C1898=""," ",[1]!i_pq_pctchange($C1898,H$6,$N$1))</f>
        <v xml:space="preserve"> </v>
      </c>
      <c r="I1898" s="28" t="str">
        <f>IF($C1898=""," ",[1]!i_pq_pctchange($C1898,I$6,$N$1))</f>
        <v xml:space="preserve"> </v>
      </c>
      <c r="J1898" s="28" t="str">
        <f>IF($C1898=""," ",[1]!i_pq_pctchange($C1898,J$6,$N$1))</f>
        <v xml:space="preserve"> </v>
      </c>
      <c r="K1898" s="28" t="str">
        <f>IF($C1898=""," ",[1]!i_pq_pctchange($C1898,K$6,$N$1))</f>
        <v xml:space="preserve"> </v>
      </c>
      <c r="L1898" s="28" t="str">
        <f>IF(C1898=""," ",[1]!s_wq_pctchange($C1898,$N$1))</f>
        <v xml:space="preserve"> </v>
      </c>
      <c r="M1898" s="28" t="str">
        <f>IF(C1898=""," ",[1]!s_mq_pctchange($C1898,$N$1))</f>
        <v xml:space="preserve"> </v>
      </c>
      <c r="N1898" s="28" t="str">
        <f>IF(C1898=""," ",[1]!s_yq_pctchange($C1898,$N$1))</f>
        <v xml:space="preserve"> </v>
      </c>
      <c r="O1898" s="11"/>
      <c r="P1898" s="7"/>
    </row>
    <row r="1899" spans="1:16" x14ac:dyDescent="0.35">
      <c r="A1899" s="7"/>
      <c r="C1899" s="30" t="str">
        <f>IF(指数列表!B1896="","",指数列表!B1896)</f>
        <v/>
      </c>
      <c r="D1899" s="35" t="str">
        <f>IF(C1899="","",[1]!s_info_name(C1899))</f>
        <v/>
      </c>
      <c r="E1899" s="24" t="str">
        <f>IF(C1899="","",[1]!s_dq_close(C1899,$N$1))</f>
        <v/>
      </c>
      <c r="F1899" s="28" t="str">
        <f>IF($C1899=""," ",[1]!i_pq_pctchange($C1899,F$6,$N$1))</f>
        <v xml:space="preserve"> </v>
      </c>
      <c r="G1899" s="28" t="str">
        <f>IF($C1899=""," ",[1]!i_pq_pctchange($C1899,G$6,$N$1))</f>
        <v xml:space="preserve"> </v>
      </c>
      <c r="H1899" s="28" t="str">
        <f>IF($C1899=""," ",[1]!i_pq_pctchange($C1899,H$6,$N$1))</f>
        <v xml:space="preserve"> </v>
      </c>
      <c r="I1899" s="28" t="str">
        <f>IF($C1899=""," ",[1]!i_pq_pctchange($C1899,I$6,$N$1))</f>
        <v xml:space="preserve"> </v>
      </c>
      <c r="J1899" s="28" t="str">
        <f>IF($C1899=""," ",[1]!i_pq_pctchange($C1899,J$6,$N$1))</f>
        <v xml:space="preserve"> </v>
      </c>
      <c r="K1899" s="28" t="str">
        <f>IF($C1899=""," ",[1]!i_pq_pctchange($C1899,K$6,$N$1))</f>
        <v xml:space="preserve"> </v>
      </c>
      <c r="L1899" s="28" t="str">
        <f>IF(C1899=""," ",[1]!s_wq_pctchange($C1899,$N$1))</f>
        <v xml:space="preserve"> </v>
      </c>
      <c r="M1899" s="28" t="str">
        <f>IF(C1899=""," ",[1]!s_mq_pctchange($C1899,$N$1))</f>
        <v xml:space="preserve"> </v>
      </c>
      <c r="N1899" s="28" t="str">
        <f>IF(C1899=""," ",[1]!s_yq_pctchange($C1899,$N$1))</f>
        <v xml:space="preserve"> </v>
      </c>
      <c r="O1899" s="11"/>
      <c r="P1899" s="7"/>
    </row>
    <row r="1900" spans="1:16" x14ac:dyDescent="0.35">
      <c r="A1900" s="7"/>
      <c r="C1900" s="31" t="str">
        <f>IF(指数列表!B1897="","",指数列表!B1897)</f>
        <v/>
      </c>
      <c r="D1900" s="36" t="str">
        <f>IF(C1900="","",[1]!s_info_name(C1900))</f>
        <v/>
      </c>
      <c r="E1900" s="25" t="str">
        <f>IF(C1900="","",[1]!s_dq_close(C1900,$N$1))</f>
        <v/>
      </c>
      <c r="F1900" s="28" t="str">
        <f>IF($C1900=""," ",[1]!i_pq_pctchange($C1900,F$6,$N$1))</f>
        <v xml:space="preserve"> </v>
      </c>
      <c r="G1900" s="28" t="str">
        <f>IF($C1900=""," ",[1]!i_pq_pctchange($C1900,G$6,$N$1))</f>
        <v xml:space="preserve"> </v>
      </c>
      <c r="H1900" s="28" t="str">
        <f>IF($C1900=""," ",[1]!i_pq_pctchange($C1900,H$6,$N$1))</f>
        <v xml:space="preserve"> </v>
      </c>
      <c r="I1900" s="28" t="str">
        <f>IF($C1900=""," ",[1]!i_pq_pctchange($C1900,I$6,$N$1))</f>
        <v xml:space="preserve"> </v>
      </c>
      <c r="J1900" s="28" t="str">
        <f>IF($C1900=""," ",[1]!i_pq_pctchange($C1900,J$6,$N$1))</f>
        <v xml:space="preserve"> </v>
      </c>
      <c r="K1900" s="28" t="str">
        <f>IF($C1900=""," ",[1]!i_pq_pctchange($C1900,K$6,$N$1))</f>
        <v xml:space="preserve"> </v>
      </c>
      <c r="L1900" s="28" t="str">
        <f>IF(C1900=""," ",[1]!s_wq_pctchange($C1900,$N$1))</f>
        <v xml:space="preserve"> </v>
      </c>
      <c r="M1900" s="28" t="str">
        <f>IF(C1900=""," ",[1]!s_mq_pctchange($C1900,$N$1))</f>
        <v xml:space="preserve"> </v>
      </c>
      <c r="N1900" s="28" t="str">
        <f>IF(C1900=""," ",[1]!s_yq_pctchange($C1900,$N$1))</f>
        <v xml:space="preserve"> </v>
      </c>
      <c r="O1900" s="11"/>
      <c r="P1900" s="7"/>
    </row>
    <row r="1901" spans="1:16" x14ac:dyDescent="0.35">
      <c r="A1901" s="7"/>
      <c r="C1901" s="30" t="str">
        <f>IF(指数列表!B1898="","",指数列表!B1898)</f>
        <v/>
      </c>
      <c r="D1901" s="35" t="str">
        <f>IF(C1901="","",[1]!s_info_name(C1901))</f>
        <v/>
      </c>
      <c r="E1901" s="24" t="str">
        <f>IF(C1901="","",[1]!s_dq_close(C1901,$N$1))</f>
        <v/>
      </c>
      <c r="F1901" s="28" t="str">
        <f>IF($C1901=""," ",[1]!i_pq_pctchange($C1901,F$6,$N$1))</f>
        <v xml:space="preserve"> </v>
      </c>
      <c r="G1901" s="28" t="str">
        <f>IF($C1901=""," ",[1]!i_pq_pctchange($C1901,G$6,$N$1))</f>
        <v xml:space="preserve"> </v>
      </c>
      <c r="H1901" s="28" t="str">
        <f>IF($C1901=""," ",[1]!i_pq_pctchange($C1901,H$6,$N$1))</f>
        <v xml:space="preserve"> </v>
      </c>
      <c r="I1901" s="28" t="str">
        <f>IF($C1901=""," ",[1]!i_pq_pctchange($C1901,I$6,$N$1))</f>
        <v xml:space="preserve"> </v>
      </c>
      <c r="J1901" s="28" t="str">
        <f>IF($C1901=""," ",[1]!i_pq_pctchange($C1901,J$6,$N$1))</f>
        <v xml:space="preserve"> </v>
      </c>
      <c r="K1901" s="28" t="str">
        <f>IF($C1901=""," ",[1]!i_pq_pctchange($C1901,K$6,$N$1))</f>
        <v xml:space="preserve"> </v>
      </c>
      <c r="L1901" s="28" t="str">
        <f>IF(C1901=""," ",[1]!s_wq_pctchange($C1901,$N$1))</f>
        <v xml:space="preserve"> </v>
      </c>
      <c r="M1901" s="28" t="str">
        <f>IF(C1901=""," ",[1]!s_mq_pctchange($C1901,$N$1))</f>
        <v xml:space="preserve"> </v>
      </c>
      <c r="N1901" s="28" t="str">
        <f>IF(C1901=""," ",[1]!s_yq_pctchange($C1901,$N$1))</f>
        <v xml:space="preserve"> </v>
      </c>
      <c r="O1901" s="11"/>
      <c r="P1901" s="7"/>
    </row>
    <row r="1902" spans="1:16" x14ac:dyDescent="0.35">
      <c r="A1902" s="7"/>
      <c r="C1902" s="31" t="str">
        <f>IF(指数列表!B1899="","",指数列表!B1899)</f>
        <v/>
      </c>
      <c r="D1902" s="36" t="str">
        <f>IF(C1902="","",[1]!s_info_name(C1902))</f>
        <v/>
      </c>
      <c r="E1902" s="25" t="str">
        <f>IF(C1902="","",[1]!s_dq_close(C1902,$N$1))</f>
        <v/>
      </c>
      <c r="F1902" s="28" t="str">
        <f>IF($C1902=""," ",[1]!i_pq_pctchange($C1902,F$6,$N$1))</f>
        <v xml:space="preserve"> </v>
      </c>
      <c r="G1902" s="28" t="str">
        <f>IF($C1902=""," ",[1]!i_pq_pctchange($C1902,G$6,$N$1))</f>
        <v xml:space="preserve"> </v>
      </c>
      <c r="H1902" s="28" t="str">
        <f>IF($C1902=""," ",[1]!i_pq_pctchange($C1902,H$6,$N$1))</f>
        <v xml:space="preserve"> </v>
      </c>
      <c r="I1902" s="28" t="str">
        <f>IF($C1902=""," ",[1]!i_pq_pctchange($C1902,I$6,$N$1))</f>
        <v xml:space="preserve"> </v>
      </c>
      <c r="J1902" s="28" t="str">
        <f>IF($C1902=""," ",[1]!i_pq_pctchange($C1902,J$6,$N$1))</f>
        <v xml:space="preserve"> </v>
      </c>
      <c r="K1902" s="28" t="str">
        <f>IF($C1902=""," ",[1]!i_pq_pctchange($C1902,K$6,$N$1))</f>
        <v xml:space="preserve"> </v>
      </c>
      <c r="L1902" s="28" t="str">
        <f>IF(C1902=""," ",[1]!s_wq_pctchange($C1902,$N$1))</f>
        <v xml:space="preserve"> </v>
      </c>
      <c r="M1902" s="28" t="str">
        <f>IF(C1902=""," ",[1]!s_mq_pctchange($C1902,$N$1))</f>
        <v xml:space="preserve"> </v>
      </c>
      <c r="N1902" s="28" t="str">
        <f>IF(C1902=""," ",[1]!s_yq_pctchange($C1902,$N$1))</f>
        <v xml:space="preserve"> </v>
      </c>
      <c r="O1902" s="11"/>
      <c r="P1902" s="7"/>
    </row>
    <row r="1903" spans="1:16" x14ac:dyDescent="0.35">
      <c r="A1903" s="7"/>
      <c r="C1903" s="30" t="str">
        <f>IF(指数列表!B1900="","",指数列表!B1900)</f>
        <v/>
      </c>
      <c r="D1903" s="35" t="str">
        <f>IF(C1903="","",[1]!s_info_name(C1903))</f>
        <v/>
      </c>
      <c r="E1903" s="24" t="str">
        <f>IF(C1903="","",[1]!s_dq_close(C1903,$N$1))</f>
        <v/>
      </c>
      <c r="F1903" s="28" t="str">
        <f>IF($C1903=""," ",[1]!i_pq_pctchange($C1903,F$6,$N$1))</f>
        <v xml:space="preserve"> </v>
      </c>
      <c r="G1903" s="28" t="str">
        <f>IF($C1903=""," ",[1]!i_pq_pctchange($C1903,G$6,$N$1))</f>
        <v xml:space="preserve"> </v>
      </c>
      <c r="H1903" s="28" t="str">
        <f>IF($C1903=""," ",[1]!i_pq_pctchange($C1903,H$6,$N$1))</f>
        <v xml:space="preserve"> </v>
      </c>
      <c r="I1903" s="28" t="str">
        <f>IF($C1903=""," ",[1]!i_pq_pctchange($C1903,I$6,$N$1))</f>
        <v xml:space="preserve"> </v>
      </c>
      <c r="J1903" s="28" t="str">
        <f>IF($C1903=""," ",[1]!i_pq_pctchange($C1903,J$6,$N$1))</f>
        <v xml:space="preserve"> </v>
      </c>
      <c r="K1903" s="28" t="str">
        <f>IF($C1903=""," ",[1]!i_pq_pctchange($C1903,K$6,$N$1))</f>
        <v xml:space="preserve"> </v>
      </c>
      <c r="L1903" s="28" t="str">
        <f>IF(C1903=""," ",[1]!s_wq_pctchange($C1903,$N$1))</f>
        <v xml:space="preserve"> </v>
      </c>
      <c r="M1903" s="28" t="str">
        <f>IF(C1903=""," ",[1]!s_mq_pctchange($C1903,$N$1))</f>
        <v xml:space="preserve"> </v>
      </c>
      <c r="N1903" s="28" t="str">
        <f>IF(C1903=""," ",[1]!s_yq_pctchange($C1903,$N$1))</f>
        <v xml:space="preserve"> </v>
      </c>
      <c r="O1903" s="11"/>
      <c r="P1903" s="7"/>
    </row>
    <row r="1904" spans="1:16" x14ac:dyDescent="0.35">
      <c r="A1904" s="7"/>
      <c r="C1904" s="31" t="str">
        <f>IF(指数列表!B1901="","",指数列表!B1901)</f>
        <v/>
      </c>
      <c r="D1904" s="36" t="str">
        <f>IF(C1904="","",[1]!s_info_name(C1904))</f>
        <v/>
      </c>
      <c r="E1904" s="25" t="str">
        <f>IF(C1904="","",[1]!s_dq_close(C1904,$N$1))</f>
        <v/>
      </c>
      <c r="F1904" s="28" t="str">
        <f>IF($C1904=""," ",[1]!i_pq_pctchange($C1904,F$6,$N$1))</f>
        <v xml:space="preserve"> </v>
      </c>
      <c r="G1904" s="28" t="str">
        <f>IF($C1904=""," ",[1]!i_pq_pctchange($C1904,G$6,$N$1))</f>
        <v xml:space="preserve"> </v>
      </c>
      <c r="H1904" s="28" t="str">
        <f>IF($C1904=""," ",[1]!i_pq_pctchange($C1904,H$6,$N$1))</f>
        <v xml:space="preserve"> </v>
      </c>
      <c r="I1904" s="28" t="str">
        <f>IF($C1904=""," ",[1]!i_pq_pctchange($C1904,I$6,$N$1))</f>
        <v xml:space="preserve"> </v>
      </c>
      <c r="J1904" s="28" t="str">
        <f>IF($C1904=""," ",[1]!i_pq_pctchange($C1904,J$6,$N$1))</f>
        <v xml:space="preserve"> </v>
      </c>
      <c r="K1904" s="28" t="str">
        <f>IF($C1904=""," ",[1]!i_pq_pctchange($C1904,K$6,$N$1))</f>
        <v xml:space="preserve"> </v>
      </c>
      <c r="L1904" s="28" t="str">
        <f>IF(C1904=""," ",[1]!s_wq_pctchange($C1904,$N$1))</f>
        <v xml:space="preserve"> </v>
      </c>
      <c r="M1904" s="28" t="str">
        <f>IF(C1904=""," ",[1]!s_mq_pctchange($C1904,$N$1))</f>
        <v xml:space="preserve"> </v>
      </c>
      <c r="N1904" s="28" t="str">
        <f>IF(C1904=""," ",[1]!s_yq_pctchange($C1904,$N$1))</f>
        <v xml:space="preserve"> </v>
      </c>
      <c r="O1904" s="11"/>
      <c r="P1904" s="7"/>
    </row>
    <row r="1905" spans="1:16" x14ac:dyDescent="0.35">
      <c r="A1905" s="7"/>
      <c r="C1905" s="30" t="str">
        <f>IF(指数列表!B1902="","",指数列表!B1902)</f>
        <v/>
      </c>
      <c r="D1905" s="35" t="str">
        <f>IF(C1905="","",[1]!s_info_name(C1905))</f>
        <v/>
      </c>
      <c r="E1905" s="24" t="str">
        <f>IF(C1905="","",[1]!s_dq_close(C1905,$N$1))</f>
        <v/>
      </c>
      <c r="F1905" s="28" t="str">
        <f>IF($C1905=""," ",[1]!i_pq_pctchange($C1905,F$6,$N$1))</f>
        <v xml:space="preserve"> </v>
      </c>
      <c r="G1905" s="28" t="str">
        <f>IF($C1905=""," ",[1]!i_pq_pctchange($C1905,G$6,$N$1))</f>
        <v xml:space="preserve"> </v>
      </c>
      <c r="H1905" s="28" t="str">
        <f>IF($C1905=""," ",[1]!i_pq_pctchange($C1905,H$6,$N$1))</f>
        <v xml:space="preserve"> </v>
      </c>
      <c r="I1905" s="28" t="str">
        <f>IF($C1905=""," ",[1]!i_pq_pctchange($C1905,I$6,$N$1))</f>
        <v xml:space="preserve"> </v>
      </c>
      <c r="J1905" s="28" t="str">
        <f>IF($C1905=""," ",[1]!i_pq_pctchange($C1905,J$6,$N$1))</f>
        <v xml:space="preserve"> </v>
      </c>
      <c r="K1905" s="28" t="str">
        <f>IF($C1905=""," ",[1]!i_pq_pctchange($C1905,K$6,$N$1))</f>
        <v xml:space="preserve"> </v>
      </c>
      <c r="L1905" s="28" t="str">
        <f>IF(C1905=""," ",[1]!s_wq_pctchange($C1905,$N$1))</f>
        <v xml:space="preserve"> </v>
      </c>
      <c r="M1905" s="28" t="str">
        <f>IF(C1905=""," ",[1]!s_mq_pctchange($C1905,$N$1))</f>
        <v xml:space="preserve"> </v>
      </c>
      <c r="N1905" s="28" t="str">
        <f>IF(C1905=""," ",[1]!s_yq_pctchange($C1905,$N$1))</f>
        <v xml:space="preserve"> </v>
      </c>
      <c r="O1905" s="11"/>
      <c r="P1905" s="7"/>
    </row>
    <row r="1906" spans="1:16" x14ac:dyDescent="0.35">
      <c r="A1906" s="7"/>
      <c r="C1906" s="31" t="str">
        <f>IF(指数列表!B1903="","",指数列表!B1903)</f>
        <v/>
      </c>
      <c r="D1906" s="36" t="str">
        <f>IF(C1906="","",[1]!s_info_name(C1906))</f>
        <v/>
      </c>
      <c r="E1906" s="25" t="str">
        <f>IF(C1906="","",[1]!s_dq_close(C1906,$N$1))</f>
        <v/>
      </c>
      <c r="F1906" s="28" t="str">
        <f>IF($C1906=""," ",[1]!i_pq_pctchange($C1906,F$6,$N$1))</f>
        <v xml:space="preserve"> </v>
      </c>
      <c r="G1906" s="28" t="str">
        <f>IF($C1906=""," ",[1]!i_pq_pctchange($C1906,G$6,$N$1))</f>
        <v xml:space="preserve"> </v>
      </c>
      <c r="H1906" s="28" t="str">
        <f>IF($C1906=""," ",[1]!i_pq_pctchange($C1906,H$6,$N$1))</f>
        <v xml:space="preserve"> </v>
      </c>
      <c r="I1906" s="28" t="str">
        <f>IF($C1906=""," ",[1]!i_pq_pctchange($C1906,I$6,$N$1))</f>
        <v xml:space="preserve"> </v>
      </c>
      <c r="J1906" s="28" t="str">
        <f>IF($C1906=""," ",[1]!i_pq_pctchange($C1906,J$6,$N$1))</f>
        <v xml:space="preserve"> </v>
      </c>
      <c r="K1906" s="28" t="str">
        <f>IF($C1906=""," ",[1]!i_pq_pctchange($C1906,K$6,$N$1))</f>
        <v xml:space="preserve"> </v>
      </c>
      <c r="L1906" s="28" t="str">
        <f>IF(C1906=""," ",[1]!s_wq_pctchange($C1906,$N$1))</f>
        <v xml:space="preserve"> </v>
      </c>
      <c r="M1906" s="28" t="str">
        <f>IF(C1906=""," ",[1]!s_mq_pctchange($C1906,$N$1))</f>
        <v xml:space="preserve"> </v>
      </c>
      <c r="N1906" s="28" t="str">
        <f>IF(C1906=""," ",[1]!s_yq_pctchange($C1906,$N$1))</f>
        <v xml:space="preserve"> </v>
      </c>
      <c r="O1906" s="11"/>
      <c r="P1906" s="7"/>
    </row>
    <row r="1907" spans="1:16" x14ac:dyDescent="0.35">
      <c r="A1907" s="7"/>
      <c r="C1907" s="30" t="str">
        <f>IF(指数列表!B1904="","",指数列表!B1904)</f>
        <v/>
      </c>
      <c r="D1907" s="35" t="str">
        <f>IF(C1907="","",[1]!s_info_name(C1907))</f>
        <v/>
      </c>
      <c r="E1907" s="24" t="str">
        <f>IF(C1907="","",[1]!s_dq_close(C1907,$N$1))</f>
        <v/>
      </c>
      <c r="F1907" s="28" t="str">
        <f>IF($C1907=""," ",[1]!i_pq_pctchange($C1907,F$6,$N$1))</f>
        <v xml:space="preserve"> </v>
      </c>
      <c r="G1907" s="28" t="str">
        <f>IF($C1907=""," ",[1]!i_pq_pctchange($C1907,G$6,$N$1))</f>
        <v xml:space="preserve"> </v>
      </c>
      <c r="H1907" s="28" t="str">
        <f>IF($C1907=""," ",[1]!i_pq_pctchange($C1907,H$6,$N$1))</f>
        <v xml:space="preserve"> </v>
      </c>
      <c r="I1907" s="28" t="str">
        <f>IF($C1907=""," ",[1]!i_pq_pctchange($C1907,I$6,$N$1))</f>
        <v xml:space="preserve"> </v>
      </c>
      <c r="J1907" s="28" t="str">
        <f>IF($C1907=""," ",[1]!i_pq_pctchange($C1907,J$6,$N$1))</f>
        <v xml:space="preserve"> </v>
      </c>
      <c r="K1907" s="28" t="str">
        <f>IF($C1907=""," ",[1]!i_pq_pctchange($C1907,K$6,$N$1))</f>
        <v xml:space="preserve"> </v>
      </c>
      <c r="L1907" s="28" t="str">
        <f>IF(C1907=""," ",[1]!s_wq_pctchange($C1907,$N$1))</f>
        <v xml:space="preserve"> </v>
      </c>
      <c r="M1907" s="28" t="str">
        <f>IF(C1907=""," ",[1]!s_mq_pctchange($C1907,$N$1))</f>
        <v xml:space="preserve"> </v>
      </c>
      <c r="N1907" s="28" t="str">
        <f>IF(C1907=""," ",[1]!s_yq_pctchange($C1907,$N$1))</f>
        <v xml:space="preserve"> </v>
      </c>
      <c r="O1907" s="11"/>
      <c r="P1907" s="7"/>
    </row>
    <row r="1908" spans="1:16" x14ac:dyDescent="0.35">
      <c r="A1908" s="7"/>
      <c r="C1908" s="31" t="str">
        <f>IF(指数列表!B1905="","",指数列表!B1905)</f>
        <v/>
      </c>
      <c r="D1908" s="36" t="str">
        <f>IF(C1908="","",[1]!s_info_name(C1908))</f>
        <v/>
      </c>
      <c r="E1908" s="25" t="str">
        <f>IF(C1908="","",[1]!s_dq_close(C1908,$N$1))</f>
        <v/>
      </c>
      <c r="F1908" s="28" t="str">
        <f>IF($C1908=""," ",[1]!i_pq_pctchange($C1908,F$6,$N$1))</f>
        <v xml:space="preserve"> </v>
      </c>
      <c r="G1908" s="28" t="str">
        <f>IF($C1908=""," ",[1]!i_pq_pctchange($C1908,G$6,$N$1))</f>
        <v xml:space="preserve"> </v>
      </c>
      <c r="H1908" s="28" t="str">
        <f>IF($C1908=""," ",[1]!i_pq_pctchange($C1908,H$6,$N$1))</f>
        <v xml:space="preserve"> </v>
      </c>
      <c r="I1908" s="28" t="str">
        <f>IF($C1908=""," ",[1]!i_pq_pctchange($C1908,I$6,$N$1))</f>
        <v xml:space="preserve"> </v>
      </c>
      <c r="J1908" s="28" t="str">
        <f>IF($C1908=""," ",[1]!i_pq_pctchange($C1908,J$6,$N$1))</f>
        <v xml:space="preserve"> </v>
      </c>
      <c r="K1908" s="28" t="str">
        <f>IF($C1908=""," ",[1]!i_pq_pctchange($C1908,K$6,$N$1))</f>
        <v xml:space="preserve"> </v>
      </c>
      <c r="L1908" s="28" t="str">
        <f>IF(C1908=""," ",[1]!s_wq_pctchange($C1908,$N$1))</f>
        <v xml:space="preserve"> </v>
      </c>
      <c r="M1908" s="28" t="str">
        <f>IF(C1908=""," ",[1]!s_mq_pctchange($C1908,$N$1))</f>
        <v xml:space="preserve"> </v>
      </c>
      <c r="N1908" s="28" t="str">
        <f>IF(C1908=""," ",[1]!s_yq_pctchange($C1908,$N$1))</f>
        <v xml:space="preserve"> </v>
      </c>
      <c r="O1908" s="11"/>
      <c r="P1908" s="7"/>
    </row>
    <row r="1909" spans="1:16" x14ac:dyDescent="0.35">
      <c r="A1909" s="7"/>
      <c r="C1909" s="30" t="str">
        <f>IF(指数列表!B1906="","",指数列表!B1906)</f>
        <v/>
      </c>
      <c r="D1909" s="35" t="str">
        <f>IF(C1909="","",[1]!s_info_name(C1909))</f>
        <v/>
      </c>
      <c r="E1909" s="24" t="str">
        <f>IF(C1909="","",[1]!s_dq_close(C1909,$N$1))</f>
        <v/>
      </c>
      <c r="F1909" s="28" t="str">
        <f>IF($C1909=""," ",[1]!i_pq_pctchange($C1909,F$6,$N$1))</f>
        <v xml:space="preserve"> </v>
      </c>
      <c r="G1909" s="28" t="str">
        <f>IF($C1909=""," ",[1]!i_pq_pctchange($C1909,G$6,$N$1))</f>
        <v xml:space="preserve"> </v>
      </c>
      <c r="H1909" s="28" t="str">
        <f>IF($C1909=""," ",[1]!i_pq_pctchange($C1909,H$6,$N$1))</f>
        <v xml:space="preserve"> </v>
      </c>
      <c r="I1909" s="28" t="str">
        <f>IF($C1909=""," ",[1]!i_pq_pctchange($C1909,I$6,$N$1))</f>
        <v xml:space="preserve"> </v>
      </c>
      <c r="J1909" s="28" t="str">
        <f>IF($C1909=""," ",[1]!i_pq_pctchange($C1909,J$6,$N$1))</f>
        <v xml:space="preserve"> </v>
      </c>
      <c r="K1909" s="28" t="str">
        <f>IF($C1909=""," ",[1]!i_pq_pctchange($C1909,K$6,$N$1))</f>
        <v xml:space="preserve"> </v>
      </c>
      <c r="L1909" s="28" t="str">
        <f>IF(C1909=""," ",[1]!s_wq_pctchange($C1909,$N$1))</f>
        <v xml:space="preserve"> </v>
      </c>
      <c r="M1909" s="28" t="str">
        <f>IF(C1909=""," ",[1]!s_mq_pctchange($C1909,$N$1))</f>
        <v xml:space="preserve"> </v>
      </c>
      <c r="N1909" s="28" t="str">
        <f>IF(C1909=""," ",[1]!s_yq_pctchange($C1909,$N$1))</f>
        <v xml:space="preserve"> </v>
      </c>
      <c r="O1909" s="11"/>
      <c r="P1909" s="7"/>
    </row>
    <row r="1910" spans="1:16" x14ac:dyDescent="0.35">
      <c r="A1910" s="7"/>
      <c r="C1910" s="31" t="str">
        <f>IF(指数列表!B1907="","",指数列表!B1907)</f>
        <v/>
      </c>
      <c r="D1910" s="36" t="str">
        <f>IF(C1910="","",[1]!s_info_name(C1910))</f>
        <v/>
      </c>
      <c r="E1910" s="25" t="str">
        <f>IF(C1910="","",[1]!s_dq_close(C1910,$N$1))</f>
        <v/>
      </c>
      <c r="F1910" s="28" t="str">
        <f>IF($C1910=""," ",[1]!i_pq_pctchange($C1910,F$6,$N$1))</f>
        <v xml:space="preserve"> </v>
      </c>
      <c r="G1910" s="28" t="str">
        <f>IF($C1910=""," ",[1]!i_pq_pctchange($C1910,G$6,$N$1))</f>
        <v xml:space="preserve"> </v>
      </c>
      <c r="H1910" s="28" t="str">
        <f>IF($C1910=""," ",[1]!i_pq_pctchange($C1910,H$6,$N$1))</f>
        <v xml:space="preserve"> </v>
      </c>
      <c r="I1910" s="28" t="str">
        <f>IF($C1910=""," ",[1]!i_pq_pctchange($C1910,I$6,$N$1))</f>
        <v xml:space="preserve"> </v>
      </c>
      <c r="J1910" s="28" t="str">
        <f>IF($C1910=""," ",[1]!i_pq_pctchange($C1910,J$6,$N$1))</f>
        <v xml:space="preserve"> </v>
      </c>
      <c r="K1910" s="28" t="str">
        <f>IF($C1910=""," ",[1]!i_pq_pctchange($C1910,K$6,$N$1))</f>
        <v xml:space="preserve"> </v>
      </c>
      <c r="L1910" s="28" t="str">
        <f>IF(C1910=""," ",[1]!s_wq_pctchange($C1910,$N$1))</f>
        <v xml:space="preserve"> </v>
      </c>
      <c r="M1910" s="28" t="str">
        <f>IF(C1910=""," ",[1]!s_mq_pctchange($C1910,$N$1))</f>
        <v xml:space="preserve"> </v>
      </c>
      <c r="N1910" s="28" t="str">
        <f>IF(C1910=""," ",[1]!s_yq_pctchange($C1910,$N$1))</f>
        <v xml:space="preserve"> </v>
      </c>
      <c r="O1910" s="11"/>
      <c r="P1910" s="7"/>
    </row>
    <row r="1911" spans="1:16" x14ac:dyDescent="0.35">
      <c r="A1911" s="7"/>
      <c r="C1911" s="30" t="str">
        <f>IF(指数列表!B1908="","",指数列表!B1908)</f>
        <v/>
      </c>
      <c r="D1911" s="35" t="str">
        <f>IF(C1911="","",[1]!s_info_name(C1911))</f>
        <v/>
      </c>
      <c r="E1911" s="24" t="str">
        <f>IF(C1911="","",[1]!s_dq_close(C1911,$N$1))</f>
        <v/>
      </c>
      <c r="F1911" s="28" t="str">
        <f>IF($C1911=""," ",[1]!i_pq_pctchange($C1911,F$6,$N$1))</f>
        <v xml:space="preserve"> </v>
      </c>
      <c r="G1911" s="28" t="str">
        <f>IF($C1911=""," ",[1]!i_pq_pctchange($C1911,G$6,$N$1))</f>
        <v xml:space="preserve"> </v>
      </c>
      <c r="H1911" s="28" t="str">
        <f>IF($C1911=""," ",[1]!i_pq_pctchange($C1911,H$6,$N$1))</f>
        <v xml:space="preserve"> </v>
      </c>
      <c r="I1911" s="28" t="str">
        <f>IF($C1911=""," ",[1]!i_pq_pctchange($C1911,I$6,$N$1))</f>
        <v xml:space="preserve"> </v>
      </c>
      <c r="J1911" s="28" t="str">
        <f>IF($C1911=""," ",[1]!i_pq_pctchange($C1911,J$6,$N$1))</f>
        <v xml:space="preserve"> </v>
      </c>
      <c r="K1911" s="28" t="str">
        <f>IF($C1911=""," ",[1]!i_pq_pctchange($C1911,K$6,$N$1))</f>
        <v xml:space="preserve"> </v>
      </c>
      <c r="L1911" s="28" t="str">
        <f>IF(C1911=""," ",[1]!s_wq_pctchange($C1911,$N$1))</f>
        <v xml:space="preserve"> </v>
      </c>
      <c r="M1911" s="28" t="str">
        <f>IF(C1911=""," ",[1]!s_mq_pctchange($C1911,$N$1))</f>
        <v xml:space="preserve"> </v>
      </c>
      <c r="N1911" s="28" t="str">
        <f>IF(C1911=""," ",[1]!s_yq_pctchange($C1911,$N$1))</f>
        <v xml:space="preserve"> </v>
      </c>
      <c r="O1911" s="11"/>
      <c r="P1911" s="7"/>
    </row>
    <row r="1912" spans="1:16" x14ac:dyDescent="0.35">
      <c r="A1912" s="7"/>
      <c r="C1912" s="31" t="str">
        <f>IF(指数列表!B1909="","",指数列表!B1909)</f>
        <v/>
      </c>
      <c r="D1912" s="36" t="str">
        <f>IF(C1912="","",[1]!s_info_name(C1912))</f>
        <v/>
      </c>
      <c r="E1912" s="25" t="str">
        <f>IF(C1912="","",[1]!s_dq_close(C1912,$N$1))</f>
        <v/>
      </c>
      <c r="F1912" s="28" t="str">
        <f>IF($C1912=""," ",[1]!i_pq_pctchange($C1912,F$6,$N$1))</f>
        <v xml:space="preserve"> </v>
      </c>
      <c r="G1912" s="28" t="str">
        <f>IF($C1912=""," ",[1]!i_pq_pctchange($C1912,G$6,$N$1))</f>
        <v xml:space="preserve"> </v>
      </c>
      <c r="H1912" s="28" t="str">
        <f>IF($C1912=""," ",[1]!i_pq_pctchange($C1912,H$6,$N$1))</f>
        <v xml:space="preserve"> </v>
      </c>
      <c r="I1912" s="28" t="str">
        <f>IF($C1912=""," ",[1]!i_pq_pctchange($C1912,I$6,$N$1))</f>
        <v xml:space="preserve"> </v>
      </c>
      <c r="J1912" s="28" t="str">
        <f>IF($C1912=""," ",[1]!i_pq_pctchange($C1912,J$6,$N$1))</f>
        <v xml:space="preserve"> </v>
      </c>
      <c r="K1912" s="28" t="str">
        <f>IF($C1912=""," ",[1]!i_pq_pctchange($C1912,K$6,$N$1))</f>
        <v xml:space="preserve"> </v>
      </c>
      <c r="L1912" s="28" t="str">
        <f>IF(C1912=""," ",[1]!s_wq_pctchange($C1912,$N$1))</f>
        <v xml:space="preserve"> </v>
      </c>
      <c r="M1912" s="28" t="str">
        <f>IF(C1912=""," ",[1]!s_mq_pctchange($C1912,$N$1))</f>
        <v xml:space="preserve"> </v>
      </c>
      <c r="N1912" s="28" t="str">
        <f>IF(C1912=""," ",[1]!s_yq_pctchange($C1912,$N$1))</f>
        <v xml:space="preserve"> </v>
      </c>
      <c r="O1912" s="11"/>
      <c r="P1912" s="7"/>
    </row>
    <row r="1913" spans="1:16" x14ac:dyDescent="0.35">
      <c r="A1913" s="7"/>
      <c r="C1913" s="30" t="str">
        <f>IF(指数列表!B1910="","",指数列表!B1910)</f>
        <v/>
      </c>
      <c r="D1913" s="35" t="str">
        <f>IF(C1913="","",[1]!s_info_name(C1913))</f>
        <v/>
      </c>
      <c r="E1913" s="24" t="str">
        <f>IF(C1913="","",[1]!s_dq_close(C1913,$N$1))</f>
        <v/>
      </c>
      <c r="F1913" s="28" t="str">
        <f>IF($C1913=""," ",[1]!i_pq_pctchange($C1913,F$6,$N$1))</f>
        <v xml:space="preserve"> </v>
      </c>
      <c r="G1913" s="28" t="str">
        <f>IF($C1913=""," ",[1]!i_pq_pctchange($C1913,G$6,$N$1))</f>
        <v xml:space="preserve"> </v>
      </c>
      <c r="H1913" s="28" t="str">
        <f>IF($C1913=""," ",[1]!i_pq_pctchange($C1913,H$6,$N$1))</f>
        <v xml:space="preserve"> </v>
      </c>
      <c r="I1913" s="28" t="str">
        <f>IF($C1913=""," ",[1]!i_pq_pctchange($C1913,I$6,$N$1))</f>
        <v xml:space="preserve"> </v>
      </c>
      <c r="J1913" s="28" t="str">
        <f>IF($C1913=""," ",[1]!i_pq_pctchange($C1913,J$6,$N$1))</f>
        <v xml:space="preserve"> </v>
      </c>
      <c r="K1913" s="28" t="str">
        <f>IF($C1913=""," ",[1]!i_pq_pctchange($C1913,K$6,$N$1))</f>
        <v xml:space="preserve"> </v>
      </c>
      <c r="L1913" s="28" t="str">
        <f>IF(C1913=""," ",[1]!s_wq_pctchange($C1913,$N$1))</f>
        <v xml:space="preserve"> </v>
      </c>
      <c r="M1913" s="28" t="str">
        <f>IF(C1913=""," ",[1]!s_mq_pctchange($C1913,$N$1))</f>
        <v xml:space="preserve"> </v>
      </c>
      <c r="N1913" s="28" t="str">
        <f>IF(C1913=""," ",[1]!s_yq_pctchange($C1913,$N$1))</f>
        <v xml:space="preserve"> </v>
      </c>
      <c r="O1913" s="11"/>
      <c r="P1913" s="7"/>
    </row>
    <row r="1914" spans="1:16" x14ac:dyDescent="0.35">
      <c r="A1914" s="7"/>
      <c r="C1914" s="31" t="str">
        <f>IF(指数列表!B1911="","",指数列表!B1911)</f>
        <v/>
      </c>
      <c r="D1914" s="36" t="str">
        <f>IF(C1914="","",[1]!s_info_name(C1914))</f>
        <v/>
      </c>
      <c r="E1914" s="25" t="str">
        <f>IF(C1914="","",[1]!s_dq_close(C1914,$N$1))</f>
        <v/>
      </c>
      <c r="F1914" s="28" t="str">
        <f>IF($C1914=""," ",[1]!i_pq_pctchange($C1914,F$6,$N$1))</f>
        <v xml:space="preserve"> </v>
      </c>
      <c r="G1914" s="28" t="str">
        <f>IF($C1914=""," ",[1]!i_pq_pctchange($C1914,G$6,$N$1))</f>
        <v xml:space="preserve"> </v>
      </c>
      <c r="H1914" s="28" t="str">
        <f>IF($C1914=""," ",[1]!i_pq_pctchange($C1914,H$6,$N$1))</f>
        <v xml:space="preserve"> </v>
      </c>
      <c r="I1914" s="28" t="str">
        <f>IF($C1914=""," ",[1]!i_pq_pctchange($C1914,I$6,$N$1))</f>
        <v xml:space="preserve"> </v>
      </c>
      <c r="J1914" s="28" t="str">
        <f>IF($C1914=""," ",[1]!i_pq_pctchange($C1914,J$6,$N$1))</f>
        <v xml:space="preserve"> </v>
      </c>
      <c r="K1914" s="28" t="str">
        <f>IF($C1914=""," ",[1]!i_pq_pctchange($C1914,K$6,$N$1))</f>
        <v xml:space="preserve"> </v>
      </c>
      <c r="L1914" s="28" t="str">
        <f>IF(C1914=""," ",[1]!s_wq_pctchange($C1914,$N$1))</f>
        <v xml:space="preserve"> </v>
      </c>
      <c r="M1914" s="28" t="str">
        <f>IF(C1914=""," ",[1]!s_mq_pctchange($C1914,$N$1))</f>
        <v xml:space="preserve"> </v>
      </c>
      <c r="N1914" s="28" t="str">
        <f>IF(C1914=""," ",[1]!s_yq_pctchange($C1914,$N$1))</f>
        <v xml:space="preserve"> </v>
      </c>
      <c r="O1914" s="11"/>
      <c r="P1914" s="7"/>
    </row>
    <row r="1915" spans="1:16" x14ac:dyDescent="0.35">
      <c r="A1915" s="7"/>
      <c r="C1915" s="30" t="str">
        <f>IF(指数列表!B1912="","",指数列表!B1912)</f>
        <v/>
      </c>
      <c r="D1915" s="35" t="str">
        <f>IF(C1915="","",[1]!s_info_name(C1915))</f>
        <v/>
      </c>
      <c r="E1915" s="24" t="str">
        <f>IF(C1915="","",[1]!s_dq_close(C1915,$N$1))</f>
        <v/>
      </c>
      <c r="F1915" s="28" t="str">
        <f>IF($C1915=""," ",[1]!i_pq_pctchange($C1915,F$6,$N$1))</f>
        <v xml:space="preserve"> </v>
      </c>
      <c r="G1915" s="28" t="str">
        <f>IF($C1915=""," ",[1]!i_pq_pctchange($C1915,G$6,$N$1))</f>
        <v xml:space="preserve"> </v>
      </c>
      <c r="H1915" s="28" t="str">
        <f>IF($C1915=""," ",[1]!i_pq_pctchange($C1915,H$6,$N$1))</f>
        <v xml:space="preserve"> </v>
      </c>
      <c r="I1915" s="28" t="str">
        <f>IF($C1915=""," ",[1]!i_pq_pctchange($C1915,I$6,$N$1))</f>
        <v xml:space="preserve"> </v>
      </c>
      <c r="J1915" s="28" t="str">
        <f>IF($C1915=""," ",[1]!i_pq_pctchange($C1915,J$6,$N$1))</f>
        <v xml:space="preserve"> </v>
      </c>
      <c r="K1915" s="28" t="str">
        <f>IF($C1915=""," ",[1]!i_pq_pctchange($C1915,K$6,$N$1))</f>
        <v xml:space="preserve"> </v>
      </c>
      <c r="L1915" s="28" t="str">
        <f>IF(C1915=""," ",[1]!s_wq_pctchange($C1915,$N$1))</f>
        <v xml:space="preserve"> </v>
      </c>
      <c r="M1915" s="28" t="str">
        <f>IF(C1915=""," ",[1]!s_mq_pctchange($C1915,$N$1))</f>
        <v xml:space="preserve"> </v>
      </c>
      <c r="N1915" s="28" t="str">
        <f>IF(C1915=""," ",[1]!s_yq_pctchange($C1915,$N$1))</f>
        <v xml:space="preserve"> </v>
      </c>
      <c r="O1915" s="11"/>
      <c r="P1915" s="7"/>
    </row>
    <row r="1916" spans="1:16" x14ac:dyDescent="0.35">
      <c r="A1916" s="7"/>
      <c r="C1916" s="31" t="str">
        <f>IF(指数列表!B1913="","",指数列表!B1913)</f>
        <v/>
      </c>
      <c r="D1916" s="36" t="str">
        <f>IF(C1916="","",[1]!s_info_name(C1916))</f>
        <v/>
      </c>
      <c r="E1916" s="25" t="str">
        <f>IF(C1916="","",[1]!s_dq_close(C1916,$N$1))</f>
        <v/>
      </c>
      <c r="F1916" s="28" t="str">
        <f>IF($C1916=""," ",[1]!i_pq_pctchange($C1916,F$6,$N$1))</f>
        <v xml:space="preserve"> </v>
      </c>
      <c r="G1916" s="28" t="str">
        <f>IF($C1916=""," ",[1]!i_pq_pctchange($C1916,G$6,$N$1))</f>
        <v xml:space="preserve"> </v>
      </c>
      <c r="H1916" s="28" t="str">
        <f>IF($C1916=""," ",[1]!i_pq_pctchange($C1916,H$6,$N$1))</f>
        <v xml:space="preserve"> </v>
      </c>
      <c r="I1916" s="28" t="str">
        <f>IF($C1916=""," ",[1]!i_pq_pctchange($C1916,I$6,$N$1))</f>
        <v xml:space="preserve"> </v>
      </c>
      <c r="J1916" s="28" t="str">
        <f>IF($C1916=""," ",[1]!i_pq_pctchange($C1916,J$6,$N$1))</f>
        <v xml:space="preserve"> </v>
      </c>
      <c r="K1916" s="28" t="str">
        <f>IF($C1916=""," ",[1]!i_pq_pctchange($C1916,K$6,$N$1))</f>
        <v xml:space="preserve"> </v>
      </c>
      <c r="L1916" s="28" t="str">
        <f>IF(C1916=""," ",[1]!s_wq_pctchange($C1916,$N$1))</f>
        <v xml:space="preserve"> </v>
      </c>
      <c r="M1916" s="28" t="str">
        <f>IF(C1916=""," ",[1]!s_mq_pctchange($C1916,$N$1))</f>
        <v xml:space="preserve"> </v>
      </c>
      <c r="N1916" s="28" t="str">
        <f>IF(C1916=""," ",[1]!s_yq_pctchange($C1916,$N$1))</f>
        <v xml:space="preserve"> </v>
      </c>
      <c r="O1916" s="11"/>
      <c r="P1916" s="7"/>
    </row>
    <row r="1917" spans="1:16" x14ac:dyDescent="0.35">
      <c r="A1917" s="7"/>
      <c r="C1917" s="30" t="str">
        <f>IF(指数列表!B1914="","",指数列表!B1914)</f>
        <v/>
      </c>
      <c r="D1917" s="35" t="str">
        <f>IF(C1917="","",[1]!s_info_name(C1917))</f>
        <v/>
      </c>
      <c r="E1917" s="24" t="str">
        <f>IF(C1917="","",[1]!s_dq_close(C1917,$N$1))</f>
        <v/>
      </c>
      <c r="F1917" s="28" t="str">
        <f>IF($C1917=""," ",[1]!i_pq_pctchange($C1917,F$6,$N$1))</f>
        <v xml:space="preserve"> </v>
      </c>
      <c r="G1917" s="28" t="str">
        <f>IF($C1917=""," ",[1]!i_pq_pctchange($C1917,G$6,$N$1))</f>
        <v xml:space="preserve"> </v>
      </c>
      <c r="H1917" s="28" t="str">
        <f>IF($C1917=""," ",[1]!i_pq_pctchange($C1917,H$6,$N$1))</f>
        <v xml:space="preserve"> </v>
      </c>
      <c r="I1917" s="28" t="str">
        <f>IF($C1917=""," ",[1]!i_pq_pctchange($C1917,I$6,$N$1))</f>
        <v xml:space="preserve"> </v>
      </c>
      <c r="J1917" s="28" t="str">
        <f>IF($C1917=""," ",[1]!i_pq_pctchange($C1917,J$6,$N$1))</f>
        <v xml:space="preserve"> </v>
      </c>
      <c r="K1917" s="28" t="str">
        <f>IF($C1917=""," ",[1]!i_pq_pctchange($C1917,K$6,$N$1))</f>
        <v xml:space="preserve"> </v>
      </c>
      <c r="L1917" s="28" t="str">
        <f>IF(C1917=""," ",[1]!s_wq_pctchange($C1917,$N$1))</f>
        <v xml:space="preserve"> </v>
      </c>
      <c r="M1917" s="28" t="str">
        <f>IF(C1917=""," ",[1]!s_mq_pctchange($C1917,$N$1))</f>
        <v xml:space="preserve"> </v>
      </c>
      <c r="N1917" s="28" t="str">
        <f>IF(C1917=""," ",[1]!s_yq_pctchange($C1917,$N$1))</f>
        <v xml:space="preserve"> </v>
      </c>
      <c r="O1917" s="11"/>
      <c r="P1917" s="7"/>
    </row>
    <row r="1918" spans="1:16" x14ac:dyDescent="0.35">
      <c r="A1918" s="7"/>
      <c r="C1918" s="31" t="str">
        <f>IF(指数列表!B1915="","",指数列表!B1915)</f>
        <v/>
      </c>
      <c r="D1918" s="36" t="str">
        <f>IF(C1918="","",[1]!s_info_name(C1918))</f>
        <v/>
      </c>
      <c r="E1918" s="25" t="str">
        <f>IF(C1918="","",[1]!s_dq_close(C1918,$N$1))</f>
        <v/>
      </c>
      <c r="F1918" s="28" t="str">
        <f>IF($C1918=""," ",[1]!i_pq_pctchange($C1918,F$6,$N$1))</f>
        <v xml:space="preserve"> </v>
      </c>
      <c r="G1918" s="28" t="str">
        <f>IF($C1918=""," ",[1]!i_pq_pctchange($C1918,G$6,$N$1))</f>
        <v xml:space="preserve"> </v>
      </c>
      <c r="H1918" s="28" t="str">
        <f>IF($C1918=""," ",[1]!i_pq_pctchange($C1918,H$6,$N$1))</f>
        <v xml:space="preserve"> </v>
      </c>
      <c r="I1918" s="28" t="str">
        <f>IF($C1918=""," ",[1]!i_pq_pctchange($C1918,I$6,$N$1))</f>
        <v xml:space="preserve"> </v>
      </c>
      <c r="J1918" s="28" t="str">
        <f>IF($C1918=""," ",[1]!i_pq_pctchange($C1918,J$6,$N$1))</f>
        <v xml:space="preserve"> </v>
      </c>
      <c r="K1918" s="28" t="str">
        <f>IF($C1918=""," ",[1]!i_pq_pctchange($C1918,K$6,$N$1))</f>
        <v xml:space="preserve"> </v>
      </c>
      <c r="L1918" s="28" t="str">
        <f>IF(C1918=""," ",[1]!s_wq_pctchange($C1918,$N$1))</f>
        <v xml:space="preserve"> </v>
      </c>
      <c r="M1918" s="28" t="str">
        <f>IF(C1918=""," ",[1]!s_mq_pctchange($C1918,$N$1))</f>
        <v xml:space="preserve"> </v>
      </c>
      <c r="N1918" s="28" t="str">
        <f>IF(C1918=""," ",[1]!s_yq_pctchange($C1918,$N$1))</f>
        <v xml:space="preserve"> </v>
      </c>
      <c r="O1918" s="11"/>
      <c r="P1918" s="7"/>
    </row>
    <row r="1919" spans="1:16" x14ac:dyDescent="0.35">
      <c r="A1919" s="7"/>
      <c r="C1919" s="30" t="str">
        <f>IF(指数列表!B1916="","",指数列表!B1916)</f>
        <v/>
      </c>
      <c r="D1919" s="35" t="str">
        <f>IF(C1919="","",[1]!s_info_name(C1919))</f>
        <v/>
      </c>
      <c r="E1919" s="24" t="str">
        <f>IF(C1919="","",[1]!s_dq_close(C1919,$N$1))</f>
        <v/>
      </c>
      <c r="F1919" s="28" t="str">
        <f>IF($C1919=""," ",[1]!i_pq_pctchange($C1919,F$6,$N$1))</f>
        <v xml:space="preserve"> </v>
      </c>
      <c r="G1919" s="28" t="str">
        <f>IF($C1919=""," ",[1]!i_pq_pctchange($C1919,G$6,$N$1))</f>
        <v xml:space="preserve"> </v>
      </c>
      <c r="H1919" s="28" t="str">
        <f>IF($C1919=""," ",[1]!i_pq_pctchange($C1919,H$6,$N$1))</f>
        <v xml:space="preserve"> </v>
      </c>
      <c r="I1919" s="28" t="str">
        <f>IF($C1919=""," ",[1]!i_pq_pctchange($C1919,I$6,$N$1))</f>
        <v xml:space="preserve"> </v>
      </c>
      <c r="J1919" s="28" t="str">
        <f>IF($C1919=""," ",[1]!i_pq_pctchange($C1919,J$6,$N$1))</f>
        <v xml:space="preserve"> </v>
      </c>
      <c r="K1919" s="28" t="str">
        <f>IF($C1919=""," ",[1]!i_pq_pctchange($C1919,K$6,$N$1))</f>
        <v xml:space="preserve"> </v>
      </c>
      <c r="L1919" s="28" t="str">
        <f>IF(C1919=""," ",[1]!s_wq_pctchange($C1919,$N$1))</f>
        <v xml:space="preserve"> </v>
      </c>
      <c r="M1919" s="28" t="str">
        <f>IF(C1919=""," ",[1]!s_mq_pctchange($C1919,$N$1))</f>
        <v xml:space="preserve"> </v>
      </c>
      <c r="N1919" s="28" t="str">
        <f>IF(C1919=""," ",[1]!s_yq_pctchange($C1919,$N$1))</f>
        <v xml:space="preserve"> </v>
      </c>
      <c r="O1919" s="11"/>
      <c r="P1919" s="7"/>
    </row>
    <row r="1920" spans="1:16" x14ac:dyDescent="0.35">
      <c r="A1920" s="7"/>
      <c r="C1920" s="31" t="str">
        <f>IF(指数列表!B1917="","",指数列表!B1917)</f>
        <v/>
      </c>
      <c r="D1920" s="36" t="str">
        <f>IF(C1920="","",[1]!s_info_name(C1920))</f>
        <v/>
      </c>
      <c r="E1920" s="25" t="str">
        <f>IF(C1920="","",[1]!s_dq_close(C1920,$N$1))</f>
        <v/>
      </c>
      <c r="F1920" s="28" t="str">
        <f>IF($C1920=""," ",[1]!i_pq_pctchange($C1920,F$6,$N$1))</f>
        <v xml:space="preserve"> </v>
      </c>
      <c r="G1920" s="28" t="str">
        <f>IF($C1920=""," ",[1]!i_pq_pctchange($C1920,G$6,$N$1))</f>
        <v xml:space="preserve"> </v>
      </c>
      <c r="H1920" s="28" t="str">
        <f>IF($C1920=""," ",[1]!i_pq_pctchange($C1920,H$6,$N$1))</f>
        <v xml:space="preserve"> </v>
      </c>
      <c r="I1920" s="28" t="str">
        <f>IF($C1920=""," ",[1]!i_pq_pctchange($C1920,I$6,$N$1))</f>
        <v xml:space="preserve"> </v>
      </c>
      <c r="J1920" s="28" t="str">
        <f>IF($C1920=""," ",[1]!i_pq_pctchange($C1920,J$6,$N$1))</f>
        <v xml:space="preserve"> </v>
      </c>
      <c r="K1920" s="28" t="str">
        <f>IF($C1920=""," ",[1]!i_pq_pctchange($C1920,K$6,$N$1))</f>
        <v xml:space="preserve"> </v>
      </c>
      <c r="L1920" s="28" t="str">
        <f>IF(C1920=""," ",[1]!s_wq_pctchange($C1920,$N$1))</f>
        <v xml:space="preserve"> </v>
      </c>
      <c r="M1920" s="28" t="str">
        <f>IF(C1920=""," ",[1]!s_mq_pctchange($C1920,$N$1))</f>
        <v xml:space="preserve"> </v>
      </c>
      <c r="N1920" s="28" t="str">
        <f>IF(C1920=""," ",[1]!s_yq_pctchange($C1920,$N$1))</f>
        <v xml:space="preserve"> </v>
      </c>
      <c r="O1920" s="11"/>
      <c r="P1920" s="7"/>
    </row>
    <row r="1921" spans="1:16" x14ac:dyDescent="0.35">
      <c r="A1921" s="7"/>
      <c r="C1921" s="30" t="str">
        <f>IF(指数列表!B1918="","",指数列表!B1918)</f>
        <v/>
      </c>
      <c r="D1921" s="35" t="str">
        <f>IF(C1921="","",[1]!s_info_name(C1921))</f>
        <v/>
      </c>
      <c r="E1921" s="24" t="str">
        <f>IF(C1921="","",[1]!s_dq_close(C1921,$N$1))</f>
        <v/>
      </c>
      <c r="F1921" s="28" t="str">
        <f>IF($C1921=""," ",[1]!i_pq_pctchange($C1921,F$6,$N$1))</f>
        <v xml:space="preserve"> </v>
      </c>
      <c r="G1921" s="28" t="str">
        <f>IF($C1921=""," ",[1]!i_pq_pctchange($C1921,G$6,$N$1))</f>
        <v xml:space="preserve"> </v>
      </c>
      <c r="H1921" s="28" t="str">
        <f>IF($C1921=""," ",[1]!i_pq_pctchange($C1921,H$6,$N$1))</f>
        <v xml:space="preserve"> </v>
      </c>
      <c r="I1921" s="28" t="str">
        <f>IF($C1921=""," ",[1]!i_pq_pctchange($C1921,I$6,$N$1))</f>
        <v xml:space="preserve"> </v>
      </c>
      <c r="J1921" s="28" t="str">
        <f>IF($C1921=""," ",[1]!i_pq_pctchange($C1921,J$6,$N$1))</f>
        <v xml:space="preserve"> </v>
      </c>
      <c r="K1921" s="28" t="str">
        <f>IF($C1921=""," ",[1]!i_pq_pctchange($C1921,K$6,$N$1))</f>
        <v xml:space="preserve"> </v>
      </c>
      <c r="L1921" s="28" t="str">
        <f>IF(C1921=""," ",[1]!s_wq_pctchange($C1921,$N$1))</f>
        <v xml:space="preserve"> </v>
      </c>
      <c r="M1921" s="28" t="str">
        <f>IF(C1921=""," ",[1]!s_mq_pctchange($C1921,$N$1))</f>
        <v xml:space="preserve"> </v>
      </c>
      <c r="N1921" s="28" t="str">
        <f>IF(C1921=""," ",[1]!s_yq_pctchange($C1921,$N$1))</f>
        <v xml:space="preserve"> </v>
      </c>
      <c r="O1921" s="11"/>
      <c r="P1921" s="7"/>
    </row>
    <row r="1922" spans="1:16" x14ac:dyDescent="0.35">
      <c r="A1922" s="7"/>
      <c r="C1922" s="31" t="str">
        <f>IF(指数列表!B1919="","",指数列表!B1919)</f>
        <v/>
      </c>
      <c r="D1922" s="36" t="str">
        <f>IF(C1922="","",[1]!s_info_name(C1922))</f>
        <v/>
      </c>
      <c r="E1922" s="25" t="str">
        <f>IF(C1922="","",[1]!s_dq_close(C1922,$N$1))</f>
        <v/>
      </c>
      <c r="F1922" s="28" t="str">
        <f>IF($C1922=""," ",[1]!i_pq_pctchange($C1922,F$6,$N$1))</f>
        <v xml:space="preserve"> </v>
      </c>
      <c r="G1922" s="28" t="str">
        <f>IF($C1922=""," ",[1]!i_pq_pctchange($C1922,G$6,$N$1))</f>
        <v xml:space="preserve"> </v>
      </c>
      <c r="H1922" s="28" t="str">
        <f>IF($C1922=""," ",[1]!i_pq_pctchange($C1922,H$6,$N$1))</f>
        <v xml:space="preserve"> </v>
      </c>
      <c r="I1922" s="28" t="str">
        <f>IF($C1922=""," ",[1]!i_pq_pctchange($C1922,I$6,$N$1))</f>
        <v xml:space="preserve"> </v>
      </c>
      <c r="J1922" s="28" t="str">
        <f>IF($C1922=""," ",[1]!i_pq_pctchange($C1922,J$6,$N$1))</f>
        <v xml:space="preserve"> </v>
      </c>
      <c r="K1922" s="28" t="str">
        <f>IF($C1922=""," ",[1]!i_pq_pctchange($C1922,K$6,$N$1))</f>
        <v xml:space="preserve"> </v>
      </c>
      <c r="L1922" s="28" t="str">
        <f>IF(C1922=""," ",[1]!s_wq_pctchange($C1922,$N$1))</f>
        <v xml:space="preserve"> </v>
      </c>
      <c r="M1922" s="28" t="str">
        <f>IF(C1922=""," ",[1]!s_mq_pctchange($C1922,$N$1))</f>
        <v xml:space="preserve"> </v>
      </c>
      <c r="N1922" s="28" t="str">
        <f>IF(C1922=""," ",[1]!s_yq_pctchange($C1922,$N$1))</f>
        <v xml:space="preserve"> </v>
      </c>
      <c r="O1922" s="11"/>
      <c r="P1922" s="7"/>
    </row>
    <row r="1923" spans="1:16" x14ac:dyDescent="0.35">
      <c r="A1923" s="7"/>
      <c r="C1923" s="30" t="str">
        <f>IF(指数列表!B1920="","",指数列表!B1920)</f>
        <v/>
      </c>
      <c r="D1923" s="35" t="str">
        <f>IF(C1923="","",[1]!s_info_name(C1923))</f>
        <v/>
      </c>
      <c r="E1923" s="24" t="str">
        <f>IF(C1923="","",[1]!s_dq_close(C1923,$N$1))</f>
        <v/>
      </c>
      <c r="F1923" s="28" t="str">
        <f>IF($C1923=""," ",[1]!i_pq_pctchange($C1923,F$6,$N$1))</f>
        <v xml:space="preserve"> </v>
      </c>
      <c r="G1923" s="28" t="str">
        <f>IF($C1923=""," ",[1]!i_pq_pctchange($C1923,G$6,$N$1))</f>
        <v xml:space="preserve"> </v>
      </c>
      <c r="H1923" s="28" t="str">
        <f>IF($C1923=""," ",[1]!i_pq_pctchange($C1923,H$6,$N$1))</f>
        <v xml:space="preserve"> </v>
      </c>
      <c r="I1923" s="28" t="str">
        <f>IF($C1923=""," ",[1]!i_pq_pctchange($C1923,I$6,$N$1))</f>
        <v xml:space="preserve"> </v>
      </c>
      <c r="J1923" s="28" t="str">
        <f>IF($C1923=""," ",[1]!i_pq_pctchange($C1923,J$6,$N$1))</f>
        <v xml:space="preserve"> </v>
      </c>
      <c r="K1923" s="28" t="str">
        <f>IF($C1923=""," ",[1]!i_pq_pctchange($C1923,K$6,$N$1))</f>
        <v xml:space="preserve"> </v>
      </c>
      <c r="L1923" s="28" t="str">
        <f>IF(C1923=""," ",[1]!s_wq_pctchange($C1923,$N$1))</f>
        <v xml:space="preserve"> </v>
      </c>
      <c r="M1923" s="28" t="str">
        <f>IF(C1923=""," ",[1]!s_mq_pctchange($C1923,$N$1))</f>
        <v xml:space="preserve"> </v>
      </c>
      <c r="N1923" s="28" t="str">
        <f>IF(C1923=""," ",[1]!s_yq_pctchange($C1923,$N$1))</f>
        <v xml:space="preserve"> </v>
      </c>
      <c r="O1923" s="11"/>
      <c r="P1923" s="7"/>
    </row>
    <row r="1924" spans="1:16" x14ac:dyDescent="0.35">
      <c r="A1924" s="7"/>
      <c r="C1924" s="31" t="str">
        <f>IF(指数列表!B1921="","",指数列表!B1921)</f>
        <v/>
      </c>
      <c r="D1924" s="36" t="str">
        <f>IF(C1924="","",[1]!s_info_name(C1924))</f>
        <v/>
      </c>
      <c r="E1924" s="25" t="str">
        <f>IF(C1924="","",[1]!s_dq_close(C1924,$N$1))</f>
        <v/>
      </c>
      <c r="F1924" s="28" t="str">
        <f>IF($C1924=""," ",[1]!i_pq_pctchange($C1924,F$6,$N$1))</f>
        <v xml:space="preserve"> </v>
      </c>
      <c r="G1924" s="28" t="str">
        <f>IF($C1924=""," ",[1]!i_pq_pctchange($C1924,G$6,$N$1))</f>
        <v xml:space="preserve"> </v>
      </c>
      <c r="H1924" s="28" t="str">
        <f>IF($C1924=""," ",[1]!i_pq_pctchange($C1924,H$6,$N$1))</f>
        <v xml:space="preserve"> </v>
      </c>
      <c r="I1924" s="28" t="str">
        <f>IF($C1924=""," ",[1]!i_pq_pctchange($C1924,I$6,$N$1))</f>
        <v xml:space="preserve"> </v>
      </c>
      <c r="J1924" s="28" t="str">
        <f>IF($C1924=""," ",[1]!i_pq_pctchange($C1924,J$6,$N$1))</f>
        <v xml:space="preserve"> </v>
      </c>
      <c r="K1924" s="28" t="str">
        <f>IF($C1924=""," ",[1]!i_pq_pctchange($C1924,K$6,$N$1))</f>
        <v xml:space="preserve"> </v>
      </c>
      <c r="L1924" s="28" t="str">
        <f>IF(C1924=""," ",[1]!s_wq_pctchange($C1924,$N$1))</f>
        <v xml:space="preserve"> </v>
      </c>
      <c r="M1924" s="28" t="str">
        <f>IF(C1924=""," ",[1]!s_mq_pctchange($C1924,$N$1))</f>
        <v xml:space="preserve"> </v>
      </c>
      <c r="N1924" s="28" t="str">
        <f>IF(C1924=""," ",[1]!s_yq_pctchange($C1924,$N$1))</f>
        <v xml:space="preserve"> </v>
      </c>
      <c r="O1924" s="11"/>
      <c r="P1924" s="7"/>
    </row>
    <row r="1925" spans="1:16" x14ac:dyDescent="0.35">
      <c r="A1925" s="7"/>
      <c r="C1925" s="30" t="str">
        <f>IF(指数列表!B1922="","",指数列表!B1922)</f>
        <v/>
      </c>
      <c r="D1925" s="35" t="str">
        <f>IF(C1925="","",[1]!s_info_name(C1925))</f>
        <v/>
      </c>
      <c r="E1925" s="24" t="str">
        <f>IF(C1925="","",[1]!s_dq_close(C1925,$N$1))</f>
        <v/>
      </c>
      <c r="F1925" s="28" t="str">
        <f>IF($C1925=""," ",[1]!i_pq_pctchange($C1925,F$6,$N$1))</f>
        <v xml:space="preserve"> </v>
      </c>
      <c r="G1925" s="28" t="str">
        <f>IF($C1925=""," ",[1]!i_pq_pctchange($C1925,G$6,$N$1))</f>
        <v xml:space="preserve"> </v>
      </c>
      <c r="H1925" s="28" t="str">
        <f>IF($C1925=""," ",[1]!i_pq_pctchange($C1925,H$6,$N$1))</f>
        <v xml:space="preserve"> </v>
      </c>
      <c r="I1925" s="28" t="str">
        <f>IF($C1925=""," ",[1]!i_pq_pctchange($C1925,I$6,$N$1))</f>
        <v xml:space="preserve"> </v>
      </c>
      <c r="J1925" s="28" t="str">
        <f>IF($C1925=""," ",[1]!i_pq_pctchange($C1925,J$6,$N$1))</f>
        <v xml:space="preserve"> </v>
      </c>
      <c r="K1925" s="28" t="str">
        <f>IF($C1925=""," ",[1]!i_pq_pctchange($C1925,K$6,$N$1))</f>
        <v xml:space="preserve"> </v>
      </c>
      <c r="L1925" s="28" t="str">
        <f>IF(C1925=""," ",[1]!s_wq_pctchange($C1925,$N$1))</f>
        <v xml:space="preserve"> </v>
      </c>
      <c r="M1925" s="28" t="str">
        <f>IF(C1925=""," ",[1]!s_mq_pctchange($C1925,$N$1))</f>
        <v xml:space="preserve"> </v>
      </c>
      <c r="N1925" s="28" t="str">
        <f>IF(C1925=""," ",[1]!s_yq_pctchange($C1925,$N$1))</f>
        <v xml:space="preserve"> </v>
      </c>
      <c r="O1925" s="11"/>
      <c r="P1925" s="7"/>
    </row>
    <row r="1926" spans="1:16" x14ac:dyDescent="0.35">
      <c r="A1926" s="7"/>
      <c r="C1926" s="31" t="str">
        <f>IF(指数列表!B1923="","",指数列表!B1923)</f>
        <v/>
      </c>
      <c r="D1926" s="36" t="str">
        <f>IF(C1926="","",[1]!s_info_name(C1926))</f>
        <v/>
      </c>
      <c r="E1926" s="25" t="str">
        <f>IF(C1926="","",[1]!s_dq_close(C1926,$N$1))</f>
        <v/>
      </c>
      <c r="F1926" s="28" t="str">
        <f>IF($C1926=""," ",[1]!i_pq_pctchange($C1926,F$6,$N$1))</f>
        <v xml:space="preserve"> </v>
      </c>
      <c r="G1926" s="28" t="str">
        <f>IF($C1926=""," ",[1]!i_pq_pctchange($C1926,G$6,$N$1))</f>
        <v xml:space="preserve"> </v>
      </c>
      <c r="H1926" s="28" t="str">
        <f>IF($C1926=""," ",[1]!i_pq_pctchange($C1926,H$6,$N$1))</f>
        <v xml:space="preserve"> </v>
      </c>
      <c r="I1926" s="28" t="str">
        <f>IF($C1926=""," ",[1]!i_pq_pctchange($C1926,I$6,$N$1))</f>
        <v xml:space="preserve"> </v>
      </c>
      <c r="J1926" s="28" t="str">
        <f>IF($C1926=""," ",[1]!i_pq_pctchange($C1926,J$6,$N$1))</f>
        <v xml:space="preserve"> </v>
      </c>
      <c r="K1926" s="28" t="str">
        <f>IF($C1926=""," ",[1]!i_pq_pctchange($C1926,K$6,$N$1))</f>
        <v xml:space="preserve"> </v>
      </c>
      <c r="L1926" s="28" t="str">
        <f>IF(C1926=""," ",[1]!s_wq_pctchange($C1926,$N$1))</f>
        <v xml:space="preserve"> </v>
      </c>
      <c r="M1926" s="28" t="str">
        <f>IF(C1926=""," ",[1]!s_mq_pctchange($C1926,$N$1))</f>
        <v xml:space="preserve"> </v>
      </c>
      <c r="N1926" s="28" t="str">
        <f>IF(C1926=""," ",[1]!s_yq_pctchange($C1926,$N$1))</f>
        <v xml:space="preserve"> </v>
      </c>
      <c r="O1926" s="11"/>
      <c r="P1926" s="7"/>
    </row>
    <row r="1927" spans="1:16" x14ac:dyDescent="0.35">
      <c r="A1927" s="7"/>
      <c r="C1927" s="30" t="str">
        <f>IF(指数列表!B1924="","",指数列表!B1924)</f>
        <v/>
      </c>
      <c r="D1927" s="35" t="str">
        <f>IF(C1927="","",[1]!s_info_name(C1927))</f>
        <v/>
      </c>
      <c r="E1927" s="24" t="str">
        <f>IF(C1927="","",[1]!s_dq_close(C1927,$N$1))</f>
        <v/>
      </c>
      <c r="F1927" s="28" t="str">
        <f>IF($C1927=""," ",[1]!i_pq_pctchange($C1927,F$6,$N$1))</f>
        <v xml:space="preserve"> </v>
      </c>
      <c r="G1927" s="28" t="str">
        <f>IF($C1927=""," ",[1]!i_pq_pctchange($C1927,G$6,$N$1))</f>
        <v xml:space="preserve"> </v>
      </c>
      <c r="H1927" s="28" t="str">
        <f>IF($C1927=""," ",[1]!i_pq_pctchange($C1927,H$6,$N$1))</f>
        <v xml:space="preserve"> </v>
      </c>
      <c r="I1927" s="28" t="str">
        <f>IF($C1927=""," ",[1]!i_pq_pctchange($C1927,I$6,$N$1))</f>
        <v xml:space="preserve"> </v>
      </c>
      <c r="J1927" s="28" t="str">
        <f>IF($C1927=""," ",[1]!i_pq_pctchange($C1927,J$6,$N$1))</f>
        <v xml:space="preserve"> </v>
      </c>
      <c r="K1927" s="28" t="str">
        <f>IF($C1927=""," ",[1]!i_pq_pctchange($C1927,K$6,$N$1))</f>
        <v xml:space="preserve"> </v>
      </c>
      <c r="L1927" s="28" t="str">
        <f>IF(C1927=""," ",[1]!s_wq_pctchange($C1927,$N$1))</f>
        <v xml:space="preserve"> </v>
      </c>
      <c r="M1927" s="28" t="str">
        <f>IF(C1927=""," ",[1]!s_mq_pctchange($C1927,$N$1))</f>
        <v xml:space="preserve"> </v>
      </c>
      <c r="N1927" s="28" t="str">
        <f>IF(C1927=""," ",[1]!s_yq_pctchange($C1927,$N$1))</f>
        <v xml:space="preserve"> </v>
      </c>
      <c r="O1927" s="11"/>
      <c r="P1927" s="7"/>
    </row>
    <row r="1928" spans="1:16" x14ac:dyDescent="0.35">
      <c r="A1928" s="7"/>
      <c r="C1928" s="31" t="str">
        <f>IF(指数列表!B1925="","",指数列表!B1925)</f>
        <v/>
      </c>
      <c r="D1928" s="36" t="str">
        <f>IF(C1928="","",[1]!s_info_name(C1928))</f>
        <v/>
      </c>
      <c r="E1928" s="25" t="str">
        <f>IF(C1928="","",[1]!s_dq_close(C1928,$N$1))</f>
        <v/>
      </c>
      <c r="F1928" s="28" t="str">
        <f>IF($C1928=""," ",[1]!i_pq_pctchange($C1928,F$6,$N$1))</f>
        <v xml:space="preserve"> </v>
      </c>
      <c r="G1928" s="28" t="str">
        <f>IF($C1928=""," ",[1]!i_pq_pctchange($C1928,G$6,$N$1))</f>
        <v xml:space="preserve"> </v>
      </c>
      <c r="H1928" s="28" t="str">
        <f>IF($C1928=""," ",[1]!i_pq_pctchange($C1928,H$6,$N$1))</f>
        <v xml:space="preserve"> </v>
      </c>
      <c r="I1928" s="28" t="str">
        <f>IF($C1928=""," ",[1]!i_pq_pctchange($C1928,I$6,$N$1))</f>
        <v xml:space="preserve"> </v>
      </c>
      <c r="J1928" s="28" t="str">
        <f>IF($C1928=""," ",[1]!i_pq_pctchange($C1928,J$6,$N$1))</f>
        <v xml:space="preserve"> </v>
      </c>
      <c r="K1928" s="28" t="str">
        <f>IF($C1928=""," ",[1]!i_pq_pctchange($C1928,K$6,$N$1))</f>
        <v xml:space="preserve"> </v>
      </c>
      <c r="L1928" s="28" t="str">
        <f>IF(C1928=""," ",[1]!s_wq_pctchange($C1928,$N$1))</f>
        <v xml:space="preserve"> </v>
      </c>
      <c r="M1928" s="28" t="str">
        <f>IF(C1928=""," ",[1]!s_mq_pctchange($C1928,$N$1))</f>
        <v xml:space="preserve"> </v>
      </c>
      <c r="N1928" s="28" t="str">
        <f>IF(C1928=""," ",[1]!s_yq_pctchange($C1928,$N$1))</f>
        <v xml:space="preserve"> </v>
      </c>
      <c r="O1928" s="11"/>
      <c r="P1928" s="7"/>
    </row>
    <row r="1929" spans="1:16" x14ac:dyDescent="0.35">
      <c r="A1929" s="7"/>
      <c r="C1929" s="30" t="str">
        <f>IF(指数列表!B1926="","",指数列表!B1926)</f>
        <v/>
      </c>
      <c r="D1929" s="35" t="str">
        <f>IF(C1929="","",[1]!s_info_name(C1929))</f>
        <v/>
      </c>
      <c r="E1929" s="24" t="str">
        <f>IF(C1929="","",[1]!s_dq_close(C1929,$N$1))</f>
        <v/>
      </c>
      <c r="F1929" s="28" t="str">
        <f>IF($C1929=""," ",[1]!i_pq_pctchange($C1929,F$6,$N$1))</f>
        <v xml:space="preserve"> </v>
      </c>
      <c r="G1929" s="28" t="str">
        <f>IF($C1929=""," ",[1]!i_pq_pctchange($C1929,G$6,$N$1))</f>
        <v xml:space="preserve"> </v>
      </c>
      <c r="H1929" s="28" t="str">
        <f>IF($C1929=""," ",[1]!i_pq_pctchange($C1929,H$6,$N$1))</f>
        <v xml:space="preserve"> </v>
      </c>
      <c r="I1929" s="28" t="str">
        <f>IF($C1929=""," ",[1]!i_pq_pctchange($C1929,I$6,$N$1))</f>
        <v xml:space="preserve"> </v>
      </c>
      <c r="J1929" s="28" t="str">
        <f>IF($C1929=""," ",[1]!i_pq_pctchange($C1929,J$6,$N$1))</f>
        <v xml:space="preserve"> </v>
      </c>
      <c r="K1929" s="28" t="str">
        <f>IF($C1929=""," ",[1]!i_pq_pctchange($C1929,K$6,$N$1))</f>
        <v xml:space="preserve"> </v>
      </c>
      <c r="L1929" s="28" t="str">
        <f>IF(C1929=""," ",[1]!s_wq_pctchange($C1929,$N$1))</f>
        <v xml:space="preserve"> </v>
      </c>
      <c r="M1929" s="28" t="str">
        <f>IF(C1929=""," ",[1]!s_mq_pctchange($C1929,$N$1))</f>
        <v xml:space="preserve"> </v>
      </c>
      <c r="N1929" s="28" t="str">
        <f>IF(C1929=""," ",[1]!s_yq_pctchange($C1929,$N$1))</f>
        <v xml:space="preserve"> </v>
      </c>
      <c r="O1929" s="11"/>
      <c r="P1929" s="7"/>
    </row>
    <row r="1930" spans="1:16" x14ac:dyDescent="0.35">
      <c r="A1930" s="7"/>
      <c r="C1930" s="31" t="str">
        <f>IF(指数列表!B1927="","",指数列表!B1927)</f>
        <v/>
      </c>
      <c r="D1930" s="36" t="str">
        <f>IF(C1930="","",[1]!s_info_name(C1930))</f>
        <v/>
      </c>
      <c r="E1930" s="25" t="str">
        <f>IF(C1930="","",[1]!s_dq_close(C1930,$N$1))</f>
        <v/>
      </c>
      <c r="F1930" s="28" t="str">
        <f>IF($C1930=""," ",[1]!i_pq_pctchange($C1930,F$6,$N$1))</f>
        <v xml:space="preserve"> </v>
      </c>
      <c r="G1930" s="28" t="str">
        <f>IF($C1930=""," ",[1]!i_pq_pctchange($C1930,G$6,$N$1))</f>
        <v xml:space="preserve"> </v>
      </c>
      <c r="H1930" s="28" t="str">
        <f>IF($C1930=""," ",[1]!i_pq_pctchange($C1930,H$6,$N$1))</f>
        <v xml:space="preserve"> </v>
      </c>
      <c r="I1930" s="28" t="str">
        <f>IF($C1930=""," ",[1]!i_pq_pctchange($C1930,I$6,$N$1))</f>
        <v xml:space="preserve"> </v>
      </c>
      <c r="J1930" s="28" t="str">
        <f>IF($C1930=""," ",[1]!i_pq_pctchange($C1930,J$6,$N$1))</f>
        <v xml:space="preserve"> </v>
      </c>
      <c r="K1930" s="28" t="str">
        <f>IF($C1930=""," ",[1]!i_pq_pctchange($C1930,K$6,$N$1))</f>
        <v xml:space="preserve"> </v>
      </c>
      <c r="L1930" s="28" t="str">
        <f>IF(C1930=""," ",[1]!s_wq_pctchange($C1930,$N$1))</f>
        <v xml:space="preserve"> </v>
      </c>
      <c r="M1930" s="28" t="str">
        <f>IF(C1930=""," ",[1]!s_mq_pctchange($C1930,$N$1))</f>
        <v xml:space="preserve"> </v>
      </c>
      <c r="N1930" s="28" t="str">
        <f>IF(C1930=""," ",[1]!s_yq_pctchange($C1930,$N$1))</f>
        <v xml:space="preserve"> </v>
      </c>
      <c r="O1930" s="11"/>
      <c r="P1930" s="7"/>
    </row>
    <row r="1931" spans="1:16" x14ac:dyDescent="0.35">
      <c r="A1931" s="7"/>
      <c r="C1931" s="30" t="str">
        <f>IF(指数列表!B1928="","",指数列表!B1928)</f>
        <v/>
      </c>
      <c r="D1931" s="35" t="str">
        <f>IF(C1931="","",[1]!s_info_name(C1931))</f>
        <v/>
      </c>
      <c r="E1931" s="24" t="str">
        <f>IF(C1931="","",[1]!s_dq_close(C1931,$N$1))</f>
        <v/>
      </c>
      <c r="F1931" s="28" t="str">
        <f>IF($C1931=""," ",[1]!i_pq_pctchange($C1931,F$6,$N$1))</f>
        <v xml:space="preserve"> </v>
      </c>
      <c r="G1931" s="28" t="str">
        <f>IF($C1931=""," ",[1]!i_pq_pctchange($C1931,G$6,$N$1))</f>
        <v xml:space="preserve"> </v>
      </c>
      <c r="H1931" s="28" t="str">
        <f>IF($C1931=""," ",[1]!i_pq_pctchange($C1931,H$6,$N$1))</f>
        <v xml:space="preserve"> </v>
      </c>
      <c r="I1931" s="28" t="str">
        <f>IF($C1931=""," ",[1]!i_pq_pctchange($C1931,I$6,$N$1))</f>
        <v xml:space="preserve"> </v>
      </c>
      <c r="J1931" s="28" t="str">
        <f>IF($C1931=""," ",[1]!i_pq_pctchange($C1931,J$6,$N$1))</f>
        <v xml:space="preserve"> </v>
      </c>
      <c r="K1931" s="28" t="str">
        <f>IF($C1931=""," ",[1]!i_pq_pctchange($C1931,K$6,$N$1))</f>
        <v xml:space="preserve"> </v>
      </c>
      <c r="L1931" s="28" t="str">
        <f>IF(C1931=""," ",[1]!s_wq_pctchange($C1931,$N$1))</f>
        <v xml:space="preserve"> </v>
      </c>
      <c r="M1931" s="28" t="str">
        <f>IF(C1931=""," ",[1]!s_mq_pctchange($C1931,$N$1))</f>
        <v xml:space="preserve"> </v>
      </c>
      <c r="N1931" s="28" t="str">
        <f>IF(C1931=""," ",[1]!s_yq_pctchange($C1931,$N$1))</f>
        <v xml:space="preserve"> </v>
      </c>
      <c r="O1931" s="11"/>
      <c r="P1931" s="7"/>
    </row>
    <row r="1932" spans="1:16" x14ac:dyDescent="0.35">
      <c r="A1932" s="7"/>
      <c r="C1932" s="31" t="str">
        <f>IF(指数列表!B1929="","",指数列表!B1929)</f>
        <v/>
      </c>
      <c r="D1932" s="36" t="str">
        <f>IF(C1932="","",[1]!s_info_name(C1932))</f>
        <v/>
      </c>
      <c r="E1932" s="25" t="str">
        <f>IF(C1932="","",[1]!s_dq_close(C1932,$N$1))</f>
        <v/>
      </c>
      <c r="F1932" s="28" t="str">
        <f>IF($C1932=""," ",[1]!i_pq_pctchange($C1932,F$6,$N$1))</f>
        <v xml:space="preserve"> </v>
      </c>
      <c r="G1932" s="28" t="str">
        <f>IF($C1932=""," ",[1]!i_pq_pctchange($C1932,G$6,$N$1))</f>
        <v xml:space="preserve"> </v>
      </c>
      <c r="H1932" s="28" t="str">
        <f>IF($C1932=""," ",[1]!i_pq_pctchange($C1932,H$6,$N$1))</f>
        <v xml:space="preserve"> </v>
      </c>
      <c r="I1932" s="28" t="str">
        <f>IF($C1932=""," ",[1]!i_pq_pctchange($C1932,I$6,$N$1))</f>
        <v xml:space="preserve"> </v>
      </c>
      <c r="J1932" s="28" t="str">
        <f>IF($C1932=""," ",[1]!i_pq_pctchange($C1932,J$6,$N$1))</f>
        <v xml:space="preserve"> </v>
      </c>
      <c r="K1932" s="28" t="str">
        <f>IF($C1932=""," ",[1]!i_pq_pctchange($C1932,K$6,$N$1))</f>
        <v xml:space="preserve"> </v>
      </c>
      <c r="L1932" s="28" t="str">
        <f>IF(C1932=""," ",[1]!s_wq_pctchange($C1932,$N$1))</f>
        <v xml:space="preserve"> </v>
      </c>
      <c r="M1932" s="28" t="str">
        <f>IF(C1932=""," ",[1]!s_mq_pctchange($C1932,$N$1))</f>
        <v xml:space="preserve"> </v>
      </c>
      <c r="N1932" s="28" t="str">
        <f>IF(C1932=""," ",[1]!s_yq_pctchange($C1932,$N$1))</f>
        <v xml:space="preserve"> </v>
      </c>
      <c r="O1932" s="11"/>
      <c r="P1932" s="7"/>
    </row>
    <row r="1933" spans="1:16" x14ac:dyDescent="0.35">
      <c r="A1933" s="7"/>
      <c r="C1933" s="30" t="str">
        <f>IF(指数列表!B1930="","",指数列表!B1930)</f>
        <v/>
      </c>
      <c r="D1933" s="35" t="str">
        <f>IF(C1933="","",[1]!s_info_name(C1933))</f>
        <v/>
      </c>
      <c r="E1933" s="24" t="str">
        <f>IF(C1933="","",[1]!s_dq_close(C1933,$N$1))</f>
        <v/>
      </c>
      <c r="F1933" s="28" t="str">
        <f>IF($C1933=""," ",[1]!i_pq_pctchange($C1933,F$6,$N$1))</f>
        <v xml:space="preserve"> </v>
      </c>
      <c r="G1933" s="28" t="str">
        <f>IF($C1933=""," ",[1]!i_pq_pctchange($C1933,G$6,$N$1))</f>
        <v xml:space="preserve"> </v>
      </c>
      <c r="H1933" s="28" t="str">
        <f>IF($C1933=""," ",[1]!i_pq_pctchange($C1933,H$6,$N$1))</f>
        <v xml:space="preserve"> </v>
      </c>
      <c r="I1933" s="28" t="str">
        <f>IF($C1933=""," ",[1]!i_pq_pctchange($C1933,I$6,$N$1))</f>
        <v xml:space="preserve"> </v>
      </c>
      <c r="J1933" s="28" t="str">
        <f>IF($C1933=""," ",[1]!i_pq_pctchange($C1933,J$6,$N$1))</f>
        <v xml:space="preserve"> </v>
      </c>
      <c r="K1933" s="28" t="str">
        <f>IF($C1933=""," ",[1]!i_pq_pctchange($C1933,K$6,$N$1))</f>
        <v xml:space="preserve"> </v>
      </c>
      <c r="L1933" s="28" t="str">
        <f>IF(C1933=""," ",[1]!s_wq_pctchange($C1933,$N$1))</f>
        <v xml:space="preserve"> </v>
      </c>
      <c r="M1933" s="28" t="str">
        <f>IF(C1933=""," ",[1]!s_mq_pctchange($C1933,$N$1))</f>
        <v xml:space="preserve"> </v>
      </c>
      <c r="N1933" s="28" t="str">
        <f>IF(C1933=""," ",[1]!s_yq_pctchange($C1933,$N$1))</f>
        <v xml:space="preserve"> </v>
      </c>
      <c r="O1933" s="11"/>
      <c r="P1933" s="7"/>
    </row>
    <row r="1934" spans="1:16" x14ac:dyDescent="0.35">
      <c r="A1934" s="7"/>
      <c r="C1934" s="31" t="str">
        <f>IF(指数列表!B1931="","",指数列表!B1931)</f>
        <v/>
      </c>
      <c r="D1934" s="36" t="str">
        <f>IF(C1934="","",[1]!s_info_name(C1934))</f>
        <v/>
      </c>
      <c r="E1934" s="25" t="str">
        <f>IF(C1934="","",[1]!s_dq_close(C1934,$N$1))</f>
        <v/>
      </c>
      <c r="F1934" s="28" t="str">
        <f>IF($C1934=""," ",[1]!i_pq_pctchange($C1934,F$6,$N$1))</f>
        <v xml:space="preserve"> </v>
      </c>
      <c r="G1934" s="28" t="str">
        <f>IF($C1934=""," ",[1]!i_pq_pctchange($C1934,G$6,$N$1))</f>
        <v xml:space="preserve"> </v>
      </c>
      <c r="H1934" s="28" t="str">
        <f>IF($C1934=""," ",[1]!i_pq_pctchange($C1934,H$6,$N$1))</f>
        <v xml:space="preserve"> </v>
      </c>
      <c r="I1934" s="28" t="str">
        <f>IF($C1934=""," ",[1]!i_pq_pctchange($C1934,I$6,$N$1))</f>
        <v xml:space="preserve"> </v>
      </c>
      <c r="J1934" s="28" t="str">
        <f>IF($C1934=""," ",[1]!i_pq_pctchange($C1934,J$6,$N$1))</f>
        <v xml:space="preserve"> </v>
      </c>
      <c r="K1934" s="28" t="str">
        <f>IF($C1934=""," ",[1]!i_pq_pctchange($C1934,K$6,$N$1))</f>
        <v xml:space="preserve"> </v>
      </c>
      <c r="L1934" s="28" t="str">
        <f>IF(C1934=""," ",[1]!s_wq_pctchange($C1934,$N$1))</f>
        <v xml:space="preserve"> </v>
      </c>
      <c r="M1934" s="28" t="str">
        <f>IF(C1934=""," ",[1]!s_mq_pctchange($C1934,$N$1))</f>
        <v xml:space="preserve"> </v>
      </c>
      <c r="N1934" s="28" t="str">
        <f>IF(C1934=""," ",[1]!s_yq_pctchange($C1934,$N$1))</f>
        <v xml:space="preserve"> </v>
      </c>
      <c r="O1934" s="11"/>
      <c r="P1934" s="7"/>
    </row>
    <row r="1935" spans="1:16" x14ac:dyDescent="0.35">
      <c r="A1935" s="7"/>
      <c r="C1935" s="30" t="str">
        <f>IF(指数列表!B1932="","",指数列表!B1932)</f>
        <v/>
      </c>
      <c r="D1935" s="35" t="str">
        <f>IF(C1935="","",[1]!s_info_name(C1935))</f>
        <v/>
      </c>
      <c r="E1935" s="24" t="str">
        <f>IF(C1935="","",[1]!s_dq_close(C1935,$N$1))</f>
        <v/>
      </c>
      <c r="F1935" s="28" t="str">
        <f>IF($C1935=""," ",[1]!i_pq_pctchange($C1935,F$6,$N$1))</f>
        <v xml:space="preserve"> </v>
      </c>
      <c r="G1935" s="28" t="str">
        <f>IF($C1935=""," ",[1]!i_pq_pctchange($C1935,G$6,$N$1))</f>
        <v xml:space="preserve"> </v>
      </c>
      <c r="H1935" s="28" t="str">
        <f>IF($C1935=""," ",[1]!i_pq_pctchange($C1935,H$6,$N$1))</f>
        <v xml:space="preserve"> </v>
      </c>
      <c r="I1935" s="28" t="str">
        <f>IF($C1935=""," ",[1]!i_pq_pctchange($C1935,I$6,$N$1))</f>
        <v xml:space="preserve"> </v>
      </c>
      <c r="J1935" s="28" t="str">
        <f>IF($C1935=""," ",[1]!i_pq_pctchange($C1935,J$6,$N$1))</f>
        <v xml:space="preserve"> </v>
      </c>
      <c r="K1935" s="28" t="str">
        <f>IF($C1935=""," ",[1]!i_pq_pctchange($C1935,K$6,$N$1))</f>
        <v xml:space="preserve"> </v>
      </c>
      <c r="L1935" s="28" t="str">
        <f>IF(C1935=""," ",[1]!s_wq_pctchange($C1935,$N$1))</f>
        <v xml:space="preserve"> </v>
      </c>
      <c r="M1935" s="28" t="str">
        <f>IF(C1935=""," ",[1]!s_mq_pctchange($C1935,$N$1))</f>
        <v xml:space="preserve"> </v>
      </c>
      <c r="N1935" s="28" t="str">
        <f>IF(C1935=""," ",[1]!s_yq_pctchange($C1935,$N$1))</f>
        <v xml:space="preserve"> </v>
      </c>
      <c r="O1935" s="11"/>
      <c r="P1935" s="7"/>
    </row>
    <row r="1936" spans="1:16" x14ac:dyDescent="0.35">
      <c r="A1936" s="7"/>
      <c r="C1936" s="31" t="str">
        <f>IF(指数列表!B1933="","",指数列表!B1933)</f>
        <v/>
      </c>
      <c r="D1936" s="36" t="str">
        <f>IF(C1936="","",[1]!s_info_name(C1936))</f>
        <v/>
      </c>
      <c r="E1936" s="25" t="str">
        <f>IF(C1936="","",[1]!s_dq_close(C1936,$N$1))</f>
        <v/>
      </c>
      <c r="F1936" s="28" t="str">
        <f>IF($C1936=""," ",[1]!i_pq_pctchange($C1936,F$6,$N$1))</f>
        <v xml:space="preserve"> </v>
      </c>
      <c r="G1936" s="28" t="str">
        <f>IF($C1936=""," ",[1]!i_pq_pctchange($C1936,G$6,$N$1))</f>
        <v xml:space="preserve"> </v>
      </c>
      <c r="H1936" s="28" t="str">
        <f>IF($C1936=""," ",[1]!i_pq_pctchange($C1936,H$6,$N$1))</f>
        <v xml:space="preserve"> </v>
      </c>
      <c r="I1936" s="28" t="str">
        <f>IF($C1936=""," ",[1]!i_pq_pctchange($C1936,I$6,$N$1))</f>
        <v xml:space="preserve"> </v>
      </c>
      <c r="J1936" s="28" t="str">
        <f>IF($C1936=""," ",[1]!i_pq_pctchange($C1936,J$6,$N$1))</f>
        <v xml:space="preserve"> </v>
      </c>
      <c r="K1936" s="28" t="str">
        <f>IF($C1936=""," ",[1]!i_pq_pctchange($C1936,K$6,$N$1))</f>
        <v xml:space="preserve"> </v>
      </c>
      <c r="L1936" s="28" t="str">
        <f>IF(C1936=""," ",[1]!s_wq_pctchange($C1936,$N$1))</f>
        <v xml:space="preserve"> </v>
      </c>
      <c r="M1936" s="28" t="str">
        <f>IF(C1936=""," ",[1]!s_mq_pctchange($C1936,$N$1))</f>
        <v xml:space="preserve"> </v>
      </c>
      <c r="N1936" s="28" t="str">
        <f>IF(C1936=""," ",[1]!s_yq_pctchange($C1936,$N$1))</f>
        <v xml:space="preserve"> </v>
      </c>
      <c r="O1936" s="11"/>
      <c r="P1936" s="7"/>
    </row>
    <row r="1937" spans="1:16" x14ac:dyDescent="0.35">
      <c r="A1937" s="7"/>
      <c r="C1937" s="30" t="str">
        <f>IF(指数列表!B1934="","",指数列表!B1934)</f>
        <v/>
      </c>
      <c r="D1937" s="35" t="str">
        <f>IF(C1937="","",[1]!s_info_name(C1937))</f>
        <v/>
      </c>
      <c r="E1937" s="24" t="str">
        <f>IF(C1937="","",[1]!s_dq_close(C1937,$N$1))</f>
        <v/>
      </c>
      <c r="F1937" s="28" t="str">
        <f>IF($C1937=""," ",[1]!i_pq_pctchange($C1937,F$6,$N$1))</f>
        <v xml:space="preserve"> </v>
      </c>
      <c r="G1937" s="28" t="str">
        <f>IF($C1937=""," ",[1]!i_pq_pctchange($C1937,G$6,$N$1))</f>
        <v xml:space="preserve"> </v>
      </c>
      <c r="H1937" s="28" t="str">
        <f>IF($C1937=""," ",[1]!i_pq_pctchange($C1937,H$6,$N$1))</f>
        <v xml:space="preserve"> </v>
      </c>
      <c r="I1937" s="28" t="str">
        <f>IF($C1937=""," ",[1]!i_pq_pctchange($C1937,I$6,$N$1))</f>
        <v xml:space="preserve"> </v>
      </c>
      <c r="J1937" s="28" t="str">
        <f>IF($C1937=""," ",[1]!i_pq_pctchange($C1937,J$6,$N$1))</f>
        <v xml:space="preserve"> </v>
      </c>
      <c r="K1937" s="28" t="str">
        <f>IF($C1937=""," ",[1]!i_pq_pctchange($C1937,K$6,$N$1))</f>
        <v xml:space="preserve"> </v>
      </c>
      <c r="L1937" s="28" t="str">
        <f>IF(C1937=""," ",[1]!s_wq_pctchange($C1937,$N$1))</f>
        <v xml:space="preserve"> </v>
      </c>
      <c r="M1937" s="28" t="str">
        <f>IF(C1937=""," ",[1]!s_mq_pctchange($C1937,$N$1))</f>
        <v xml:space="preserve"> </v>
      </c>
      <c r="N1937" s="28" t="str">
        <f>IF(C1937=""," ",[1]!s_yq_pctchange($C1937,$N$1))</f>
        <v xml:space="preserve"> </v>
      </c>
      <c r="O1937" s="11"/>
      <c r="P1937" s="7"/>
    </row>
    <row r="1938" spans="1:16" x14ac:dyDescent="0.35">
      <c r="A1938" s="7"/>
      <c r="C1938" s="31" t="str">
        <f>IF(指数列表!B1935="","",指数列表!B1935)</f>
        <v/>
      </c>
      <c r="D1938" s="36" t="str">
        <f>IF(C1938="","",[1]!s_info_name(C1938))</f>
        <v/>
      </c>
      <c r="E1938" s="25" t="str">
        <f>IF(C1938="","",[1]!s_dq_close(C1938,$N$1))</f>
        <v/>
      </c>
      <c r="F1938" s="28" t="str">
        <f>IF($C1938=""," ",[1]!i_pq_pctchange($C1938,F$6,$N$1))</f>
        <v xml:space="preserve"> </v>
      </c>
      <c r="G1938" s="28" t="str">
        <f>IF($C1938=""," ",[1]!i_pq_pctchange($C1938,G$6,$N$1))</f>
        <v xml:space="preserve"> </v>
      </c>
      <c r="H1938" s="28" t="str">
        <f>IF($C1938=""," ",[1]!i_pq_pctchange($C1938,H$6,$N$1))</f>
        <v xml:space="preserve"> </v>
      </c>
      <c r="I1938" s="28" t="str">
        <f>IF($C1938=""," ",[1]!i_pq_pctchange($C1938,I$6,$N$1))</f>
        <v xml:space="preserve"> </v>
      </c>
      <c r="J1938" s="28" t="str">
        <f>IF($C1938=""," ",[1]!i_pq_pctchange($C1938,J$6,$N$1))</f>
        <v xml:space="preserve"> </v>
      </c>
      <c r="K1938" s="28" t="str">
        <f>IF($C1938=""," ",[1]!i_pq_pctchange($C1938,K$6,$N$1))</f>
        <v xml:space="preserve"> </v>
      </c>
      <c r="L1938" s="28" t="str">
        <f>IF(C1938=""," ",[1]!s_wq_pctchange($C1938,$N$1))</f>
        <v xml:space="preserve"> </v>
      </c>
      <c r="M1938" s="28" t="str">
        <f>IF(C1938=""," ",[1]!s_mq_pctchange($C1938,$N$1))</f>
        <v xml:space="preserve"> </v>
      </c>
      <c r="N1938" s="28" t="str">
        <f>IF(C1938=""," ",[1]!s_yq_pctchange($C1938,$N$1))</f>
        <v xml:space="preserve"> </v>
      </c>
      <c r="O1938" s="11"/>
      <c r="P1938" s="7"/>
    </row>
    <row r="1939" spans="1:16" x14ac:dyDescent="0.35">
      <c r="A1939" s="7"/>
      <c r="C1939" s="30" t="str">
        <f>IF(指数列表!B1936="","",指数列表!B1936)</f>
        <v/>
      </c>
      <c r="D1939" s="35" t="str">
        <f>IF(C1939="","",[1]!s_info_name(C1939))</f>
        <v/>
      </c>
      <c r="E1939" s="24" t="str">
        <f>IF(C1939="","",[1]!s_dq_close(C1939,$N$1))</f>
        <v/>
      </c>
      <c r="F1939" s="28" t="str">
        <f>IF($C1939=""," ",[1]!i_pq_pctchange($C1939,F$6,$N$1))</f>
        <v xml:space="preserve"> </v>
      </c>
      <c r="G1939" s="28" t="str">
        <f>IF($C1939=""," ",[1]!i_pq_pctchange($C1939,G$6,$N$1))</f>
        <v xml:space="preserve"> </v>
      </c>
      <c r="H1939" s="28" t="str">
        <f>IF($C1939=""," ",[1]!i_pq_pctchange($C1939,H$6,$N$1))</f>
        <v xml:space="preserve"> </v>
      </c>
      <c r="I1939" s="28" t="str">
        <f>IF($C1939=""," ",[1]!i_pq_pctchange($C1939,I$6,$N$1))</f>
        <v xml:space="preserve"> </v>
      </c>
      <c r="J1939" s="28" t="str">
        <f>IF($C1939=""," ",[1]!i_pq_pctchange($C1939,J$6,$N$1))</f>
        <v xml:space="preserve"> </v>
      </c>
      <c r="K1939" s="28" t="str">
        <f>IF($C1939=""," ",[1]!i_pq_pctchange($C1939,K$6,$N$1))</f>
        <v xml:space="preserve"> </v>
      </c>
      <c r="L1939" s="28" t="str">
        <f>IF(C1939=""," ",[1]!s_wq_pctchange($C1939,$N$1))</f>
        <v xml:space="preserve"> </v>
      </c>
      <c r="M1939" s="28" t="str">
        <f>IF(C1939=""," ",[1]!s_mq_pctchange($C1939,$N$1))</f>
        <v xml:space="preserve"> </v>
      </c>
      <c r="N1939" s="28" t="str">
        <f>IF(C1939=""," ",[1]!s_yq_pctchange($C1939,$N$1))</f>
        <v xml:space="preserve"> </v>
      </c>
      <c r="O1939" s="11"/>
      <c r="P1939" s="7"/>
    </row>
    <row r="1940" spans="1:16" x14ac:dyDescent="0.35">
      <c r="A1940" s="7"/>
      <c r="C1940" s="31" t="str">
        <f>IF(指数列表!B1937="","",指数列表!B1937)</f>
        <v/>
      </c>
      <c r="D1940" s="36" t="str">
        <f>IF(C1940="","",[1]!s_info_name(C1940))</f>
        <v/>
      </c>
      <c r="E1940" s="25" t="str">
        <f>IF(C1940="","",[1]!s_dq_close(C1940,$N$1))</f>
        <v/>
      </c>
      <c r="F1940" s="28" t="str">
        <f>IF($C1940=""," ",[1]!i_pq_pctchange($C1940,F$6,$N$1))</f>
        <v xml:space="preserve"> </v>
      </c>
      <c r="G1940" s="28" t="str">
        <f>IF($C1940=""," ",[1]!i_pq_pctchange($C1940,G$6,$N$1))</f>
        <v xml:space="preserve"> </v>
      </c>
      <c r="H1940" s="28" t="str">
        <f>IF($C1940=""," ",[1]!i_pq_pctchange($C1940,H$6,$N$1))</f>
        <v xml:space="preserve"> </v>
      </c>
      <c r="I1940" s="28" t="str">
        <f>IF($C1940=""," ",[1]!i_pq_pctchange($C1940,I$6,$N$1))</f>
        <v xml:space="preserve"> </v>
      </c>
      <c r="J1940" s="28" t="str">
        <f>IF($C1940=""," ",[1]!i_pq_pctchange($C1940,J$6,$N$1))</f>
        <v xml:space="preserve"> </v>
      </c>
      <c r="K1940" s="28" t="str">
        <f>IF($C1940=""," ",[1]!i_pq_pctchange($C1940,K$6,$N$1))</f>
        <v xml:space="preserve"> </v>
      </c>
      <c r="L1940" s="28" t="str">
        <f>IF(C1940=""," ",[1]!s_wq_pctchange($C1940,$N$1))</f>
        <v xml:space="preserve"> </v>
      </c>
      <c r="M1940" s="28" t="str">
        <f>IF(C1940=""," ",[1]!s_mq_pctchange($C1940,$N$1))</f>
        <v xml:space="preserve"> </v>
      </c>
      <c r="N1940" s="28" t="str">
        <f>IF(C1940=""," ",[1]!s_yq_pctchange($C1940,$N$1))</f>
        <v xml:space="preserve"> </v>
      </c>
      <c r="O1940" s="11"/>
      <c r="P1940" s="7"/>
    </row>
    <row r="1941" spans="1:16" x14ac:dyDescent="0.35">
      <c r="A1941" s="7"/>
      <c r="C1941" s="30" t="str">
        <f>IF(指数列表!B1938="","",指数列表!B1938)</f>
        <v/>
      </c>
      <c r="D1941" s="35" t="str">
        <f>IF(C1941="","",[1]!s_info_name(C1941))</f>
        <v/>
      </c>
      <c r="E1941" s="24" t="str">
        <f>IF(C1941="","",[1]!s_dq_close(C1941,$N$1))</f>
        <v/>
      </c>
      <c r="F1941" s="28" t="str">
        <f>IF($C1941=""," ",[1]!i_pq_pctchange($C1941,F$6,$N$1))</f>
        <v xml:space="preserve"> </v>
      </c>
      <c r="G1941" s="28" t="str">
        <f>IF($C1941=""," ",[1]!i_pq_pctchange($C1941,G$6,$N$1))</f>
        <v xml:space="preserve"> </v>
      </c>
      <c r="H1941" s="28" t="str">
        <f>IF($C1941=""," ",[1]!i_pq_pctchange($C1941,H$6,$N$1))</f>
        <v xml:space="preserve"> </v>
      </c>
      <c r="I1941" s="28" t="str">
        <f>IF($C1941=""," ",[1]!i_pq_pctchange($C1941,I$6,$N$1))</f>
        <v xml:space="preserve"> </v>
      </c>
      <c r="J1941" s="28" t="str">
        <f>IF($C1941=""," ",[1]!i_pq_pctchange($C1941,J$6,$N$1))</f>
        <v xml:space="preserve"> </v>
      </c>
      <c r="K1941" s="28" t="str">
        <f>IF($C1941=""," ",[1]!i_pq_pctchange($C1941,K$6,$N$1))</f>
        <v xml:space="preserve"> </v>
      </c>
      <c r="L1941" s="28" t="str">
        <f>IF(C1941=""," ",[1]!s_wq_pctchange($C1941,$N$1))</f>
        <v xml:space="preserve"> </v>
      </c>
      <c r="M1941" s="28" t="str">
        <f>IF(C1941=""," ",[1]!s_mq_pctchange($C1941,$N$1))</f>
        <v xml:space="preserve"> </v>
      </c>
      <c r="N1941" s="28" t="str">
        <f>IF(C1941=""," ",[1]!s_yq_pctchange($C1941,$N$1))</f>
        <v xml:space="preserve"> </v>
      </c>
      <c r="O1941" s="11"/>
      <c r="P1941" s="7"/>
    </row>
    <row r="1942" spans="1:16" x14ac:dyDescent="0.35">
      <c r="A1942" s="7"/>
      <c r="C1942" s="31" t="str">
        <f>IF(指数列表!B1939="","",指数列表!B1939)</f>
        <v/>
      </c>
      <c r="D1942" s="36" t="str">
        <f>IF(C1942="","",[1]!s_info_name(C1942))</f>
        <v/>
      </c>
      <c r="E1942" s="25" t="str">
        <f>IF(C1942="","",[1]!s_dq_close(C1942,$N$1))</f>
        <v/>
      </c>
      <c r="F1942" s="28" t="str">
        <f>IF($C1942=""," ",[1]!i_pq_pctchange($C1942,F$6,$N$1))</f>
        <v xml:space="preserve"> </v>
      </c>
      <c r="G1942" s="28" t="str">
        <f>IF($C1942=""," ",[1]!i_pq_pctchange($C1942,G$6,$N$1))</f>
        <v xml:space="preserve"> </v>
      </c>
      <c r="H1942" s="28" t="str">
        <f>IF($C1942=""," ",[1]!i_pq_pctchange($C1942,H$6,$N$1))</f>
        <v xml:space="preserve"> </v>
      </c>
      <c r="I1942" s="28" t="str">
        <f>IF($C1942=""," ",[1]!i_pq_pctchange($C1942,I$6,$N$1))</f>
        <v xml:space="preserve"> </v>
      </c>
      <c r="J1942" s="28" t="str">
        <f>IF($C1942=""," ",[1]!i_pq_pctchange($C1942,J$6,$N$1))</f>
        <v xml:space="preserve"> </v>
      </c>
      <c r="K1942" s="28" t="str">
        <f>IF($C1942=""," ",[1]!i_pq_pctchange($C1942,K$6,$N$1))</f>
        <v xml:space="preserve"> </v>
      </c>
      <c r="L1942" s="28" t="str">
        <f>IF(C1942=""," ",[1]!s_wq_pctchange($C1942,$N$1))</f>
        <v xml:space="preserve"> </v>
      </c>
      <c r="M1942" s="28" t="str">
        <f>IF(C1942=""," ",[1]!s_mq_pctchange($C1942,$N$1))</f>
        <v xml:space="preserve"> </v>
      </c>
      <c r="N1942" s="28" t="str">
        <f>IF(C1942=""," ",[1]!s_yq_pctchange($C1942,$N$1))</f>
        <v xml:space="preserve"> </v>
      </c>
      <c r="O1942" s="11"/>
      <c r="P1942" s="7"/>
    </row>
    <row r="1943" spans="1:16" x14ac:dyDescent="0.35">
      <c r="A1943" s="7"/>
      <c r="C1943" s="30" t="str">
        <f>IF(指数列表!B1940="","",指数列表!B1940)</f>
        <v/>
      </c>
      <c r="D1943" s="35" t="str">
        <f>IF(C1943="","",[1]!s_info_name(C1943))</f>
        <v/>
      </c>
      <c r="E1943" s="24" t="str">
        <f>IF(C1943="","",[1]!s_dq_close(C1943,$N$1))</f>
        <v/>
      </c>
      <c r="F1943" s="28" t="str">
        <f>IF($C1943=""," ",[1]!i_pq_pctchange($C1943,F$6,$N$1))</f>
        <v xml:space="preserve"> </v>
      </c>
      <c r="G1943" s="28" t="str">
        <f>IF($C1943=""," ",[1]!i_pq_pctchange($C1943,G$6,$N$1))</f>
        <v xml:space="preserve"> </v>
      </c>
      <c r="H1943" s="28" t="str">
        <f>IF($C1943=""," ",[1]!i_pq_pctchange($C1943,H$6,$N$1))</f>
        <v xml:space="preserve"> </v>
      </c>
      <c r="I1943" s="28" t="str">
        <f>IF($C1943=""," ",[1]!i_pq_pctchange($C1943,I$6,$N$1))</f>
        <v xml:space="preserve"> </v>
      </c>
      <c r="J1943" s="28" t="str">
        <f>IF($C1943=""," ",[1]!i_pq_pctchange($C1943,J$6,$N$1))</f>
        <v xml:space="preserve"> </v>
      </c>
      <c r="K1943" s="28" t="str">
        <f>IF($C1943=""," ",[1]!i_pq_pctchange($C1943,K$6,$N$1))</f>
        <v xml:space="preserve"> </v>
      </c>
      <c r="L1943" s="28" t="str">
        <f>IF(C1943=""," ",[1]!s_wq_pctchange($C1943,$N$1))</f>
        <v xml:space="preserve"> </v>
      </c>
      <c r="M1943" s="28" t="str">
        <f>IF(C1943=""," ",[1]!s_mq_pctchange($C1943,$N$1))</f>
        <v xml:space="preserve"> </v>
      </c>
      <c r="N1943" s="28" t="str">
        <f>IF(C1943=""," ",[1]!s_yq_pctchange($C1943,$N$1))</f>
        <v xml:space="preserve"> </v>
      </c>
      <c r="O1943" s="11"/>
      <c r="P1943" s="7"/>
    </row>
    <row r="1944" spans="1:16" x14ac:dyDescent="0.35">
      <c r="A1944" s="7"/>
      <c r="C1944" s="31" t="str">
        <f>IF(指数列表!B1941="","",指数列表!B1941)</f>
        <v/>
      </c>
      <c r="D1944" s="36" t="str">
        <f>IF(C1944="","",[1]!s_info_name(C1944))</f>
        <v/>
      </c>
      <c r="E1944" s="25" t="str">
        <f>IF(C1944="","",[1]!s_dq_close(C1944,$N$1))</f>
        <v/>
      </c>
      <c r="F1944" s="28" t="str">
        <f>IF($C1944=""," ",[1]!i_pq_pctchange($C1944,F$6,$N$1))</f>
        <v xml:space="preserve"> </v>
      </c>
      <c r="G1944" s="28" t="str">
        <f>IF($C1944=""," ",[1]!i_pq_pctchange($C1944,G$6,$N$1))</f>
        <v xml:space="preserve"> </v>
      </c>
      <c r="H1944" s="28" t="str">
        <f>IF($C1944=""," ",[1]!i_pq_pctchange($C1944,H$6,$N$1))</f>
        <v xml:space="preserve"> </v>
      </c>
      <c r="I1944" s="28" t="str">
        <f>IF($C1944=""," ",[1]!i_pq_pctchange($C1944,I$6,$N$1))</f>
        <v xml:space="preserve"> </v>
      </c>
      <c r="J1944" s="28" t="str">
        <f>IF($C1944=""," ",[1]!i_pq_pctchange($C1944,J$6,$N$1))</f>
        <v xml:space="preserve"> </v>
      </c>
      <c r="K1944" s="28" t="str">
        <f>IF($C1944=""," ",[1]!i_pq_pctchange($C1944,K$6,$N$1))</f>
        <v xml:space="preserve"> </v>
      </c>
      <c r="L1944" s="28" t="str">
        <f>IF(C1944=""," ",[1]!s_wq_pctchange($C1944,$N$1))</f>
        <v xml:space="preserve"> </v>
      </c>
      <c r="M1944" s="28" t="str">
        <f>IF(C1944=""," ",[1]!s_mq_pctchange($C1944,$N$1))</f>
        <v xml:space="preserve"> </v>
      </c>
      <c r="N1944" s="28" t="str">
        <f>IF(C1944=""," ",[1]!s_yq_pctchange($C1944,$N$1))</f>
        <v xml:space="preserve"> </v>
      </c>
      <c r="O1944" s="11"/>
      <c r="P1944" s="7"/>
    </row>
    <row r="1945" spans="1:16" x14ac:dyDescent="0.35">
      <c r="A1945" s="7"/>
      <c r="C1945" s="30" t="str">
        <f>IF(指数列表!B1942="","",指数列表!B1942)</f>
        <v/>
      </c>
      <c r="D1945" s="35" t="str">
        <f>IF(C1945="","",[1]!s_info_name(C1945))</f>
        <v/>
      </c>
      <c r="E1945" s="24" t="str">
        <f>IF(C1945="","",[1]!s_dq_close(C1945,$N$1))</f>
        <v/>
      </c>
      <c r="F1945" s="28" t="str">
        <f>IF($C1945=""," ",[1]!i_pq_pctchange($C1945,F$6,$N$1))</f>
        <v xml:space="preserve"> </v>
      </c>
      <c r="G1945" s="28" t="str">
        <f>IF($C1945=""," ",[1]!i_pq_pctchange($C1945,G$6,$N$1))</f>
        <v xml:space="preserve"> </v>
      </c>
      <c r="H1945" s="28" t="str">
        <f>IF($C1945=""," ",[1]!i_pq_pctchange($C1945,H$6,$N$1))</f>
        <v xml:space="preserve"> </v>
      </c>
      <c r="I1945" s="28" t="str">
        <f>IF($C1945=""," ",[1]!i_pq_pctchange($C1945,I$6,$N$1))</f>
        <v xml:space="preserve"> </v>
      </c>
      <c r="J1945" s="28" t="str">
        <f>IF($C1945=""," ",[1]!i_pq_pctchange($C1945,J$6,$N$1))</f>
        <v xml:space="preserve"> </v>
      </c>
      <c r="K1945" s="28" t="str">
        <f>IF($C1945=""," ",[1]!i_pq_pctchange($C1945,K$6,$N$1))</f>
        <v xml:space="preserve"> </v>
      </c>
      <c r="L1945" s="28" t="str">
        <f>IF(C1945=""," ",[1]!s_wq_pctchange($C1945,$N$1))</f>
        <v xml:space="preserve"> </v>
      </c>
      <c r="M1945" s="28" t="str">
        <f>IF(C1945=""," ",[1]!s_mq_pctchange($C1945,$N$1))</f>
        <v xml:space="preserve"> </v>
      </c>
      <c r="N1945" s="28" t="str">
        <f>IF(C1945=""," ",[1]!s_yq_pctchange($C1945,$N$1))</f>
        <v xml:space="preserve"> </v>
      </c>
      <c r="O1945" s="11"/>
      <c r="P1945" s="7"/>
    </row>
    <row r="1946" spans="1:16" x14ac:dyDescent="0.35">
      <c r="A1946" s="7"/>
      <c r="C1946" s="31" t="str">
        <f>IF(指数列表!B1943="","",指数列表!B1943)</f>
        <v/>
      </c>
      <c r="D1946" s="36" t="str">
        <f>IF(C1946="","",[1]!s_info_name(C1946))</f>
        <v/>
      </c>
      <c r="E1946" s="25" t="str">
        <f>IF(C1946="","",[1]!s_dq_close(C1946,$N$1))</f>
        <v/>
      </c>
      <c r="F1946" s="28" t="str">
        <f>IF($C1946=""," ",[1]!i_pq_pctchange($C1946,F$6,$N$1))</f>
        <v xml:space="preserve"> </v>
      </c>
      <c r="G1946" s="28" t="str">
        <f>IF($C1946=""," ",[1]!i_pq_pctchange($C1946,G$6,$N$1))</f>
        <v xml:space="preserve"> </v>
      </c>
      <c r="H1946" s="28" t="str">
        <f>IF($C1946=""," ",[1]!i_pq_pctchange($C1946,H$6,$N$1))</f>
        <v xml:space="preserve"> </v>
      </c>
      <c r="I1946" s="28" t="str">
        <f>IF($C1946=""," ",[1]!i_pq_pctchange($C1946,I$6,$N$1))</f>
        <v xml:space="preserve"> </v>
      </c>
      <c r="J1946" s="28" t="str">
        <f>IF($C1946=""," ",[1]!i_pq_pctchange($C1946,J$6,$N$1))</f>
        <v xml:space="preserve"> </v>
      </c>
      <c r="K1946" s="28" t="str">
        <f>IF($C1946=""," ",[1]!i_pq_pctchange($C1946,K$6,$N$1))</f>
        <v xml:space="preserve"> </v>
      </c>
      <c r="L1946" s="28" t="str">
        <f>IF(C1946=""," ",[1]!s_wq_pctchange($C1946,$N$1))</f>
        <v xml:space="preserve"> </v>
      </c>
      <c r="M1946" s="28" t="str">
        <f>IF(C1946=""," ",[1]!s_mq_pctchange($C1946,$N$1))</f>
        <v xml:space="preserve"> </v>
      </c>
      <c r="N1946" s="28" t="str">
        <f>IF(C1946=""," ",[1]!s_yq_pctchange($C1946,$N$1))</f>
        <v xml:space="preserve"> </v>
      </c>
      <c r="O1946" s="11"/>
      <c r="P1946" s="7"/>
    </row>
    <row r="1947" spans="1:16" x14ac:dyDescent="0.35">
      <c r="A1947" s="7"/>
      <c r="C1947" s="30" t="str">
        <f>IF(指数列表!B1944="","",指数列表!B1944)</f>
        <v/>
      </c>
      <c r="D1947" s="35" t="str">
        <f>IF(C1947="","",[1]!s_info_name(C1947))</f>
        <v/>
      </c>
      <c r="E1947" s="24" t="str">
        <f>IF(C1947="","",[1]!s_dq_close(C1947,$N$1))</f>
        <v/>
      </c>
      <c r="F1947" s="28" t="str">
        <f>IF($C1947=""," ",[1]!i_pq_pctchange($C1947,F$6,$N$1))</f>
        <v xml:space="preserve"> </v>
      </c>
      <c r="G1947" s="28" t="str">
        <f>IF($C1947=""," ",[1]!i_pq_pctchange($C1947,G$6,$N$1))</f>
        <v xml:space="preserve"> </v>
      </c>
      <c r="H1947" s="28" t="str">
        <f>IF($C1947=""," ",[1]!i_pq_pctchange($C1947,H$6,$N$1))</f>
        <v xml:space="preserve"> </v>
      </c>
      <c r="I1947" s="28" t="str">
        <f>IF($C1947=""," ",[1]!i_pq_pctchange($C1947,I$6,$N$1))</f>
        <v xml:space="preserve"> </v>
      </c>
      <c r="J1947" s="28" t="str">
        <f>IF($C1947=""," ",[1]!i_pq_pctchange($C1947,J$6,$N$1))</f>
        <v xml:space="preserve"> </v>
      </c>
      <c r="K1947" s="28" t="str">
        <f>IF($C1947=""," ",[1]!i_pq_pctchange($C1947,K$6,$N$1))</f>
        <v xml:space="preserve"> </v>
      </c>
      <c r="L1947" s="28" t="str">
        <f>IF(C1947=""," ",[1]!s_wq_pctchange($C1947,$N$1))</f>
        <v xml:space="preserve"> </v>
      </c>
      <c r="M1947" s="28" t="str">
        <f>IF(C1947=""," ",[1]!s_mq_pctchange($C1947,$N$1))</f>
        <v xml:space="preserve"> </v>
      </c>
      <c r="N1947" s="28" t="str">
        <f>IF(C1947=""," ",[1]!s_yq_pctchange($C1947,$N$1))</f>
        <v xml:space="preserve"> </v>
      </c>
      <c r="O1947" s="11"/>
      <c r="P1947" s="7"/>
    </row>
    <row r="1948" spans="1:16" x14ac:dyDescent="0.35">
      <c r="A1948" s="7"/>
      <c r="C1948" s="31" t="str">
        <f>IF(指数列表!B1945="","",指数列表!B1945)</f>
        <v/>
      </c>
      <c r="D1948" s="36" t="str">
        <f>IF(C1948="","",[1]!s_info_name(C1948))</f>
        <v/>
      </c>
      <c r="E1948" s="25" t="str">
        <f>IF(C1948="","",[1]!s_dq_close(C1948,$N$1))</f>
        <v/>
      </c>
      <c r="F1948" s="28" t="str">
        <f>IF($C1948=""," ",[1]!i_pq_pctchange($C1948,F$6,$N$1))</f>
        <v xml:space="preserve"> </v>
      </c>
      <c r="G1948" s="28" t="str">
        <f>IF($C1948=""," ",[1]!i_pq_pctchange($C1948,G$6,$N$1))</f>
        <v xml:space="preserve"> </v>
      </c>
      <c r="H1948" s="28" t="str">
        <f>IF($C1948=""," ",[1]!i_pq_pctchange($C1948,H$6,$N$1))</f>
        <v xml:space="preserve"> </v>
      </c>
      <c r="I1948" s="28" t="str">
        <f>IF($C1948=""," ",[1]!i_pq_pctchange($C1948,I$6,$N$1))</f>
        <v xml:space="preserve"> </v>
      </c>
      <c r="J1948" s="28" t="str">
        <f>IF($C1948=""," ",[1]!i_pq_pctchange($C1948,J$6,$N$1))</f>
        <v xml:space="preserve"> </v>
      </c>
      <c r="K1948" s="28" t="str">
        <f>IF($C1948=""," ",[1]!i_pq_pctchange($C1948,K$6,$N$1))</f>
        <v xml:space="preserve"> </v>
      </c>
      <c r="L1948" s="28" t="str">
        <f>IF(C1948=""," ",[1]!s_wq_pctchange($C1948,$N$1))</f>
        <v xml:space="preserve"> </v>
      </c>
      <c r="M1948" s="28" t="str">
        <f>IF(C1948=""," ",[1]!s_mq_pctchange($C1948,$N$1))</f>
        <v xml:space="preserve"> </v>
      </c>
      <c r="N1948" s="28" t="str">
        <f>IF(C1948=""," ",[1]!s_yq_pctchange($C1948,$N$1))</f>
        <v xml:space="preserve"> </v>
      </c>
      <c r="O1948" s="11"/>
      <c r="P1948" s="7"/>
    </row>
    <row r="1949" spans="1:16" x14ac:dyDescent="0.35">
      <c r="A1949" s="7"/>
      <c r="C1949" s="30" t="str">
        <f>IF(指数列表!B1946="","",指数列表!B1946)</f>
        <v/>
      </c>
      <c r="D1949" s="35" t="str">
        <f>IF(C1949="","",[1]!s_info_name(C1949))</f>
        <v/>
      </c>
      <c r="E1949" s="24" t="str">
        <f>IF(C1949="","",[1]!s_dq_close(C1949,$N$1))</f>
        <v/>
      </c>
      <c r="F1949" s="28" t="str">
        <f>IF($C1949=""," ",[1]!i_pq_pctchange($C1949,F$6,$N$1))</f>
        <v xml:space="preserve"> </v>
      </c>
      <c r="G1949" s="28" t="str">
        <f>IF($C1949=""," ",[1]!i_pq_pctchange($C1949,G$6,$N$1))</f>
        <v xml:space="preserve"> </v>
      </c>
      <c r="H1949" s="28" t="str">
        <f>IF($C1949=""," ",[1]!i_pq_pctchange($C1949,H$6,$N$1))</f>
        <v xml:space="preserve"> </v>
      </c>
      <c r="I1949" s="28" t="str">
        <f>IF($C1949=""," ",[1]!i_pq_pctchange($C1949,I$6,$N$1))</f>
        <v xml:space="preserve"> </v>
      </c>
      <c r="J1949" s="28" t="str">
        <f>IF($C1949=""," ",[1]!i_pq_pctchange($C1949,J$6,$N$1))</f>
        <v xml:space="preserve"> </v>
      </c>
      <c r="K1949" s="28" t="str">
        <f>IF($C1949=""," ",[1]!i_pq_pctchange($C1949,K$6,$N$1))</f>
        <v xml:space="preserve"> </v>
      </c>
      <c r="L1949" s="28" t="str">
        <f>IF(C1949=""," ",[1]!s_wq_pctchange($C1949,$N$1))</f>
        <v xml:space="preserve"> </v>
      </c>
      <c r="M1949" s="28" t="str">
        <f>IF(C1949=""," ",[1]!s_mq_pctchange($C1949,$N$1))</f>
        <v xml:space="preserve"> </v>
      </c>
      <c r="N1949" s="28" t="str">
        <f>IF(C1949=""," ",[1]!s_yq_pctchange($C1949,$N$1))</f>
        <v xml:space="preserve"> </v>
      </c>
      <c r="O1949" s="11"/>
      <c r="P1949" s="7"/>
    </row>
    <row r="1950" spans="1:16" x14ac:dyDescent="0.35">
      <c r="A1950" s="7"/>
      <c r="C1950" s="31" t="str">
        <f>IF(指数列表!B1947="","",指数列表!B1947)</f>
        <v/>
      </c>
      <c r="D1950" s="36" t="str">
        <f>IF(C1950="","",[1]!s_info_name(C1950))</f>
        <v/>
      </c>
      <c r="E1950" s="25" t="str">
        <f>IF(C1950="","",[1]!s_dq_close(C1950,$N$1))</f>
        <v/>
      </c>
      <c r="F1950" s="28" t="str">
        <f>IF($C1950=""," ",[1]!i_pq_pctchange($C1950,F$6,$N$1))</f>
        <v xml:space="preserve"> </v>
      </c>
      <c r="G1950" s="28" t="str">
        <f>IF($C1950=""," ",[1]!i_pq_pctchange($C1950,G$6,$N$1))</f>
        <v xml:space="preserve"> </v>
      </c>
      <c r="H1950" s="28" t="str">
        <f>IF($C1950=""," ",[1]!i_pq_pctchange($C1950,H$6,$N$1))</f>
        <v xml:space="preserve"> </v>
      </c>
      <c r="I1950" s="28" t="str">
        <f>IF($C1950=""," ",[1]!i_pq_pctchange($C1950,I$6,$N$1))</f>
        <v xml:space="preserve"> </v>
      </c>
      <c r="J1950" s="28" t="str">
        <f>IF($C1950=""," ",[1]!i_pq_pctchange($C1950,J$6,$N$1))</f>
        <v xml:space="preserve"> </v>
      </c>
      <c r="K1950" s="28" t="str">
        <f>IF($C1950=""," ",[1]!i_pq_pctchange($C1950,K$6,$N$1))</f>
        <v xml:space="preserve"> </v>
      </c>
      <c r="L1950" s="28" t="str">
        <f>IF(C1950=""," ",[1]!s_wq_pctchange($C1950,$N$1))</f>
        <v xml:space="preserve"> </v>
      </c>
      <c r="M1950" s="28" t="str">
        <f>IF(C1950=""," ",[1]!s_mq_pctchange($C1950,$N$1))</f>
        <v xml:space="preserve"> </v>
      </c>
      <c r="N1950" s="28" t="str">
        <f>IF(C1950=""," ",[1]!s_yq_pctchange($C1950,$N$1))</f>
        <v xml:space="preserve"> </v>
      </c>
      <c r="O1950" s="11"/>
      <c r="P1950" s="7"/>
    </row>
    <row r="1951" spans="1:16" x14ac:dyDescent="0.35">
      <c r="A1951" s="7"/>
      <c r="C1951" s="30" t="str">
        <f>IF(指数列表!B1948="","",指数列表!B1948)</f>
        <v/>
      </c>
      <c r="D1951" s="35" t="str">
        <f>IF(C1951="","",[1]!s_info_name(C1951))</f>
        <v/>
      </c>
      <c r="E1951" s="24" t="str">
        <f>IF(C1951="","",[1]!s_dq_close(C1951,$N$1))</f>
        <v/>
      </c>
      <c r="F1951" s="28" t="str">
        <f>IF($C1951=""," ",[1]!i_pq_pctchange($C1951,F$6,$N$1))</f>
        <v xml:space="preserve"> </v>
      </c>
      <c r="G1951" s="28" t="str">
        <f>IF($C1951=""," ",[1]!i_pq_pctchange($C1951,G$6,$N$1))</f>
        <v xml:space="preserve"> </v>
      </c>
      <c r="H1951" s="28" t="str">
        <f>IF($C1951=""," ",[1]!i_pq_pctchange($C1951,H$6,$N$1))</f>
        <v xml:space="preserve"> </v>
      </c>
      <c r="I1951" s="28" t="str">
        <f>IF($C1951=""," ",[1]!i_pq_pctchange($C1951,I$6,$N$1))</f>
        <v xml:space="preserve"> </v>
      </c>
      <c r="J1951" s="28" t="str">
        <f>IF($C1951=""," ",[1]!i_pq_pctchange($C1951,J$6,$N$1))</f>
        <v xml:space="preserve"> </v>
      </c>
      <c r="K1951" s="28" t="str">
        <f>IF($C1951=""," ",[1]!i_pq_pctchange($C1951,K$6,$N$1))</f>
        <v xml:space="preserve"> </v>
      </c>
      <c r="L1951" s="28" t="str">
        <f>IF(C1951=""," ",[1]!s_wq_pctchange($C1951,$N$1))</f>
        <v xml:space="preserve"> </v>
      </c>
      <c r="M1951" s="28" t="str">
        <f>IF(C1951=""," ",[1]!s_mq_pctchange($C1951,$N$1))</f>
        <v xml:space="preserve"> </v>
      </c>
      <c r="N1951" s="28" t="str">
        <f>IF(C1951=""," ",[1]!s_yq_pctchange($C1951,$N$1))</f>
        <v xml:space="preserve"> </v>
      </c>
      <c r="O1951" s="11"/>
      <c r="P1951" s="7"/>
    </row>
    <row r="1952" spans="1:16" x14ac:dyDescent="0.35">
      <c r="A1952" s="7"/>
      <c r="C1952" s="31" t="str">
        <f>IF(指数列表!B1949="","",指数列表!B1949)</f>
        <v/>
      </c>
      <c r="D1952" s="36" t="str">
        <f>IF(C1952="","",[1]!s_info_name(C1952))</f>
        <v/>
      </c>
      <c r="E1952" s="25" t="str">
        <f>IF(C1952="","",[1]!s_dq_close(C1952,$N$1))</f>
        <v/>
      </c>
      <c r="F1952" s="28" t="str">
        <f>IF($C1952=""," ",[1]!i_pq_pctchange($C1952,F$6,$N$1))</f>
        <v xml:space="preserve"> </v>
      </c>
      <c r="G1952" s="28" t="str">
        <f>IF($C1952=""," ",[1]!i_pq_pctchange($C1952,G$6,$N$1))</f>
        <v xml:space="preserve"> </v>
      </c>
      <c r="H1952" s="28" t="str">
        <f>IF($C1952=""," ",[1]!i_pq_pctchange($C1952,H$6,$N$1))</f>
        <v xml:space="preserve"> </v>
      </c>
      <c r="I1952" s="28" t="str">
        <f>IF($C1952=""," ",[1]!i_pq_pctchange($C1952,I$6,$N$1))</f>
        <v xml:space="preserve"> </v>
      </c>
      <c r="J1952" s="28" t="str">
        <f>IF($C1952=""," ",[1]!i_pq_pctchange($C1952,J$6,$N$1))</f>
        <v xml:space="preserve"> </v>
      </c>
      <c r="K1952" s="28" t="str">
        <f>IF($C1952=""," ",[1]!i_pq_pctchange($C1952,K$6,$N$1))</f>
        <v xml:space="preserve"> </v>
      </c>
      <c r="L1952" s="28" t="str">
        <f>IF(C1952=""," ",[1]!s_wq_pctchange($C1952,$N$1))</f>
        <v xml:space="preserve"> </v>
      </c>
      <c r="M1952" s="28" t="str">
        <f>IF(C1952=""," ",[1]!s_mq_pctchange($C1952,$N$1))</f>
        <v xml:space="preserve"> </v>
      </c>
      <c r="N1952" s="28" t="str">
        <f>IF(C1952=""," ",[1]!s_yq_pctchange($C1952,$N$1))</f>
        <v xml:space="preserve"> </v>
      </c>
      <c r="O1952" s="11"/>
      <c r="P1952" s="7"/>
    </row>
    <row r="1953" spans="1:16" x14ac:dyDescent="0.35">
      <c r="A1953" s="7"/>
      <c r="C1953" s="30" t="str">
        <f>IF(指数列表!B1950="","",指数列表!B1950)</f>
        <v/>
      </c>
      <c r="D1953" s="35" t="str">
        <f>IF(C1953="","",[1]!s_info_name(C1953))</f>
        <v/>
      </c>
      <c r="E1953" s="24" t="str">
        <f>IF(C1953="","",[1]!s_dq_close(C1953,$N$1))</f>
        <v/>
      </c>
      <c r="F1953" s="28" t="str">
        <f>IF($C1953=""," ",[1]!i_pq_pctchange($C1953,F$6,$N$1))</f>
        <v xml:space="preserve"> </v>
      </c>
      <c r="G1953" s="28" t="str">
        <f>IF($C1953=""," ",[1]!i_pq_pctchange($C1953,G$6,$N$1))</f>
        <v xml:space="preserve"> </v>
      </c>
      <c r="H1953" s="28" t="str">
        <f>IF($C1953=""," ",[1]!i_pq_pctchange($C1953,H$6,$N$1))</f>
        <v xml:space="preserve"> </v>
      </c>
      <c r="I1953" s="28" t="str">
        <f>IF($C1953=""," ",[1]!i_pq_pctchange($C1953,I$6,$N$1))</f>
        <v xml:space="preserve"> </v>
      </c>
      <c r="J1953" s="28" t="str">
        <f>IF($C1953=""," ",[1]!i_pq_pctchange($C1953,J$6,$N$1))</f>
        <v xml:space="preserve"> </v>
      </c>
      <c r="K1953" s="28" t="str">
        <f>IF($C1953=""," ",[1]!i_pq_pctchange($C1953,K$6,$N$1))</f>
        <v xml:space="preserve"> </v>
      </c>
      <c r="L1953" s="28" t="str">
        <f>IF(C1953=""," ",[1]!s_wq_pctchange($C1953,$N$1))</f>
        <v xml:space="preserve"> </v>
      </c>
      <c r="M1953" s="28" t="str">
        <f>IF(C1953=""," ",[1]!s_mq_pctchange($C1953,$N$1))</f>
        <v xml:space="preserve"> </v>
      </c>
      <c r="N1953" s="28" t="str">
        <f>IF(C1953=""," ",[1]!s_yq_pctchange($C1953,$N$1))</f>
        <v xml:space="preserve"> </v>
      </c>
      <c r="O1953" s="11"/>
      <c r="P1953" s="7"/>
    </row>
    <row r="1954" spans="1:16" x14ac:dyDescent="0.35">
      <c r="A1954" s="7"/>
      <c r="C1954" s="31" t="str">
        <f>IF(指数列表!B1951="","",指数列表!B1951)</f>
        <v/>
      </c>
      <c r="D1954" s="36" t="str">
        <f>IF(C1954="","",[1]!s_info_name(C1954))</f>
        <v/>
      </c>
      <c r="E1954" s="25" t="str">
        <f>IF(C1954="","",[1]!s_dq_close(C1954,$N$1))</f>
        <v/>
      </c>
      <c r="F1954" s="28" t="str">
        <f>IF($C1954=""," ",[1]!i_pq_pctchange($C1954,F$6,$N$1))</f>
        <v xml:space="preserve"> </v>
      </c>
      <c r="G1954" s="28" t="str">
        <f>IF($C1954=""," ",[1]!i_pq_pctchange($C1954,G$6,$N$1))</f>
        <v xml:space="preserve"> </v>
      </c>
      <c r="H1954" s="28" t="str">
        <f>IF($C1954=""," ",[1]!i_pq_pctchange($C1954,H$6,$N$1))</f>
        <v xml:space="preserve"> </v>
      </c>
      <c r="I1954" s="28" t="str">
        <f>IF($C1954=""," ",[1]!i_pq_pctchange($C1954,I$6,$N$1))</f>
        <v xml:space="preserve"> </v>
      </c>
      <c r="J1954" s="28" t="str">
        <f>IF($C1954=""," ",[1]!i_pq_pctchange($C1954,J$6,$N$1))</f>
        <v xml:space="preserve"> </v>
      </c>
      <c r="K1954" s="28" t="str">
        <f>IF($C1954=""," ",[1]!i_pq_pctchange($C1954,K$6,$N$1))</f>
        <v xml:space="preserve"> </v>
      </c>
      <c r="L1954" s="28" t="str">
        <f>IF(C1954=""," ",[1]!s_wq_pctchange($C1954,$N$1))</f>
        <v xml:space="preserve"> </v>
      </c>
      <c r="M1954" s="28" t="str">
        <f>IF(C1954=""," ",[1]!s_mq_pctchange($C1954,$N$1))</f>
        <v xml:space="preserve"> </v>
      </c>
      <c r="N1954" s="28" t="str">
        <f>IF(C1954=""," ",[1]!s_yq_pctchange($C1954,$N$1))</f>
        <v xml:space="preserve"> </v>
      </c>
      <c r="O1954" s="11"/>
      <c r="P1954" s="7"/>
    </row>
    <row r="1955" spans="1:16" x14ac:dyDescent="0.35">
      <c r="A1955" s="7"/>
      <c r="C1955" s="30" t="str">
        <f>IF(指数列表!B1952="","",指数列表!B1952)</f>
        <v/>
      </c>
      <c r="D1955" s="35" t="str">
        <f>IF(C1955="","",[1]!s_info_name(C1955))</f>
        <v/>
      </c>
      <c r="E1955" s="24" t="str">
        <f>IF(C1955="","",[1]!s_dq_close(C1955,$N$1))</f>
        <v/>
      </c>
      <c r="F1955" s="28" t="str">
        <f>IF($C1955=""," ",[1]!i_pq_pctchange($C1955,F$6,$N$1))</f>
        <v xml:space="preserve"> </v>
      </c>
      <c r="G1955" s="28" t="str">
        <f>IF($C1955=""," ",[1]!i_pq_pctchange($C1955,G$6,$N$1))</f>
        <v xml:space="preserve"> </v>
      </c>
      <c r="H1955" s="28" t="str">
        <f>IF($C1955=""," ",[1]!i_pq_pctchange($C1955,H$6,$N$1))</f>
        <v xml:space="preserve"> </v>
      </c>
      <c r="I1955" s="28" t="str">
        <f>IF($C1955=""," ",[1]!i_pq_pctchange($C1955,I$6,$N$1))</f>
        <v xml:space="preserve"> </v>
      </c>
      <c r="J1955" s="28" t="str">
        <f>IF($C1955=""," ",[1]!i_pq_pctchange($C1955,J$6,$N$1))</f>
        <v xml:space="preserve"> </v>
      </c>
      <c r="K1955" s="28" t="str">
        <f>IF($C1955=""," ",[1]!i_pq_pctchange($C1955,K$6,$N$1))</f>
        <v xml:space="preserve"> </v>
      </c>
      <c r="L1955" s="28" t="str">
        <f>IF(C1955=""," ",[1]!s_wq_pctchange($C1955,$N$1))</f>
        <v xml:space="preserve"> </v>
      </c>
      <c r="M1955" s="28" t="str">
        <f>IF(C1955=""," ",[1]!s_mq_pctchange($C1955,$N$1))</f>
        <v xml:space="preserve"> </v>
      </c>
      <c r="N1955" s="28" t="str">
        <f>IF(C1955=""," ",[1]!s_yq_pctchange($C1955,$N$1))</f>
        <v xml:space="preserve"> </v>
      </c>
      <c r="O1955" s="11"/>
      <c r="P1955" s="7"/>
    </row>
    <row r="1956" spans="1:16" x14ac:dyDescent="0.35">
      <c r="A1956" s="7"/>
      <c r="C1956" s="31" t="str">
        <f>IF(指数列表!B1953="","",指数列表!B1953)</f>
        <v/>
      </c>
      <c r="D1956" s="36" t="str">
        <f>IF(C1956="","",[1]!s_info_name(C1956))</f>
        <v/>
      </c>
      <c r="E1956" s="25" t="str">
        <f>IF(C1956="","",[1]!s_dq_close(C1956,$N$1))</f>
        <v/>
      </c>
      <c r="F1956" s="28" t="str">
        <f>IF($C1956=""," ",[1]!i_pq_pctchange($C1956,F$6,$N$1))</f>
        <v xml:space="preserve"> </v>
      </c>
      <c r="G1956" s="28" t="str">
        <f>IF($C1956=""," ",[1]!i_pq_pctchange($C1956,G$6,$N$1))</f>
        <v xml:space="preserve"> </v>
      </c>
      <c r="H1956" s="28" t="str">
        <f>IF($C1956=""," ",[1]!i_pq_pctchange($C1956,H$6,$N$1))</f>
        <v xml:space="preserve"> </v>
      </c>
      <c r="I1956" s="28" t="str">
        <f>IF($C1956=""," ",[1]!i_pq_pctchange($C1956,I$6,$N$1))</f>
        <v xml:space="preserve"> </v>
      </c>
      <c r="J1956" s="28" t="str">
        <f>IF($C1956=""," ",[1]!i_pq_pctchange($C1956,J$6,$N$1))</f>
        <v xml:space="preserve"> </v>
      </c>
      <c r="K1956" s="28" t="str">
        <f>IF($C1956=""," ",[1]!i_pq_pctchange($C1956,K$6,$N$1))</f>
        <v xml:space="preserve"> </v>
      </c>
      <c r="L1956" s="28" t="str">
        <f>IF(C1956=""," ",[1]!s_wq_pctchange($C1956,$N$1))</f>
        <v xml:space="preserve"> </v>
      </c>
      <c r="M1956" s="28" t="str">
        <f>IF(C1956=""," ",[1]!s_mq_pctchange($C1956,$N$1))</f>
        <v xml:space="preserve"> </v>
      </c>
      <c r="N1956" s="28" t="str">
        <f>IF(C1956=""," ",[1]!s_yq_pctchange($C1956,$N$1))</f>
        <v xml:space="preserve"> </v>
      </c>
      <c r="O1956" s="11"/>
      <c r="P1956" s="7"/>
    </row>
    <row r="1957" spans="1:16" x14ac:dyDescent="0.35">
      <c r="A1957" s="7"/>
      <c r="C1957" s="30" t="str">
        <f>IF(指数列表!B1954="","",指数列表!B1954)</f>
        <v/>
      </c>
      <c r="D1957" s="35" t="str">
        <f>IF(C1957="","",[1]!s_info_name(C1957))</f>
        <v/>
      </c>
      <c r="E1957" s="24" t="str">
        <f>IF(C1957="","",[1]!s_dq_close(C1957,$N$1))</f>
        <v/>
      </c>
      <c r="F1957" s="28" t="str">
        <f>IF($C1957=""," ",[1]!i_pq_pctchange($C1957,F$6,$N$1))</f>
        <v xml:space="preserve"> </v>
      </c>
      <c r="G1957" s="28" t="str">
        <f>IF($C1957=""," ",[1]!i_pq_pctchange($C1957,G$6,$N$1))</f>
        <v xml:space="preserve"> </v>
      </c>
      <c r="H1957" s="28" t="str">
        <f>IF($C1957=""," ",[1]!i_pq_pctchange($C1957,H$6,$N$1))</f>
        <v xml:space="preserve"> </v>
      </c>
      <c r="I1957" s="28" t="str">
        <f>IF($C1957=""," ",[1]!i_pq_pctchange($C1957,I$6,$N$1))</f>
        <v xml:space="preserve"> </v>
      </c>
      <c r="J1957" s="28" t="str">
        <f>IF($C1957=""," ",[1]!i_pq_pctchange($C1957,J$6,$N$1))</f>
        <v xml:space="preserve"> </v>
      </c>
      <c r="K1957" s="28" t="str">
        <f>IF($C1957=""," ",[1]!i_pq_pctchange($C1957,K$6,$N$1))</f>
        <v xml:space="preserve"> </v>
      </c>
      <c r="L1957" s="28" t="str">
        <f>IF(C1957=""," ",[1]!s_wq_pctchange($C1957,$N$1))</f>
        <v xml:space="preserve"> </v>
      </c>
      <c r="M1957" s="28" t="str">
        <f>IF(C1957=""," ",[1]!s_mq_pctchange($C1957,$N$1))</f>
        <v xml:space="preserve"> </v>
      </c>
      <c r="N1957" s="28" t="str">
        <f>IF(C1957=""," ",[1]!s_yq_pctchange($C1957,$N$1))</f>
        <v xml:space="preserve"> </v>
      </c>
      <c r="O1957" s="11"/>
      <c r="P1957" s="7"/>
    </row>
    <row r="1958" spans="1:16" x14ac:dyDescent="0.35">
      <c r="A1958" s="7"/>
      <c r="C1958" s="31" t="str">
        <f>IF(指数列表!B1955="","",指数列表!B1955)</f>
        <v/>
      </c>
      <c r="D1958" s="36" t="str">
        <f>IF(C1958="","",[1]!s_info_name(C1958))</f>
        <v/>
      </c>
      <c r="E1958" s="25" t="str">
        <f>IF(C1958="","",[1]!s_dq_close(C1958,$N$1))</f>
        <v/>
      </c>
      <c r="F1958" s="28" t="str">
        <f>IF($C1958=""," ",[1]!i_pq_pctchange($C1958,F$6,$N$1))</f>
        <v xml:space="preserve"> </v>
      </c>
      <c r="G1958" s="28" t="str">
        <f>IF($C1958=""," ",[1]!i_pq_pctchange($C1958,G$6,$N$1))</f>
        <v xml:space="preserve"> </v>
      </c>
      <c r="H1958" s="28" t="str">
        <f>IF($C1958=""," ",[1]!i_pq_pctchange($C1958,H$6,$N$1))</f>
        <v xml:space="preserve"> </v>
      </c>
      <c r="I1958" s="28" t="str">
        <f>IF($C1958=""," ",[1]!i_pq_pctchange($C1958,I$6,$N$1))</f>
        <v xml:space="preserve"> </v>
      </c>
      <c r="J1958" s="28" t="str">
        <f>IF($C1958=""," ",[1]!i_pq_pctchange($C1958,J$6,$N$1))</f>
        <v xml:space="preserve"> </v>
      </c>
      <c r="K1958" s="28" t="str">
        <f>IF($C1958=""," ",[1]!i_pq_pctchange($C1958,K$6,$N$1))</f>
        <v xml:space="preserve"> </v>
      </c>
      <c r="L1958" s="28" t="str">
        <f>IF(C1958=""," ",[1]!s_wq_pctchange($C1958,$N$1))</f>
        <v xml:space="preserve"> </v>
      </c>
      <c r="M1958" s="28" t="str">
        <f>IF(C1958=""," ",[1]!s_mq_pctchange($C1958,$N$1))</f>
        <v xml:space="preserve"> </v>
      </c>
      <c r="N1958" s="28" t="str">
        <f>IF(C1958=""," ",[1]!s_yq_pctchange($C1958,$N$1))</f>
        <v xml:space="preserve"> </v>
      </c>
      <c r="O1958" s="11"/>
      <c r="P1958" s="7"/>
    </row>
    <row r="1959" spans="1:16" x14ac:dyDescent="0.35">
      <c r="A1959" s="7"/>
      <c r="C1959" s="30" t="str">
        <f>IF(指数列表!B1956="","",指数列表!B1956)</f>
        <v/>
      </c>
      <c r="D1959" s="35" t="str">
        <f>IF(C1959="","",[1]!s_info_name(C1959))</f>
        <v/>
      </c>
      <c r="E1959" s="24" t="str">
        <f>IF(C1959="","",[1]!s_dq_close(C1959,$N$1))</f>
        <v/>
      </c>
      <c r="F1959" s="28" t="str">
        <f>IF($C1959=""," ",[1]!i_pq_pctchange($C1959,F$6,$N$1))</f>
        <v xml:space="preserve"> </v>
      </c>
      <c r="G1959" s="28" t="str">
        <f>IF($C1959=""," ",[1]!i_pq_pctchange($C1959,G$6,$N$1))</f>
        <v xml:space="preserve"> </v>
      </c>
      <c r="H1959" s="28" t="str">
        <f>IF($C1959=""," ",[1]!i_pq_pctchange($C1959,H$6,$N$1))</f>
        <v xml:space="preserve"> </v>
      </c>
      <c r="I1959" s="28" t="str">
        <f>IF($C1959=""," ",[1]!i_pq_pctchange($C1959,I$6,$N$1))</f>
        <v xml:space="preserve"> </v>
      </c>
      <c r="J1959" s="28" t="str">
        <f>IF($C1959=""," ",[1]!i_pq_pctchange($C1959,J$6,$N$1))</f>
        <v xml:space="preserve"> </v>
      </c>
      <c r="K1959" s="28" t="str">
        <f>IF($C1959=""," ",[1]!i_pq_pctchange($C1959,K$6,$N$1))</f>
        <v xml:space="preserve"> </v>
      </c>
      <c r="L1959" s="28" t="str">
        <f>IF(C1959=""," ",[1]!s_wq_pctchange($C1959,$N$1))</f>
        <v xml:space="preserve"> </v>
      </c>
      <c r="M1959" s="28" t="str">
        <f>IF(C1959=""," ",[1]!s_mq_pctchange($C1959,$N$1))</f>
        <v xml:space="preserve"> </v>
      </c>
      <c r="N1959" s="28" t="str">
        <f>IF(C1959=""," ",[1]!s_yq_pctchange($C1959,$N$1))</f>
        <v xml:space="preserve"> </v>
      </c>
      <c r="O1959" s="11"/>
      <c r="P1959" s="7"/>
    </row>
    <row r="1960" spans="1:16" x14ac:dyDescent="0.35">
      <c r="A1960" s="7"/>
      <c r="C1960" s="31" t="str">
        <f>IF(指数列表!B1957="","",指数列表!B1957)</f>
        <v/>
      </c>
      <c r="D1960" s="36" t="str">
        <f>IF(C1960="","",[1]!s_info_name(C1960))</f>
        <v/>
      </c>
      <c r="E1960" s="25" t="str">
        <f>IF(C1960="","",[1]!s_dq_close(C1960,$N$1))</f>
        <v/>
      </c>
      <c r="F1960" s="28" t="str">
        <f>IF($C1960=""," ",[1]!i_pq_pctchange($C1960,F$6,$N$1))</f>
        <v xml:space="preserve"> </v>
      </c>
      <c r="G1960" s="28" t="str">
        <f>IF($C1960=""," ",[1]!i_pq_pctchange($C1960,G$6,$N$1))</f>
        <v xml:space="preserve"> </v>
      </c>
      <c r="H1960" s="28" t="str">
        <f>IF($C1960=""," ",[1]!i_pq_pctchange($C1960,H$6,$N$1))</f>
        <v xml:space="preserve"> </v>
      </c>
      <c r="I1960" s="28" t="str">
        <f>IF($C1960=""," ",[1]!i_pq_pctchange($C1960,I$6,$N$1))</f>
        <v xml:space="preserve"> </v>
      </c>
      <c r="J1960" s="28" t="str">
        <f>IF($C1960=""," ",[1]!i_pq_pctchange($C1960,J$6,$N$1))</f>
        <v xml:space="preserve"> </v>
      </c>
      <c r="K1960" s="28" t="str">
        <f>IF($C1960=""," ",[1]!i_pq_pctchange($C1960,K$6,$N$1))</f>
        <v xml:space="preserve"> </v>
      </c>
      <c r="L1960" s="28" t="str">
        <f>IF(C1960=""," ",[1]!s_wq_pctchange($C1960,$N$1))</f>
        <v xml:space="preserve"> </v>
      </c>
      <c r="M1960" s="28" t="str">
        <f>IF(C1960=""," ",[1]!s_mq_pctchange($C1960,$N$1))</f>
        <v xml:space="preserve"> </v>
      </c>
      <c r="N1960" s="28" t="str">
        <f>IF(C1960=""," ",[1]!s_yq_pctchange($C1960,$N$1))</f>
        <v xml:space="preserve"> </v>
      </c>
      <c r="O1960" s="11"/>
      <c r="P1960" s="7"/>
    </row>
    <row r="1961" spans="1:16" x14ac:dyDescent="0.35">
      <c r="A1961" s="7"/>
      <c r="C1961" s="30" t="str">
        <f>IF(指数列表!B1958="","",指数列表!B1958)</f>
        <v/>
      </c>
      <c r="D1961" s="35" t="str">
        <f>IF(C1961="","",[1]!s_info_name(C1961))</f>
        <v/>
      </c>
      <c r="E1961" s="24" t="str">
        <f>IF(C1961="","",[1]!s_dq_close(C1961,$N$1))</f>
        <v/>
      </c>
      <c r="F1961" s="28" t="str">
        <f>IF($C1961=""," ",[1]!i_pq_pctchange($C1961,F$6,$N$1))</f>
        <v xml:space="preserve"> </v>
      </c>
      <c r="G1961" s="28" t="str">
        <f>IF($C1961=""," ",[1]!i_pq_pctchange($C1961,G$6,$N$1))</f>
        <v xml:space="preserve"> </v>
      </c>
      <c r="H1961" s="28" t="str">
        <f>IF($C1961=""," ",[1]!i_pq_pctchange($C1961,H$6,$N$1))</f>
        <v xml:space="preserve"> </v>
      </c>
      <c r="I1961" s="28" t="str">
        <f>IF($C1961=""," ",[1]!i_pq_pctchange($C1961,I$6,$N$1))</f>
        <v xml:space="preserve"> </v>
      </c>
      <c r="J1961" s="28" t="str">
        <f>IF($C1961=""," ",[1]!i_pq_pctchange($C1961,J$6,$N$1))</f>
        <v xml:space="preserve"> </v>
      </c>
      <c r="K1961" s="28" t="str">
        <f>IF($C1961=""," ",[1]!i_pq_pctchange($C1961,K$6,$N$1))</f>
        <v xml:space="preserve"> </v>
      </c>
      <c r="L1961" s="28" t="str">
        <f>IF(C1961=""," ",[1]!s_wq_pctchange($C1961,$N$1))</f>
        <v xml:space="preserve"> </v>
      </c>
      <c r="M1961" s="28" t="str">
        <f>IF(C1961=""," ",[1]!s_mq_pctchange($C1961,$N$1))</f>
        <v xml:space="preserve"> </v>
      </c>
      <c r="N1961" s="28" t="str">
        <f>IF(C1961=""," ",[1]!s_yq_pctchange($C1961,$N$1))</f>
        <v xml:space="preserve"> </v>
      </c>
      <c r="O1961" s="11"/>
      <c r="P1961" s="7"/>
    </row>
    <row r="1962" spans="1:16" x14ac:dyDescent="0.35">
      <c r="A1962" s="7"/>
      <c r="C1962" s="31" t="str">
        <f>IF(指数列表!B1959="","",指数列表!B1959)</f>
        <v/>
      </c>
      <c r="D1962" s="36" t="str">
        <f>IF(C1962="","",[1]!s_info_name(C1962))</f>
        <v/>
      </c>
      <c r="E1962" s="25" t="str">
        <f>IF(C1962="","",[1]!s_dq_close(C1962,$N$1))</f>
        <v/>
      </c>
      <c r="F1962" s="28" t="str">
        <f>IF($C1962=""," ",[1]!i_pq_pctchange($C1962,F$6,$N$1))</f>
        <v xml:space="preserve"> </v>
      </c>
      <c r="G1962" s="28" t="str">
        <f>IF($C1962=""," ",[1]!i_pq_pctchange($C1962,G$6,$N$1))</f>
        <v xml:space="preserve"> </v>
      </c>
      <c r="H1962" s="28" t="str">
        <f>IF($C1962=""," ",[1]!i_pq_pctchange($C1962,H$6,$N$1))</f>
        <v xml:space="preserve"> </v>
      </c>
      <c r="I1962" s="28" t="str">
        <f>IF($C1962=""," ",[1]!i_pq_pctchange($C1962,I$6,$N$1))</f>
        <v xml:space="preserve"> </v>
      </c>
      <c r="J1962" s="28" t="str">
        <f>IF($C1962=""," ",[1]!i_pq_pctchange($C1962,J$6,$N$1))</f>
        <v xml:space="preserve"> </v>
      </c>
      <c r="K1962" s="28" t="str">
        <f>IF($C1962=""," ",[1]!i_pq_pctchange($C1962,K$6,$N$1))</f>
        <v xml:space="preserve"> </v>
      </c>
      <c r="L1962" s="28" t="str">
        <f>IF(C1962=""," ",[1]!s_wq_pctchange($C1962,$N$1))</f>
        <v xml:space="preserve"> </v>
      </c>
      <c r="M1962" s="28" t="str">
        <f>IF(C1962=""," ",[1]!s_mq_pctchange($C1962,$N$1))</f>
        <v xml:space="preserve"> </v>
      </c>
      <c r="N1962" s="28" t="str">
        <f>IF(C1962=""," ",[1]!s_yq_pctchange($C1962,$N$1))</f>
        <v xml:space="preserve"> </v>
      </c>
      <c r="O1962" s="11"/>
      <c r="P1962" s="7"/>
    </row>
    <row r="1963" spans="1:16" x14ac:dyDescent="0.35">
      <c r="A1963" s="7"/>
      <c r="C1963" s="30" t="str">
        <f>IF(指数列表!B1960="","",指数列表!B1960)</f>
        <v/>
      </c>
      <c r="D1963" s="35" t="str">
        <f>IF(C1963="","",[1]!s_info_name(C1963))</f>
        <v/>
      </c>
      <c r="E1963" s="24" t="str">
        <f>IF(C1963="","",[1]!s_dq_close(C1963,$N$1))</f>
        <v/>
      </c>
      <c r="F1963" s="28" t="str">
        <f>IF($C1963=""," ",[1]!i_pq_pctchange($C1963,F$6,$N$1))</f>
        <v xml:space="preserve"> </v>
      </c>
      <c r="G1963" s="28" t="str">
        <f>IF($C1963=""," ",[1]!i_pq_pctchange($C1963,G$6,$N$1))</f>
        <v xml:space="preserve"> </v>
      </c>
      <c r="H1963" s="28" t="str">
        <f>IF($C1963=""," ",[1]!i_pq_pctchange($C1963,H$6,$N$1))</f>
        <v xml:space="preserve"> </v>
      </c>
      <c r="I1963" s="28" t="str">
        <f>IF($C1963=""," ",[1]!i_pq_pctchange($C1963,I$6,$N$1))</f>
        <v xml:space="preserve"> </v>
      </c>
      <c r="J1963" s="28" t="str">
        <f>IF($C1963=""," ",[1]!i_pq_pctchange($C1963,J$6,$N$1))</f>
        <v xml:space="preserve"> </v>
      </c>
      <c r="K1963" s="28" t="str">
        <f>IF($C1963=""," ",[1]!i_pq_pctchange($C1963,K$6,$N$1))</f>
        <v xml:space="preserve"> </v>
      </c>
      <c r="L1963" s="28" t="str">
        <f>IF(C1963=""," ",[1]!s_wq_pctchange($C1963,$N$1))</f>
        <v xml:space="preserve"> </v>
      </c>
      <c r="M1963" s="28" t="str">
        <f>IF(C1963=""," ",[1]!s_mq_pctchange($C1963,$N$1))</f>
        <v xml:space="preserve"> </v>
      </c>
      <c r="N1963" s="28" t="str">
        <f>IF(C1963=""," ",[1]!s_yq_pctchange($C1963,$N$1))</f>
        <v xml:space="preserve"> </v>
      </c>
      <c r="O1963" s="11"/>
      <c r="P1963" s="7"/>
    </row>
    <row r="1964" spans="1:16" x14ac:dyDescent="0.35">
      <c r="A1964" s="7"/>
      <c r="C1964" s="31" t="str">
        <f>IF(指数列表!B1961="","",指数列表!B1961)</f>
        <v/>
      </c>
      <c r="D1964" s="36" t="str">
        <f>IF(C1964="","",[1]!s_info_name(C1964))</f>
        <v/>
      </c>
      <c r="E1964" s="25" t="str">
        <f>IF(C1964="","",[1]!s_dq_close(C1964,$N$1))</f>
        <v/>
      </c>
      <c r="F1964" s="28" t="str">
        <f>IF($C1964=""," ",[1]!i_pq_pctchange($C1964,F$6,$N$1))</f>
        <v xml:space="preserve"> </v>
      </c>
      <c r="G1964" s="28" t="str">
        <f>IF($C1964=""," ",[1]!i_pq_pctchange($C1964,G$6,$N$1))</f>
        <v xml:space="preserve"> </v>
      </c>
      <c r="H1964" s="28" t="str">
        <f>IF($C1964=""," ",[1]!i_pq_pctchange($C1964,H$6,$N$1))</f>
        <v xml:space="preserve"> </v>
      </c>
      <c r="I1964" s="28" t="str">
        <f>IF($C1964=""," ",[1]!i_pq_pctchange($C1964,I$6,$N$1))</f>
        <v xml:space="preserve"> </v>
      </c>
      <c r="J1964" s="28" t="str">
        <f>IF($C1964=""," ",[1]!i_pq_pctchange($C1964,J$6,$N$1))</f>
        <v xml:space="preserve"> </v>
      </c>
      <c r="K1964" s="28" t="str">
        <f>IF($C1964=""," ",[1]!i_pq_pctchange($C1964,K$6,$N$1))</f>
        <v xml:space="preserve"> </v>
      </c>
      <c r="L1964" s="28" t="str">
        <f>IF(C1964=""," ",[1]!s_wq_pctchange($C1964,$N$1))</f>
        <v xml:space="preserve"> </v>
      </c>
      <c r="M1964" s="28" t="str">
        <f>IF(C1964=""," ",[1]!s_mq_pctchange($C1964,$N$1))</f>
        <v xml:space="preserve"> </v>
      </c>
      <c r="N1964" s="28" t="str">
        <f>IF(C1964=""," ",[1]!s_yq_pctchange($C1964,$N$1))</f>
        <v xml:space="preserve"> </v>
      </c>
      <c r="O1964" s="11"/>
      <c r="P1964" s="7"/>
    </row>
    <row r="1965" spans="1:16" x14ac:dyDescent="0.35">
      <c r="A1965" s="7"/>
      <c r="C1965" s="30" t="str">
        <f>IF(指数列表!B1962="","",指数列表!B1962)</f>
        <v/>
      </c>
      <c r="D1965" s="35" t="str">
        <f>IF(C1965="","",[1]!s_info_name(C1965))</f>
        <v/>
      </c>
      <c r="E1965" s="24" t="str">
        <f>IF(C1965="","",[1]!s_dq_close(C1965,$N$1))</f>
        <v/>
      </c>
      <c r="F1965" s="28" t="str">
        <f>IF($C1965=""," ",[1]!i_pq_pctchange($C1965,F$6,$N$1))</f>
        <v xml:space="preserve"> </v>
      </c>
      <c r="G1965" s="28" t="str">
        <f>IF($C1965=""," ",[1]!i_pq_pctchange($C1965,G$6,$N$1))</f>
        <v xml:space="preserve"> </v>
      </c>
      <c r="H1965" s="28" t="str">
        <f>IF($C1965=""," ",[1]!i_pq_pctchange($C1965,H$6,$N$1))</f>
        <v xml:space="preserve"> </v>
      </c>
      <c r="I1965" s="28" t="str">
        <f>IF($C1965=""," ",[1]!i_pq_pctchange($C1965,I$6,$N$1))</f>
        <v xml:space="preserve"> </v>
      </c>
      <c r="J1965" s="28" t="str">
        <f>IF($C1965=""," ",[1]!i_pq_pctchange($C1965,J$6,$N$1))</f>
        <v xml:space="preserve"> </v>
      </c>
      <c r="K1965" s="28" t="str">
        <f>IF($C1965=""," ",[1]!i_pq_pctchange($C1965,K$6,$N$1))</f>
        <v xml:space="preserve"> </v>
      </c>
      <c r="L1965" s="28" t="str">
        <f>IF(C1965=""," ",[1]!s_wq_pctchange($C1965,$N$1))</f>
        <v xml:space="preserve"> </v>
      </c>
      <c r="M1965" s="28" t="str">
        <f>IF(C1965=""," ",[1]!s_mq_pctchange($C1965,$N$1))</f>
        <v xml:space="preserve"> </v>
      </c>
      <c r="N1965" s="28" t="str">
        <f>IF(C1965=""," ",[1]!s_yq_pctchange($C1965,$N$1))</f>
        <v xml:space="preserve"> </v>
      </c>
      <c r="O1965" s="11"/>
      <c r="P1965" s="7"/>
    </row>
    <row r="1966" spans="1:16" x14ac:dyDescent="0.35">
      <c r="A1966" s="7"/>
      <c r="C1966" s="31" t="str">
        <f>IF(指数列表!B1963="","",指数列表!B1963)</f>
        <v/>
      </c>
      <c r="D1966" s="36" t="str">
        <f>IF(C1966="","",[1]!s_info_name(C1966))</f>
        <v/>
      </c>
      <c r="E1966" s="25" t="str">
        <f>IF(C1966="","",[1]!s_dq_close(C1966,$N$1))</f>
        <v/>
      </c>
      <c r="F1966" s="28" t="str">
        <f>IF($C1966=""," ",[1]!i_pq_pctchange($C1966,F$6,$N$1))</f>
        <v xml:space="preserve"> </v>
      </c>
      <c r="G1966" s="28" t="str">
        <f>IF($C1966=""," ",[1]!i_pq_pctchange($C1966,G$6,$N$1))</f>
        <v xml:space="preserve"> </v>
      </c>
      <c r="H1966" s="28" t="str">
        <f>IF($C1966=""," ",[1]!i_pq_pctchange($C1966,H$6,$N$1))</f>
        <v xml:space="preserve"> </v>
      </c>
      <c r="I1966" s="28" t="str">
        <f>IF($C1966=""," ",[1]!i_pq_pctchange($C1966,I$6,$N$1))</f>
        <v xml:space="preserve"> </v>
      </c>
      <c r="J1966" s="28" t="str">
        <f>IF($C1966=""," ",[1]!i_pq_pctchange($C1966,J$6,$N$1))</f>
        <v xml:space="preserve"> </v>
      </c>
      <c r="K1966" s="28" t="str">
        <f>IF($C1966=""," ",[1]!i_pq_pctchange($C1966,K$6,$N$1))</f>
        <v xml:space="preserve"> </v>
      </c>
      <c r="L1966" s="28" t="str">
        <f>IF(C1966=""," ",[1]!s_wq_pctchange($C1966,$N$1))</f>
        <v xml:space="preserve"> </v>
      </c>
      <c r="M1966" s="28" t="str">
        <f>IF(C1966=""," ",[1]!s_mq_pctchange($C1966,$N$1))</f>
        <v xml:space="preserve"> </v>
      </c>
      <c r="N1966" s="28" t="str">
        <f>IF(C1966=""," ",[1]!s_yq_pctchange($C1966,$N$1))</f>
        <v xml:space="preserve"> </v>
      </c>
      <c r="O1966" s="11"/>
      <c r="P1966" s="7"/>
    </row>
    <row r="1967" spans="1:16" x14ac:dyDescent="0.35">
      <c r="A1967" s="7"/>
      <c r="C1967" s="30" t="str">
        <f>IF(指数列表!B1964="","",指数列表!B1964)</f>
        <v/>
      </c>
      <c r="D1967" s="35" t="str">
        <f>IF(C1967="","",[1]!s_info_name(C1967))</f>
        <v/>
      </c>
      <c r="E1967" s="24" t="str">
        <f>IF(C1967="","",[1]!s_dq_close(C1967,$N$1))</f>
        <v/>
      </c>
      <c r="F1967" s="28" t="str">
        <f>IF($C1967=""," ",[1]!i_pq_pctchange($C1967,F$6,$N$1))</f>
        <v xml:space="preserve"> </v>
      </c>
      <c r="G1967" s="28" t="str">
        <f>IF($C1967=""," ",[1]!i_pq_pctchange($C1967,G$6,$N$1))</f>
        <v xml:space="preserve"> </v>
      </c>
      <c r="H1967" s="28" t="str">
        <f>IF($C1967=""," ",[1]!i_pq_pctchange($C1967,H$6,$N$1))</f>
        <v xml:space="preserve"> </v>
      </c>
      <c r="I1967" s="28" t="str">
        <f>IF($C1967=""," ",[1]!i_pq_pctchange($C1967,I$6,$N$1))</f>
        <v xml:space="preserve"> </v>
      </c>
      <c r="J1967" s="28" t="str">
        <f>IF($C1967=""," ",[1]!i_pq_pctchange($C1967,J$6,$N$1))</f>
        <v xml:space="preserve"> </v>
      </c>
      <c r="K1967" s="28" t="str">
        <f>IF($C1967=""," ",[1]!i_pq_pctchange($C1967,K$6,$N$1))</f>
        <v xml:space="preserve"> </v>
      </c>
      <c r="L1967" s="28" t="str">
        <f>IF(C1967=""," ",[1]!s_wq_pctchange($C1967,$N$1))</f>
        <v xml:space="preserve"> </v>
      </c>
      <c r="M1967" s="28" t="str">
        <f>IF(C1967=""," ",[1]!s_mq_pctchange($C1967,$N$1))</f>
        <v xml:space="preserve"> </v>
      </c>
      <c r="N1967" s="28" t="str">
        <f>IF(C1967=""," ",[1]!s_yq_pctchange($C1967,$N$1))</f>
        <v xml:space="preserve"> </v>
      </c>
      <c r="O1967" s="11"/>
      <c r="P1967" s="7"/>
    </row>
    <row r="1968" spans="1:16" x14ac:dyDescent="0.35">
      <c r="A1968" s="7"/>
      <c r="C1968" s="31" t="str">
        <f>IF(指数列表!B1965="","",指数列表!B1965)</f>
        <v/>
      </c>
      <c r="D1968" s="36" t="str">
        <f>IF(C1968="","",[1]!s_info_name(C1968))</f>
        <v/>
      </c>
      <c r="E1968" s="25" t="str">
        <f>IF(C1968="","",[1]!s_dq_close(C1968,$N$1))</f>
        <v/>
      </c>
      <c r="F1968" s="28" t="str">
        <f>IF($C1968=""," ",[1]!i_pq_pctchange($C1968,F$6,$N$1))</f>
        <v xml:space="preserve"> </v>
      </c>
      <c r="G1968" s="28" t="str">
        <f>IF($C1968=""," ",[1]!i_pq_pctchange($C1968,G$6,$N$1))</f>
        <v xml:space="preserve"> </v>
      </c>
      <c r="H1968" s="28" t="str">
        <f>IF($C1968=""," ",[1]!i_pq_pctchange($C1968,H$6,$N$1))</f>
        <v xml:space="preserve"> </v>
      </c>
      <c r="I1968" s="28" t="str">
        <f>IF($C1968=""," ",[1]!i_pq_pctchange($C1968,I$6,$N$1))</f>
        <v xml:space="preserve"> </v>
      </c>
      <c r="J1968" s="28" t="str">
        <f>IF($C1968=""," ",[1]!i_pq_pctchange($C1968,J$6,$N$1))</f>
        <v xml:space="preserve"> </v>
      </c>
      <c r="K1968" s="28" t="str">
        <f>IF($C1968=""," ",[1]!i_pq_pctchange($C1968,K$6,$N$1))</f>
        <v xml:space="preserve"> </v>
      </c>
      <c r="L1968" s="28" t="str">
        <f>IF(C1968=""," ",[1]!s_wq_pctchange($C1968,$N$1))</f>
        <v xml:space="preserve"> </v>
      </c>
      <c r="M1968" s="28" t="str">
        <f>IF(C1968=""," ",[1]!s_mq_pctchange($C1968,$N$1))</f>
        <v xml:space="preserve"> </v>
      </c>
      <c r="N1968" s="28" t="str">
        <f>IF(C1968=""," ",[1]!s_yq_pctchange($C1968,$N$1))</f>
        <v xml:space="preserve"> </v>
      </c>
      <c r="O1968" s="11"/>
      <c r="P1968" s="7"/>
    </row>
    <row r="1969" spans="1:16" x14ac:dyDescent="0.35">
      <c r="A1969" s="7"/>
      <c r="C1969" s="30" t="str">
        <f>IF(指数列表!B1966="","",指数列表!B1966)</f>
        <v/>
      </c>
      <c r="D1969" s="35" t="str">
        <f>IF(C1969="","",[1]!s_info_name(C1969))</f>
        <v/>
      </c>
      <c r="E1969" s="24" t="str">
        <f>IF(C1969="","",[1]!s_dq_close(C1969,$N$1))</f>
        <v/>
      </c>
      <c r="F1969" s="28" t="str">
        <f>IF($C1969=""," ",[1]!i_pq_pctchange($C1969,F$6,$N$1))</f>
        <v xml:space="preserve"> </v>
      </c>
      <c r="G1969" s="28" t="str">
        <f>IF($C1969=""," ",[1]!i_pq_pctchange($C1969,G$6,$N$1))</f>
        <v xml:space="preserve"> </v>
      </c>
      <c r="H1969" s="28" t="str">
        <f>IF($C1969=""," ",[1]!i_pq_pctchange($C1969,H$6,$N$1))</f>
        <v xml:space="preserve"> </v>
      </c>
      <c r="I1969" s="28" t="str">
        <f>IF($C1969=""," ",[1]!i_pq_pctchange($C1969,I$6,$N$1))</f>
        <v xml:space="preserve"> </v>
      </c>
      <c r="J1969" s="28" t="str">
        <f>IF($C1969=""," ",[1]!i_pq_pctchange($C1969,J$6,$N$1))</f>
        <v xml:space="preserve"> </v>
      </c>
      <c r="K1969" s="28" t="str">
        <f>IF($C1969=""," ",[1]!i_pq_pctchange($C1969,K$6,$N$1))</f>
        <v xml:space="preserve"> </v>
      </c>
      <c r="L1969" s="28" t="str">
        <f>IF(C1969=""," ",[1]!s_wq_pctchange($C1969,$N$1))</f>
        <v xml:space="preserve"> </v>
      </c>
      <c r="M1969" s="28" t="str">
        <f>IF(C1969=""," ",[1]!s_mq_pctchange($C1969,$N$1))</f>
        <v xml:space="preserve"> </v>
      </c>
      <c r="N1969" s="28" t="str">
        <f>IF(C1969=""," ",[1]!s_yq_pctchange($C1969,$N$1))</f>
        <v xml:space="preserve"> </v>
      </c>
      <c r="O1969" s="11"/>
      <c r="P1969" s="7"/>
    </row>
    <row r="1970" spans="1:16" x14ac:dyDescent="0.35">
      <c r="A1970" s="7"/>
      <c r="C1970" s="31" t="str">
        <f>IF(指数列表!B1967="","",指数列表!B1967)</f>
        <v/>
      </c>
      <c r="D1970" s="36" t="str">
        <f>IF(C1970="","",[1]!s_info_name(C1970))</f>
        <v/>
      </c>
      <c r="E1970" s="25" t="str">
        <f>IF(C1970="","",[1]!s_dq_close(C1970,$N$1))</f>
        <v/>
      </c>
      <c r="F1970" s="28" t="str">
        <f>IF($C1970=""," ",[1]!i_pq_pctchange($C1970,F$6,$N$1))</f>
        <v xml:space="preserve"> </v>
      </c>
      <c r="G1970" s="28" t="str">
        <f>IF($C1970=""," ",[1]!i_pq_pctchange($C1970,G$6,$N$1))</f>
        <v xml:space="preserve"> </v>
      </c>
      <c r="H1970" s="28" t="str">
        <f>IF($C1970=""," ",[1]!i_pq_pctchange($C1970,H$6,$N$1))</f>
        <v xml:space="preserve"> </v>
      </c>
      <c r="I1970" s="28" t="str">
        <f>IF($C1970=""," ",[1]!i_pq_pctchange($C1970,I$6,$N$1))</f>
        <v xml:space="preserve"> </v>
      </c>
      <c r="J1970" s="28" t="str">
        <f>IF($C1970=""," ",[1]!i_pq_pctchange($C1970,J$6,$N$1))</f>
        <v xml:space="preserve"> </v>
      </c>
      <c r="K1970" s="28" t="str">
        <f>IF($C1970=""," ",[1]!i_pq_pctchange($C1970,K$6,$N$1))</f>
        <v xml:space="preserve"> </v>
      </c>
      <c r="L1970" s="28" t="str">
        <f>IF(C1970=""," ",[1]!s_wq_pctchange($C1970,$N$1))</f>
        <v xml:space="preserve"> </v>
      </c>
      <c r="M1970" s="28" t="str">
        <f>IF(C1970=""," ",[1]!s_mq_pctchange($C1970,$N$1))</f>
        <v xml:space="preserve"> </v>
      </c>
      <c r="N1970" s="28" t="str">
        <f>IF(C1970=""," ",[1]!s_yq_pctchange($C1970,$N$1))</f>
        <v xml:space="preserve"> </v>
      </c>
      <c r="O1970" s="11"/>
      <c r="P1970" s="7"/>
    </row>
    <row r="1971" spans="1:16" x14ac:dyDescent="0.35">
      <c r="A1971" s="7"/>
      <c r="C1971" s="30" t="str">
        <f>IF(指数列表!B1968="","",指数列表!B1968)</f>
        <v/>
      </c>
      <c r="D1971" s="35" t="str">
        <f>IF(C1971="","",[1]!s_info_name(C1971))</f>
        <v/>
      </c>
      <c r="E1971" s="24" t="str">
        <f>IF(C1971="","",[1]!s_dq_close(C1971,$N$1))</f>
        <v/>
      </c>
      <c r="F1971" s="28" t="str">
        <f>IF($C1971=""," ",[1]!i_pq_pctchange($C1971,F$6,$N$1))</f>
        <v xml:space="preserve"> </v>
      </c>
      <c r="G1971" s="28" t="str">
        <f>IF($C1971=""," ",[1]!i_pq_pctchange($C1971,G$6,$N$1))</f>
        <v xml:space="preserve"> </v>
      </c>
      <c r="H1971" s="28" t="str">
        <f>IF($C1971=""," ",[1]!i_pq_pctchange($C1971,H$6,$N$1))</f>
        <v xml:space="preserve"> </v>
      </c>
      <c r="I1971" s="28" t="str">
        <f>IF($C1971=""," ",[1]!i_pq_pctchange($C1971,I$6,$N$1))</f>
        <v xml:space="preserve"> </v>
      </c>
      <c r="J1971" s="28" t="str">
        <f>IF($C1971=""," ",[1]!i_pq_pctchange($C1971,J$6,$N$1))</f>
        <v xml:space="preserve"> </v>
      </c>
      <c r="K1971" s="28" t="str">
        <f>IF($C1971=""," ",[1]!i_pq_pctchange($C1971,K$6,$N$1))</f>
        <v xml:space="preserve"> </v>
      </c>
      <c r="L1971" s="28" t="str">
        <f>IF(C1971=""," ",[1]!s_wq_pctchange($C1971,$N$1))</f>
        <v xml:space="preserve"> </v>
      </c>
      <c r="M1971" s="28" t="str">
        <f>IF(C1971=""," ",[1]!s_mq_pctchange($C1971,$N$1))</f>
        <v xml:space="preserve"> </v>
      </c>
      <c r="N1971" s="28" t="str">
        <f>IF(C1971=""," ",[1]!s_yq_pctchange($C1971,$N$1))</f>
        <v xml:space="preserve"> </v>
      </c>
      <c r="O1971" s="11"/>
      <c r="P1971" s="7"/>
    </row>
    <row r="1972" spans="1:16" x14ac:dyDescent="0.35">
      <c r="A1972" s="7"/>
      <c r="C1972" s="31" t="str">
        <f>IF(指数列表!B1969="","",指数列表!B1969)</f>
        <v/>
      </c>
      <c r="D1972" s="36" t="str">
        <f>IF(C1972="","",[1]!s_info_name(C1972))</f>
        <v/>
      </c>
      <c r="E1972" s="25" t="str">
        <f>IF(C1972="","",[1]!s_dq_close(C1972,$N$1))</f>
        <v/>
      </c>
      <c r="F1972" s="28" t="str">
        <f>IF($C1972=""," ",[1]!i_pq_pctchange($C1972,F$6,$N$1))</f>
        <v xml:space="preserve"> </v>
      </c>
      <c r="G1972" s="28" t="str">
        <f>IF($C1972=""," ",[1]!i_pq_pctchange($C1972,G$6,$N$1))</f>
        <v xml:space="preserve"> </v>
      </c>
      <c r="H1972" s="28" t="str">
        <f>IF($C1972=""," ",[1]!i_pq_pctchange($C1972,H$6,$N$1))</f>
        <v xml:space="preserve"> </v>
      </c>
      <c r="I1972" s="28" t="str">
        <f>IF($C1972=""," ",[1]!i_pq_pctchange($C1972,I$6,$N$1))</f>
        <v xml:space="preserve"> </v>
      </c>
      <c r="J1972" s="28" t="str">
        <f>IF($C1972=""," ",[1]!i_pq_pctchange($C1972,J$6,$N$1))</f>
        <v xml:space="preserve"> </v>
      </c>
      <c r="K1972" s="28" t="str">
        <f>IF($C1972=""," ",[1]!i_pq_pctchange($C1972,K$6,$N$1))</f>
        <v xml:space="preserve"> </v>
      </c>
      <c r="L1972" s="28" t="str">
        <f>IF(C1972=""," ",[1]!s_wq_pctchange($C1972,$N$1))</f>
        <v xml:space="preserve"> </v>
      </c>
      <c r="M1972" s="28" t="str">
        <f>IF(C1972=""," ",[1]!s_mq_pctchange($C1972,$N$1))</f>
        <v xml:space="preserve"> </v>
      </c>
      <c r="N1972" s="28" t="str">
        <f>IF(C1972=""," ",[1]!s_yq_pctchange($C1972,$N$1))</f>
        <v xml:space="preserve"> </v>
      </c>
      <c r="O1972" s="11"/>
      <c r="P1972" s="7"/>
    </row>
    <row r="1973" spans="1:16" x14ac:dyDescent="0.35">
      <c r="A1973" s="7"/>
      <c r="C1973" s="30" t="str">
        <f>IF(指数列表!B1970="","",指数列表!B1970)</f>
        <v/>
      </c>
      <c r="D1973" s="35" t="str">
        <f>IF(C1973="","",[1]!s_info_name(C1973))</f>
        <v/>
      </c>
      <c r="E1973" s="24" t="str">
        <f>IF(C1973="","",[1]!s_dq_close(C1973,$N$1))</f>
        <v/>
      </c>
      <c r="F1973" s="28" t="str">
        <f>IF($C1973=""," ",[1]!i_pq_pctchange($C1973,F$6,$N$1))</f>
        <v xml:space="preserve"> </v>
      </c>
      <c r="G1973" s="28" t="str">
        <f>IF($C1973=""," ",[1]!i_pq_pctchange($C1973,G$6,$N$1))</f>
        <v xml:space="preserve"> </v>
      </c>
      <c r="H1973" s="28" t="str">
        <f>IF($C1973=""," ",[1]!i_pq_pctchange($C1973,H$6,$N$1))</f>
        <v xml:space="preserve"> </v>
      </c>
      <c r="I1973" s="28" t="str">
        <f>IF($C1973=""," ",[1]!i_pq_pctchange($C1973,I$6,$N$1))</f>
        <v xml:space="preserve"> </v>
      </c>
      <c r="J1973" s="28" t="str">
        <f>IF($C1973=""," ",[1]!i_pq_pctchange($C1973,J$6,$N$1))</f>
        <v xml:space="preserve"> </v>
      </c>
      <c r="K1973" s="28" t="str">
        <f>IF($C1973=""," ",[1]!i_pq_pctchange($C1973,K$6,$N$1))</f>
        <v xml:space="preserve"> </v>
      </c>
      <c r="L1973" s="28" t="str">
        <f>IF(C1973=""," ",[1]!s_wq_pctchange($C1973,$N$1))</f>
        <v xml:space="preserve"> </v>
      </c>
      <c r="M1973" s="28" t="str">
        <f>IF(C1973=""," ",[1]!s_mq_pctchange($C1973,$N$1))</f>
        <v xml:space="preserve"> </v>
      </c>
      <c r="N1973" s="28" t="str">
        <f>IF(C1973=""," ",[1]!s_yq_pctchange($C1973,$N$1))</f>
        <v xml:space="preserve"> </v>
      </c>
      <c r="O1973" s="11"/>
      <c r="P1973" s="7"/>
    </row>
    <row r="1974" spans="1:16" x14ac:dyDescent="0.35">
      <c r="A1974" s="7"/>
      <c r="C1974" s="31" t="str">
        <f>IF(指数列表!B1971="","",指数列表!B1971)</f>
        <v/>
      </c>
      <c r="D1974" s="36" t="str">
        <f>IF(C1974="","",[1]!s_info_name(C1974))</f>
        <v/>
      </c>
      <c r="E1974" s="25" t="str">
        <f>IF(C1974="","",[1]!s_dq_close(C1974,$N$1))</f>
        <v/>
      </c>
      <c r="F1974" s="28" t="str">
        <f>IF($C1974=""," ",[1]!i_pq_pctchange($C1974,F$6,$N$1))</f>
        <v xml:space="preserve"> </v>
      </c>
      <c r="G1974" s="28" t="str">
        <f>IF($C1974=""," ",[1]!i_pq_pctchange($C1974,G$6,$N$1))</f>
        <v xml:space="preserve"> </v>
      </c>
      <c r="H1974" s="28" t="str">
        <f>IF($C1974=""," ",[1]!i_pq_pctchange($C1974,H$6,$N$1))</f>
        <v xml:space="preserve"> </v>
      </c>
      <c r="I1974" s="28" t="str">
        <f>IF($C1974=""," ",[1]!i_pq_pctchange($C1974,I$6,$N$1))</f>
        <v xml:space="preserve"> </v>
      </c>
      <c r="J1974" s="28" t="str">
        <f>IF($C1974=""," ",[1]!i_pq_pctchange($C1974,J$6,$N$1))</f>
        <v xml:space="preserve"> </v>
      </c>
      <c r="K1974" s="28" t="str">
        <f>IF($C1974=""," ",[1]!i_pq_pctchange($C1974,K$6,$N$1))</f>
        <v xml:space="preserve"> </v>
      </c>
      <c r="L1974" s="28" t="str">
        <f>IF(C1974=""," ",[1]!s_wq_pctchange($C1974,$N$1))</f>
        <v xml:space="preserve"> </v>
      </c>
      <c r="M1974" s="28" t="str">
        <f>IF(C1974=""," ",[1]!s_mq_pctchange($C1974,$N$1))</f>
        <v xml:space="preserve"> </v>
      </c>
      <c r="N1974" s="28" t="str">
        <f>IF(C1974=""," ",[1]!s_yq_pctchange($C1974,$N$1))</f>
        <v xml:space="preserve"> </v>
      </c>
      <c r="O1974" s="11"/>
      <c r="P1974" s="7"/>
    </row>
    <row r="1975" spans="1:16" x14ac:dyDescent="0.35">
      <c r="A1975" s="7"/>
      <c r="C1975" s="30" t="str">
        <f>IF(指数列表!B1972="","",指数列表!B1972)</f>
        <v/>
      </c>
      <c r="D1975" s="35" t="str">
        <f>IF(C1975="","",[1]!s_info_name(C1975))</f>
        <v/>
      </c>
      <c r="E1975" s="24" t="str">
        <f>IF(C1975="","",[1]!s_dq_close(C1975,$N$1))</f>
        <v/>
      </c>
      <c r="F1975" s="28" t="str">
        <f>IF($C1975=""," ",[1]!i_pq_pctchange($C1975,F$6,$N$1))</f>
        <v xml:space="preserve"> </v>
      </c>
      <c r="G1975" s="28" t="str">
        <f>IF($C1975=""," ",[1]!i_pq_pctchange($C1975,G$6,$N$1))</f>
        <v xml:space="preserve"> </v>
      </c>
      <c r="H1975" s="28" t="str">
        <f>IF($C1975=""," ",[1]!i_pq_pctchange($C1975,H$6,$N$1))</f>
        <v xml:space="preserve"> </v>
      </c>
      <c r="I1975" s="28" t="str">
        <f>IF($C1975=""," ",[1]!i_pq_pctchange($C1975,I$6,$N$1))</f>
        <v xml:space="preserve"> </v>
      </c>
      <c r="J1975" s="28" t="str">
        <f>IF($C1975=""," ",[1]!i_pq_pctchange($C1975,J$6,$N$1))</f>
        <v xml:space="preserve"> </v>
      </c>
      <c r="K1975" s="28" t="str">
        <f>IF($C1975=""," ",[1]!i_pq_pctchange($C1975,K$6,$N$1))</f>
        <v xml:space="preserve"> </v>
      </c>
      <c r="L1975" s="28" t="str">
        <f>IF(C1975=""," ",[1]!s_wq_pctchange($C1975,$N$1))</f>
        <v xml:space="preserve"> </v>
      </c>
      <c r="M1975" s="28" t="str">
        <f>IF(C1975=""," ",[1]!s_mq_pctchange($C1975,$N$1))</f>
        <v xml:space="preserve"> </v>
      </c>
      <c r="N1975" s="28" t="str">
        <f>IF(C1975=""," ",[1]!s_yq_pctchange($C1975,$N$1))</f>
        <v xml:space="preserve"> </v>
      </c>
      <c r="O1975" s="11"/>
      <c r="P1975" s="7"/>
    </row>
    <row r="1976" spans="1:16" x14ac:dyDescent="0.35">
      <c r="A1976" s="7"/>
      <c r="C1976" s="31" t="str">
        <f>IF(指数列表!B1973="","",指数列表!B1973)</f>
        <v/>
      </c>
      <c r="D1976" s="36" t="str">
        <f>IF(C1976="","",[1]!s_info_name(C1976))</f>
        <v/>
      </c>
      <c r="E1976" s="25" t="str">
        <f>IF(C1976="","",[1]!s_dq_close(C1976,$N$1))</f>
        <v/>
      </c>
      <c r="F1976" s="28" t="str">
        <f>IF($C1976=""," ",[1]!i_pq_pctchange($C1976,F$6,$N$1))</f>
        <v xml:space="preserve"> </v>
      </c>
      <c r="G1976" s="28" t="str">
        <f>IF($C1976=""," ",[1]!i_pq_pctchange($C1976,G$6,$N$1))</f>
        <v xml:space="preserve"> </v>
      </c>
      <c r="H1976" s="28" t="str">
        <f>IF($C1976=""," ",[1]!i_pq_pctchange($C1976,H$6,$N$1))</f>
        <v xml:space="preserve"> </v>
      </c>
      <c r="I1976" s="28" t="str">
        <f>IF($C1976=""," ",[1]!i_pq_pctchange($C1976,I$6,$N$1))</f>
        <v xml:space="preserve"> </v>
      </c>
      <c r="J1976" s="28" t="str">
        <f>IF($C1976=""," ",[1]!i_pq_pctchange($C1976,J$6,$N$1))</f>
        <v xml:space="preserve"> </v>
      </c>
      <c r="K1976" s="28" t="str">
        <f>IF($C1976=""," ",[1]!i_pq_pctchange($C1976,K$6,$N$1))</f>
        <v xml:space="preserve"> </v>
      </c>
      <c r="L1976" s="28" t="str">
        <f>IF(C1976=""," ",[1]!s_wq_pctchange($C1976,$N$1))</f>
        <v xml:space="preserve"> </v>
      </c>
      <c r="M1976" s="28" t="str">
        <f>IF(C1976=""," ",[1]!s_mq_pctchange($C1976,$N$1))</f>
        <v xml:space="preserve"> </v>
      </c>
      <c r="N1976" s="28" t="str">
        <f>IF(C1976=""," ",[1]!s_yq_pctchange($C1976,$N$1))</f>
        <v xml:space="preserve"> </v>
      </c>
      <c r="O1976" s="11"/>
      <c r="P1976" s="7"/>
    </row>
    <row r="1977" spans="1:16" x14ac:dyDescent="0.35">
      <c r="A1977" s="7"/>
      <c r="C1977" s="30" t="str">
        <f>IF(指数列表!B1974="","",指数列表!B1974)</f>
        <v/>
      </c>
      <c r="D1977" s="35" t="str">
        <f>IF(C1977="","",[1]!s_info_name(C1977))</f>
        <v/>
      </c>
      <c r="E1977" s="24" t="str">
        <f>IF(C1977="","",[1]!s_dq_close(C1977,$N$1))</f>
        <v/>
      </c>
      <c r="F1977" s="28" t="str">
        <f>IF($C1977=""," ",[1]!i_pq_pctchange($C1977,F$6,$N$1))</f>
        <v xml:space="preserve"> </v>
      </c>
      <c r="G1977" s="28" t="str">
        <f>IF($C1977=""," ",[1]!i_pq_pctchange($C1977,G$6,$N$1))</f>
        <v xml:space="preserve"> </v>
      </c>
      <c r="H1977" s="28" t="str">
        <f>IF($C1977=""," ",[1]!i_pq_pctchange($C1977,H$6,$N$1))</f>
        <v xml:space="preserve"> </v>
      </c>
      <c r="I1977" s="28" t="str">
        <f>IF($C1977=""," ",[1]!i_pq_pctchange($C1977,I$6,$N$1))</f>
        <v xml:space="preserve"> </v>
      </c>
      <c r="J1977" s="28" t="str">
        <f>IF($C1977=""," ",[1]!i_pq_pctchange($C1977,J$6,$N$1))</f>
        <v xml:space="preserve"> </v>
      </c>
      <c r="K1977" s="28" t="str">
        <f>IF($C1977=""," ",[1]!i_pq_pctchange($C1977,K$6,$N$1))</f>
        <v xml:space="preserve"> </v>
      </c>
      <c r="L1977" s="28" t="str">
        <f>IF(C1977=""," ",[1]!s_wq_pctchange($C1977,$N$1))</f>
        <v xml:space="preserve"> </v>
      </c>
      <c r="M1977" s="28" t="str">
        <f>IF(C1977=""," ",[1]!s_mq_pctchange($C1977,$N$1))</f>
        <v xml:space="preserve"> </v>
      </c>
      <c r="N1977" s="28" t="str">
        <f>IF(C1977=""," ",[1]!s_yq_pctchange($C1977,$N$1))</f>
        <v xml:space="preserve"> </v>
      </c>
      <c r="O1977" s="11"/>
      <c r="P1977" s="7"/>
    </row>
    <row r="1978" spans="1:16" x14ac:dyDescent="0.35">
      <c r="A1978" s="7"/>
      <c r="C1978" s="31" t="str">
        <f>IF(指数列表!B1975="","",指数列表!B1975)</f>
        <v/>
      </c>
      <c r="D1978" s="36" t="str">
        <f>IF(C1978="","",[1]!s_info_name(C1978))</f>
        <v/>
      </c>
      <c r="E1978" s="25" t="str">
        <f>IF(C1978="","",[1]!s_dq_close(C1978,$N$1))</f>
        <v/>
      </c>
      <c r="F1978" s="28" t="str">
        <f>IF($C1978=""," ",[1]!i_pq_pctchange($C1978,F$6,$N$1))</f>
        <v xml:space="preserve"> </v>
      </c>
      <c r="G1978" s="28" t="str">
        <f>IF($C1978=""," ",[1]!i_pq_pctchange($C1978,G$6,$N$1))</f>
        <v xml:space="preserve"> </v>
      </c>
      <c r="H1978" s="28" t="str">
        <f>IF($C1978=""," ",[1]!i_pq_pctchange($C1978,H$6,$N$1))</f>
        <v xml:space="preserve"> </v>
      </c>
      <c r="I1978" s="28" t="str">
        <f>IF($C1978=""," ",[1]!i_pq_pctchange($C1978,I$6,$N$1))</f>
        <v xml:space="preserve"> </v>
      </c>
      <c r="J1978" s="28" t="str">
        <f>IF($C1978=""," ",[1]!i_pq_pctchange($C1978,J$6,$N$1))</f>
        <v xml:space="preserve"> </v>
      </c>
      <c r="K1978" s="28" t="str">
        <f>IF($C1978=""," ",[1]!i_pq_pctchange($C1978,K$6,$N$1))</f>
        <v xml:space="preserve"> </v>
      </c>
      <c r="L1978" s="28" t="str">
        <f>IF(C1978=""," ",[1]!s_wq_pctchange($C1978,$N$1))</f>
        <v xml:space="preserve"> </v>
      </c>
      <c r="M1978" s="28" t="str">
        <f>IF(C1978=""," ",[1]!s_mq_pctchange($C1978,$N$1))</f>
        <v xml:space="preserve"> </v>
      </c>
      <c r="N1978" s="28" t="str">
        <f>IF(C1978=""," ",[1]!s_yq_pctchange($C1978,$N$1))</f>
        <v xml:space="preserve"> </v>
      </c>
      <c r="O1978" s="11"/>
      <c r="P1978" s="7"/>
    </row>
    <row r="1979" spans="1:16" x14ac:dyDescent="0.35">
      <c r="A1979" s="7"/>
      <c r="C1979" s="30" t="str">
        <f>IF(指数列表!B1976="","",指数列表!B1976)</f>
        <v/>
      </c>
      <c r="D1979" s="35" t="str">
        <f>IF(C1979="","",[1]!s_info_name(C1979))</f>
        <v/>
      </c>
      <c r="E1979" s="24" t="str">
        <f>IF(C1979="","",[1]!s_dq_close(C1979,$N$1))</f>
        <v/>
      </c>
      <c r="F1979" s="28" t="str">
        <f>IF($C1979=""," ",[1]!i_pq_pctchange($C1979,F$6,$N$1))</f>
        <v xml:space="preserve"> </v>
      </c>
      <c r="G1979" s="28" t="str">
        <f>IF($C1979=""," ",[1]!i_pq_pctchange($C1979,G$6,$N$1))</f>
        <v xml:space="preserve"> </v>
      </c>
      <c r="H1979" s="28" t="str">
        <f>IF($C1979=""," ",[1]!i_pq_pctchange($C1979,H$6,$N$1))</f>
        <v xml:space="preserve"> </v>
      </c>
      <c r="I1979" s="28" t="str">
        <f>IF($C1979=""," ",[1]!i_pq_pctchange($C1979,I$6,$N$1))</f>
        <v xml:space="preserve"> </v>
      </c>
      <c r="J1979" s="28" t="str">
        <f>IF($C1979=""," ",[1]!i_pq_pctchange($C1979,J$6,$N$1))</f>
        <v xml:space="preserve"> </v>
      </c>
      <c r="K1979" s="28" t="str">
        <f>IF($C1979=""," ",[1]!i_pq_pctchange($C1979,K$6,$N$1))</f>
        <v xml:space="preserve"> </v>
      </c>
      <c r="L1979" s="28" t="str">
        <f>IF(C1979=""," ",[1]!s_wq_pctchange($C1979,$N$1))</f>
        <v xml:space="preserve"> </v>
      </c>
      <c r="M1979" s="28" t="str">
        <f>IF(C1979=""," ",[1]!s_mq_pctchange($C1979,$N$1))</f>
        <v xml:space="preserve"> </v>
      </c>
      <c r="N1979" s="28" t="str">
        <f>IF(C1979=""," ",[1]!s_yq_pctchange($C1979,$N$1))</f>
        <v xml:space="preserve"> </v>
      </c>
      <c r="O1979" s="11"/>
      <c r="P1979" s="7"/>
    </row>
    <row r="1980" spans="1:16" x14ac:dyDescent="0.35">
      <c r="A1980" s="7"/>
      <c r="C1980" s="31" t="str">
        <f>IF(指数列表!B1977="","",指数列表!B1977)</f>
        <v/>
      </c>
      <c r="D1980" s="36" t="str">
        <f>IF(C1980="","",[1]!s_info_name(C1980))</f>
        <v/>
      </c>
      <c r="E1980" s="25" t="str">
        <f>IF(C1980="","",[1]!s_dq_close(C1980,$N$1))</f>
        <v/>
      </c>
      <c r="F1980" s="28" t="str">
        <f>IF($C1980=""," ",[1]!i_pq_pctchange($C1980,F$6,$N$1))</f>
        <v xml:space="preserve"> </v>
      </c>
      <c r="G1980" s="28" t="str">
        <f>IF($C1980=""," ",[1]!i_pq_pctchange($C1980,G$6,$N$1))</f>
        <v xml:space="preserve"> </v>
      </c>
      <c r="H1980" s="28" t="str">
        <f>IF($C1980=""," ",[1]!i_pq_pctchange($C1980,H$6,$N$1))</f>
        <v xml:space="preserve"> </v>
      </c>
      <c r="I1980" s="28" t="str">
        <f>IF($C1980=""," ",[1]!i_pq_pctchange($C1980,I$6,$N$1))</f>
        <v xml:space="preserve"> </v>
      </c>
      <c r="J1980" s="28" t="str">
        <f>IF($C1980=""," ",[1]!i_pq_pctchange($C1980,J$6,$N$1))</f>
        <v xml:space="preserve"> </v>
      </c>
      <c r="K1980" s="28" t="str">
        <f>IF($C1980=""," ",[1]!i_pq_pctchange($C1980,K$6,$N$1))</f>
        <v xml:space="preserve"> </v>
      </c>
      <c r="L1980" s="28" t="str">
        <f>IF(C1980=""," ",[1]!s_wq_pctchange($C1980,$N$1))</f>
        <v xml:space="preserve"> </v>
      </c>
      <c r="M1980" s="28" t="str">
        <f>IF(C1980=""," ",[1]!s_mq_pctchange($C1980,$N$1))</f>
        <v xml:space="preserve"> </v>
      </c>
      <c r="N1980" s="28" t="str">
        <f>IF(C1980=""," ",[1]!s_yq_pctchange($C1980,$N$1))</f>
        <v xml:space="preserve"> </v>
      </c>
      <c r="O1980" s="11"/>
      <c r="P1980" s="7"/>
    </row>
    <row r="1981" spans="1:16" x14ac:dyDescent="0.35">
      <c r="A1981" s="7"/>
      <c r="C1981" s="30" t="str">
        <f>IF(指数列表!B1978="","",指数列表!B1978)</f>
        <v/>
      </c>
      <c r="D1981" s="35" t="str">
        <f>IF(C1981="","",[1]!s_info_name(C1981))</f>
        <v/>
      </c>
      <c r="E1981" s="24" t="str">
        <f>IF(C1981="","",[1]!s_dq_close(C1981,$N$1))</f>
        <v/>
      </c>
      <c r="F1981" s="28" t="str">
        <f>IF($C1981=""," ",[1]!i_pq_pctchange($C1981,F$6,$N$1))</f>
        <v xml:space="preserve"> </v>
      </c>
      <c r="G1981" s="28" t="str">
        <f>IF($C1981=""," ",[1]!i_pq_pctchange($C1981,G$6,$N$1))</f>
        <v xml:space="preserve"> </v>
      </c>
      <c r="H1981" s="28" t="str">
        <f>IF($C1981=""," ",[1]!i_pq_pctchange($C1981,H$6,$N$1))</f>
        <v xml:space="preserve"> </v>
      </c>
      <c r="I1981" s="28" t="str">
        <f>IF($C1981=""," ",[1]!i_pq_pctchange($C1981,I$6,$N$1))</f>
        <v xml:space="preserve"> </v>
      </c>
      <c r="J1981" s="28" t="str">
        <f>IF($C1981=""," ",[1]!i_pq_pctchange($C1981,J$6,$N$1))</f>
        <v xml:space="preserve"> </v>
      </c>
      <c r="K1981" s="28" t="str">
        <f>IF($C1981=""," ",[1]!i_pq_pctchange($C1981,K$6,$N$1))</f>
        <v xml:space="preserve"> </v>
      </c>
      <c r="L1981" s="28" t="str">
        <f>IF(C1981=""," ",[1]!s_wq_pctchange($C1981,$N$1))</f>
        <v xml:space="preserve"> </v>
      </c>
      <c r="M1981" s="28" t="str">
        <f>IF(C1981=""," ",[1]!s_mq_pctchange($C1981,$N$1))</f>
        <v xml:space="preserve"> </v>
      </c>
      <c r="N1981" s="28" t="str">
        <f>IF(C1981=""," ",[1]!s_yq_pctchange($C1981,$N$1))</f>
        <v xml:space="preserve"> </v>
      </c>
      <c r="O1981" s="11"/>
      <c r="P1981" s="7"/>
    </row>
    <row r="1982" spans="1:16" x14ac:dyDescent="0.35">
      <c r="A1982" s="7"/>
      <c r="C1982" s="31" t="str">
        <f>IF(指数列表!B1979="","",指数列表!B1979)</f>
        <v/>
      </c>
      <c r="D1982" s="36" t="str">
        <f>IF(C1982="","",[1]!s_info_name(C1982))</f>
        <v/>
      </c>
      <c r="E1982" s="25" t="str">
        <f>IF(C1982="","",[1]!s_dq_close(C1982,$N$1))</f>
        <v/>
      </c>
      <c r="F1982" s="28" t="str">
        <f>IF($C1982=""," ",[1]!i_pq_pctchange($C1982,F$6,$N$1))</f>
        <v xml:space="preserve"> </v>
      </c>
      <c r="G1982" s="28" t="str">
        <f>IF($C1982=""," ",[1]!i_pq_pctchange($C1982,G$6,$N$1))</f>
        <v xml:space="preserve"> </v>
      </c>
      <c r="H1982" s="28" t="str">
        <f>IF($C1982=""," ",[1]!i_pq_pctchange($C1982,H$6,$N$1))</f>
        <v xml:space="preserve"> </v>
      </c>
      <c r="I1982" s="28" t="str">
        <f>IF($C1982=""," ",[1]!i_pq_pctchange($C1982,I$6,$N$1))</f>
        <v xml:space="preserve"> </v>
      </c>
      <c r="J1982" s="28" t="str">
        <f>IF($C1982=""," ",[1]!i_pq_pctchange($C1982,J$6,$N$1))</f>
        <v xml:space="preserve"> </v>
      </c>
      <c r="K1982" s="28" t="str">
        <f>IF($C1982=""," ",[1]!i_pq_pctchange($C1982,K$6,$N$1))</f>
        <v xml:space="preserve"> </v>
      </c>
      <c r="L1982" s="28" t="str">
        <f>IF(C1982=""," ",[1]!s_wq_pctchange($C1982,$N$1))</f>
        <v xml:space="preserve"> </v>
      </c>
      <c r="M1982" s="28" t="str">
        <f>IF(C1982=""," ",[1]!s_mq_pctchange($C1982,$N$1))</f>
        <v xml:space="preserve"> </v>
      </c>
      <c r="N1982" s="28" t="str">
        <f>IF(C1982=""," ",[1]!s_yq_pctchange($C1982,$N$1))</f>
        <v xml:space="preserve"> </v>
      </c>
      <c r="O1982" s="11"/>
      <c r="P1982" s="7"/>
    </row>
    <row r="1983" spans="1:16" x14ac:dyDescent="0.35">
      <c r="A1983" s="7"/>
      <c r="C1983" s="30" t="str">
        <f>IF(指数列表!B1980="","",指数列表!B1980)</f>
        <v/>
      </c>
      <c r="D1983" s="35" t="str">
        <f>IF(C1983="","",[1]!s_info_name(C1983))</f>
        <v/>
      </c>
      <c r="E1983" s="24" t="str">
        <f>IF(C1983="","",[1]!s_dq_close(C1983,$N$1))</f>
        <v/>
      </c>
      <c r="F1983" s="28" t="str">
        <f>IF($C1983=""," ",[1]!i_pq_pctchange($C1983,F$6,$N$1))</f>
        <v xml:space="preserve"> </v>
      </c>
      <c r="G1983" s="28" t="str">
        <f>IF($C1983=""," ",[1]!i_pq_pctchange($C1983,G$6,$N$1))</f>
        <v xml:space="preserve"> </v>
      </c>
      <c r="H1983" s="28" t="str">
        <f>IF($C1983=""," ",[1]!i_pq_pctchange($C1983,H$6,$N$1))</f>
        <v xml:space="preserve"> </v>
      </c>
      <c r="I1983" s="28" t="str">
        <f>IF($C1983=""," ",[1]!i_pq_pctchange($C1983,I$6,$N$1))</f>
        <v xml:space="preserve"> </v>
      </c>
      <c r="J1983" s="28" t="str">
        <f>IF($C1983=""," ",[1]!i_pq_pctchange($C1983,J$6,$N$1))</f>
        <v xml:space="preserve"> </v>
      </c>
      <c r="K1983" s="28" t="str">
        <f>IF($C1983=""," ",[1]!i_pq_pctchange($C1983,K$6,$N$1))</f>
        <v xml:space="preserve"> </v>
      </c>
      <c r="L1983" s="28" t="str">
        <f>IF(C1983=""," ",[1]!s_wq_pctchange($C1983,$N$1))</f>
        <v xml:space="preserve"> </v>
      </c>
      <c r="M1983" s="28" t="str">
        <f>IF(C1983=""," ",[1]!s_mq_pctchange($C1983,$N$1))</f>
        <v xml:space="preserve"> </v>
      </c>
      <c r="N1983" s="28" t="str">
        <f>IF(C1983=""," ",[1]!s_yq_pctchange($C1983,$N$1))</f>
        <v xml:space="preserve"> </v>
      </c>
      <c r="O1983" s="11"/>
      <c r="P1983" s="7"/>
    </row>
    <row r="1984" spans="1:16" x14ac:dyDescent="0.35">
      <c r="A1984" s="7"/>
      <c r="C1984" s="31" t="str">
        <f>IF(指数列表!B1981="","",指数列表!B1981)</f>
        <v/>
      </c>
      <c r="D1984" s="36" t="str">
        <f>IF(C1984="","",[1]!s_info_name(C1984))</f>
        <v/>
      </c>
      <c r="E1984" s="25" t="str">
        <f>IF(C1984="","",[1]!s_dq_close(C1984,$N$1))</f>
        <v/>
      </c>
      <c r="F1984" s="28" t="str">
        <f>IF($C1984=""," ",[1]!i_pq_pctchange($C1984,F$6,$N$1))</f>
        <v xml:space="preserve"> </v>
      </c>
      <c r="G1984" s="28" t="str">
        <f>IF($C1984=""," ",[1]!i_pq_pctchange($C1984,G$6,$N$1))</f>
        <v xml:space="preserve"> </v>
      </c>
      <c r="H1984" s="28" t="str">
        <f>IF($C1984=""," ",[1]!i_pq_pctchange($C1984,H$6,$N$1))</f>
        <v xml:space="preserve"> </v>
      </c>
      <c r="I1984" s="28" t="str">
        <f>IF($C1984=""," ",[1]!i_pq_pctchange($C1984,I$6,$N$1))</f>
        <v xml:space="preserve"> </v>
      </c>
      <c r="J1984" s="28" t="str">
        <f>IF($C1984=""," ",[1]!i_pq_pctchange($C1984,J$6,$N$1))</f>
        <v xml:space="preserve"> </v>
      </c>
      <c r="K1984" s="28" t="str">
        <f>IF($C1984=""," ",[1]!i_pq_pctchange($C1984,K$6,$N$1))</f>
        <v xml:space="preserve"> </v>
      </c>
      <c r="L1984" s="28" t="str">
        <f>IF(C1984=""," ",[1]!s_wq_pctchange($C1984,$N$1))</f>
        <v xml:space="preserve"> </v>
      </c>
      <c r="M1984" s="28" t="str">
        <f>IF(C1984=""," ",[1]!s_mq_pctchange($C1984,$N$1))</f>
        <v xml:space="preserve"> </v>
      </c>
      <c r="N1984" s="28" t="str">
        <f>IF(C1984=""," ",[1]!s_yq_pctchange($C1984,$N$1))</f>
        <v xml:space="preserve"> </v>
      </c>
      <c r="O1984" s="11"/>
      <c r="P1984" s="7"/>
    </row>
    <row r="1985" spans="1:16" x14ac:dyDescent="0.35">
      <c r="A1985" s="7"/>
      <c r="C1985" s="30" t="str">
        <f>IF(指数列表!B1982="","",指数列表!B1982)</f>
        <v/>
      </c>
      <c r="D1985" s="35" t="str">
        <f>IF(C1985="","",[1]!s_info_name(C1985))</f>
        <v/>
      </c>
      <c r="E1985" s="24" t="str">
        <f>IF(C1985="","",[1]!s_dq_close(C1985,$N$1))</f>
        <v/>
      </c>
      <c r="F1985" s="28" t="str">
        <f>IF($C1985=""," ",[1]!i_pq_pctchange($C1985,F$6,$N$1))</f>
        <v xml:space="preserve"> </v>
      </c>
      <c r="G1985" s="28" t="str">
        <f>IF($C1985=""," ",[1]!i_pq_pctchange($C1985,G$6,$N$1))</f>
        <v xml:space="preserve"> </v>
      </c>
      <c r="H1985" s="28" t="str">
        <f>IF($C1985=""," ",[1]!i_pq_pctchange($C1985,H$6,$N$1))</f>
        <v xml:space="preserve"> </v>
      </c>
      <c r="I1985" s="28" t="str">
        <f>IF($C1985=""," ",[1]!i_pq_pctchange($C1985,I$6,$N$1))</f>
        <v xml:space="preserve"> </v>
      </c>
      <c r="J1985" s="28" t="str">
        <f>IF($C1985=""," ",[1]!i_pq_pctchange($C1985,J$6,$N$1))</f>
        <v xml:space="preserve"> </v>
      </c>
      <c r="K1985" s="28" t="str">
        <f>IF($C1985=""," ",[1]!i_pq_pctchange($C1985,K$6,$N$1))</f>
        <v xml:space="preserve"> </v>
      </c>
      <c r="L1985" s="28" t="str">
        <f>IF(C1985=""," ",[1]!s_wq_pctchange($C1985,$N$1))</f>
        <v xml:space="preserve"> </v>
      </c>
      <c r="M1985" s="28" t="str">
        <f>IF(C1985=""," ",[1]!s_mq_pctchange($C1985,$N$1))</f>
        <v xml:space="preserve"> </v>
      </c>
      <c r="N1985" s="28" t="str">
        <f>IF(C1985=""," ",[1]!s_yq_pctchange($C1985,$N$1))</f>
        <v xml:space="preserve"> </v>
      </c>
      <c r="O1985" s="11"/>
      <c r="P1985" s="7"/>
    </row>
    <row r="1986" spans="1:16" x14ac:dyDescent="0.35">
      <c r="A1986" s="7"/>
      <c r="C1986" s="31" t="str">
        <f>IF(指数列表!B1983="","",指数列表!B1983)</f>
        <v/>
      </c>
      <c r="D1986" s="36" t="str">
        <f>IF(C1986="","",[1]!s_info_name(C1986))</f>
        <v/>
      </c>
      <c r="E1986" s="25" t="str">
        <f>IF(C1986="","",[1]!s_dq_close(C1986,$N$1))</f>
        <v/>
      </c>
      <c r="F1986" s="28" t="str">
        <f>IF($C1986=""," ",[1]!i_pq_pctchange($C1986,F$6,$N$1))</f>
        <v xml:space="preserve"> </v>
      </c>
      <c r="G1986" s="28" t="str">
        <f>IF($C1986=""," ",[1]!i_pq_pctchange($C1986,G$6,$N$1))</f>
        <v xml:space="preserve"> </v>
      </c>
      <c r="H1986" s="28" t="str">
        <f>IF($C1986=""," ",[1]!i_pq_pctchange($C1986,H$6,$N$1))</f>
        <v xml:space="preserve"> </v>
      </c>
      <c r="I1986" s="28" t="str">
        <f>IF($C1986=""," ",[1]!i_pq_pctchange($C1986,I$6,$N$1))</f>
        <v xml:space="preserve"> </v>
      </c>
      <c r="J1986" s="28" t="str">
        <f>IF($C1986=""," ",[1]!i_pq_pctchange($C1986,J$6,$N$1))</f>
        <v xml:space="preserve"> </v>
      </c>
      <c r="K1986" s="28" t="str">
        <f>IF($C1986=""," ",[1]!i_pq_pctchange($C1986,K$6,$N$1))</f>
        <v xml:space="preserve"> </v>
      </c>
      <c r="L1986" s="28" t="str">
        <f>IF(C1986=""," ",[1]!s_wq_pctchange($C1986,$N$1))</f>
        <v xml:space="preserve"> </v>
      </c>
      <c r="M1986" s="28" t="str">
        <f>IF(C1986=""," ",[1]!s_mq_pctchange($C1986,$N$1))</f>
        <v xml:space="preserve"> </v>
      </c>
      <c r="N1986" s="28" t="str">
        <f>IF(C1986=""," ",[1]!s_yq_pctchange($C1986,$N$1))</f>
        <v xml:space="preserve"> </v>
      </c>
      <c r="O1986" s="11"/>
      <c r="P1986" s="7"/>
    </row>
    <row r="1987" spans="1:16" x14ac:dyDescent="0.35">
      <c r="A1987" s="7"/>
      <c r="C1987" s="30" t="str">
        <f>IF(指数列表!B1984="","",指数列表!B1984)</f>
        <v/>
      </c>
      <c r="D1987" s="35" t="str">
        <f>IF(C1987="","",[1]!s_info_name(C1987))</f>
        <v/>
      </c>
      <c r="E1987" s="24" t="str">
        <f>IF(C1987="","",[1]!s_dq_close(C1987,$N$1))</f>
        <v/>
      </c>
      <c r="F1987" s="28" t="str">
        <f>IF($C1987=""," ",[1]!i_pq_pctchange($C1987,F$6,$N$1))</f>
        <v xml:space="preserve"> </v>
      </c>
      <c r="G1987" s="28" t="str">
        <f>IF($C1987=""," ",[1]!i_pq_pctchange($C1987,G$6,$N$1))</f>
        <v xml:space="preserve"> </v>
      </c>
      <c r="H1987" s="28" t="str">
        <f>IF($C1987=""," ",[1]!i_pq_pctchange($C1987,H$6,$N$1))</f>
        <v xml:space="preserve"> </v>
      </c>
      <c r="I1987" s="28" t="str">
        <f>IF($C1987=""," ",[1]!i_pq_pctchange($C1987,I$6,$N$1))</f>
        <v xml:space="preserve"> </v>
      </c>
      <c r="J1987" s="28" t="str">
        <f>IF($C1987=""," ",[1]!i_pq_pctchange($C1987,J$6,$N$1))</f>
        <v xml:space="preserve"> </v>
      </c>
      <c r="K1987" s="28" t="str">
        <f>IF($C1987=""," ",[1]!i_pq_pctchange($C1987,K$6,$N$1))</f>
        <v xml:space="preserve"> </v>
      </c>
      <c r="L1987" s="28" t="str">
        <f>IF(C1987=""," ",[1]!s_wq_pctchange($C1987,$N$1))</f>
        <v xml:space="preserve"> </v>
      </c>
      <c r="M1987" s="28" t="str">
        <f>IF(C1987=""," ",[1]!s_mq_pctchange($C1987,$N$1))</f>
        <v xml:space="preserve"> </v>
      </c>
      <c r="N1987" s="28" t="str">
        <f>IF(C1987=""," ",[1]!s_yq_pctchange($C1987,$N$1))</f>
        <v xml:space="preserve"> </v>
      </c>
      <c r="O1987" s="11"/>
      <c r="P1987" s="7"/>
    </row>
    <row r="1988" spans="1:16" x14ac:dyDescent="0.35">
      <c r="A1988" s="7"/>
      <c r="C1988" s="31" t="str">
        <f>IF(指数列表!B1985="","",指数列表!B1985)</f>
        <v/>
      </c>
      <c r="D1988" s="36" t="str">
        <f>IF(C1988="","",[1]!s_info_name(C1988))</f>
        <v/>
      </c>
      <c r="E1988" s="25" t="str">
        <f>IF(C1988="","",[1]!s_dq_close(C1988,$N$1))</f>
        <v/>
      </c>
      <c r="F1988" s="28" t="str">
        <f>IF($C1988=""," ",[1]!i_pq_pctchange($C1988,F$6,$N$1))</f>
        <v xml:space="preserve"> </v>
      </c>
      <c r="G1988" s="28" t="str">
        <f>IF($C1988=""," ",[1]!i_pq_pctchange($C1988,G$6,$N$1))</f>
        <v xml:space="preserve"> </v>
      </c>
      <c r="H1988" s="28" t="str">
        <f>IF($C1988=""," ",[1]!i_pq_pctchange($C1988,H$6,$N$1))</f>
        <v xml:space="preserve"> </v>
      </c>
      <c r="I1988" s="28" t="str">
        <f>IF($C1988=""," ",[1]!i_pq_pctchange($C1988,I$6,$N$1))</f>
        <v xml:space="preserve"> </v>
      </c>
      <c r="J1988" s="28" t="str">
        <f>IF($C1988=""," ",[1]!i_pq_pctchange($C1988,J$6,$N$1))</f>
        <v xml:space="preserve"> </v>
      </c>
      <c r="K1988" s="28" t="str">
        <f>IF($C1988=""," ",[1]!i_pq_pctchange($C1988,K$6,$N$1))</f>
        <v xml:space="preserve"> </v>
      </c>
      <c r="L1988" s="28" t="str">
        <f>IF(C1988=""," ",[1]!s_wq_pctchange($C1988,$N$1))</f>
        <v xml:space="preserve"> </v>
      </c>
      <c r="M1988" s="28" t="str">
        <f>IF(C1988=""," ",[1]!s_mq_pctchange($C1988,$N$1))</f>
        <v xml:space="preserve"> </v>
      </c>
      <c r="N1988" s="28" t="str">
        <f>IF(C1988=""," ",[1]!s_yq_pctchange($C1988,$N$1))</f>
        <v xml:space="preserve"> </v>
      </c>
      <c r="O1988" s="11"/>
      <c r="P1988" s="7"/>
    </row>
    <row r="1989" spans="1:16" x14ac:dyDescent="0.35">
      <c r="A1989" s="7"/>
      <c r="C1989" s="30" t="str">
        <f>IF(指数列表!B1986="","",指数列表!B1986)</f>
        <v/>
      </c>
      <c r="D1989" s="35" t="str">
        <f>IF(C1989="","",[1]!s_info_name(C1989))</f>
        <v/>
      </c>
      <c r="E1989" s="24" t="str">
        <f>IF(C1989="","",[1]!s_dq_close(C1989,$N$1))</f>
        <v/>
      </c>
      <c r="F1989" s="28" t="str">
        <f>IF($C1989=""," ",[1]!i_pq_pctchange($C1989,F$6,$N$1))</f>
        <v xml:space="preserve"> </v>
      </c>
      <c r="G1989" s="28" t="str">
        <f>IF($C1989=""," ",[1]!i_pq_pctchange($C1989,G$6,$N$1))</f>
        <v xml:space="preserve"> </v>
      </c>
      <c r="H1989" s="28" t="str">
        <f>IF($C1989=""," ",[1]!i_pq_pctchange($C1989,H$6,$N$1))</f>
        <v xml:space="preserve"> </v>
      </c>
      <c r="I1989" s="28" t="str">
        <f>IF($C1989=""," ",[1]!i_pq_pctchange($C1989,I$6,$N$1))</f>
        <v xml:space="preserve"> </v>
      </c>
      <c r="J1989" s="28" t="str">
        <f>IF($C1989=""," ",[1]!i_pq_pctchange($C1989,J$6,$N$1))</f>
        <v xml:space="preserve"> </v>
      </c>
      <c r="K1989" s="28" t="str">
        <f>IF($C1989=""," ",[1]!i_pq_pctchange($C1989,K$6,$N$1))</f>
        <v xml:space="preserve"> </v>
      </c>
      <c r="L1989" s="28" t="str">
        <f>IF(C1989=""," ",[1]!s_wq_pctchange($C1989,$N$1))</f>
        <v xml:space="preserve"> </v>
      </c>
      <c r="M1989" s="28" t="str">
        <f>IF(C1989=""," ",[1]!s_mq_pctchange($C1989,$N$1))</f>
        <v xml:space="preserve"> </v>
      </c>
      <c r="N1989" s="28" t="str">
        <f>IF(C1989=""," ",[1]!s_yq_pctchange($C1989,$N$1))</f>
        <v xml:space="preserve"> </v>
      </c>
      <c r="O1989" s="11"/>
      <c r="P1989" s="7"/>
    </row>
    <row r="1990" spans="1:16" x14ac:dyDescent="0.35">
      <c r="A1990" s="7"/>
      <c r="C1990" s="31" t="str">
        <f>IF(指数列表!B1987="","",指数列表!B1987)</f>
        <v/>
      </c>
      <c r="D1990" s="36" t="str">
        <f>IF(C1990="","",[1]!s_info_name(C1990))</f>
        <v/>
      </c>
      <c r="E1990" s="25" t="str">
        <f>IF(C1990="","",[1]!s_dq_close(C1990,$N$1))</f>
        <v/>
      </c>
      <c r="F1990" s="28" t="str">
        <f>IF($C1990=""," ",[1]!i_pq_pctchange($C1990,F$6,$N$1))</f>
        <v xml:space="preserve"> </v>
      </c>
      <c r="G1990" s="28" t="str">
        <f>IF($C1990=""," ",[1]!i_pq_pctchange($C1990,G$6,$N$1))</f>
        <v xml:space="preserve"> </v>
      </c>
      <c r="H1990" s="28" t="str">
        <f>IF($C1990=""," ",[1]!i_pq_pctchange($C1990,H$6,$N$1))</f>
        <v xml:space="preserve"> </v>
      </c>
      <c r="I1990" s="28" t="str">
        <f>IF($C1990=""," ",[1]!i_pq_pctchange($C1990,I$6,$N$1))</f>
        <v xml:space="preserve"> </v>
      </c>
      <c r="J1990" s="28" t="str">
        <f>IF($C1990=""," ",[1]!i_pq_pctchange($C1990,J$6,$N$1))</f>
        <v xml:space="preserve"> </v>
      </c>
      <c r="K1990" s="28" t="str">
        <f>IF($C1990=""," ",[1]!i_pq_pctchange($C1990,K$6,$N$1))</f>
        <v xml:space="preserve"> </v>
      </c>
      <c r="L1990" s="28" t="str">
        <f>IF(C1990=""," ",[1]!s_wq_pctchange($C1990,$N$1))</f>
        <v xml:space="preserve"> </v>
      </c>
      <c r="M1990" s="28" t="str">
        <f>IF(C1990=""," ",[1]!s_mq_pctchange($C1990,$N$1))</f>
        <v xml:space="preserve"> </v>
      </c>
      <c r="N1990" s="28" t="str">
        <f>IF(C1990=""," ",[1]!s_yq_pctchange($C1990,$N$1))</f>
        <v xml:space="preserve"> </v>
      </c>
      <c r="O1990" s="11"/>
      <c r="P1990" s="7"/>
    </row>
    <row r="1991" spans="1:16" x14ac:dyDescent="0.35">
      <c r="A1991" s="7"/>
      <c r="C1991" s="30" t="str">
        <f>IF(指数列表!B1988="","",指数列表!B1988)</f>
        <v/>
      </c>
      <c r="D1991" s="35" t="str">
        <f>IF(C1991="","",[1]!s_info_name(C1991))</f>
        <v/>
      </c>
      <c r="E1991" s="24" t="str">
        <f>IF(C1991="","",[1]!s_dq_close(C1991,$N$1))</f>
        <v/>
      </c>
      <c r="F1991" s="28" t="str">
        <f>IF($C1991=""," ",[1]!i_pq_pctchange($C1991,F$6,$N$1))</f>
        <v xml:space="preserve"> </v>
      </c>
      <c r="G1991" s="28" t="str">
        <f>IF($C1991=""," ",[1]!i_pq_pctchange($C1991,G$6,$N$1))</f>
        <v xml:space="preserve"> </v>
      </c>
      <c r="H1991" s="28" t="str">
        <f>IF($C1991=""," ",[1]!i_pq_pctchange($C1991,H$6,$N$1))</f>
        <v xml:space="preserve"> </v>
      </c>
      <c r="I1991" s="28" t="str">
        <f>IF($C1991=""," ",[1]!i_pq_pctchange($C1991,I$6,$N$1))</f>
        <v xml:space="preserve"> </v>
      </c>
      <c r="J1991" s="28" t="str">
        <f>IF($C1991=""," ",[1]!i_pq_pctchange($C1991,J$6,$N$1))</f>
        <v xml:space="preserve"> </v>
      </c>
      <c r="K1991" s="28" t="str">
        <f>IF($C1991=""," ",[1]!i_pq_pctchange($C1991,K$6,$N$1))</f>
        <v xml:space="preserve"> </v>
      </c>
      <c r="L1991" s="28" t="str">
        <f>IF(C1991=""," ",[1]!s_wq_pctchange($C1991,$N$1))</f>
        <v xml:space="preserve"> </v>
      </c>
      <c r="M1991" s="28" t="str">
        <f>IF(C1991=""," ",[1]!s_mq_pctchange($C1991,$N$1))</f>
        <v xml:space="preserve"> </v>
      </c>
      <c r="N1991" s="28" t="str">
        <f>IF(C1991=""," ",[1]!s_yq_pctchange($C1991,$N$1))</f>
        <v xml:space="preserve"> </v>
      </c>
      <c r="O1991" s="11"/>
      <c r="P1991" s="7"/>
    </row>
    <row r="1992" spans="1:16" x14ac:dyDescent="0.35">
      <c r="A1992" s="7"/>
      <c r="C1992" s="31" t="str">
        <f>IF(指数列表!B1989="","",指数列表!B1989)</f>
        <v/>
      </c>
      <c r="D1992" s="36" t="str">
        <f>IF(C1992="","",[1]!s_info_name(C1992))</f>
        <v/>
      </c>
      <c r="E1992" s="25" t="str">
        <f>IF(C1992="","",[1]!s_dq_close(C1992,$N$1))</f>
        <v/>
      </c>
      <c r="F1992" s="28" t="str">
        <f>IF($C1992=""," ",[1]!i_pq_pctchange($C1992,F$6,$N$1))</f>
        <v xml:space="preserve"> </v>
      </c>
      <c r="G1992" s="28" t="str">
        <f>IF($C1992=""," ",[1]!i_pq_pctchange($C1992,G$6,$N$1))</f>
        <v xml:space="preserve"> </v>
      </c>
      <c r="H1992" s="28" t="str">
        <f>IF($C1992=""," ",[1]!i_pq_pctchange($C1992,H$6,$N$1))</f>
        <v xml:space="preserve"> </v>
      </c>
      <c r="I1992" s="28" t="str">
        <f>IF($C1992=""," ",[1]!i_pq_pctchange($C1992,I$6,$N$1))</f>
        <v xml:space="preserve"> </v>
      </c>
      <c r="J1992" s="28" t="str">
        <f>IF($C1992=""," ",[1]!i_pq_pctchange($C1992,J$6,$N$1))</f>
        <v xml:space="preserve"> </v>
      </c>
      <c r="K1992" s="28" t="str">
        <f>IF($C1992=""," ",[1]!i_pq_pctchange($C1992,K$6,$N$1))</f>
        <v xml:space="preserve"> </v>
      </c>
      <c r="L1992" s="28" t="str">
        <f>IF(C1992=""," ",[1]!s_wq_pctchange($C1992,$N$1))</f>
        <v xml:space="preserve"> </v>
      </c>
      <c r="M1992" s="28" t="str">
        <f>IF(C1992=""," ",[1]!s_mq_pctchange($C1992,$N$1))</f>
        <v xml:space="preserve"> </v>
      </c>
      <c r="N1992" s="28" t="str">
        <f>IF(C1992=""," ",[1]!s_yq_pctchange($C1992,$N$1))</f>
        <v xml:space="preserve"> </v>
      </c>
      <c r="O1992" s="11"/>
      <c r="P1992" s="7"/>
    </row>
    <row r="1993" spans="1:16" x14ac:dyDescent="0.35">
      <c r="A1993" s="7"/>
      <c r="C1993" s="30" t="str">
        <f>IF(指数列表!B1990="","",指数列表!B1990)</f>
        <v/>
      </c>
      <c r="D1993" s="35" t="str">
        <f>IF(C1993="","",[1]!s_info_name(C1993))</f>
        <v/>
      </c>
      <c r="E1993" s="24" t="str">
        <f>IF(C1993="","",[1]!s_dq_close(C1993,$N$1))</f>
        <v/>
      </c>
      <c r="F1993" s="28" t="str">
        <f>IF($C1993=""," ",[1]!i_pq_pctchange($C1993,F$6,$N$1))</f>
        <v xml:space="preserve"> </v>
      </c>
      <c r="G1993" s="28" t="str">
        <f>IF($C1993=""," ",[1]!i_pq_pctchange($C1993,G$6,$N$1))</f>
        <v xml:space="preserve"> </v>
      </c>
      <c r="H1993" s="28" t="str">
        <f>IF($C1993=""," ",[1]!i_pq_pctchange($C1993,H$6,$N$1))</f>
        <v xml:space="preserve"> </v>
      </c>
      <c r="I1993" s="28" t="str">
        <f>IF($C1993=""," ",[1]!i_pq_pctchange($C1993,I$6,$N$1))</f>
        <v xml:space="preserve"> </v>
      </c>
      <c r="J1993" s="28" t="str">
        <f>IF($C1993=""," ",[1]!i_pq_pctchange($C1993,J$6,$N$1))</f>
        <v xml:space="preserve"> </v>
      </c>
      <c r="K1993" s="28" t="str">
        <f>IF($C1993=""," ",[1]!i_pq_pctchange($C1993,K$6,$N$1))</f>
        <v xml:space="preserve"> </v>
      </c>
      <c r="L1993" s="28" t="str">
        <f>IF(C1993=""," ",[1]!s_wq_pctchange($C1993,$N$1))</f>
        <v xml:space="preserve"> </v>
      </c>
      <c r="M1993" s="28" t="str">
        <f>IF(C1993=""," ",[1]!s_mq_pctchange($C1993,$N$1))</f>
        <v xml:space="preserve"> </v>
      </c>
      <c r="N1993" s="28" t="str">
        <f>IF(C1993=""," ",[1]!s_yq_pctchange($C1993,$N$1))</f>
        <v xml:space="preserve"> </v>
      </c>
      <c r="O1993" s="11"/>
      <c r="P1993" s="7"/>
    </row>
    <row r="1994" spans="1:16" x14ac:dyDescent="0.35">
      <c r="A1994" s="7"/>
      <c r="C1994" s="31" t="str">
        <f>IF(指数列表!B1991="","",指数列表!B1991)</f>
        <v/>
      </c>
      <c r="D1994" s="36" t="str">
        <f>IF(C1994="","",[1]!s_info_name(C1994))</f>
        <v/>
      </c>
      <c r="E1994" s="25" t="str">
        <f>IF(C1994="","",[1]!s_dq_close(C1994,$N$1))</f>
        <v/>
      </c>
      <c r="F1994" s="28" t="str">
        <f>IF($C1994=""," ",[1]!i_pq_pctchange($C1994,F$6,$N$1))</f>
        <v xml:space="preserve"> </v>
      </c>
      <c r="G1994" s="28" t="str">
        <f>IF($C1994=""," ",[1]!i_pq_pctchange($C1994,G$6,$N$1))</f>
        <v xml:space="preserve"> </v>
      </c>
      <c r="H1994" s="28" t="str">
        <f>IF($C1994=""," ",[1]!i_pq_pctchange($C1994,H$6,$N$1))</f>
        <v xml:space="preserve"> </v>
      </c>
      <c r="I1994" s="28" t="str">
        <f>IF($C1994=""," ",[1]!i_pq_pctchange($C1994,I$6,$N$1))</f>
        <v xml:space="preserve"> </v>
      </c>
      <c r="J1994" s="28" t="str">
        <f>IF($C1994=""," ",[1]!i_pq_pctchange($C1994,J$6,$N$1))</f>
        <v xml:space="preserve"> </v>
      </c>
      <c r="K1994" s="28" t="str">
        <f>IF($C1994=""," ",[1]!i_pq_pctchange($C1994,K$6,$N$1))</f>
        <v xml:space="preserve"> </v>
      </c>
      <c r="L1994" s="28" t="str">
        <f>IF(C1994=""," ",[1]!s_wq_pctchange($C1994,$N$1))</f>
        <v xml:space="preserve"> </v>
      </c>
      <c r="M1994" s="28" t="str">
        <f>IF(C1994=""," ",[1]!s_mq_pctchange($C1994,$N$1))</f>
        <v xml:space="preserve"> </v>
      </c>
      <c r="N1994" s="28" t="str">
        <f>IF(C1994=""," ",[1]!s_yq_pctchange($C1994,$N$1))</f>
        <v xml:space="preserve"> </v>
      </c>
      <c r="O1994" s="11"/>
      <c r="P1994" s="7"/>
    </row>
    <row r="1995" spans="1:16" x14ac:dyDescent="0.35">
      <c r="A1995" s="7"/>
      <c r="C1995" s="30" t="str">
        <f>IF(指数列表!B1992="","",指数列表!B1992)</f>
        <v/>
      </c>
      <c r="D1995" s="35" t="str">
        <f>IF(C1995="","",[1]!s_info_name(C1995))</f>
        <v/>
      </c>
      <c r="E1995" s="24" t="str">
        <f>IF(C1995="","",[1]!s_dq_close(C1995,$N$1))</f>
        <v/>
      </c>
      <c r="F1995" s="28" t="str">
        <f>IF($C1995=""," ",[1]!i_pq_pctchange($C1995,F$6,$N$1))</f>
        <v xml:space="preserve"> </v>
      </c>
      <c r="G1995" s="28" t="str">
        <f>IF($C1995=""," ",[1]!i_pq_pctchange($C1995,G$6,$N$1))</f>
        <v xml:space="preserve"> </v>
      </c>
      <c r="H1995" s="28" t="str">
        <f>IF($C1995=""," ",[1]!i_pq_pctchange($C1995,H$6,$N$1))</f>
        <v xml:space="preserve"> </v>
      </c>
      <c r="I1995" s="28" t="str">
        <f>IF($C1995=""," ",[1]!i_pq_pctchange($C1995,I$6,$N$1))</f>
        <v xml:space="preserve"> </v>
      </c>
      <c r="J1995" s="28" t="str">
        <f>IF($C1995=""," ",[1]!i_pq_pctchange($C1995,J$6,$N$1))</f>
        <v xml:space="preserve"> </v>
      </c>
      <c r="K1995" s="28" t="str">
        <f>IF($C1995=""," ",[1]!i_pq_pctchange($C1995,K$6,$N$1))</f>
        <v xml:space="preserve"> </v>
      </c>
      <c r="L1995" s="28" t="str">
        <f>IF(C1995=""," ",[1]!s_wq_pctchange($C1995,$N$1))</f>
        <v xml:space="preserve"> </v>
      </c>
      <c r="M1995" s="28" t="str">
        <f>IF(C1995=""," ",[1]!s_mq_pctchange($C1995,$N$1))</f>
        <v xml:space="preserve"> </v>
      </c>
      <c r="N1995" s="28" t="str">
        <f>IF(C1995=""," ",[1]!s_yq_pctchange($C1995,$N$1))</f>
        <v xml:space="preserve"> </v>
      </c>
      <c r="O1995" s="11"/>
      <c r="P1995" s="7"/>
    </row>
    <row r="1996" spans="1:16" x14ac:dyDescent="0.35">
      <c r="A1996" s="7"/>
      <c r="C1996" s="31" t="str">
        <f>IF(指数列表!B1993="","",指数列表!B1993)</f>
        <v/>
      </c>
      <c r="D1996" s="36" t="str">
        <f>IF(C1996="","",[1]!s_info_name(C1996))</f>
        <v/>
      </c>
      <c r="E1996" s="25" t="str">
        <f>IF(C1996="","",[1]!s_dq_close(C1996,$N$1))</f>
        <v/>
      </c>
      <c r="F1996" s="28" t="str">
        <f>IF($C1996=""," ",[1]!i_pq_pctchange($C1996,F$6,$N$1))</f>
        <v xml:space="preserve"> </v>
      </c>
      <c r="G1996" s="28" t="str">
        <f>IF($C1996=""," ",[1]!i_pq_pctchange($C1996,G$6,$N$1))</f>
        <v xml:space="preserve"> </v>
      </c>
      <c r="H1996" s="28" t="str">
        <f>IF($C1996=""," ",[1]!i_pq_pctchange($C1996,H$6,$N$1))</f>
        <v xml:space="preserve"> </v>
      </c>
      <c r="I1996" s="28" t="str">
        <f>IF($C1996=""," ",[1]!i_pq_pctchange($C1996,I$6,$N$1))</f>
        <v xml:space="preserve"> </v>
      </c>
      <c r="J1996" s="28" t="str">
        <f>IF($C1996=""," ",[1]!i_pq_pctchange($C1996,J$6,$N$1))</f>
        <v xml:space="preserve"> </v>
      </c>
      <c r="K1996" s="28" t="str">
        <f>IF($C1996=""," ",[1]!i_pq_pctchange($C1996,K$6,$N$1))</f>
        <v xml:space="preserve"> </v>
      </c>
      <c r="L1996" s="28" t="str">
        <f>IF(C1996=""," ",[1]!s_wq_pctchange($C1996,$N$1))</f>
        <v xml:space="preserve"> </v>
      </c>
      <c r="M1996" s="28" t="str">
        <f>IF(C1996=""," ",[1]!s_mq_pctchange($C1996,$N$1))</f>
        <v xml:space="preserve"> </v>
      </c>
      <c r="N1996" s="28" t="str">
        <f>IF(C1996=""," ",[1]!s_yq_pctchange($C1996,$N$1))</f>
        <v xml:space="preserve"> </v>
      </c>
      <c r="O1996" s="11"/>
      <c r="P1996" s="7"/>
    </row>
    <row r="1997" spans="1:16" x14ac:dyDescent="0.35">
      <c r="A1997" s="7"/>
      <c r="C1997" s="30" t="str">
        <f>IF(指数列表!B1994="","",指数列表!B1994)</f>
        <v/>
      </c>
      <c r="D1997" s="35" t="str">
        <f>IF(C1997="","",[1]!s_info_name(C1997))</f>
        <v/>
      </c>
      <c r="E1997" s="24" t="str">
        <f>IF(C1997="","",[1]!s_dq_close(C1997,$N$1))</f>
        <v/>
      </c>
      <c r="F1997" s="28" t="str">
        <f>IF($C1997=""," ",[1]!i_pq_pctchange($C1997,F$6,$N$1))</f>
        <v xml:space="preserve"> </v>
      </c>
      <c r="G1997" s="28" t="str">
        <f>IF($C1997=""," ",[1]!i_pq_pctchange($C1997,G$6,$N$1))</f>
        <v xml:space="preserve"> </v>
      </c>
      <c r="H1997" s="28" t="str">
        <f>IF($C1997=""," ",[1]!i_pq_pctchange($C1997,H$6,$N$1))</f>
        <v xml:space="preserve"> </v>
      </c>
      <c r="I1997" s="28" t="str">
        <f>IF($C1997=""," ",[1]!i_pq_pctchange($C1997,I$6,$N$1))</f>
        <v xml:space="preserve"> </v>
      </c>
      <c r="J1997" s="28" t="str">
        <f>IF($C1997=""," ",[1]!i_pq_pctchange($C1997,J$6,$N$1))</f>
        <v xml:space="preserve"> </v>
      </c>
      <c r="K1997" s="28" t="str">
        <f>IF($C1997=""," ",[1]!i_pq_pctchange($C1997,K$6,$N$1))</f>
        <v xml:space="preserve"> </v>
      </c>
      <c r="L1997" s="28" t="str">
        <f>IF(C1997=""," ",[1]!s_wq_pctchange($C1997,$N$1))</f>
        <v xml:space="preserve"> </v>
      </c>
      <c r="M1997" s="28" t="str">
        <f>IF(C1997=""," ",[1]!s_mq_pctchange($C1997,$N$1))</f>
        <v xml:space="preserve"> </v>
      </c>
      <c r="N1997" s="28" t="str">
        <f>IF(C1997=""," ",[1]!s_yq_pctchange($C1997,$N$1))</f>
        <v xml:space="preserve"> </v>
      </c>
      <c r="O1997" s="11"/>
      <c r="P1997" s="7"/>
    </row>
    <row r="1998" spans="1:16" x14ac:dyDescent="0.35">
      <c r="A1998" s="7"/>
      <c r="C1998" s="31" t="str">
        <f>IF(指数列表!B1995="","",指数列表!B1995)</f>
        <v/>
      </c>
      <c r="D1998" s="36" t="str">
        <f>IF(C1998="","",[1]!s_info_name(C1998))</f>
        <v/>
      </c>
      <c r="E1998" s="25" t="str">
        <f>IF(C1998="","",[1]!s_dq_close(C1998,$N$1))</f>
        <v/>
      </c>
      <c r="F1998" s="28" t="str">
        <f>IF($C1998=""," ",[1]!i_pq_pctchange($C1998,F$6,$N$1))</f>
        <v xml:space="preserve"> </v>
      </c>
      <c r="G1998" s="28" t="str">
        <f>IF($C1998=""," ",[1]!i_pq_pctchange($C1998,G$6,$N$1))</f>
        <v xml:space="preserve"> </v>
      </c>
      <c r="H1998" s="28" t="str">
        <f>IF($C1998=""," ",[1]!i_pq_pctchange($C1998,H$6,$N$1))</f>
        <v xml:space="preserve"> </v>
      </c>
      <c r="I1998" s="28" t="str">
        <f>IF($C1998=""," ",[1]!i_pq_pctchange($C1998,I$6,$N$1))</f>
        <v xml:space="preserve"> </v>
      </c>
      <c r="J1998" s="28" t="str">
        <f>IF($C1998=""," ",[1]!i_pq_pctchange($C1998,J$6,$N$1))</f>
        <v xml:space="preserve"> </v>
      </c>
      <c r="K1998" s="28" t="str">
        <f>IF($C1998=""," ",[1]!i_pq_pctchange($C1998,K$6,$N$1))</f>
        <v xml:space="preserve"> </v>
      </c>
      <c r="L1998" s="28" t="str">
        <f>IF(C1998=""," ",[1]!s_wq_pctchange($C1998,$N$1))</f>
        <v xml:space="preserve"> </v>
      </c>
      <c r="M1998" s="28" t="str">
        <f>IF(C1998=""," ",[1]!s_mq_pctchange($C1998,$N$1))</f>
        <v xml:space="preserve"> </v>
      </c>
      <c r="N1998" s="28" t="str">
        <f>IF(C1998=""," ",[1]!s_yq_pctchange($C1998,$N$1))</f>
        <v xml:space="preserve"> </v>
      </c>
      <c r="O1998" s="11"/>
      <c r="P1998" s="7"/>
    </row>
    <row r="1999" spans="1:16" x14ac:dyDescent="0.35">
      <c r="A1999" s="7"/>
      <c r="C1999" s="30" t="str">
        <f>IF(指数列表!B1996="","",指数列表!B1996)</f>
        <v/>
      </c>
      <c r="D1999" s="35" t="str">
        <f>IF(C1999="","",[1]!s_info_name(C1999))</f>
        <v/>
      </c>
      <c r="E1999" s="24" t="str">
        <f>IF(C1999="","",[1]!s_dq_close(C1999,$N$1))</f>
        <v/>
      </c>
      <c r="F1999" s="28" t="str">
        <f>IF($C1999=""," ",[1]!i_pq_pctchange($C1999,F$6,$N$1))</f>
        <v xml:space="preserve"> </v>
      </c>
      <c r="G1999" s="28" t="str">
        <f>IF($C1999=""," ",[1]!i_pq_pctchange($C1999,G$6,$N$1))</f>
        <v xml:space="preserve"> </v>
      </c>
      <c r="H1999" s="28" t="str">
        <f>IF($C1999=""," ",[1]!i_pq_pctchange($C1999,H$6,$N$1))</f>
        <v xml:space="preserve"> </v>
      </c>
      <c r="I1999" s="28" t="str">
        <f>IF($C1999=""," ",[1]!i_pq_pctchange($C1999,I$6,$N$1))</f>
        <v xml:space="preserve"> </v>
      </c>
      <c r="J1999" s="28" t="str">
        <f>IF($C1999=""," ",[1]!i_pq_pctchange($C1999,J$6,$N$1))</f>
        <v xml:space="preserve"> </v>
      </c>
      <c r="K1999" s="28" t="str">
        <f>IF($C1999=""," ",[1]!i_pq_pctchange($C1999,K$6,$N$1))</f>
        <v xml:space="preserve"> </v>
      </c>
      <c r="L1999" s="28" t="str">
        <f>IF(C1999=""," ",[1]!s_wq_pctchange($C1999,$N$1))</f>
        <v xml:space="preserve"> </v>
      </c>
      <c r="M1999" s="28" t="str">
        <f>IF(C1999=""," ",[1]!s_mq_pctchange($C1999,$N$1))</f>
        <v xml:space="preserve"> </v>
      </c>
      <c r="N1999" s="28" t="str">
        <f>IF(C1999=""," ",[1]!s_yq_pctchange($C1999,$N$1))</f>
        <v xml:space="preserve"> </v>
      </c>
      <c r="O1999" s="11"/>
      <c r="P1999" s="7"/>
    </row>
    <row r="2000" spans="1:16" x14ac:dyDescent="0.35">
      <c r="A2000" s="7"/>
      <c r="C2000" s="31" t="str">
        <f>IF(指数列表!B1997="","",指数列表!B1997)</f>
        <v/>
      </c>
      <c r="D2000" s="36" t="str">
        <f>IF(C2000="","",[1]!s_info_name(C2000))</f>
        <v/>
      </c>
      <c r="E2000" s="25" t="str">
        <f>IF(C2000="","",[1]!s_dq_close(C2000,$N$1))</f>
        <v/>
      </c>
      <c r="F2000" s="28" t="str">
        <f>IF($C2000=""," ",[1]!i_pq_pctchange($C2000,F$6,$N$1))</f>
        <v xml:space="preserve"> </v>
      </c>
      <c r="G2000" s="28" t="str">
        <f>IF($C2000=""," ",[1]!i_pq_pctchange($C2000,G$6,$N$1))</f>
        <v xml:space="preserve"> </v>
      </c>
      <c r="H2000" s="28" t="str">
        <f>IF($C2000=""," ",[1]!i_pq_pctchange($C2000,H$6,$N$1))</f>
        <v xml:space="preserve"> </v>
      </c>
      <c r="I2000" s="28" t="str">
        <f>IF($C2000=""," ",[1]!i_pq_pctchange($C2000,I$6,$N$1))</f>
        <v xml:space="preserve"> </v>
      </c>
      <c r="J2000" s="28" t="str">
        <f>IF($C2000=""," ",[1]!i_pq_pctchange($C2000,J$6,$N$1))</f>
        <v xml:space="preserve"> </v>
      </c>
      <c r="K2000" s="28" t="str">
        <f>IF($C2000=""," ",[1]!i_pq_pctchange($C2000,K$6,$N$1))</f>
        <v xml:space="preserve"> </v>
      </c>
      <c r="L2000" s="28" t="str">
        <f>IF(C2000=""," ",[1]!s_wq_pctchange($C2000,$N$1))</f>
        <v xml:space="preserve"> </v>
      </c>
      <c r="M2000" s="28" t="str">
        <f>IF(C2000=""," ",[1]!s_mq_pctchange($C2000,$N$1))</f>
        <v xml:space="preserve"> </v>
      </c>
      <c r="N2000" s="28" t="str">
        <f>IF(C2000=""," ",[1]!s_yq_pctchange($C2000,$N$1))</f>
        <v xml:space="preserve"> </v>
      </c>
      <c r="O2000" s="11"/>
      <c r="P2000" s="7"/>
    </row>
    <row r="2001" spans="1:16" x14ac:dyDescent="0.35">
      <c r="A2001" s="7"/>
      <c r="C2001" s="30" t="str">
        <f>IF(指数列表!B1998="","",指数列表!B1998)</f>
        <v/>
      </c>
      <c r="D2001" s="35" t="str">
        <f>IF(C2001="","",[1]!s_info_name(C2001))</f>
        <v/>
      </c>
      <c r="E2001" s="24" t="str">
        <f>IF(C2001="","",[1]!s_dq_close(C2001,$N$1))</f>
        <v/>
      </c>
      <c r="F2001" s="28" t="str">
        <f>IF($C2001=""," ",[1]!i_pq_pctchange($C2001,F$6,$N$1))</f>
        <v xml:space="preserve"> </v>
      </c>
      <c r="G2001" s="28" t="str">
        <f>IF($C2001=""," ",[1]!i_pq_pctchange($C2001,G$6,$N$1))</f>
        <v xml:space="preserve"> </v>
      </c>
      <c r="H2001" s="28" t="str">
        <f>IF($C2001=""," ",[1]!i_pq_pctchange($C2001,H$6,$N$1))</f>
        <v xml:space="preserve"> </v>
      </c>
      <c r="I2001" s="28" t="str">
        <f>IF($C2001=""," ",[1]!i_pq_pctchange($C2001,I$6,$N$1))</f>
        <v xml:space="preserve"> </v>
      </c>
      <c r="J2001" s="28" t="str">
        <f>IF($C2001=""," ",[1]!i_pq_pctchange($C2001,J$6,$N$1))</f>
        <v xml:space="preserve"> </v>
      </c>
      <c r="K2001" s="28" t="str">
        <f>IF($C2001=""," ",[1]!i_pq_pctchange($C2001,K$6,$N$1))</f>
        <v xml:space="preserve"> </v>
      </c>
      <c r="L2001" s="28" t="str">
        <f>IF(C2001=""," ",[1]!s_wq_pctchange($C2001,$N$1))</f>
        <v xml:space="preserve"> </v>
      </c>
      <c r="M2001" s="28" t="str">
        <f>IF(C2001=""," ",[1]!s_mq_pctchange($C2001,$N$1))</f>
        <v xml:space="preserve"> </v>
      </c>
      <c r="N2001" s="28" t="str">
        <f>IF(C2001=""," ",[1]!s_yq_pctchange($C2001,$N$1))</f>
        <v xml:space="preserve"> </v>
      </c>
      <c r="O2001" s="11"/>
      <c r="P2001" s="7"/>
    </row>
    <row r="2002" spans="1:16" x14ac:dyDescent="0.35">
      <c r="A2002" s="7"/>
      <c r="C2002" s="31" t="str">
        <f>IF(指数列表!B1999="","",指数列表!B1999)</f>
        <v/>
      </c>
      <c r="D2002" s="36" t="str">
        <f>IF(C2002="","",[1]!s_info_name(C2002))</f>
        <v/>
      </c>
      <c r="E2002" s="25" t="str">
        <f>IF(C2002="","",[1]!s_dq_close(C2002,$N$1))</f>
        <v/>
      </c>
      <c r="F2002" s="28" t="str">
        <f>IF($C2002=""," ",[1]!i_pq_pctchange($C2002,F$6,$N$1))</f>
        <v xml:space="preserve"> </v>
      </c>
      <c r="G2002" s="28" t="str">
        <f>IF($C2002=""," ",[1]!i_pq_pctchange($C2002,G$6,$N$1))</f>
        <v xml:space="preserve"> </v>
      </c>
      <c r="H2002" s="28" t="str">
        <f>IF($C2002=""," ",[1]!i_pq_pctchange($C2002,H$6,$N$1))</f>
        <v xml:space="preserve"> </v>
      </c>
      <c r="I2002" s="28" t="str">
        <f>IF($C2002=""," ",[1]!i_pq_pctchange($C2002,I$6,$N$1))</f>
        <v xml:space="preserve"> </v>
      </c>
      <c r="J2002" s="28" t="str">
        <f>IF($C2002=""," ",[1]!i_pq_pctchange($C2002,J$6,$N$1))</f>
        <v xml:space="preserve"> </v>
      </c>
      <c r="K2002" s="28" t="str">
        <f>IF($C2002=""," ",[1]!i_pq_pctchange($C2002,K$6,$N$1))</f>
        <v xml:space="preserve"> </v>
      </c>
      <c r="L2002" s="28" t="str">
        <f>IF(C2002=""," ",[1]!s_wq_pctchange($C2002,$N$1))</f>
        <v xml:space="preserve"> </v>
      </c>
      <c r="M2002" s="28" t="str">
        <f>IF(C2002=""," ",[1]!s_mq_pctchange($C2002,$N$1))</f>
        <v xml:space="preserve"> </v>
      </c>
      <c r="N2002" s="28" t="str">
        <f>IF(C2002=""," ",[1]!s_yq_pctchange($C2002,$N$1))</f>
        <v xml:space="preserve"> </v>
      </c>
      <c r="O2002" s="11"/>
      <c r="P2002" s="7"/>
    </row>
    <row r="2003" spans="1:16" x14ac:dyDescent="0.35">
      <c r="A2003" s="7"/>
      <c r="C2003" s="30" t="str">
        <f>IF(指数列表!B2000="","",指数列表!B2000)</f>
        <v/>
      </c>
      <c r="D2003" s="35" t="str">
        <f>IF(C2003="","",[1]!s_info_name(C2003))</f>
        <v/>
      </c>
      <c r="E2003" s="24" t="str">
        <f>IF(C2003="","",[1]!s_dq_close(C2003,$N$1))</f>
        <v/>
      </c>
      <c r="F2003" s="28" t="str">
        <f>IF($C2003=""," ",[1]!i_pq_pctchange($C2003,F$6,$N$1))</f>
        <v xml:space="preserve"> </v>
      </c>
      <c r="G2003" s="28" t="str">
        <f>IF($C2003=""," ",[1]!i_pq_pctchange($C2003,G$6,$N$1))</f>
        <v xml:space="preserve"> </v>
      </c>
      <c r="H2003" s="28" t="str">
        <f>IF($C2003=""," ",[1]!i_pq_pctchange($C2003,H$6,$N$1))</f>
        <v xml:space="preserve"> </v>
      </c>
      <c r="I2003" s="28" t="str">
        <f>IF($C2003=""," ",[1]!i_pq_pctchange($C2003,I$6,$N$1))</f>
        <v xml:space="preserve"> </v>
      </c>
      <c r="J2003" s="28" t="str">
        <f>IF($C2003=""," ",[1]!i_pq_pctchange($C2003,J$6,$N$1))</f>
        <v xml:space="preserve"> </v>
      </c>
      <c r="K2003" s="28" t="str">
        <f>IF($C2003=""," ",[1]!i_pq_pctchange($C2003,K$6,$N$1))</f>
        <v xml:space="preserve"> </v>
      </c>
      <c r="L2003" s="28" t="str">
        <f>IF(C2003=""," ",[1]!s_wq_pctchange($C2003,$N$1))</f>
        <v xml:space="preserve"> </v>
      </c>
      <c r="M2003" s="28" t="str">
        <f>IF(C2003=""," ",[1]!s_mq_pctchange($C2003,$N$1))</f>
        <v xml:space="preserve"> </v>
      </c>
      <c r="N2003" s="28" t="str">
        <f>IF(C2003=""," ",[1]!s_yq_pctchange($C2003,$N$1))</f>
        <v xml:space="preserve"> </v>
      </c>
      <c r="O2003" s="11"/>
      <c r="P2003" s="7"/>
    </row>
    <row r="2004" spans="1:16" x14ac:dyDescent="0.35">
      <c r="A2004" s="7"/>
      <c r="C2004" s="31" t="str">
        <f>IF(指数列表!B2001="","",指数列表!B2001)</f>
        <v/>
      </c>
      <c r="D2004" s="36" t="str">
        <f>IF(C2004="","",[1]!s_info_name(C2004))</f>
        <v/>
      </c>
      <c r="E2004" s="25" t="str">
        <f>IF(C2004="","",[1]!s_dq_close(C2004,$N$1))</f>
        <v/>
      </c>
      <c r="F2004" s="28" t="str">
        <f>IF($C2004=""," ",[1]!i_pq_pctchange($C2004,F$6,$N$1))</f>
        <v xml:space="preserve"> </v>
      </c>
      <c r="G2004" s="28" t="str">
        <f>IF($C2004=""," ",[1]!i_pq_pctchange($C2004,G$6,$N$1))</f>
        <v xml:space="preserve"> </v>
      </c>
      <c r="H2004" s="28" t="str">
        <f>IF($C2004=""," ",[1]!i_pq_pctchange($C2004,H$6,$N$1))</f>
        <v xml:space="preserve"> </v>
      </c>
      <c r="I2004" s="28" t="str">
        <f>IF($C2004=""," ",[1]!i_pq_pctchange($C2004,I$6,$N$1))</f>
        <v xml:space="preserve"> </v>
      </c>
      <c r="J2004" s="28" t="str">
        <f>IF($C2004=""," ",[1]!i_pq_pctchange($C2004,J$6,$N$1))</f>
        <v xml:space="preserve"> </v>
      </c>
      <c r="K2004" s="28" t="str">
        <f>IF($C2004=""," ",[1]!i_pq_pctchange($C2004,K$6,$N$1))</f>
        <v xml:space="preserve"> </v>
      </c>
      <c r="L2004" s="28" t="str">
        <f>IF(C2004=""," ",[1]!s_wq_pctchange($C2004,$N$1))</f>
        <v xml:space="preserve"> </v>
      </c>
      <c r="M2004" s="28" t="str">
        <f>IF(C2004=""," ",[1]!s_mq_pctchange($C2004,$N$1))</f>
        <v xml:space="preserve"> </v>
      </c>
      <c r="N2004" s="28" t="str">
        <f>IF(C2004=""," ",[1]!s_yq_pctchange($C2004,$N$1))</f>
        <v xml:space="preserve"> </v>
      </c>
      <c r="O2004" s="11"/>
      <c r="P2004" s="7"/>
    </row>
    <row r="2005" spans="1:16" x14ac:dyDescent="0.35">
      <c r="A2005" s="7"/>
      <c r="C2005" s="30" t="str">
        <f>IF(指数列表!B2002="","",指数列表!B2002)</f>
        <v/>
      </c>
      <c r="D2005" s="35" t="str">
        <f>IF(C2005="","",[1]!s_info_name(C2005))</f>
        <v/>
      </c>
      <c r="E2005" s="24" t="str">
        <f>IF(C2005="","",[1]!s_dq_close(C2005,$N$1))</f>
        <v/>
      </c>
      <c r="F2005" s="28" t="str">
        <f>IF($C2005=""," ",[1]!i_pq_pctchange($C2005,F$6,$N$1))</f>
        <v xml:space="preserve"> </v>
      </c>
      <c r="G2005" s="28" t="str">
        <f>IF($C2005=""," ",[1]!i_pq_pctchange($C2005,G$6,$N$1))</f>
        <v xml:space="preserve"> </v>
      </c>
      <c r="H2005" s="28" t="str">
        <f>IF($C2005=""," ",[1]!i_pq_pctchange($C2005,H$6,$N$1))</f>
        <v xml:space="preserve"> </v>
      </c>
      <c r="I2005" s="28" t="str">
        <f>IF($C2005=""," ",[1]!i_pq_pctchange($C2005,I$6,$N$1))</f>
        <v xml:space="preserve"> </v>
      </c>
      <c r="J2005" s="28" t="str">
        <f>IF($C2005=""," ",[1]!i_pq_pctchange($C2005,J$6,$N$1))</f>
        <v xml:space="preserve"> </v>
      </c>
      <c r="K2005" s="28" t="str">
        <f>IF($C2005=""," ",[1]!i_pq_pctchange($C2005,K$6,$N$1))</f>
        <v xml:space="preserve"> </v>
      </c>
      <c r="L2005" s="28" t="str">
        <f>IF(C2005=""," ",[1]!s_wq_pctchange($C2005,$N$1))</f>
        <v xml:space="preserve"> </v>
      </c>
      <c r="M2005" s="28" t="str">
        <f>IF(C2005=""," ",[1]!s_mq_pctchange($C2005,$N$1))</f>
        <v xml:space="preserve"> </v>
      </c>
      <c r="N2005" s="28" t="str">
        <f>IF(C2005=""," ",[1]!s_yq_pctchange($C2005,$N$1))</f>
        <v xml:space="preserve"> </v>
      </c>
      <c r="O2005" s="11"/>
      <c r="P2005" s="7"/>
    </row>
    <row r="2006" spans="1:16" x14ac:dyDescent="0.35">
      <c r="A2006" s="7"/>
      <c r="C2006" s="31" t="str">
        <f>IF(指数列表!B2003="","",指数列表!B2003)</f>
        <v/>
      </c>
      <c r="D2006" s="36" t="str">
        <f>IF(C2006="","",[1]!s_info_name(C2006))</f>
        <v/>
      </c>
      <c r="E2006" s="25" t="str">
        <f>IF(C2006="","",[1]!s_dq_close(C2006,$N$1))</f>
        <v/>
      </c>
      <c r="F2006" s="28" t="str">
        <f>IF($C2006=""," ",[1]!i_pq_pctchange($C2006,F$6,$N$1))</f>
        <v xml:space="preserve"> </v>
      </c>
      <c r="G2006" s="28" t="str">
        <f>IF($C2006=""," ",[1]!i_pq_pctchange($C2006,G$6,$N$1))</f>
        <v xml:space="preserve"> </v>
      </c>
      <c r="H2006" s="28" t="str">
        <f>IF($C2006=""," ",[1]!i_pq_pctchange($C2006,H$6,$N$1))</f>
        <v xml:space="preserve"> </v>
      </c>
      <c r="I2006" s="28" t="str">
        <f>IF($C2006=""," ",[1]!i_pq_pctchange($C2006,I$6,$N$1))</f>
        <v xml:space="preserve"> </v>
      </c>
      <c r="J2006" s="28" t="str">
        <f>IF($C2006=""," ",[1]!i_pq_pctchange($C2006,J$6,$N$1))</f>
        <v xml:space="preserve"> </v>
      </c>
      <c r="K2006" s="28" t="str">
        <f>IF($C2006=""," ",[1]!i_pq_pctchange($C2006,K$6,$N$1))</f>
        <v xml:space="preserve"> </v>
      </c>
      <c r="L2006" s="28" t="str">
        <f>IF(C2006=""," ",[1]!s_wq_pctchange($C2006,$N$1))</f>
        <v xml:space="preserve"> </v>
      </c>
      <c r="M2006" s="28" t="str">
        <f>IF(C2006=""," ",[1]!s_mq_pctchange($C2006,$N$1))</f>
        <v xml:space="preserve"> </v>
      </c>
      <c r="N2006" s="28" t="str">
        <f>IF(C2006=""," ",[1]!s_yq_pctchange($C2006,$N$1))</f>
        <v xml:space="preserve"> </v>
      </c>
      <c r="O2006" s="11"/>
      <c r="P2006" s="7"/>
    </row>
    <row r="2007" spans="1:16" x14ac:dyDescent="0.35">
      <c r="A2007" s="7"/>
      <c r="C2007" s="30" t="str">
        <f>IF(指数列表!B2004="","",指数列表!B2004)</f>
        <v/>
      </c>
      <c r="D2007" s="35" t="str">
        <f>IF(C2007="","",[1]!s_info_name(C2007))</f>
        <v/>
      </c>
      <c r="E2007" s="24" t="str">
        <f>IF(C2007="","",[1]!s_dq_close(C2007,$N$1))</f>
        <v/>
      </c>
      <c r="F2007" s="28" t="str">
        <f>IF($C2007=""," ",[1]!i_pq_pctchange($C2007,F$6,$N$1))</f>
        <v xml:space="preserve"> </v>
      </c>
      <c r="G2007" s="28" t="str">
        <f>IF($C2007=""," ",[1]!i_pq_pctchange($C2007,G$6,$N$1))</f>
        <v xml:space="preserve"> </v>
      </c>
      <c r="H2007" s="28" t="str">
        <f>IF($C2007=""," ",[1]!i_pq_pctchange($C2007,H$6,$N$1))</f>
        <v xml:space="preserve"> </v>
      </c>
      <c r="I2007" s="28" t="str">
        <f>IF($C2007=""," ",[1]!i_pq_pctchange($C2007,I$6,$N$1))</f>
        <v xml:space="preserve"> </v>
      </c>
      <c r="J2007" s="28" t="str">
        <f>IF($C2007=""," ",[1]!i_pq_pctchange($C2007,J$6,$N$1))</f>
        <v xml:space="preserve"> </v>
      </c>
      <c r="K2007" s="28" t="str">
        <f>IF($C2007=""," ",[1]!i_pq_pctchange($C2007,K$6,$N$1))</f>
        <v xml:space="preserve"> </v>
      </c>
      <c r="L2007" s="28" t="str">
        <f>IF(C2007=""," ",[1]!s_wq_pctchange($C2007,$N$1))</f>
        <v xml:space="preserve"> </v>
      </c>
      <c r="M2007" s="28" t="str">
        <f>IF(C2007=""," ",[1]!s_mq_pctchange($C2007,$N$1))</f>
        <v xml:space="preserve"> </v>
      </c>
      <c r="N2007" s="28" t="str">
        <f>IF(C2007=""," ",[1]!s_yq_pctchange($C2007,$N$1))</f>
        <v xml:space="preserve"> </v>
      </c>
      <c r="O2007" s="11"/>
      <c r="P2007" s="7"/>
    </row>
    <row r="2008" spans="1:16" x14ac:dyDescent="0.35">
      <c r="A2008" s="7"/>
      <c r="C2008" s="31" t="str">
        <f>IF(指数列表!B2005="","",指数列表!B2005)</f>
        <v/>
      </c>
      <c r="D2008" s="36" t="str">
        <f>IF(C2008="","",[1]!s_info_name(C2008))</f>
        <v/>
      </c>
      <c r="E2008" s="25" t="str">
        <f>IF(C2008="","",[1]!s_dq_close(C2008,$N$1))</f>
        <v/>
      </c>
      <c r="F2008" s="28" t="str">
        <f>IF($C2008=""," ",[1]!i_pq_pctchange($C2008,F$6,$N$1))</f>
        <v xml:space="preserve"> </v>
      </c>
      <c r="G2008" s="28" t="str">
        <f>IF($C2008=""," ",[1]!i_pq_pctchange($C2008,G$6,$N$1))</f>
        <v xml:space="preserve"> </v>
      </c>
      <c r="H2008" s="28" t="str">
        <f>IF($C2008=""," ",[1]!i_pq_pctchange($C2008,H$6,$N$1))</f>
        <v xml:space="preserve"> </v>
      </c>
      <c r="I2008" s="28" t="str">
        <f>IF($C2008=""," ",[1]!i_pq_pctchange($C2008,I$6,$N$1))</f>
        <v xml:space="preserve"> </v>
      </c>
      <c r="J2008" s="28" t="str">
        <f>IF($C2008=""," ",[1]!i_pq_pctchange($C2008,J$6,$N$1))</f>
        <v xml:space="preserve"> </v>
      </c>
      <c r="K2008" s="28" t="str">
        <f>IF($C2008=""," ",[1]!i_pq_pctchange($C2008,K$6,$N$1))</f>
        <v xml:space="preserve"> </v>
      </c>
      <c r="L2008" s="28" t="str">
        <f>IF(C2008=""," ",[1]!s_wq_pctchange($C2008,$N$1))</f>
        <v xml:space="preserve"> </v>
      </c>
      <c r="M2008" s="28" t="str">
        <f>IF(C2008=""," ",[1]!s_mq_pctchange($C2008,$N$1))</f>
        <v xml:space="preserve"> </v>
      </c>
      <c r="N2008" s="28" t="str">
        <f>IF(C2008=""," ",[1]!s_yq_pctchange($C2008,$N$1))</f>
        <v xml:space="preserve"> </v>
      </c>
      <c r="O2008" s="11"/>
      <c r="P2008" s="7"/>
    </row>
    <row r="2009" spans="1:16" x14ac:dyDescent="0.35">
      <c r="A2009" s="7"/>
      <c r="C2009" s="30" t="str">
        <f>IF(指数列表!B2006="","",指数列表!B2006)</f>
        <v/>
      </c>
      <c r="D2009" s="35" t="str">
        <f>IF(C2009="","",[1]!s_info_name(C2009))</f>
        <v/>
      </c>
      <c r="E2009" s="24" t="str">
        <f>IF(C2009="","",[1]!s_dq_close(C2009,$N$1))</f>
        <v/>
      </c>
      <c r="F2009" s="28" t="str">
        <f>IF($C2009=""," ",[1]!i_pq_pctchange($C2009,F$6,$N$1))</f>
        <v xml:space="preserve"> </v>
      </c>
      <c r="G2009" s="28" t="str">
        <f>IF($C2009=""," ",[1]!i_pq_pctchange($C2009,G$6,$N$1))</f>
        <v xml:space="preserve"> </v>
      </c>
      <c r="H2009" s="28" t="str">
        <f>IF($C2009=""," ",[1]!i_pq_pctchange($C2009,H$6,$N$1))</f>
        <v xml:space="preserve"> </v>
      </c>
      <c r="I2009" s="28" t="str">
        <f>IF($C2009=""," ",[1]!i_pq_pctchange($C2009,I$6,$N$1))</f>
        <v xml:space="preserve"> </v>
      </c>
      <c r="J2009" s="28" t="str">
        <f>IF($C2009=""," ",[1]!i_pq_pctchange($C2009,J$6,$N$1))</f>
        <v xml:space="preserve"> </v>
      </c>
      <c r="K2009" s="28" t="str">
        <f>IF($C2009=""," ",[1]!i_pq_pctchange($C2009,K$6,$N$1))</f>
        <v xml:space="preserve"> </v>
      </c>
      <c r="L2009" s="28" t="str">
        <f>IF(C2009=""," ",[1]!s_wq_pctchange($C2009,$N$1))</f>
        <v xml:space="preserve"> </v>
      </c>
      <c r="M2009" s="28" t="str">
        <f>IF(C2009=""," ",[1]!s_mq_pctchange($C2009,$N$1))</f>
        <v xml:space="preserve"> </v>
      </c>
      <c r="N2009" s="28" t="str">
        <f>IF(C2009=""," ",[1]!s_yq_pctchange($C2009,$N$1))</f>
        <v xml:space="preserve"> </v>
      </c>
      <c r="O2009" s="11"/>
      <c r="P2009" s="7"/>
    </row>
    <row r="2010" spans="1:16" x14ac:dyDescent="0.35">
      <c r="A2010" s="7"/>
      <c r="C2010" s="31" t="str">
        <f>IF(指数列表!B2007="","",指数列表!B2007)</f>
        <v/>
      </c>
      <c r="D2010" s="36" t="str">
        <f>IF(C2010="","",[1]!s_info_name(C2010))</f>
        <v/>
      </c>
      <c r="E2010" s="25" t="str">
        <f>IF(C2010="","",[1]!s_dq_close(C2010,$N$1))</f>
        <v/>
      </c>
      <c r="F2010" s="28" t="str">
        <f>IF($C2010=""," ",[1]!i_pq_pctchange($C2010,F$6,$N$1))</f>
        <v xml:space="preserve"> </v>
      </c>
      <c r="G2010" s="28" t="str">
        <f>IF($C2010=""," ",[1]!i_pq_pctchange($C2010,G$6,$N$1))</f>
        <v xml:space="preserve"> </v>
      </c>
      <c r="H2010" s="28" t="str">
        <f>IF($C2010=""," ",[1]!i_pq_pctchange($C2010,H$6,$N$1))</f>
        <v xml:space="preserve"> </v>
      </c>
      <c r="I2010" s="28" t="str">
        <f>IF($C2010=""," ",[1]!i_pq_pctchange($C2010,I$6,$N$1))</f>
        <v xml:space="preserve"> </v>
      </c>
      <c r="J2010" s="28" t="str">
        <f>IF($C2010=""," ",[1]!i_pq_pctchange($C2010,J$6,$N$1))</f>
        <v xml:space="preserve"> </v>
      </c>
      <c r="K2010" s="28" t="str">
        <f>IF($C2010=""," ",[1]!i_pq_pctchange($C2010,K$6,$N$1))</f>
        <v xml:space="preserve"> </v>
      </c>
      <c r="L2010" s="28" t="str">
        <f>IF(C2010=""," ",[1]!s_wq_pctchange($C2010,$N$1))</f>
        <v xml:space="preserve"> </v>
      </c>
      <c r="M2010" s="28" t="str">
        <f>IF(C2010=""," ",[1]!s_mq_pctchange($C2010,$N$1))</f>
        <v xml:space="preserve"> </v>
      </c>
      <c r="N2010" s="28" t="str">
        <f>IF(C2010=""," ",[1]!s_yq_pctchange($C2010,$N$1))</f>
        <v xml:space="preserve"> </v>
      </c>
      <c r="O2010" s="11"/>
      <c r="P2010" s="7"/>
    </row>
    <row r="2011" spans="1:16" x14ac:dyDescent="0.35">
      <c r="A2011" s="7"/>
      <c r="C2011" s="30" t="str">
        <f>IF(指数列表!B2008="","",指数列表!B2008)</f>
        <v/>
      </c>
      <c r="D2011" s="35" t="str">
        <f>IF(C2011="","",[1]!s_info_name(C2011))</f>
        <v/>
      </c>
      <c r="E2011" s="24" t="str">
        <f>IF(C2011="","",[1]!s_dq_close(C2011,$N$1))</f>
        <v/>
      </c>
      <c r="F2011" s="28" t="str">
        <f>IF($C2011=""," ",[1]!i_pq_pctchange($C2011,F$6,$N$1))</f>
        <v xml:space="preserve"> </v>
      </c>
      <c r="G2011" s="28" t="str">
        <f>IF($C2011=""," ",[1]!i_pq_pctchange($C2011,G$6,$N$1))</f>
        <v xml:space="preserve"> </v>
      </c>
      <c r="H2011" s="28" t="str">
        <f>IF($C2011=""," ",[1]!i_pq_pctchange($C2011,H$6,$N$1))</f>
        <v xml:space="preserve"> </v>
      </c>
      <c r="I2011" s="28" t="str">
        <f>IF($C2011=""," ",[1]!i_pq_pctchange($C2011,I$6,$N$1))</f>
        <v xml:space="preserve"> </v>
      </c>
      <c r="J2011" s="28" t="str">
        <f>IF($C2011=""," ",[1]!i_pq_pctchange($C2011,J$6,$N$1))</f>
        <v xml:space="preserve"> </v>
      </c>
      <c r="K2011" s="28" t="str">
        <f>IF($C2011=""," ",[1]!i_pq_pctchange($C2011,K$6,$N$1))</f>
        <v xml:space="preserve"> </v>
      </c>
      <c r="L2011" s="28" t="str">
        <f>IF(C2011=""," ",[1]!s_wq_pctchange($C2011,$N$1))</f>
        <v xml:space="preserve"> </v>
      </c>
      <c r="M2011" s="28" t="str">
        <f>IF(C2011=""," ",[1]!s_mq_pctchange($C2011,$N$1))</f>
        <v xml:space="preserve"> </v>
      </c>
      <c r="N2011" s="28" t="str">
        <f>IF(C2011=""," ",[1]!s_yq_pctchange($C2011,$N$1))</f>
        <v xml:space="preserve"> </v>
      </c>
      <c r="O2011" s="11"/>
      <c r="P2011" s="7"/>
    </row>
    <row r="2012" spans="1:16" x14ac:dyDescent="0.35">
      <c r="A2012" s="7"/>
      <c r="C2012" s="31" t="str">
        <f>IF(指数列表!B2009="","",指数列表!B2009)</f>
        <v/>
      </c>
      <c r="D2012" s="36" t="str">
        <f>IF(C2012="","",[1]!s_info_name(C2012))</f>
        <v/>
      </c>
      <c r="E2012" s="25" t="str">
        <f>IF(C2012="","",[1]!s_dq_close(C2012,$N$1))</f>
        <v/>
      </c>
      <c r="F2012" s="28" t="str">
        <f>IF($C2012=""," ",[1]!i_pq_pctchange($C2012,F$6,$N$1))</f>
        <v xml:space="preserve"> </v>
      </c>
      <c r="G2012" s="28" t="str">
        <f>IF($C2012=""," ",[1]!i_pq_pctchange($C2012,G$6,$N$1))</f>
        <v xml:space="preserve"> </v>
      </c>
      <c r="H2012" s="28" t="str">
        <f>IF($C2012=""," ",[1]!i_pq_pctchange($C2012,H$6,$N$1))</f>
        <v xml:space="preserve"> </v>
      </c>
      <c r="I2012" s="28" t="str">
        <f>IF($C2012=""," ",[1]!i_pq_pctchange($C2012,I$6,$N$1))</f>
        <v xml:space="preserve"> </v>
      </c>
      <c r="J2012" s="28" t="str">
        <f>IF($C2012=""," ",[1]!i_pq_pctchange($C2012,J$6,$N$1))</f>
        <v xml:space="preserve"> </v>
      </c>
      <c r="K2012" s="28" t="str">
        <f>IF($C2012=""," ",[1]!i_pq_pctchange($C2012,K$6,$N$1))</f>
        <v xml:space="preserve"> </v>
      </c>
      <c r="L2012" s="28" t="str">
        <f>IF(C2012=""," ",[1]!s_wq_pctchange($C2012,$N$1))</f>
        <v xml:space="preserve"> </v>
      </c>
      <c r="M2012" s="28" t="str">
        <f>IF(C2012=""," ",[1]!s_mq_pctchange($C2012,$N$1))</f>
        <v xml:space="preserve"> </v>
      </c>
      <c r="N2012" s="28" t="str">
        <f>IF(C2012=""," ",[1]!s_yq_pctchange($C2012,$N$1))</f>
        <v xml:space="preserve"> </v>
      </c>
      <c r="O2012" s="11"/>
      <c r="P2012" s="7"/>
    </row>
    <row r="2013" spans="1:16" x14ac:dyDescent="0.35">
      <c r="A2013" s="7"/>
      <c r="C2013" s="30" t="str">
        <f>IF(指数列表!B2010="","",指数列表!B2010)</f>
        <v/>
      </c>
      <c r="D2013" s="35" t="str">
        <f>IF(C2013="","",[1]!s_info_name(C2013))</f>
        <v/>
      </c>
      <c r="E2013" s="24" t="str">
        <f>IF(C2013="","",[1]!s_dq_close(C2013,$N$1))</f>
        <v/>
      </c>
      <c r="F2013" s="28" t="str">
        <f>IF($C2013=""," ",[1]!i_pq_pctchange($C2013,F$6,$N$1))</f>
        <v xml:space="preserve"> </v>
      </c>
      <c r="G2013" s="28" t="str">
        <f>IF($C2013=""," ",[1]!i_pq_pctchange($C2013,G$6,$N$1))</f>
        <v xml:space="preserve"> </v>
      </c>
      <c r="H2013" s="28" t="str">
        <f>IF($C2013=""," ",[1]!i_pq_pctchange($C2013,H$6,$N$1))</f>
        <v xml:space="preserve"> </v>
      </c>
      <c r="I2013" s="28" t="str">
        <f>IF($C2013=""," ",[1]!i_pq_pctchange($C2013,I$6,$N$1))</f>
        <v xml:space="preserve"> </v>
      </c>
      <c r="J2013" s="28" t="str">
        <f>IF($C2013=""," ",[1]!i_pq_pctchange($C2013,J$6,$N$1))</f>
        <v xml:space="preserve"> </v>
      </c>
      <c r="K2013" s="28" t="str">
        <f>IF($C2013=""," ",[1]!i_pq_pctchange($C2013,K$6,$N$1))</f>
        <v xml:space="preserve"> </v>
      </c>
      <c r="L2013" s="28" t="str">
        <f>IF(C2013=""," ",[1]!s_wq_pctchange($C2013,$N$1))</f>
        <v xml:space="preserve"> </v>
      </c>
      <c r="M2013" s="28" t="str">
        <f>IF(C2013=""," ",[1]!s_mq_pctchange($C2013,$N$1))</f>
        <v xml:space="preserve"> </v>
      </c>
      <c r="N2013" s="28" t="str">
        <f>IF(C2013=""," ",[1]!s_yq_pctchange($C2013,$N$1))</f>
        <v xml:space="preserve"> </v>
      </c>
      <c r="O2013" s="11"/>
      <c r="P2013" s="7"/>
    </row>
    <row r="2014" spans="1:16" x14ac:dyDescent="0.35">
      <c r="A2014" s="7"/>
      <c r="C2014" s="31" t="str">
        <f>IF(指数列表!B2011="","",指数列表!B2011)</f>
        <v/>
      </c>
      <c r="D2014" s="36" t="str">
        <f>IF(C2014="","",[1]!s_info_name(C2014))</f>
        <v/>
      </c>
      <c r="E2014" s="25" t="str">
        <f>IF(C2014="","",[1]!s_dq_close(C2014,$N$1))</f>
        <v/>
      </c>
      <c r="F2014" s="28" t="str">
        <f>IF($C2014=""," ",[1]!i_pq_pctchange($C2014,F$6,$N$1))</f>
        <v xml:space="preserve"> </v>
      </c>
      <c r="G2014" s="28" t="str">
        <f>IF($C2014=""," ",[1]!i_pq_pctchange($C2014,G$6,$N$1))</f>
        <v xml:space="preserve"> </v>
      </c>
      <c r="H2014" s="28" t="str">
        <f>IF($C2014=""," ",[1]!i_pq_pctchange($C2014,H$6,$N$1))</f>
        <v xml:space="preserve"> </v>
      </c>
      <c r="I2014" s="28" t="str">
        <f>IF($C2014=""," ",[1]!i_pq_pctchange($C2014,I$6,$N$1))</f>
        <v xml:space="preserve"> </v>
      </c>
      <c r="J2014" s="28" t="str">
        <f>IF($C2014=""," ",[1]!i_pq_pctchange($C2014,J$6,$N$1))</f>
        <v xml:space="preserve"> </v>
      </c>
      <c r="K2014" s="28" t="str">
        <f>IF($C2014=""," ",[1]!i_pq_pctchange($C2014,K$6,$N$1))</f>
        <v xml:space="preserve"> </v>
      </c>
      <c r="L2014" s="28" t="str">
        <f>IF(C2014=""," ",[1]!s_wq_pctchange($C2014,$N$1))</f>
        <v xml:space="preserve"> </v>
      </c>
      <c r="M2014" s="28" t="str">
        <f>IF(C2014=""," ",[1]!s_mq_pctchange($C2014,$N$1))</f>
        <v xml:space="preserve"> </v>
      </c>
      <c r="N2014" s="28" t="str">
        <f>IF(C2014=""," ",[1]!s_yq_pctchange($C2014,$N$1))</f>
        <v xml:space="preserve"> </v>
      </c>
      <c r="O2014" s="11"/>
      <c r="P2014" s="7"/>
    </row>
    <row r="2015" spans="1:16" x14ac:dyDescent="0.35">
      <c r="A2015" s="7"/>
      <c r="C2015" s="30" t="str">
        <f>IF(指数列表!B2012="","",指数列表!B2012)</f>
        <v/>
      </c>
      <c r="D2015" s="35" t="str">
        <f>IF(C2015="","",[1]!s_info_name(C2015))</f>
        <v/>
      </c>
      <c r="E2015" s="24" t="str">
        <f>IF(C2015="","",[1]!s_dq_close(C2015,$N$1))</f>
        <v/>
      </c>
      <c r="F2015" s="28" t="str">
        <f>IF($C2015=""," ",[1]!i_pq_pctchange($C2015,F$6,$N$1))</f>
        <v xml:space="preserve"> </v>
      </c>
      <c r="G2015" s="28" t="str">
        <f>IF($C2015=""," ",[1]!i_pq_pctchange($C2015,G$6,$N$1))</f>
        <v xml:space="preserve"> </v>
      </c>
      <c r="H2015" s="28" t="str">
        <f>IF($C2015=""," ",[1]!i_pq_pctchange($C2015,H$6,$N$1))</f>
        <v xml:space="preserve"> </v>
      </c>
      <c r="I2015" s="28" t="str">
        <f>IF($C2015=""," ",[1]!i_pq_pctchange($C2015,I$6,$N$1))</f>
        <v xml:space="preserve"> </v>
      </c>
      <c r="J2015" s="28" t="str">
        <f>IF($C2015=""," ",[1]!i_pq_pctchange($C2015,J$6,$N$1))</f>
        <v xml:space="preserve"> </v>
      </c>
      <c r="K2015" s="28" t="str">
        <f>IF($C2015=""," ",[1]!i_pq_pctchange($C2015,K$6,$N$1))</f>
        <v xml:space="preserve"> </v>
      </c>
      <c r="L2015" s="28" t="str">
        <f>IF(C2015=""," ",[1]!s_wq_pctchange($C2015,$N$1))</f>
        <v xml:space="preserve"> </v>
      </c>
      <c r="M2015" s="28" t="str">
        <f>IF(C2015=""," ",[1]!s_mq_pctchange($C2015,$N$1))</f>
        <v xml:space="preserve"> </v>
      </c>
      <c r="N2015" s="28" t="str">
        <f>IF(C2015=""," ",[1]!s_yq_pctchange($C2015,$N$1))</f>
        <v xml:space="preserve"> </v>
      </c>
      <c r="O2015" s="11"/>
      <c r="P2015" s="7"/>
    </row>
    <row r="2016" spans="1:16" x14ac:dyDescent="0.35">
      <c r="A2016" s="7"/>
      <c r="C2016" s="31" t="str">
        <f>IF(指数列表!B2013="","",指数列表!B2013)</f>
        <v/>
      </c>
      <c r="D2016" s="36" t="str">
        <f>IF(C2016="","",[1]!s_info_name(C2016))</f>
        <v/>
      </c>
      <c r="E2016" s="25" t="str">
        <f>IF(C2016="","",[1]!s_dq_close(C2016,$N$1))</f>
        <v/>
      </c>
      <c r="F2016" s="28" t="str">
        <f>IF($C2016=""," ",[1]!i_pq_pctchange($C2016,F$6,$N$1))</f>
        <v xml:space="preserve"> </v>
      </c>
      <c r="G2016" s="28" t="str">
        <f>IF($C2016=""," ",[1]!i_pq_pctchange($C2016,G$6,$N$1))</f>
        <v xml:space="preserve"> </v>
      </c>
      <c r="H2016" s="28" t="str">
        <f>IF($C2016=""," ",[1]!i_pq_pctchange($C2016,H$6,$N$1))</f>
        <v xml:space="preserve"> </v>
      </c>
      <c r="I2016" s="28" t="str">
        <f>IF($C2016=""," ",[1]!i_pq_pctchange($C2016,I$6,$N$1))</f>
        <v xml:space="preserve"> </v>
      </c>
      <c r="J2016" s="28" t="str">
        <f>IF($C2016=""," ",[1]!i_pq_pctchange($C2016,J$6,$N$1))</f>
        <v xml:space="preserve"> </v>
      </c>
      <c r="K2016" s="28" t="str">
        <f>IF($C2016=""," ",[1]!i_pq_pctchange($C2016,K$6,$N$1))</f>
        <v xml:space="preserve"> </v>
      </c>
      <c r="L2016" s="28" t="str">
        <f>IF(C2016=""," ",[1]!s_wq_pctchange($C2016,$N$1))</f>
        <v xml:space="preserve"> </v>
      </c>
      <c r="M2016" s="28" t="str">
        <f>IF(C2016=""," ",[1]!s_mq_pctchange($C2016,$N$1))</f>
        <v xml:space="preserve"> </v>
      </c>
      <c r="N2016" s="28" t="str">
        <f>IF(C2016=""," ",[1]!s_yq_pctchange($C2016,$N$1))</f>
        <v xml:space="preserve"> </v>
      </c>
      <c r="O2016" s="11"/>
      <c r="P2016" s="7"/>
    </row>
    <row r="2017" spans="1:16" x14ac:dyDescent="0.35">
      <c r="A2017" s="7"/>
      <c r="C2017" s="30" t="str">
        <f>IF(指数列表!B2014="","",指数列表!B2014)</f>
        <v/>
      </c>
      <c r="D2017" s="35" t="str">
        <f>IF(C2017="","",[1]!s_info_name(C2017))</f>
        <v/>
      </c>
      <c r="E2017" s="24" t="str">
        <f>IF(C2017="","",[1]!s_dq_close(C2017,$N$1))</f>
        <v/>
      </c>
      <c r="F2017" s="28" t="str">
        <f>IF($C2017=""," ",[1]!i_pq_pctchange($C2017,F$6,$N$1))</f>
        <v xml:space="preserve"> </v>
      </c>
      <c r="G2017" s="28" t="str">
        <f>IF($C2017=""," ",[1]!i_pq_pctchange($C2017,G$6,$N$1))</f>
        <v xml:space="preserve"> </v>
      </c>
      <c r="H2017" s="28" t="str">
        <f>IF($C2017=""," ",[1]!i_pq_pctchange($C2017,H$6,$N$1))</f>
        <v xml:space="preserve"> </v>
      </c>
      <c r="I2017" s="28" t="str">
        <f>IF($C2017=""," ",[1]!i_pq_pctchange($C2017,I$6,$N$1))</f>
        <v xml:space="preserve"> </v>
      </c>
      <c r="J2017" s="28" t="str">
        <f>IF($C2017=""," ",[1]!i_pq_pctchange($C2017,J$6,$N$1))</f>
        <v xml:space="preserve"> </v>
      </c>
      <c r="K2017" s="28" t="str">
        <f>IF($C2017=""," ",[1]!i_pq_pctchange($C2017,K$6,$N$1))</f>
        <v xml:space="preserve"> </v>
      </c>
      <c r="L2017" s="28" t="str">
        <f>IF(C2017=""," ",[1]!s_wq_pctchange($C2017,$N$1))</f>
        <v xml:space="preserve"> </v>
      </c>
      <c r="M2017" s="28" t="str">
        <f>IF(C2017=""," ",[1]!s_mq_pctchange($C2017,$N$1))</f>
        <v xml:space="preserve"> </v>
      </c>
      <c r="N2017" s="28" t="str">
        <f>IF(C2017=""," ",[1]!s_yq_pctchange($C2017,$N$1))</f>
        <v xml:space="preserve"> </v>
      </c>
      <c r="O2017" s="11"/>
      <c r="P2017" s="7"/>
    </row>
    <row r="2018" spans="1:16" x14ac:dyDescent="0.35">
      <c r="A2018" s="7"/>
      <c r="C2018" s="31" t="str">
        <f>IF(指数列表!B2015="","",指数列表!B2015)</f>
        <v/>
      </c>
      <c r="D2018" s="36" t="str">
        <f>IF(C2018="","",[1]!s_info_name(C2018))</f>
        <v/>
      </c>
      <c r="E2018" s="25" t="str">
        <f>IF(C2018="","",[1]!s_dq_close(C2018,$N$1))</f>
        <v/>
      </c>
      <c r="F2018" s="28" t="str">
        <f>IF($C2018=""," ",[1]!i_pq_pctchange($C2018,F$6,$N$1))</f>
        <v xml:space="preserve"> </v>
      </c>
      <c r="G2018" s="28" t="str">
        <f>IF($C2018=""," ",[1]!i_pq_pctchange($C2018,G$6,$N$1))</f>
        <v xml:space="preserve"> </v>
      </c>
      <c r="H2018" s="28" t="str">
        <f>IF($C2018=""," ",[1]!i_pq_pctchange($C2018,H$6,$N$1))</f>
        <v xml:space="preserve"> </v>
      </c>
      <c r="I2018" s="28" t="str">
        <f>IF($C2018=""," ",[1]!i_pq_pctchange($C2018,I$6,$N$1))</f>
        <v xml:space="preserve"> </v>
      </c>
      <c r="J2018" s="28" t="str">
        <f>IF($C2018=""," ",[1]!i_pq_pctchange($C2018,J$6,$N$1))</f>
        <v xml:space="preserve"> </v>
      </c>
      <c r="K2018" s="28" t="str">
        <f>IF($C2018=""," ",[1]!i_pq_pctchange($C2018,K$6,$N$1))</f>
        <v xml:space="preserve"> </v>
      </c>
      <c r="L2018" s="28" t="str">
        <f>IF(C2018=""," ",[1]!s_wq_pctchange($C2018,$N$1))</f>
        <v xml:space="preserve"> </v>
      </c>
      <c r="M2018" s="28" t="str">
        <f>IF(C2018=""," ",[1]!s_mq_pctchange($C2018,$N$1))</f>
        <v xml:space="preserve"> </v>
      </c>
      <c r="N2018" s="28" t="str">
        <f>IF(C2018=""," ",[1]!s_yq_pctchange($C2018,$N$1))</f>
        <v xml:space="preserve"> </v>
      </c>
      <c r="O2018" s="11"/>
      <c r="P2018" s="7"/>
    </row>
    <row r="2019" spans="1:16" x14ac:dyDescent="0.35">
      <c r="A2019" s="7"/>
      <c r="C2019" s="30" t="str">
        <f>IF(指数列表!B2016="","",指数列表!B2016)</f>
        <v/>
      </c>
      <c r="D2019" s="35" t="str">
        <f>IF(C2019="","",[1]!s_info_name(C2019))</f>
        <v/>
      </c>
      <c r="E2019" s="24" t="str">
        <f>IF(C2019="","",[1]!s_dq_close(C2019,$N$1))</f>
        <v/>
      </c>
      <c r="F2019" s="28" t="str">
        <f>IF($C2019=""," ",[1]!i_pq_pctchange($C2019,F$6,$N$1))</f>
        <v xml:space="preserve"> </v>
      </c>
      <c r="G2019" s="28" t="str">
        <f>IF($C2019=""," ",[1]!i_pq_pctchange($C2019,G$6,$N$1))</f>
        <v xml:space="preserve"> </v>
      </c>
      <c r="H2019" s="28" t="str">
        <f>IF($C2019=""," ",[1]!i_pq_pctchange($C2019,H$6,$N$1))</f>
        <v xml:space="preserve"> </v>
      </c>
      <c r="I2019" s="28" t="str">
        <f>IF($C2019=""," ",[1]!i_pq_pctchange($C2019,I$6,$N$1))</f>
        <v xml:space="preserve"> </v>
      </c>
      <c r="J2019" s="28" t="str">
        <f>IF($C2019=""," ",[1]!i_pq_pctchange($C2019,J$6,$N$1))</f>
        <v xml:space="preserve"> </v>
      </c>
      <c r="K2019" s="28" t="str">
        <f>IF($C2019=""," ",[1]!i_pq_pctchange($C2019,K$6,$N$1))</f>
        <v xml:space="preserve"> </v>
      </c>
      <c r="L2019" s="28" t="str">
        <f>IF(C2019=""," ",[1]!s_wq_pctchange($C2019,$N$1))</f>
        <v xml:space="preserve"> </v>
      </c>
      <c r="M2019" s="28" t="str">
        <f>IF(C2019=""," ",[1]!s_mq_pctchange($C2019,$N$1))</f>
        <v xml:space="preserve"> </v>
      </c>
      <c r="N2019" s="28" t="str">
        <f>IF(C2019=""," ",[1]!s_yq_pctchange($C2019,$N$1))</f>
        <v xml:space="preserve"> </v>
      </c>
      <c r="O2019" s="11"/>
      <c r="P2019" s="7"/>
    </row>
    <row r="2020" spans="1:16" x14ac:dyDescent="0.35">
      <c r="A2020" s="7"/>
      <c r="C2020" s="31" t="str">
        <f>IF(指数列表!B2017="","",指数列表!B2017)</f>
        <v/>
      </c>
      <c r="D2020" s="36" t="str">
        <f>IF(C2020="","",[1]!s_info_name(C2020))</f>
        <v/>
      </c>
      <c r="E2020" s="25" t="str">
        <f>IF(C2020="","",[1]!s_dq_close(C2020,$N$1))</f>
        <v/>
      </c>
      <c r="F2020" s="28" t="str">
        <f>IF($C2020=""," ",[1]!i_pq_pctchange($C2020,F$6,$N$1))</f>
        <v xml:space="preserve"> </v>
      </c>
      <c r="G2020" s="28" t="str">
        <f>IF($C2020=""," ",[1]!i_pq_pctchange($C2020,G$6,$N$1))</f>
        <v xml:space="preserve"> </v>
      </c>
      <c r="H2020" s="28" t="str">
        <f>IF($C2020=""," ",[1]!i_pq_pctchange($C2020,H$6,$N$1))</f>
        <v xml:space="preserve"> </v>
      </c>
      <c r="I2020" s="28" t="str">
        <f>IF($C2020=""," ",[1]!i_pq_pctchange($C2020,I$6,$N$1))</f>
        <v xml:space="preserve"> </v>
      </c>
      <c r="J2020" s="28" t="str">
        <f>IF($C2020=""," ",[1]!i_pq_pctchange($C2020,J$6,$N$1))</f>
        <v xml:space="preserve"> </v>
      </c>
      <c r="K2020" s="28" t="str">
        <f>IF($C2020=""," ",[1]!i_pq_pctchange($C2020,K$6,$N$1))</f>
        <v xml:space="preserve"> </v>
      </c>
      <c r="L2020" s="28" t="str">
        <f>IF(C2020=""," ",[1]!s_wq_pctchange($C2020,$N$1))</f>
        <v xml:space="preserve"> </v>
      </c>
      <c r="M2020" s="28" t="str">
        <f>IF(C2020=""," ",[1]!s_mq_pctchange($C2020,$N$1))</f>
        <v xml:space="preserve"> </v>
      </c>
      <c r="N2020" s="28" t="str">
        <f>IF(C2020=""," ",[1]!s_yq_pctchange($C2020,$N$1))</f>
        <v xml:space="preserve"> </v>
      </c>
      <c r="O2020" s="11"/>
      <c r="P2020" s="7"/>
    </row>
    <row r="2021" spans="1:16" x14ac:dyDescent="0.35">
      <c r="A2021" s="7"/>
      <c r="C2021" s="30" t="str">
        <f>IF(指数列表!B2018="","",指数列表!B2018)</f>
        <v/>
      </c>
      <c r="D2021" s="35" t="str">
        <f>IF(C2021="","",[1]!s_info_name(C2021))</f>
        <v/>
      </c>
      <c r="E2021" s="24" t="str">
        <f>IF(C2021="","",[1]!s_dq_close(C2021,$N$1))</f>
        <v/>
      </c>
      <c r="F2021" s="28" t="str">
        <f>IF($C2021=""," ",[1]!i_pq_pctchange($C2021,F$6,$N$1))</f>
        <v xml:space="preserve"> </v>
      </c>
      <c r="G2021" s="28" t="str">
        <f>IF($C2021=""," ",[1]!i_pq_pctchange($C2021,G$6,$N$1))</f>
        <v xml:space="preserve"> </v>
      </c>
      <c r="H2021" s="28" t="str">
        <f>IF($C2021=""," ",[1]!i_pq_pctchange($C2021,H$6,$N$1))</f>
        <v xml:space="preserve"> </v>
      </c>
      <c r="I2021" s="28" t="str">
        <f>IF($C2021=""," ",[1]!i_pq_pctchange($C2021,I$6,$N$1))</f>
        <v xml:space="preserve"> </v>
      </c>
      <c r="J2021" s="28" t="str">
        <f>IF($C2021=""," ",[1]!i_pq_pctchange($C2021,J$6,$N$1))</f>
        <v xml:space="preserve"> </v>
      </c>
      <c r="K2021" s="28" t="str">
        <f>IF($C2021=""," ",[1]!i_pq_pctchange($C2021,K$6,$N$1))</f>
        <v xml:space="preserve"> </v>
      </c>
      <c r="L2021" s="28" t="str">
        <f>IF(C2021=""," ",[1]!s_wq_pctchange($C2021,$N$1))</f>
        <v xml:space="preserve"> </v>
      </c>
      <c r="M2021" s="28" t="str">
        <f>IF(C2021=""," ",[1]!s_mq_pctchange($C2021,$N$1))</f>
        <v xml:space="preserve"> </v>
      </c>
      <c r="N2021" s="28" t="str">
        <f>IF(C2021=""," ",[1]!s_yq_pctchange($C2021,$N$1))</f>
        <v xml:space="preserve"> </v>
      </c>
      <c r="O2021" s="11"/>
      <c r="P2021" s="7"/>
    </row>
    <row r="2022" spans="1:16" x14ac:dyDescent="0.35">
      <c r="A2022" s="7"/>
      <c r="C2022" s="31" t="str">
        <f>IF(指数列表!B2019="","",指数列表!B2019)</f>
        <v/>
      </c>
      <c r="D2022" s="36" t="str">
        <f>IF(C2022="","",[1]!s_info_name(C2022))</f>
        <v/>
      </c>
      <c r="E2022" s="25" t="str">
        <f>IF(C2022="","",[1]!s_dq_close(C2022,$N$1))</f>
        <v/>
      </c>
      <c r="F2022" s="28" t="str">
        <f>IF($C2022=""," ",[1]!i_pq_pctchange($C2022,F$6,$N$1))</f>
        <v xml:space="preserve"> </v>
      </c>
      <c r="G2022" s="28" t="str">
        <f>IF($C2022=""," ",[1]!i_pq_pctchange($C2022,G$6,$N$1))</f>
        <v xml:space="preserve"> </v>
      </c>
      <c r="H2022" s="28" t="str">
        <f>IF($C2022=""," ",[1]!i_pq_pctchange($C2022,H$6,$N$1))</f>
        <v xml:space="preserve"> </v>
      </c>
      <c r="I2022" s="28" t="str">
        <f>IF($C2022=""," ",[1]!i_pq_pctchange($C2022,I$6,$N$1))</f>
        <v xml:space="preserve"> </v>
      </c>
      <c r="J2022" s="28" t="str">
        <f>IF($C2022=""," ",[1]!i_pq_pctchange($C2022,J$6,$N$1))</f>
        <v xml:space="preserve"> </v>
      </c>
      <c r="K2022" s="28" t="str">
        <f>IF($C2022=""," ",[1]!i_pq_pctchange($C2022,K$6,$N$1))</f>
        <v xml:space="preserve"> </v>
      </c>
      <c r="L2022" s="28" t="str">
        <f>IF(C2022=""," ",[1]!s_wq_pctchange($C2022,$N$1))</f>
        <v xml:space="preserve"> </v>
      </c>
      <c r="M2022" s="28" t="str">
        <f>IF(C2022=""," ",[1]!s_mq_pctchange($C2022,$N$1))</f>
        <v xml:space="preserve"> </v>
      </c>
      <c r="N2022" s="28" t="str">
        <f>IF(C2022=""," ",[1]!s_yq_pctchange($C2022,$N$1))</f>
        <v xml:space="preserve"> </v>
      </c>
      <c r="O2022" s="11"/>
      <c r="P2022" s="7"/>
    </row>
    <row r="2023" spans="1:16" x14ac:dyDescent="0.35">
      <c r="A2023" s="7"/>
      <c r="C2023" s="30" t="str">
        <f>IF(指数列表!B2020="","",指数列表!B2020)</f>
        <v/>
      </c>
      <c r="D2023" s="35" t="str">
        <f>IF(C2023="","",[1]!s_info_name(C2023))</f>
        <v/>
      </c>
      <c r="E2023" s="24" t="str">
        <f>IF(C2023="","",[1]!s_dq_close(C2023,$N$1))</f>
        <v/>
      </c>
      <c r="F2023" s="28" t="str">
        <f>IF($C2023=""," ",[1]!i_pq_pctchange($C2023,F$6,$N$1))</f>
        <v xml:space="preserve"> </v>
      </c>
      <c r="G2023" s="28" t="str">
        <f>IF($C2023=""," ",[1]!i_pq_pctchange($C2023,G$6,$N$1))</f>
        <v xml:space="preserve"> </v>
      </c>
      <c r="H2023" s="28" t="str">
        <f>IF($C2023=""," ",[1]!i_pq_pctchange($C2023,H$6,$N$1))</f>
        <v xml:space="preserve"> </v>
      </c>
      <c r="I2023" s="28" t="str">
        <f>IF($C2023=""," ",[1]!i_pq_pctchange($C2023,I$6,$N$1))</f>
        <v xml:space="preserve"> </v>
      </c>
      <c r="J2023" s="28" t="str">
        <f>IF($C2023=""," ",[1]!i_pq_pctchange($C2023,J$6,$N$1))</f>
        <v xml:space="preserve"> </v>
      </c>
      <c r="K2023" s="28" t="str">
        <f>IF($C2023=""," ",[1]!i_pq_pctchange($C2023,K$6,$N$1))</f>
        <v xml:space="preserve"> </v>
      </c>
      <c r="L2023" s="28" t="str">
        <f>IF(C2023=""," ",[1]!s_wq_pctchange($C2023,$N$1))</f>
        <v xml:space="preserve"> </v>
      </c>
      <c r="M2023" s="28" t="str">
        <f>IF(C2023=""," ",[1]!s_mq_pctchange($C2023,$N$1))</f>
        <v xml:space="preserve"> </v>
      </c>
      <c r="N2023" s="28" t="str">
        <f>IF(C2023=""," ",[1]!s_yq_pctchange($C2023,$N$1))</f>
        <v xml:space="preserve"> </v>
      </c>
      <c r="O2023" s="11"/>
      <c r="P2023" s="7"/>
    </row>
    <row r="2024" spans="1:16" x14ac:dyDescent="0.35">
      <c r="A2024" s="7"/>
      <c r="C2024" s="31" t="str">
        <f>IF(指数列表!B2021="","",指数列表!B2021)</f>
        <v/>
      </c>
      <c r="D2024" s="36" t="str">
        <f>IF(C2024="","",[1]!s_info_name(C2024))</f>
        <v/>
      </c>
      <c r="E2024" s="25" t="str">
        <f>IF(C2024="","",[1]!s_dq_close(C2024,$N$1))</f>
        <v/>
      </c>
      <c r="F2024" s="28" t="str">
        <f>IF($C2024=""," ",[1]!i_pq_pctchange($C2024,F$6,$N$1))</f>
        <v xml:space="preserve"> </v>
      </c>
      <c r="G2024" s="28" t="str">
        <f>IF($C2024=""," ",[1]!i_pq_pctchange($C2024,G$6,$N$1))</f>
        <v xml:space="preserve"> </v>
      </c>
      <c r="H2024" s="28" t="str">
        <f>IF($C2024=""," ",[1]!i_pq_pctchange($C2024,H$6,$N$1))</f>
        <v xml:space="preserve"> </v>
      </c>
      <c r="I2024" s="28" t="str">
        <f>IF($C2024=""," ",[1]!i_pq_pctchange($C2024,I$6,$N$1))</f>
        <v xml:space="preserve"> </v>
      </c>
      <c r="J2024" s="28" t="str">
        <f>IF($C2024=""," ",[1]!i_pq_pctchange($C2024,J$6,$N$1))</f>
        <v xml:space="preserve"> </v>
      </c>
      <c r="K2024" s="28" t="str">
        <f>IF($C2024=""," ",[1]!i_pq_pctchange($C2024,K$6,$N$1))</f>
        <v xml:space="preserve"> </v>
      </c>
      <c r="L2024" s="28" t="str">
        <f>IF(C2024=""," ",[1]!s_wq_pctchange($C2024,$N$1))</f>
        <v xml:space="preserve"> </v>
      </c>
      <c r="M2024" s="28" t="str">
        <f>IF(C2024=""," ",[1]!s_mq_pctchange($C2024,$N$1))</f>
        <v xml:space="preserve"> </v>
      </c>
      <c r="N2024" s="28" t="str">
        <f>IF(C2024=""," ",[1]!s_yq_pctchange($C2024,$N$1))</f>
        <v xml:space="preserve"> </v>
      </c>
      <c r="O2024" s="11"/>
      <c r="P2024" s="7"/>
    </row>
    <row r="2025" spans="1:16" x14ac:dyDescent="0.35">
      <c r="A2025" s="7"/>
      <c r="C2025" s="30" t="str">
        <f>IF(指数列表!B2022="","",指数列表!B2022)</f>
        <v/>
      </c>
      <c r="D2025" s="35" t="str">
        <f>IF(C2025="","",[1]!s_info_name(C2025))</f>
        <v/>
      </c>
      <c r="E2025" s="24" t="str">
        <f>IF(C2025="","",[1]!s_dq_close(C2025,$N$1))</f>
        <v/>
      </c>
      <c r="F2025" s="28" t="str">
        <f>IF($C2025=""," ",[1]!i_pq_pctchange($C2025,F$6,$N$1))</f>
        <v xml:space="preserve"> </v>
      </c>
      <c r="G2025" s="28" t="str">
        <f>IF($C2025=""," ",[1]!i_pq_pctchange($C2025,G$6,$N$1))</f>
        <v xml:space="preserve"> </v>
      </c>
      <c r="H2025" s="28" t="str">
        <f>IF($C2025=""," ",[1]!i_pq_pctchange($C2025,H$6,$N$1))</f>
        <v xml:space="preserve"> </v>
      </c>
      <c r="I2025" s="28" t="str">
        <f>IF($C2025=""," ",[1]!i_pq_pctchange($C2025,I$6,$N$1))</f>
        <v xml:space="preserve"> </v>
      </c>
      <c r="J2025" s="28" t="str">
        <f>IF($C2025=""," ",[1]!i_pq_pctchange($C2025,J$6,$N$1))</f>
        <v xml:space="preserve"> </v>
      </c>
      <c r="K2025" s="28" t="str">
        <f>IF($C2025=""," ",[1]!i_pq_pctchange($C2025,K$6,$N$1))</f>
        <v xml:space="preserve"> </v>
      </c>
      <c r="L2025" s="28" t="str">
        <f>IF(C2025=""," ",[1]!s_wq_pctchange($C2025,$N$1))</f>
        <v xml:space="preserve"> </v>
      </c>
      <c r="M2025" s="28" t="str">
        <f>IF(C2025=""," ",[1]!s_mq_pctchange($C2025,$N$1))</f>
        <v xml:space="preserve"> </v>
      </c>
      <c r="N2025" s="28" t="str">
        <f>IF(C2025=""," ",[1]!s_yq_pctchange($C2025,$N$1))</f>
        <v xml:space="preserve"> </v>
      </c>
      <c r="O2025" s="11"/>
      <c r="P2025" s="7"/>
    </row>
    <row r="2026" spans="1:16" x14ac:dyDescent="0.35">
      <c r="A2026" s="7"/>
      <c r="C2026" s="31" t="str">
        <f>IF(指数列表!B2023="","",指数列表!B2023)</f>
        <v/>
      </c>
      <c r="D2026" s="36" t="str">
        <f>IF(C2026="","",[1]!s_info_name(C2026))</f>
        <v/>
      </c>
      <c r="E2026" s="25" t="str">
        <f>IF(C2026="","",[1]!s_dq_close(C2026,$N$1))</f>
        <v/>
      </c>
      <c r="F2026" s="28" t="str">
        <f>IF($C2026=""," ",[1]!i_pq_pctchange($C2026,F$6,$N$1))</f>
        <v xml:space="preserve"> </v>
      </c>
      <c r="G2026" s="28" t="str">
        <f>IF($C2026=""," ",[1]!i_pq_pctchange($C2026,G$6,$N$1))</f>
        <v xml:space="preserve"> </v>
      </c>
      <c r="H2026" s="28" t="str">
        <f>IF($C2026=""," ",[1]!i_pq_pctchange($C2026,H$6,$N$1))</f>
        <v xml:space="preserve"> </v>
      </c>
      <c r="I2026" s="28" t="str">
        <f>IF($C2026=""," ",[1]!i_pq_pctchange($C2026,I$6,$N$1))</f>
        <v xml:space="preserve"> </v>
      </c>
      <c r="J2026" s="28" t="str">
        <f>IF($C2026=""," ",[1]!i_pq_pctchange($C2026,J$6,$N$1))</f>
        <v xml:space="preserve"> </v>
      </c>
      <c r="K2026" s="28" t="str">
        <f>IF($C2026=""," ",[1]!i_pq_pctchange($C2026,K$6,$N$1))</f>
        <v xml:space="preserve"> </v>
      </c>
      <c r="L2026" s="28" t="str">
        <f>IF(C2026=""," ",[1]!s_wq_pctchange($C2026,$N$1))</f>
        <v xml:space="preserve"> </v>
      </c>
      <c r="M2026" s="28" t="str">
        <f>IF(C2026=""," ",[1]!s_mq_pctchange($C2026,$N$1))</f>
        <v xml:space="preserve"> </v>
      </c>
      <c r="N2026" s="28" t="str">
        <f>IF(C2026=""," ",[1]!s_yq_pctchange($C2026,$N$1))</f>
        <v xml:space="preserve"> </v>
      </c>
      <c r="O2026" s="11"/>
      <c r="P2026" s="7"/>
    </row>
    <row r="2027" spans="1:16" x14ac:dyDescent="0.35">
      <c r="A2027" s="7"/>
      <c r="C2027" s="30" t="str">
        <f>IF(指数列表!B2024="","",指数列表!B2024)</f>
        <v/>
      </c>
      <c r="D2027" s="35" t="str">
        <f>IF(C2027="","",[1]!s_info_name(C2027))</f>
        <v/>
      </c>
      <c r="E2027" s="24" t="str">
        <f>IF(C2027="","",[1]!s_dq_close(C2027,$N$1))</f>
        <v/>
      </c>
      <c r="F2027" s="28" t="str">
        <f>IF($C2027=""," ",[1]!i_pq_pctchange($C2027,F$6,$N$1))</f>
        <v xml:space="preserve"> </v>
      </c>
      <c r="G2027" s="28" t="str">
        <f>IF($C2027=""," ",[1]!i_pq_pctchange($C2027,G$6,$N$1))</f>
        <v xml:space="preserve"> </v>
      </c>
      <c r="H2027" s="28" t="str">
        <f>IF($C2027=""," ",[1]!i_pq_pctchange($C2027,H$6,$N$1))</f>
        <v xml:space="preserve"> </v>
      </c>
      <c r="I2027" s="28" t="str">
        <f>IF($C2027=""," ",[1]!i_pq_pctchange($C2027,I$6,$N$1))</f>
        <v xml:space="preserve"> </v>
      </c>
      <c r="J2027" s="28" t="str">
        <f>IF($C2027=""," ",[1]!i_pq_pctchange($C2027,J$6,$N$1))</f>
        <v xml:space="preserve"> </v>
      </c>
      <c r="K2027" s="28" t="str">
        <f>IF($C2027=""," ",[1]!i_pq_pctchange($C2027,K$6,$N$1))</f>
        <v xml:space="preserve"> </v>
      </c>
      <c r="L2027" s="28" t="str">
        <f>IF(C2027=""," ",[1]!s_wq_pctchange($C2027,$N$1))</f>
        <v xml:space="preserve"> </v>
      </c>
      <c r="M2027" s="28" t="str">
        <f>IF(C2027=""," ",[1]!s_mq_pctchange($C2027,$N$1))</f>
        <v xml:space="preserve"> </v>
      </c>
      <c r="N2027" s="28" t="str">
        <f>IF(C2027=""," ",[1]!s_yq_pctchange($C2027,$N$1))</f>
        <v xml:space="preserve"> </v>
      </c>
      <c r="O2027" s="11"/>
      <c r="P2027" s="7"/>
    </row>
    <row r="2028" spans="1:16" x14ac:dyDescent="0.35">
      <c r="A2028" s="7"/>
      <c r="C2028" s="31" t="str">
        <f>IF(指数列表!B2025="","",指数列表!B2025)</f>
        <v/>
      </c>
      <c r="D2028" s="36" t="str">
        <f>IF(C2028="","",[1]!s_info_name(C2028))</f>
        <v/>
      </c>
      <c r="E2028" s="25" t="str">
        <f>IF(C2028="","",[1]!s_dq_close(C2028,$N$1))</f>
        <v/>
      </c>
      <c r="F2028" s="28" t="str">
        <f>IF($C2028=""," ",[1]!i_pq_pctchange($C2028,F$6,$N$1))</f>
        <v xml:space="preserve"> </v>
      </c>
      <c r="G2028" s="28" t="str">
        <f>IF($C2028=""," ",[1]!i_pq_pctchange($C2028,G$6,$N$1))</f>
        <v xml:space="preserve"> </v>
      </c>
      <c r="H2028" s="28" t="str">
        <f>IF($C2028=""," ",[1]!i_pq_pctchange($C2028,H$6,$N$1))</f>
        <v xml:space="preserve"> </v>
      </c>
      <c r="I2028" s="28" t="str">
        <f>IF($C2028=""," ",[1]!i_pq_pctchange($C2028,I$6,$N$1))</f>
        <v xml:space="preserve"> </v>
      </c>
      <c r="J2028" s="28" t="str">
        <f>IF($C2028=""," ",[1]!i_pq_pctchange($C2028,J$6,$N$1))</f>
        <v xml:space="preserve"> </v>
      </c>
      <c r="K2028" s="28" t="str">
        <f>IF($C2028=""," ",[1]!i_pq_pctchange($C2028,K$6,$N$1))</f>
        <v xml:space="preserve"> </v>
      </c>
      <c r="L2028" s="28" t="str">
        <f>IF(C2028=""," ",[1]!s_wq_pctchange($C2028,$N$1))</f>
        <v xml:space="preserve"> </v>
      </c>
      <c r="M2028" s="28" t="str">
        <f>IF(C2028=""," ",[1]!s_mq_pctchange($C2028,$N$1))</f>
        <v xml:space="preserve"> </v>
      </c>
      <c r="N2028" s="28" t="str">
        <f>IF(C2028=""," ",[1]!s_yq_pctchange($C2028,$N$1))</f>
        <v xml:space="preserve"> </v>
      </c>
      <c r="O2028" s="11"/>
      <c r="P2028" s="7"/>
    </row>
    <row r="2029" spans="1:16" x14ac:dyDescent="0.35">
      <c r="A2029" s="7"/>
      <c r="C2029" s="30" t="str">
        <f>IF(指数列表!B2026="","",指数列表!B2026)</f>
        <v/>
      </c>
      <c r="D2029" s="35" t="str">
        <f>IF(C2029="","",[1]!s_info_name(C2029))</f>
        <v/>
      </c>
      <c r="E2029" s="24" t="str">
        <f>IF(C2029="","",[1]!s_dq_close(C2029,$N$1))</f>
        <v/>
      </c>
      <c r="F2029" s="28" t="str">
        <f>IF($C2029=""," ",[1]!i_pq_pctchange($C2029,F$6,$N$1))</f>
        <v xml:space="preserve"> </v>
      </c>
      <c r="G2029" s="28" t="str">
        <f>IF($C2029=""," ",[1]!i_pq_pctchange($C2029,G$6,$N$1))</f>
        <v xml:space="preserve"> </v>
      </c>
      <c r="H2029" s="28" t="str">
        <f>IF($C2029=""," ",[1]!i_pq_pctchange($C2029,H$6,$N$1))</f>
        <v xml:space="preserve"> </v>
      </c>
      <c r="I2029" s="28" t="str">
        <f>IF($C2029=""," ",[1]!i_pq_pctchange($C2029,I$6,$N$1))</f>
        <v xml:space="preserve"> </v>
      </c>
      <c r="J2029" s="28" t="str">
        <f>IF($C2029=""," ",[1]!i_pq_pctchange($C2029,J$6,$N$1))</f>
        <v xml:space="preserve"> </v>
      </c>
      <c r="K2029" s="28" t="str">
        <f>IF($C2029=""," ",[1]!i_pq_pctchange($C2029,K$6,$N$1))</f>
        <v xml:space="preserve"> </v>
      </c>
      <c r="L2029" s="28" t="str">
        <f>IF(C2029=""," ",[1]!s_wq_pctchange($C2029,$N$1))</f>
        <v xml:space="preserve"> </v>
      </c>
      <c r="M2029" s="28" t="str">
        <f>IF(C2029=""," ",[1]!s_mq_pctchange($C2029,$N$1))</f>
        <v xml:space="preserve"> </v>
      </c>
      <c r="N2029" s="28" t="str">
        <f>IF(C2029=""," ",[1]!s_yq_pctchange($C2029,$N$1))</f>
        <v xml:space="preserve"> </v>
      </c>
      <c r="O2029" s="11"/>
      <c r="P2029" s="7"/>
    </row>
    <row r="2030" spans="1:16" x14ac:dyDescent="0.35">
      <c r="A2030" s="7"/>
      <c r="C2030" s="31" t="str">
        <f>IF(指数列表!B2027="","",指数列表!B2027)</f>
        <v/>
      </c>
      <c r="D2030" s="36" t="str">
        <f>IF(C2030="","",[1]!s_info_name(C2030))</f>
        <v/>
      </c>
      <c r="E2030" s="25" t="str">
        <f>IF(C2030="","",[1]!s_dq_close(C2030,$N$1))</f>
        <v/>
      </c>
      <c r="F2030" s="28" t="str">
        <f>IF($C2030=""," ",[1]!i_pq_pctchange($C2030,F$6,$N$1))</f>
        <v xml:space="preserve"> </v>
      </c>
      <c r="G2030" s="28" t="str">
        <f>IF($C2030=""," ",[1]!i_pq_pctchange($C2030,G$6,$N$1))</f>
        <v xml:space="preserve"> </v>
      </c>
      <c r="H2030" s="28" t="str">
        <f>IF($C2030=""," ",[1]!i_pq_pctchange($C2030,H$6,$N$1))</f>
        <v xml:space="preserve"> </v>
      </c>
      <c r="I2030" s="28" t="str">
        <f>IF($C2030=""," ",[1]!i_pq_pctchange($C2030,I$6,$N$1))</f>
        <v xml:space="preserve"> </v>
      </c>
      <c r="J2030" s="28" t="str">
        <f>IF($C2030=""," ",[1]!i_pq_pctchange($C2030,J$6,$N$1))</f>
        <v xml:space="preserve"> </v>
      </c>
      <c r="K2030" s="28" t="str">
        <f>IF($C2030=""," ",[1]!i_pq_pctchange($C2030,K$6,$N$1))</f>
        <v xml:space="preserve"> </v>
      </c>
      <c r="L2030" s="28" t="str">
        <f>IF(C2030=""," ",[1]!s_wq_pctchange($C2030,$N$1))</f>
        <v xml:space="preserve"> </v>
      </c>
      <c r="M2030" s="28" t="str">
        <f>IF(C2030=""," ",[1]!s_mq_pctchange($C2030,$N$1))</f>
        <v xml:space="preserve"> </v>
      </c>
      <c r="N2030" s="28" t="str">
        <f>IF(C2030=""," ",[1]!s_yq_pctchange($C2030,$N$1))</f>
        <v xml:space="preserve"> </v>
      </c>
      <c r="O2030" s="11"/>
      <c r="P2030" s="7"/>
    </row>
    <row r="2031" spans="1:16" x14ac:dyDescent="0.35">
      <c r="A2031" s="7"/>
      <c r="C2031" s="30" t="str">
        <f>IF(指数列表!B2028="","",指数列表!B2028)</f>
        <v/>
      </c>
      <c r="D2031" s="35" t="str">
        <f>IF(C2031="","",[1]!s_info_name(C2031))</f>
        <v/>
      </c>
      <c r="E2031" s="24" t="str">
        <f>IF(C2031="","",[1]!s_dq_close(C2031,$N$1))</f>
        <v/>
      </c>
      <c r="F2031" s="28" t="str">
        <f>IF($C2031=""," ",[1]!i_pq_pctchange($C2031,F$6,$N$1))</f>
        <v xml:space="preserve"> </v>
      </c>
      <c r="G2031" s="28" t="str">
        <f>IF($C2031=""," ",[1]!i_pq_pctchange($C2031,G$6,$N$1))</f>
        <v xml:space="preserve"> </v>
      </c>
      <c r="H2031" s="28" t="str">
        <f>IF($C2031=""," ",[1]!i_pq_pctchange($C2031,H$6,$N$1))</f>
        <v xml:space="preserve"> </v>
      </c>
      <c r="I2031" s="28" t="str">
        <f>IF($C2031=""," ",[1]!i_pq_pctchange($C2031,I$6,$N$1))</f>
        <v xml:space="preserve"> </v>
      </c>
      <c r="J2031" s="28" t="str">
        <f>IF($C2031=""," ",[1]!i_pq_pctchange($C2031,J$6,$N$1))</f>
        <v xml:space="preserve"> </v>
      </c>
      <c r="K2031" s="28" t="str">
        <f>IF($C2031=""," ",[1]!i_pq_pctchange($C2031,K$6,$N$1))</f>
        <v xml:space="preserve"> </v>
      </c>
      <c r="L2031" s="28" t="str">
        <f>IF(C2031=""," ",[1]!s_wq_pctchange($C2031,$N$1))</f>
        <v xml:space="preserve"> </v>
      </c>
      <c r="M2031" s="28" t="str">
        <f>IF(C2031=""," ",[1]!s_mq_pctchange($C2031,$N$1))</f>
        <v xml:space="preserve"> </v>
      </c>
      <c r="N2031" s="28" t="str">
        <f>IF(C2031=""," ",[1]!s_yq_pctchange($C2031,$N$1))</f>
        <v xml:space="preserve"> </v>
      </c>
      <c r="O2031" s="11"/>
      <c r="P2031" s="7"/>
    </row>
    <row r="2032" spans="1:16" x14ac:dyDescent="0.35">
      <c r="A2032" s="7"/>
      <c r="C2032" s="31" t="str">
        <f>IF(指数列表!B2029="","",指数列表!B2029)</f>
        <v/>
      </c>
      <c r="D2032" s="36" t="str">
        <f>IF(C2032="","",[1]!s_info_name(C2032))</f>
        <v/>
      </c>
      <c r="E2032" s="25" t="str">
        <f>IF(C2032="","",[1]!s_dq_close(C2032,$N$1))</f>
        <v/>
      </c>
      <c r="F2032" s="28" t="str">
        <f>IF($C2032=""," ",[1]!i_pq_pctchange($C2032,F$6,$N$1))</f>
        <v xml:space="preserve"> </v>
      </c>
      <c r="G2032" s="28" t="str">
        <f>IF($C2032=""," ",[1]!i_pq_pctchange($C2032,G$6,$N$1))</f>
        <v xml:space="preserve"> </v>
      </c>
      <c r="H2032" s="28" t="str">
        <f>IF($C2032=""," ",[1]!i_pq_pctchange($C2032,H$6,$N$1))</f>
        <v xml:space="preserve"> </v>
      </c>
      <c r="I2032" s="28" t="str">
        <f>IF($C2032=""," ",[1]!i_pq_pctchange($C2032,I$6,$N$1))</f>
        <v xml:space="preserve"> </v>
      </c>
      <c r="J2032" s="28" t="str">
        <f>IF($C2032=""," ",[1]!i_pq_pctchange($C2032,J$6,$N$1))</f>
        <v xml:space="preserve"> </v>
      </c>
      <c r="K2032" s="28" t="str">
        <f>IF($C2032=""," ",[1]!i_pq_pctchange($C2032,K$6,$N$1))</f>
        <v xml:space="preserve"> </v>
      </c>
      <c r="L2032" s="28" t="str">
        <f>IF(C2032=""," ",[1]!s_wq_pctchange($C2032,$N$1))</f>
        <v xml:space="preserve"> </v>
      </c>
      <c r="M2032" s="28" t="str">
        <f>IF(C2032=""," ",[1]!s_mq_pctchange($C2032,$N$1))</f>
        <v xml:space="preserve"> </v>
      </c>
      <c r="N2032" s="28" t="str">
        <f>IF(C2032=""," ",[1]!s_yq_pctchange($C2032,$N$1))</f>
        <v xml:space="preserve"> </v>
      </c>
      <c r="O2032" s="11"/>
      <c r="P2032" s="7"/>
    </row>
    <row r="2033" spans="1:16" x14ac:dyDescent="0.35">
      <c r="A2033" s="7"/>
      <c r="C2033" s="30" t="str">
        <f>IF(指数列表!B2030="","",指数列表!B2030)</f>
        <v/>
      </c>
      <c r="D2033" s="35" t="str">
        <f>IF(C2033="","",[1]!s_info_name(C2033))</f>
        <v/>
      </c>
      <c r="E2033" s="24" t="str">
        <f>IF(C2033="","",[1]!s_dq_close(C2033,$N$1))</f>
        <v/>
      </c>
      <c r="F2033" s="28" t="str">
        <f>IF($C2033=""," ",[1]!i_pq_pctchange($C2033,F$6,$N$1))</f>
        <v xml:space="preserve"> </v>
      </c>
      <c r="G2033" s="28" t="str">
        <f>IF($C2033=""," ",[1]!i_pq_pctchange($C2033,G$6,$N$1))</f>
        <v xml:space="preserve"> </v>
      </c>
      <c r="H2033" s="28" t="str">
        <f>IF($C2033=""," ",[1]!i_pq_pctchange($C2033,H$6,$N$1))</f>
        <v xml:space="preserve"> </v>
      </c>
      <c r="I2033" s="28" t="str">
        <f>IF($C2033=""," ",[1]!i_pq_pctchange($C2033,I$6,$N$1))</f>
        <v xml:space="preserve"> </v>
      </c>
      <c r="J2033" s="28" t="str">
        <f>IF($C2033=""," ",[1]!i_pq_pctchange($C2033,J$6,$N$1))</f>
        <v xml:space="preserve"> </v>
      </c>
      <c r="K2033" s="28" t="str">
        <f>IF($C2033=""," ",[1]!i_pq_pctchange($C2033,K$6,$N$1))</f>
        <v xml:space="preserve"> </v>
      </c>
      <c r="L2033" s="28" t="str">
        <f>IF(C2033=""," ",[1]!s_wq_pctchange($C2033,$N$1))</f>
        <v xml:space="preserve"> </v>
      </c>
      <c r="M2033" s="28" t="str">
        <f>IF(C2033=""," ",[1]!s_mq_pctchange($C2033,$N$1))</f>
        <v xml:space="preserve"> </v>
      </c>
      <c r="N2033" s="28" t="str">
        <f>IF(C2033=""," ",[1]!s_yq_pctchange($C2033,$N$1))</f>
        <v xml:space="preserve"> </v>
      </c>
      <c r="O2033" s="11"/>
      <c r="P2033" s="7"/>
    </row>
    <row r="2034" spans="1:16" x14ac:dyDescent="0.35">
      <c r="A2034" s="7"/>
      <c r="C2034" s="31" t="str">
        <f>IF(指数列表!B2031="","",指数列表!B2031)</f>
        <v/>
      </c>
      <c r="D2034" s="36" t="str">
        <f>IF(C2034="","",[1]!s_info_name(C2034))</f>
        <v/>
      </c>
      <c r="E2034" s="25" t="str">
        <f>IF(C2034="","",[1]!s_dq_close(C2034,$N$1))</f>
        <v/>
      </c>
      <c r="F2034" s="28" t="str">
        <f>IF($C2034=""," ",[1]!i_pq_pctchange($C2034,F$6,$N$1))</f>
        <v xml:space="preserve"> </v>
      </c>
      <c r="G2034" s="28" t="str">
        <f>IF($C2034=""," ",[1]!i_pq_pctchange($C2034,G$6,$N$1))</f>
        <v xml:space="preserve"> </v>
      </c>
      <c r="H2034" s="28" t="str">
        <f>IF($C2034=""," ",[1]!i_pq_pctchange($C2034,H$6,$N$1))</f>
        <v xml:space="preserve"> </v>
      </c>
      <c r="I2034" s="28" t="str">
        <f>IF($C2034=""," ",[1]!i_pq_pctchange($C2034,I$6,$N$1))</f>
        <v xml:space="preserve"> </v>
      </c>
      <c r="J2034" s="28" t="str">
        <f>IF($C2034=""," ",[1]!i_pq_pctchange($C2034,J$6,$N$1))</f>
        <v xml:space="preserve"> </v>
      </c>
      <c r="K2034" s="28" t="str">
        <f>IF($C2034=""," ",[1]!i_pq_pctchange($C2034,K$6,$N$1))</f>
        <v xml:space="preserve"> </v>
      </c>
      <c r="L2034" s="28" t="str">
        <f>IF(C2034=""," ",[1]!s_wq_pctchange($C2034,$N$1))</f>
        <v xml:space="preserve"> </v>
      </c>
      <c r="M2034" s="28" t="str">
        <f>IF(C2034=""," ",[1]!s_mq_pctchange($C2034,$N$1))</f>
        <v xml:space="preserve"> </v>
      </c>
      <c r="N2034" s="28" t="str">
        <f>IF(C2034=""," ",[1]!s_yq_pctchange($C2034,$N$1))</f>
        <v xml:space="preserve"> </v>
      </c>
      <c r="O2034" s="11"/>
      <c r="P2034" s="7"/>
    </row>
    <row r="2035" spans="1:16" x14ac:dyDescent="0.35">
      <c r="A2035" s="7"/>
      <c r="C2035" s="30" t="str">
        <f>IF(指数列表!B2032="","",指数列表!B2032)</f>
        <v/>
      </c>
      <c r="D2035" s="35" t="str">
        <f>IF(C2035="","",[1]!s_info_name(C2035))</f>
        <v/>
      </c>
      <c r="E2035" s="24" t="str">
        <f>IF(C2035="","",[1]!s_dq_close(C2035,$N$1))</f>
        <v/>
      </c>
      <c r="F2035" s="28" t="str">
        <f>IF($C2035=""," ",[1]!i_pq_pctchange($C2035,F$6,$N$1))</f>
        <v xml:space="preserve"> </v>
      </c>
      <c r="G2035" s="28" t="str">
        <f>IF($C2035=""," ",[1]!i_pq_pctchange($C2035,G$6,$N$1))</f>
        <v xml:space="preserve"> </v>
      </c>
      <c r="H2035" s="28" t="str">
        <f>IF($C2035=""," ",[1]!i_pq_pctchange($C2035,H$6,$N$1))</f>
        <v xml:space="preserve"> </v>
      </c>
      <c r="I2035" s="28" t="str">
        <f>IF($C2035=""," ",[1]!i_pq_pctchange($C2035,I$6,$N$1))</f>
        <v xml:space="preserve"> </v>
      </c>
      <c r="J2035" s="28" t="str">
        <f>IF($C2035=""," ",[1]!i_pq_pctchange($C2035,J$6,$N$1))</f>
        <v xml:space="preserve"> </v>
      </c>
      <c r="K2035" s="28" t="str">
        <f>IF($C2035=""," ",[1]!i_pq_pctchange($C2035,K$6,$N$1))</f>
        <v xml:space="preserve"> </v>
      </c>
      <c r="L2035" s="28" t="str">
        <f>IF(C2035=""," ",[1]!s_wq_pctchange($C2035,$N$1))</f>
        <v xml:space="preserve"> </v>
      </c>
      <c r="M2035" s="28" t="str">
        <f>IF(C2035=""," ",[1]!s_mq_pctchange($C2035,$N$1))</f>
        <v xml:space="preserve"> </v>
      </c>
      <c r="N2035" s="28" t="str">
        <f>IF(C2035=""," ",[1]!s_yq_pctchange($C2035,$N$1))</f>
        <v xml:space="preserve"> </v>
      </c>
      <c r="O2035" s="11"/>
      <c r="P2035" s="7"/>
    </row>
    <row r="2036" spans="1:16" x14ac:dyDescent="0.35">
      <c r="A2036" s="7"/>
      <c r="C2036" s="31" t="str">
        <f>IF(指数列表!B2033="","",指数列表!B2033)</f>
        <v/>
      </c>
      <c r="D2036" s="36" t="str">
        <f>IF(C2036="","",[1]!s_info_name(C2036))</f>
        <v/>
      </c>
      <c r="E2036" s="25" t="str">
        <f>IF(C2036="","",[1]!s_dq_close(C2036,$N$1))</f>
        <v/>
      </c>
      <c r="F2036" s="28" t="str">
        <f>IF($C2036=""," ",[1]!i_pq_pctchange($C2036,F$6,$N$1))</f>
        <v xml:space="preserve"> </v>
      </c>
      <c r="G2036" s="28" t="str">
        <f>IF($C2036=""," ",[1]!i_pq_pctchange($C2036,G$6,$N$1))</f>
        <v xml:space="preserve"> </v>
      </c>
      <c r="H2036" s="28" t="str">
        <f>IF($C2036=""," ",[1]!i_pq_pctchange($C2036,H$6,$N$1))</f>
        <v xml:space="preserve"> </v>
      </c>
      <c r="I2036" s="28" t="str">
        <f>IF($C2036=""," ",[1]!i_pq_pctchange($C2036,I$6,$N$1))</f>
        <v xml:space="preserve"> </v>
      </c>
      <c r="J2036" s="28" t="str">
        <f>IF($C2036=""," ",[1]!i_pq_pctchange($C2036,J$6,$N$1))</f>
        <v xml:space="preserve"> </v>
      </c>
      <c r="K2036" s="28" t="str">
        <f>IF($C2036=""," ",[1]!i_pq_pctchange($C2036,K$6,$N$1))</f>
        <v xml:space="preserve"> </v>
      </c>
      <c r="L2036" s="28" t="str">
        <f>IF(C2036=""," ",[1]!s_wq_pctchange($C2036,$N$1))</f>
        <v xml:space="preserve"> </v>
      </c>
      <c r="M2036" s="28" t="str">
        <f>IF(C2036=""," ",[1]!s_mq_pctchange($C2036,$N$1))</f>
        <v xml:space="preserve"> </v>
      </c>
      <c r="N2036" s="28" t="str">
        <f>IF(C2036=""," ",[1]!s_yq_pctchange($C2036,$N$1))</f>
        <v xml:space="preserve"> </v>
      </c>
      <c r="O2036" s="11"/>
      <c r="P2036" s="7"/>
    </row>
    <row r="2037" spans="1:16" x14ac:dyDescent="0.35">
      <c r="A2037" s="7"/>
      <c r="C2037" s="30" t="str">
        <f>IF(指数列表!B2034="","",指数列表!B2034)</f>
        <v/>
      </c>
      <c r="D2037" s="35" t="str">
        <f>IF(C2037="","",[1]!s_info_name(C2037))</f>
        <v/>
      </c>
      <c r="E2037" s="24" t="str">
        <f>IF(C2037="","",[1]!s_dq_close(C2037,$N$1))</f>
        <v/>
      </c>
      <c r="F2037" s="28" t="str">
        <f>IF($C2037=""," ",[1]!i_pq_pctchange($C2037,F$6,$N$1))</f>
        <v xml:space="preserve"> </v>
      </c>
      <c r="G2037" s="28" t="str">
        <f>IF($C2037=""," ",[1]!i_pq_pctchange($C2037,G$6,$N$1))</f>
        <v xml:space="preserve"> </v>
      </c>
      <c r="H2037" s="28" t="str">
        <f>IF($C2037=""," ",[1]!i_pq_pctchange($C2037,H$6,$N$1))</f>
        <v xml:space="preserve"> </v>
      </c>
      <c r="I2037" s="28" t="str">
        <f>IF($C2037=""," ",[1]!i_pq_pctchange($C2037,I$6,$N$1))</f>
        <v xml:space="preserve"> </v>
      </c>
      <c r="J2037" s="28" t="str">
        <f>IF($C2037=""," ",[1]!i_pq_pctchange($C2037,J$6,$N$1))</f>
        <v xml:space="preserve"> </v>
      </c>
      <c r="K2037" s="28" t="str">
        <f>IF($C2037=""," ",[1]!i_pq_pctchange($C2037,K$6,$N$1))</f>
        <v xml:space="preserve"> </v>
      </c>
      <c r="L2037" s="28" t="str">
        <f>IF(C2037=""," ",[1]!s_wq_pctchange($C2037,$N$1))</f>
        <v xml:space="preserve"> </v>
      </c>
      <c r="M2037" s="28" t="str">
        <f>IF(C2037=""," ",[1]!s_mq_pctchange($C2037,$N$1))</f>
        <v xml:space="preserve"> </v>
      </c>
      <c r="N2037" s="28" t="str">
        <f>IF(C2037=""," ",[1]!s_yq_pctchange($C2037,$N$1))</f>
        <v xml:space="preserve"> </v>
      </c>
      <c r="O2037" s="11"/>
      <c r="P2037" s="7"/>
    </row>
    <row r="2038" spans="1:16" x14ac:dyDescent="0.35">
      <c r="A2038" s="7"/>
      <c r="C2038" s="31" t="str">
        <f>IF(指数列表!B2035="","",指数列表!B2035)</f>
        <v/>
      </c>
      <c r="D2038" s="36" t="str">
        <f>IF(C2038="","",[1]!s_info_name(C2038))</f>
        <v/>
      </c>
      <c r="E2038" s="25" t="str">
        <f>IF(C2038="","",[1]!s_dq_close(C2038,$N$1))</f>
        <v/>
      </c>
      <c r="F2038" s="28" t="str">
        <f>IF($C2038=""," ",[1]!i_pq_pctchange($C2038,F$6,$N$1))</f>
        <v xml:space="preserve"> </v>
      </c>
      <c r="G2038" s="28" t="str">
        <f>IF($C2038=""," ",[1]!i_pq_pctchange($C2038,G$6,$N$1))</f>
        <v xml:space="preserve"> </v>
      </c>
      <c r="H2038" s="28" t="str">
        <f>IF($C2038=""," ",[1]!i_pq_pctchange($C2038,H$6,$N$1))</f>
        <v xml:space="preserve"> </v>
      </c>
      <c r="I2038" s="28" t="str">
        <f>IF($C2038=""," ",[1]!i_pq_pctchange($C2038,I$6,$N$1))</f>
        <v xml:space="preserve"> </v>
      </c>
      <c r="J2038" s="28" t="str">
        <f>IF($C2038=""," ",[1]!i_pq_pctchange($C2038,J$6,$N$1))</f>
        <v xml:space="preserve"> </v>
      </c>
      <c r="K2038" s="28" t="str">
        <f>IF($C2038=""," ",[1]!i_pq_pctchange($C2038,K$6,$N$1))</f>
        <v xml:space="preserve"> </v>
      </c>
      <c r="L2038" s="28" t="str">
        <f>IF(C2038=""," ",[1]!s_wq_pctchange($C2038,$N$1))</f>
        <v xml:space="preserve"> </v>
      </c>
      <c r="M2038" s="28" t="str">
        <f>IF(C2038=""," ",[1]!s_mq_pctchange($C2038,$N$1))</f>
        <v xml:space="preserve"> </v>
      </c>
      <c r="N2038" s="28" t="str">
        <f>IF(C2038=""," ",[1]!s_yq_pctchange($C2038,$N$1))</f>
        <v xml:space="preserve"> </v>
      </c>
      <c r="O2038" s="11"/>
      <c r="P2038" s="7"/>
    </row>
    <row r="2039" spans="1:16" x14ac:dyDescent="0.35">
      <c r="A2039" s="7"/>
      <c r="C2039" s="30" t="str">
        <f>IF(指数列表!B2036="","",指数列表!B2036)</f>
        <v/>
      </c>
      <c r="D2039" s="35" t="str">
        <f>IF(C2039="","",[1]!s_info_name(C2039))</f>
        <v/>
      </c>
      <c r="E2039" s="24" t="str">
        <f>IF(C2039="","",[1]!s_dq_close(C2039,$N$1))</f>
        <v/>
      </c>
      <c r="F2039" s="28" t="str">
        <f>IF($C2039=""," ",[1]!i_pq_pctchange($C2039,F$6,$N$1))</f>
        <v xml:space="preserve"> </v>
      </c>
      <c r="G2039" s="28" t="str">
        <f>IF($C2039=""," ",[1]!i_pq_pctchange($C2039,G$6,$N$1))</f>
        <v xml:space="preserve"> </v>
      </c>
      <c r="H2039" s="28" t="str">
        <f>IF($C2039=""," ",[1]!i_pq_pctchange($C2039,H$6,$N$1))</f>
        <v xml:space="preserve"> </v>
      </c>
      <c r="I2039" s="28" t="str">
        <f>IF($C2039=""," ",[1]!i_pq_pctchange($C2039,I$6,$N$1))</f>
        <v xml:space="preserve"> </v>
      </c>
      <c r="J2039" s="28" t="str">
        <f>IF($C2039=""," ",[1]!i_pq_pctchange($C2039,J$6,$N$1))</f>
        <v xml:space="preserve"> </v>
      </c>
      <c r="K2039" s="28" t="str">
        <f>IF($C2039=""," ",[1]!i_pq_pctchange($C2039,K$6,$N$1))</f>
        <v xml:space="preserve"> </v>
      </c>
      <c r="L2039" s="28" t="str">
        <f>IF(C2039=""," ",[1]!s_wq_pctchange($C2039,$N$1))</f>
        <v xml:space="preserve"> </v>
      </c>
      <c r="M2039" s="28" t="str">
        <f>IF(C2039=""," ",[1]!s_mq_pctchange($C2039,$N$1))</f>
        <v xml:space="preserve"> </v>
      </c>
      <c r="N2039" s="28" t="str">
        <f>IF(C2039=""," ",[1]!s_yq_pctchange($C2039,$N$1))</f>
        <v xml:space="preserve"> </v>
      </c>
      <c r="O2039" s="11"/>
      <c r="P2039" s="7"/>
    </row>
    <row r="2040" spans="1:16" x14ac:dyDescent="0.35">
      <c r="A2040" s="7"/>
      <c r="C2040" s="31" t="str">
        <f>IF(指数列表!B2037="","",指数列表!B2037)</f>
        <v/>
      </c>
      <c r="D2040" s="36" t="str">
        <f>IF(C2040="","",[1]!s_info_name(C2040))</f>
        <v/>
      </c>
      <c r="E2040" s="25" t="str">
        <f>IF(C2040="","",[1]!s_dq_close(C2040,$N$1))</f>
        <v/>
      </c>
      <c r="F2040" s="28" t="str">
        <f>IF($C2040=""," ",[1]!i_pq_pctchange($C2040,F$6,$N$1))</f>
        <v xml:space="preserve"> </v>
      </c>
      <c r="G2040" s="28" t="str">
        <f>IF($C2040=""," ",[1]!i_pq_pctchange($C2040,G$6,$N$1))</f>
        <v xml:space="preserve"> </v>
      </c>
      <c r="H2040" s="28" t="str">
        <f>IF($C2040=""," ",[1]!i_pq_pctchange($C2040,H$6,$N$1))</f>
        <v xml:space="preserve"> </v>
      </c>
      <c r="I2040" s="28" t="str">
        <f>IF($C2040=""," ",[1]!i_pq_pctchange($C2040,I$6,$N$1))</f>
        <v xml:space="preserve"> </v>
      </c>
      <c r="J2040" s="28" t="str">
        <f>IF($C2040=""," ",[1]!i_pq_pctchange($C2040,J$6,$N$1))</f>
        <v xml:space="preserve"> </v>
      </c>
      <c r="K2040" s="28" t="str">
        <f>IF($C2040=""," ",[1]!i_pq_pctchange($C2040,K$6,$N$1))</f>
        <v xml:space="preserve"> </v>
      </c>
      <c r="L2040" s="28" t="str">
        <f>IF(C2040=""," ",[1]!s_wq_pctchange($C2040,$N$1))</f>
        <v xml:space="preserve"> </v>
      </c>
      <c r="M2040" s="28" t="str">
        <f>IF(C2040=""," ",[1]!s_mq_pctchange($C2040,$N$1))</f>
        <v xml:space="preserve"> </v>
      </c>
      <c r="N2040" s="28" t="str">
        <f>IF(C2040=""," ",[1]!s_yq_pctchange($C2040,$N$1))</f>
        <v xml:space="preserve"> </v>
      </c>
      <c r="O2040" s="11"/>
      <c r="P2040" s="7"/>
    </row>
    <row r="2041" spans="1:16" x14ac:dyDescent="0.35">
      <c r="A2041" s="7"/>
      <c r="C2041" s="30" t="str">
        <f>IF(指数列表!B2038="","",指数列表!B2038)</f>
        <v/>
      </c>
      <c r="D2041" s="35" t="str">
        <f>IF(C2041="","",[1]!s_info_name(C2041))</f>
        <v/>
      </c>
      <c r="E2041" s="24" t="str">
        <f>IF(C2041="","",[1]!s_dq_close(C2041,$N$1))</f>
        <v/>
      </c>
      <c r="F2041" s="28" t="str">
        <f>IF($C2041=""," ",[1]!i_pq_pctchange($C2041,F$6,$N$1))</f>
        <v xml:space="preserve"> </v>
      </c>
      <c r="G2041" s="28" t="str">
        <f>IF($C2041=""," ",[1]!i_pq_pctchange($C2041,G$6,$N$1))</f>
        <v xml:space="preserve"> </v>
      </c>
      <c r="H2041" s="28" t="str">
        <f>IF($C2041=""," ",[1]!i_pq_pctchange($C2041,H$6,$N$1))</f>
        <v xml:space="preserve"> </v>
      </c>
      <c r="I2041" s="28" t="str">
        <f>IF($C2041=""," ",[1]!i_pq_pctchange($C2041,I$6,$N$1))</f>
        <v xml:space="preserve"> </v>
      </c>
      <c r="J2041" s="28" t="str">
        <f>IF($C2041=""," ",[1]!i_pq_pctchange($C2041,J$6,$N$1))</f>
        <v xml:space="preserve"> </v>
      </c>
      <c r="K2041" s="28" t="str">
        <f>IF($C2041=""," ",[1]!i_pq_pctchange($C2041,K$6,$N$1))</f>
        <v xml:space="preserve"> </v>
      </c>
      <c r="L2041" s="28" t="str">
        <f>IF(C2041=""," ",[1]!s_wq_pctchange($C2041,$N$1))</f>
        <v xml:space="preserve"> </v>
      </c>
      <c r="M2041" s="28" t="str">
        <f>IF(C2041=""," ",[1]!s_mq_pctchange($C2041,$N$1))</f>
        <v xml:space="preserve"> </v>
      </c>
      <c r="N2041" s="28" t="str">
        <f>IF(C2041=""," ",[1]!s_yq_pctchange($C2041,$N$1))</f>
        <v xml:space="preserve"> </v>
      </c>
      <c r="O2041" s="11"/>
      <c r="P2041" s="7"/>
    </row>
    <row r="2042" spans="1:16" x14ac:dyDescent="0.35">
      <c r="A2042" s="7"/>
      <c r="C2042" s="31" t="str">
        <f>IF(指数列表!B2039="","",指数列表!B2039)</f>
        <v/>
      </c>
      <c r="D2042" s="36" t="str">
        <f>IF(C2042="","",[1]!s_info_name(C2042))</f>
        <v/>
      </c>
      <c r="E2042" s="25" t="str">
        <f>IF(C2042="","",[1]!s_dq_close(C2042,$N$1))</f>
        <v/>
      </c>
      <c r="F2042" s="28" t="str">
        <f>IF($C2042=""," ",[1]!i_pq_pctchange($C2042,F$6,$N$1))</f>
        <v xml:space="preserve"> </v>
      </c>
      <c r="G2042" s="28" t="str">
        <f>IF($C2042=""," ",[1]!i_pq_pctchange($C2042,G$6,$N$1))</f>
        <v xml:space="preserve"> </v>
      </c>
      <c r="H2042" s="28" t="str">
        <f>IF($C2042=""," ",[1]!i_pq_pctchange($C2042,H$6,$N$1))</f>
        <v xml:space="preserve"> </v>
      </c>
      <c r="I2042" s="28" t="str">
        <f>IF($C2042=""," ",[1]!i_pq_pctchange($C2042,I$6,$N$1))</f>
        <v xml:space="preserve"> </v>
      </c>
      <c r="J2042" s="28" t="str">
        <f>IF($C2042=""," ",[1]!i_pq_pctchange($C2042,J$6,$N$1))</f>
        <v xml:space="preserve"> </v>
      </c>
      <c r="K2042" s="28" t="str">
        <f>IF($C2042=""," ",[1]!i_pq_pctchange($C2042,K$6,$N$1))</f>
        <v xml:space="preserve"> </v>
      </c>
      <c r="L2042" s="28" t="str">
        <f>IF(C2042=""," ",[1]!s_wq_pctchange($C2042,$N$1))</f>
        <v xml:space="preserve"> </v>
      </c>
      <c r="M2042" s="28" t="str">
        <f>IF(C2042=""," ",[1]!s_mq_pctchange($C2042,$N$1))</f>
        <v xml:space="preserve"> </v>
      </c>
      <c r="N2042" s="28" t="str">
        <f>IF(C2042=""," ",[1]!s_yq_pctchange($C2042,$N$1))</f>
        <v xml:space="preserve"> </v>
      </c>
      <c r="O2042" s="11"/>
      <c r="P2042" s="7"/>
    </row>
    <row r="2043" spans="1:16" x14ac:dyDescent="0.35">
      <c r="A2043" s="7"/>
      <c r="C2043" s="30" t="str">
        <f>IF(指数列表!B2040="","",指数列表!B2040)</f>
        <v/>
      </c>
      <c r="D2043" s="35" t="str">
        <f>IF(C2043="","",[1]!s_info_name(C2043))</f>
        <v/>
      </c>
      <c r="E2043" s="24" t="str">
        <f>IF(C2043="","",[1]!s_dq_close(C2043,$N$1))</f>
        <v/>
      </c>
      <c r="F2043" s="28" t="str">
        <f>IF($C2043=""," ",[1]!i_pq_pctchange($C2043,F$6,$N$1))</f>
        <v xml:space="preserve"> </v>
      </c>
      <c r="G2043" s="28" t="str">
        <f>IF($C2043=""," ",[1]!i_pq_pctchange($C2043,G$6,$N$1))</f>
        <v xml:space="preserve"> </v>
      </c>
      <c r="H2043" s="28" t="str">
        <f>IF($C2043=""," ",[1]!i_pq_pctchange($C2043,H$6,$N$1))</f>
        <v xml:space="preserve"> </v>
      </c>
      <c r="I2043" s="28" t="str">
        <f>IF($C2043=""," ",[1]!i_pq_pctchange($C2043,I$6,$N$1))</f>
        <v xml:space="preserve"> </v>
      </c>
      <c r="J2043" s="28" t="str">
        <f>IF($C2043=""," ",[1]!i_pq_pctchange($C2043,J$6,$N$1))</f>
        <v xml:space="preserve"> </v>
      </c>
      <c r="K2043" s="28" t="str">
        <f>IF($C2043=""," ",[1]!i_pq_pctchange($C2043,K$6,$N$1))</f>
        <v xml:space="preserve"> </v>
      </c>
      <c r="L2043" s="28" t="str">
        <f>IF(C2043=""," ",[1]!s_wq_pctchange($C2043,$N$1))</f>
        <v xml:space="preserve"> </v>
      </c>
      <c r="M2043" s="28" t="str">
        <f>IF(C2043=""," ",[1]!s_mq_pctchange($C2043,$N$1))</f>
        <v xml:space="preserve"> </v>
      </c>
      <c r="N2043" s="28" t="str">
        <f>IF(C2043=""," ",[1]!s_yq_pctchange($C2043,$N$1))</f>
        <v xml:space="preserve"> </v>
      </c>
      <c r="O2043" s="11"/>
      <c r="P2043" s="7"/>
    </row>
    <row r="2044" spans="1:16" x14ac:dyDescent="0.35">
      <c r="A2044" s="7"/>
      <c r="C2044" s="31" t="str">
        <f>IF(指数列表!B2041="","",指数列表!B2041)</f>
        <v/>
      </c>
      <c r="D2044" s="36" t="str">
        <f>IF(C2044="","",[1]!s_info_name(C2044))</f>
        <v/>
      </c>
      <c r="E2044" s="25" t="str">
        <f>IF(C2044="","",[1]!s_dq_close(C2044,$N$1))</f>
        <v/>
      </c>
      <c r="F2044" s="28" t="str">
        <f>IF($C2044=""," ",[1]!i_pq_pctchange($C2044,F$6,$N$1))</f>
        <v xml:space="preserve"> </v>
      </c>
      <c r="G2044" s="28" t="str">
        <f>IF($C2044=""," ",[1]!i_pq_pctchange($C2044,G$6,$N$1))</f>
        <v xml:space="preserve"> </v>
      </c>
      <c r="H2044" s="28" t="str">
        <f>IF($C2044=""," ",[1]!i_pq_pctchange($C2044,H$6,$N$1))</f>
        <v xml:space="preserve"> </v>
      </c>
      <c r="I2044" s="28" t="str">
        <f>IF($C2044=""," ",[1]!i_pq_pctchange($C2044,I$6,$N$1))</f>
        <v xml:space="preserve"> </v>
      </c>
      <c r="J2044" s="28" t="str">
        <f>IF($C2044=""," ",[1]!i_pq_pctchange($C2044,J$6,$N$1))</f>
        <v xml:space="preserve"> </v>
      </c>
      <c r="K2044" s="28" t="str">
        <f>IF($C2044=""," ",[1]!i_pq_pctchange($C2044,K$6,$N$1))</f>
        <v xml:space="preserve"> </v>
      </c>
      <c r="L2044" s="28" t="str">
        <f>IF(C2044=""," ",[1]!s_wq_pctchange($C2044,$N$1))</f>
        <v xml:space="preserve"> </v>
      </c>
      <c r="M2044" s="28" t="str">
        <f>IF(C2044=""," ",[1]!s_mq_pctchange($C2044,$N$1))</f>
        <v xml:space="preserve"> </v>
      </c>
      <c r="N2044" s="28" t="str">
        <f>IF(C2044=""," ",[1]!s_yq_pctchange($C2044,$N$1))</f>
        <v xml:space="preserve"> </v>
      </c>
      <c r="O2044" s="11"/>
      <c r="P2044" s="7"/>
    </row>
    <row r="2045" spans="1:16" x14ac:dyDescent="0.35">
      <c r="A2045" s="7"/>
      <c r="C2045" s="30" t="str">
        <f>IF(指数列表!B2042="","",指数列表!B2042)</f>
        <v/>
      </c>
      <c r="D2045" s="35" t="str">
        <f>IF(C2045="","",[1]!s_info_name(C2045))</f>
        <v/>
      </c>
      <c r="E2045" s="24" t="str">
        <f>IF(C2045="","",[1]!s_dq_close(C2045,$N$1))</f>
        <v/>
      </c>
      <c r="F2045" s="28" t="str">
        <f>IF($C2045=""," ",[1]!i_pq_pctchange($C2045,F$6,$N$1))</f>
        <v xml:space="preserve"> </v>
      </c>
      <c r="G2045" s="28" t="str">
        <f>IF($C2045=""," ",[1]!i_pq_pctchange($C2045,G$6,$N$1))</f>
        <v xml:space="preserve"> </v>
      </c>
      <c r="H2045" s="28" t="str">
        <f>IF($C2045=""," ",[1]!i_pq_pctchange($C2045,H$6,$N$1))</f>
        <v xml:space="preserve"> </v>
      </c>
      <c r="I2045" s="28" t="str">
        <f>IF($C2045=""," ",[1]!i_pq_pctchange($C2045,I$6,$N$1))</f>
        <v xml:space="preserve"> </v>
      </c>
      <c r="J2045" s="28" t="str">
        <f>IF($C2045=""," ",[1]!i_pq_pctchange($C2045,J$6,$N$1))</f>
        <v xml:space="preserve"> </v>
      </c>
      <c r="K2045" s="28" t="str">
        <f>IF($C2045=""," ",[1]!i_pq_pctchange($C2045,K$6,$N$1))</f>
        <v xml:space="preserve"> </v>
      </c>
      <c r="L2045" s="28" t="str">
        <f>IF(C2045=""," ",[1]!s_wq_pctchange($C2045,$N$1))</f>
        <v xml:space="preserve"> </v>
      </c>
      <c r="M2045" s="28" t="str">
        <f>IF(C2045=""," ",[1]!s_mq_pctchange($C2045,$N$1))</f>
        <v xml:space="preserve"> </v>
      </c>
      <c r="N2045" s="28" t="str">
        <f>IF(C2045=""," ",[1]!s_yq_pctchange($C2045,$N$1))</f>
        <v xml:space="preserve"> </v>
      </c>
      <c r="O2045" s="11"/>
      <c r="P2045" s="7"/>
    </row>
    <row r="2046" spans="1:16" x14ac:dyDescent="0.35">
      <c r="A2046" s="7"/>
      <c r="C2046" s="31" t="str">
        <f>IF(指数列表!B2043="","",指数列表!B2043)</f>
        <v/>
      </c>
      <c r="D2046" s="36" t="str">
        <f>IF(C2046="","",[1]!s_info_name(C2046))</f>
        <v/>
      </c>
      <c r="E2046" s="25" t="str">
        <f>IF(C2046="","",[1]!s_dq_close(C2046,$N$1))</f>
        <v/>
      </c>
      <c r="F2046" s="28" t="str">
        <f>IF($C2046=""," ",[1]!i_pq_pctchange($C2046,F$6,$N$1))</f>
        <v xml:space="preserve"> </v>
      </c>
      <c r="G2046" s="28" t="str">
        <f>IF($C2046=""," ",[1]!i_pq_pctchange($C2046,G$6,$N$1))</f>
        <v xml:space="preserve"> </v>
      </c>
      <c r="H2046" s="28" t="str">
        <f>IF($C2046=""," ",[1]!i_pq_pctchange($C2046,H$6,$N$1))</f>
        <v xml:space="preserve"> </v>
      </c>
      <c r="I2046" s="28" t="str">
        <f>IF($C2046=""," ",[1]!i_pq_pctchange($C2046,I$6,$N$1))</f>
        <v xml:space="preserve"> </v>
      </c>
      <c r="J2046" s="28" t="str">
        <f>IF($C2046=""," ",[1]!i_pq_pctchange($C2046,J$6,$N$1))</f>
        <v xml:space="preserve"> </v>
      </c>
      <c r="K2046" s="28" t="str">
        <f>IF($C2046=""," ",[1]!i_pq_pctchange($C2046,K$6,$N$1))</f>
        <v xml:space="preserve"> </v>
      </c>
      <c r="L2046" s="28" t="str">
        <f>IF(C2046=""," ",[1]!s_wq_pctchange($C2046,$N$1))</f>
        <v xml:space="preserve"> </v>
      </c>
      <c r="M2046" s="28" t="str">
        <f>IF(C2046=""," ",[1]!s_mq_pctchange($C2046,$N$1))</f>
        <v xml:space="preserve"> </v>
      </c>
      <c r="N2046" s="28" t="str">
        <f>IF(C2046=""," ",[1]!s_yq_pctchange($C2046,$N$1))</f>
        <v xml:space="preserve"> </v>
      </c>
      <c r="O2046" s="11"/>
      <c r="P2046" s="7"/>
    </row>
    <row r="2047" spans="1:16" x14ac:dyDescent="0.35">
      <c r="A2047" s="7"/>
      <c r="C2047" s="30" t="str">
        <f>IF(指数列表!B2044="","",指数列表!B2044)</f>
        <v/>
      </c>
      <c r="D2047" s="35" t="str">
        <f>IF(C2047="","",[1]!s_info_name(C2047))</f>
        <v/>
      </c>
      <c r="E2047" s="24" t="str">
        <f>IF(C2047="","",[1]!s_dq_close(C2047,$N$1))</f>
        <v/>
      </c>
      <c r="F2047" s="28" t="str">
        <f>IF($C2047=""," ",[1]!i_pq_pctchange($C2047,F$6,$N$1))</f>
        <v xml:space="preserve"> </v>
      </c>
      <c r="G2047" s="28" t="str">
        <f>IF($C2047=""," ",[1]!i_pq_pctchange($C2047,G$6,$N$1))</f>
        <v xml:space="preserve"> </v>
      </c>
      <c r="H2047" s="28" t="str">
        <f>IF($C2047=""," ",[1]!i_pq_pctchange($C2047,H$6,$N$1))</f>
        <v xml:space="preserve"> </v>
      </c>
      <c r="I2047" s="28" t="str">
        <f>IF($C2047=""," ",[1]!i_pq_pctchange($C2047,I$6,$N$1))</f>
        <v xml:space="preserve"> </v>
      </c>
      <c r="J2047" s="28" t="str">
        <f>IF($C2047=""," ",[1]!i_pq_pctchange($C2047,J$6,$N$1))</f>
        <v xml:space="preserve"> </v>
      </c>
      <c r="K2047" s="28" t="str">
        <f>IF($C2047=""," ",[1]!i_pq_pctchange($C2047,K$6,$N$1))</f>
        <v xml:space="preserve"> </v>
      </c>
      <c r="L2047" s="28" t="str">
        <f>IF(C2047=""," ",[1]!s_wq_pctchange($C2047,$N$1))</f>
        <v xml:space="preserve"> </v>
      </c>
      <c r="M2047" s="28" t="str">
        <f>IF(C2047=""," ",[1]!s_mq_pctchange($C2047,$N$1))</f>
        <v xml:space="preserve"> </v>
      </c>
      <c r="N2047" s="28" t="str">
        <f>IF(C2047=""," ",[1]!s_yq_pctchange($C2047,$N$1))</f>
        <v xml:space="preserve"> </v>
      </c>
      <c r="O2047" s="11"/>
      <c r="P2047" s="7"/>
    </row>
    <row r="2048" spans="1:16" x14ac:dyDescent="0.35">
      <c r="A2048" s="7"/>
      <c r="C2048" s="31" t="str">
        <f>IF(指数列表!B2045="","",指数列表!B2045)</f>
        <v/>
      </c>
      <c r="D2048" s="36" t="str">
        <f>IF(C2048="","",[1]!s_info_name(C2048))</f>
        <v/>
      </c>
      <c r="E2048" s="25" t="str">
        <f>IF(C2048="","",[1]!s_dq_close(C2048,$N$1))</f>
        <v/>
      </c>
      <c r="F2048" s="28" t="str">
        <f>IF($C2048=""," ",[1]!i_pq_pctchange($C2048,F$6,$N$1))</f>
        <v xml:space="preserve"> </v>
      </c>
      <c r="G2048" s="28" t="str">
        <f>IF($C2048=""," ",[1]!i_pq_pctchange($C2048,G$6,$N$1))</f>
        <v xml:space="preserve"> </v>
      </c>
      <c r="H2048" s="28" t="str">
        <f>IF($C2048=""," ",[1]!i_pq_pctchange($C2048,H$6,$N$1))</f>
        <v xml:space="preserve"> </v>
      </c>
      <c r="I2048" s="28" t="str">
        <f>IF($C2048=""," ",[1]!i_pq_pctchange($C2048,I$6,$N$1))</f>
        <v xml:space="preserve"> </v>
      </c>
      <c r="J2048" s="28" t="str">
        <f>IF($C2048=""," ",[1]!i_pq_pctchange($C2048,J$6,$N$1))</f>
        <v xml:space="preserve"> </v>
      </c>
      <c r="K2048" s="28" t="str">
        <f>IF($C2048=""," ",[1]!i_pq_pctchange($C2048,K$6,$N$1))</f>
        <v xml:space="preserve"> </v>
      </c>
      <c r="L2048" s="28" t="str">
        <f>IF(C2048=""," ",[1]!s_wq_pctchange($C2048,$N$1))</f>
        <v xml:space="preserve"> </v>
      </c>
      <c r="M2048" s="28" t="str">
        <f>IF(C2048=""," ",[1]!s_mq_pctchange($C2048,$N$1))</f>
        <v xml:space="preserve"> </v>
      </c>
      <c r="N2048" s="28" t="str">
        <f>IF(C2048=""," ",[1]!s_yq_pctchange($C2048,$N$1))</f>
        <v xml:space="preserve"> </v>
      </c>
      <c r="O2048" s="11"/>
      <c r="P2048" s="7"/>
    </row>
    <row r="2049" spans="1:16" x14ac:dyDescent="0.35">
      <c r="A2049" s="7"/>
      <c r="C2049" s="30" t="str">
        <f>IF(指数列表!B2046="","",指数列表!B2046)</f>
        <v/>
      </c>
      <c r="D2049" s="35" t="str">
        <f>IF(C2049="","",[1]!s_info_name(C2049))</f>
        <v/>
      </c>
      <c r="E2049" s="24" t="str">
        <f>IF(C2049="","",[1]!s_dq_close(C2049,$N$1))</f>
        <v/>
      </c>
      <c r="F2049" s="28" t="str">
        <f>IF($C2049=""," ",[1]!i_pq_pctchange($C2049,F$6,$N$1))</f>
        <v xml:space="preserve"> </v>
      </c>
      <c r="G2049" s="28" t="str">
        <f>IF($C2049=""," ",[1]!i_pq_pctchange($C2049,G$6,$N$1))</f>
        <v xml:space="preserve"> </v>
      </c>
      <c r="H2049" s="28" t="str">
        <f>IF($C2049=""," ",[1]!i_pq_pctchange($C2049,H$6,$N$1))</f>
        <v xml:space="preserve"> </v>
      </c>
      <c r="I2049" s="28" t="str">
        <f>IF($C2049=""," ",[1]!i_pq_pctchange($C2049,I$6,$N$1))</f>
        <v xml:space="preserve"> </v>
      </c>
      <c r="J2049" s="28" t="str">
        <f>IF($C2049=""," ",[1]!i_pq_pctchange($C2049,J$6,$N$1))</f>
        <v xml:space="preserve"> </v>
      </c>
      <c r="K2049" s="28" t="str">
        <f>IF($C2049=""," ",[1]!i_pq_pctchange($C2049,K$6,$N$1))</f>
        <v xml:space="preserve"> </v>
      </c>
      <c r="L2049" s="28" t="str">
        <f>IF(C2049=""," ",[1]!s_wq_pctchange($C2049,$N$1))</f>
        <v xml:space="preserve"> </v>
      </c>
      <c r="M2049" s="28" t="str">
        <f>IF(C2049=""," ",[1]!s_mq_pctchange($C2049,$N$1))</f>
        <v xml:space="preserve"> </v>
      </c>
      <c r="N2049" s="28" t="str">
        <f>IF(C2049=""," ",[1]!s_yq_pctchange($C2049,$N$1))</f>
        <v xml:space="preserve"> </v>
      </c>
      <c r="O2049" s="11"/>
      <c r="P2049" s="7"/>
    </row>
    <row r="2050" spans="1:16" x14ac:dyDescent="0.35">
      <c r="A2050" s="7"/>
      <c r="C2050" s="31" t="str">
        <f>IF(指数列表!B2047="","",指数列表!B2047)</f>
        <v/>
      </c>
      <c r="D2050" s="36" t="str">
        <f>IF(C2050="","",[1]!s_info_name(C2050))</f>
        <v/>
      </c>
      <c r="E2050" s="25" t="str">
        <f>IF(C2050="","",[1]!s_dq_close(C2050,$N$1))</f>
        <v/>
      </c>
      <c r="F2050" s="28" t="str">
        <f>IF($C2050=""," ",[1]!i_pq_pctchange($C2050,F$6,$N$1))</f>
        <v xml:space="preserve"> </v>
      </c>
      <c r="G2050" s="28" t="str">
        <f>IF($C2050=""," ",[1]!i_pq_pctchange($C2050,G$6,$N$1))</f>
        <v xml:space="preserve"> </v>
      </c>
      <c r="H2050" s="28" t="str">
        <f>IF($C2050=""," ",[1]!i_pq_pctchange($C2050,H$6,$N$1))</f>
        <v xml:space="preserve"> </v>
      </c>
      <c r="I2050" s="28" t="str">
        <f>IF($C2050=""," ",[1]!i_pq_pctchange($C2050,I$6,$N$1))</f>
        <v xml:space="preserve"> </v>
      </c>
      <c r="J2050" s="28" t="str">
        <f>IF($C2050=""," ",[1]!i_pq_pctchange($C2050,J$6,$N$1))</f>
        <v xml:space="preserve"> </v>
      </c>
      <c r="K2050" s="28" t="str">
        <f>IF($C2050=""," ",[1]!i_pq_pctchange($C2050,K$6,$N$1))</f>
        <v xml:space="preserve"> </v>
      </c>
      <c r="L2050" s="28" t="str">
        <f>IF(C2050=""," ",[1]!s_wq_pctchange($C2050,$N$1))</f>
        <v xml:space="preserve"> </v>
      </c>
      <c r="M2050" s="28" t="str">
        <f>IF(C2050=""," ",[1]!s_mq_pctchange($C2050,$N$1))</f>
        <v xml:space="preserve"> </v>
      </c>
      <c r="N2050" s="28" t="str">
        <f>IF(C2050=""," ",[1]!s_yq_pctchange($C2050,$N$1))</f>
        <v xml:space="preserve"> </v>
      </c>
      <c r="O2050" s="11"/>
      <c r="P2050" s="7"/>
    </row>
    <row r="2051" spans="1:16" x14ac:dyDescent="0.35">
      <c r="A2051" s="7"/>
      <c r="C2051" s="30" t="str">
        <f>IF(指数列表!B2048="","",指数列表!B2048)</f>
        <v/>
      </c>
      <c r="D2051" s="35" t="str">
        <f>IF(C2051="","",[1]!s_info_name(C2051))</f>
        <v/>
      </c>
      <c r="E2051" s="24" t="str">
        <f>IF(C2051="","",[1]!s_dq_close(C2051,$N$1))</f>
        <v/>
      </c>
      <c r="F2051" s="28" t="str">
        <f>IF($C2051=""," ",[1]!i_pq_pctchange($C2051,F$6,$N$1))</f>
        <v xml:space="preserve"> </v>
      </c>
      <c r="G2051" s="28" t="str">
        <f>IF($C2051=""," ",[1]!i_pq_pctchange($C2051,G$6,$N$1))</f>
        <v xml:space="preserve"> </v>
      </c>
      <c r="H2051" s="28" t="str">
        <f>IF($C2051=""," ",[1]!i_pq_pctchange($C2051,H$6,$N$1))</f>
        <v xml:space="preserve"> </v>
      </c>
      <c r="I2051" s="28" t="str">
        <f>IF($C2051=""," ",[1]!i_pq_pctchange($C2051,I$6,$N$1))</f>
        <v xml:space="preserve"> </v>
      </c>
      <c r="J2051" s="28" t="str">
        <f>IF($C2051=""," ",[1]!i_pq_pctchange($C2051,J$6,$N$1))</f>
        <v xml:space="preserve"> </v>
      </c>
      <c r="K2051" s="28" t="str">
        <f>IF($C2051=""," ",[1]!i_pq_pctchange($C2051,K$6,$N$1))</f>
        <v xml:space="preserve"> </v>
      </c>
      <c r="L2051" s="28" t="str">
        <f>IF(C2051=""," ",[1]!s_wq_pctchange($C2051,$N$1))</f>
        <v xml:space="preserve"> </v>
      </c>
      <c r="M2051" s="28" t="str">
        <f>IF(C2051=""," ",[1]!s_mq_pctchange($C2051,$N$1))</f>
        <v xml:space="preserve"> </v>
      </c>
      <c r="N2051" s="28" t="str">
        <f>IF(C2051=""," ",[1]!s_yq_pctchange($C2051,$N$1))</f>
        <v xml:space="preserve"> </v>
      </c>
      <c r="O2051" s="11"/>
      <c r="P2051" s="7"/>
    </row>
    <row r="2052" spans="1:16" x14ac:dyDescent="0.35">
      <c r="A2052" s="7"/>
      <c r="C2052" s="31" t="str">
        <f>IF(指数列表!B2049="","",指数列表!B2049)</f>
        <v/>
      </c>
      <c r="D2052" s="36" t="str">
        <f>IF(C2052="","",[1]!s_info_name(C2052))</f>
        <v/>
      </c>
      <c r="E2052" s="25" t="str">
        <f>IF(C2052="","",[1]!s_dq_close(C2052,$N$1))</f>
        <v/>
      </c>
      <c r="F2052" s="28" t="str">
        <f>IF($C2052=""," ",[1]!i_pq_pctchange($C2052,F$6,$N$1))</f>
        <v xml:space="preserve"> </v>
      </c>
      <c r="G2052" s="28" t="str">
        <f>IF($C2052=""," ",[1]!i_pq_pctchange($C2052,G$6,$N$1))</f>
        <v xml:space="preserve"> </v>
      </c>
      <c r="H2052" s="28" t="str">
        <f>IF($C2052=""," ",[1]!i_pq_pctchange($C2052,H$6,$N$1))</f>
        <v xml:space="preserve"> </v>
      </c>
      <c r="I2052" s="28" t="str">
        <f>IF($C2052=""," ",[1]!i_pq_pctchange($C2052,I$6,$N$1))</f>
        <v xml:space="preserve"> </v>
      </c>
      <c r="J2052" s="28" t="str">
        <f>IF($C2052=""," ",[1]!i_pq_pctchange($C2052,J$6,$N$1))</f>
        <v xml:space="preserve"> </v>
      </c>
      <c r="K2052" s="28" t="str">
        <f>IF($C2052=""," ",[1]!i_pq_pctchange($C2052,K$6,$N$1))</f>
        <v xml:space="preserve"> </v>
      </c>
      <c r="L2052" s="28" t="str">
        <f>IF(C2052=""," ",[1]!s_wq_pctchange($C2052,$N$1))</f>
        <v xml:space="preserve"> </v>
      </c>
      <c r="M2052" s="28" t="str">
        <f>IF(C2052=""," ",[1]!s_mq_pctchange($C2052,$N$1))</f>
        <v xml:space="preserve"> </v>
      </c>
      <c r="N2052" s="28" t="str">
        <f>IF(C2052=""," ",[1]!s_yq_pctchange($C2052,$N$1))</f>
        <v xml:space="preserve"> </v>
      </c>
      <c r="O2052" s="11"/>
      <c r="P2052" s="7"/>
    </row>
    <row r="2053" spans="1:16" x14ac:dyDescent="0.35">
      <c r="A2053" s="7"/>
      <c r="C2053" s="30" t="str">
        <f>IF(指数列表!B2050="","",指数列表!B2050)</f>
        <v/>
      </c>
      <c r="D2053" s="35" t="str">
        <f>IF(C2053="","",[1]!s_info_name(C2053))</f>
        <v/>
      </c>
      <c r="E2053" s="24" t="str">
        <f>IF(C2053="","",[1]!s_dq_close(C2053,$N$1))</f>
        <v/>
      </c>
      <c r="F2053" s="28" t="str">
        <f>IF($C2053=""," ",[1]!i_pq_pctchange($C2053,F$6,$N$1))</f>
        <v xml:space="preserve"> </v>
      </c>
      <c r="G2053" s="28" t="str">
        <f>IF($C2053=""," ",[1]!i_pq_pctchange($C2053,G$6,$N$1))</f>
        <v xml:space="preserve"> </v>
      </c>
      <c r="H2053" s="28" t="str">
        <f>IF($C2053=""," ",[1]!i_pq_pctchange($C2053,H$6,$N$1))</f>
        <v xml:space="preserve"> </v>
      </c>
      <c r="I2053" s="28" t="str">
        <f>IF($C2053=""," ",[1]!i_pq_pctchange($C2053,I$6,$N$1))</f>
        <v xml:space="preserve"> </v>
      </c>
      <c r="J2053" s="28" t="str">
        <f>IF($C2053=""," ",[1]!i_pq_pctchange($C2053,J$6,$N$1))</f>
        <v xml:space="preserve"> </v>
      </c>
      <c r="K2053" s="28" t="str">
        <f>IF($C2053=""," ",[1]!i_pq_pctchange($C2053,K$6,$N$1))</f>
        <v xml:space="preserve"> </v>
      </c>
      <c r="L2053" s="28" t="str">
        <f>IF(C2053=""," ",[1]!s_wq_pctchange($C2053,$N$1))</f>
        <v xml:space="preserve"> </v>
      </c>
      <c r="M2053" s="28" t="str">
        <f>IF(C2053=""," ",[1]!s_mq_pctchange($C2053,$N$1))</f>
        <v xml:space="preserve"> </v>
      </c>
      <c r="N2053" s="28" t="str">
        <f>IF(C2053=""," ",[1]!s_yq_pctchange($C2053,$N$1))</f>
        <v xml:space="preserve"> </v>
      </c>
      <c r="O2053" s="11"/>
      <c r="P2053" s="7"/>
    </row>
    <row r="2054" spans="1:16" x14ac:dyDescent="0.35">
      <c r="A2054" s="7"/>
      <c r="C2054" s="31" t="str">
        <f>IF(指数列表!B2051="","",指数列表!B2051)</f>
        <v/>
      </c>
      <c r="D2054" s="36" t="str">
        <f>IF(C2054="","",[1]!s_info_name(C2054))</f>
        <v/>
      </c>
      <c r="E2054" s="25" t="str">
        <f>IF(C2054="","",[1]!s_dq_close(C2054,$N$1))</f>
        <v/>
      </c>
      <c r="F2054" s="28" t="str">
        <f>IF($C2054=""," ",[1]!i_pq_pctchange($C2054,F$6,$N$1))</f>
        <v xml:space="preserve"> </v>
      </c>
      <c r="G2054" s="28" t="str">
        <f>IF($C2054=""," ",[1]!i_pq_pctchange($C2054,G$6,$N$1))</f>
        <v xml:space="preserve"> </v>
      </c>
      <c r="H2054" s="28" t="str">
        <f>IF($C2054=""," ",[1]!i_pq_pctchange($C2054,H$6,$N$1))</f>
        <v xml:space="preserve"> </v>
      </c>
      <c r="I2054" s="28" t="str">
        <f>IF($C2054=""," ",[1]!i_pq_pctchange($C2054,I$6,$N$1))</f>
        <v xml:space="preserve"> </v>
      </c>
      <c r="J2054" s="28" t="str">
        <f>IF($C2054=""," ",[1]!i_pq_pctchange($C2054,J$6,$N$1))</f>
        <v xml:space="preserve"> </v>
      </c>
      <c r="K2054" s="28" t="str">
        <f>IF($C2054=""," ",[1]!i_pq_pctchange($C2054,K$6,$N$1))</f>
        <v xml:space="preserve"> </v>
      </c>
      <c r="L2054" s="28" t="str">
        <f>IF(C2054=""," ",[1]!s_wq_pctchange($C2054,$N$1))</f>
        <v xml:space="preserve"> </v>
      </c>
      <c r="M2054" s="28" t="str">
        <f>IF(C2054=""," ",[1]!s_mq_pctchange($C2054,$N$1))</f>
        <v xml:space="preserve"> </v>
      </c>
      <c r="N2054" s="28" t="str">
        <f>IF(C2054=""," ",[1]!s_yq_pctchange($C2054,$N$1))</f>
        <v xml:space="preserve"> </v>
      </c>
      <c r="O2054" s="11"/>
      <c r="P2054" s="7"/>
    </row>
    <row r="2055" spans="1:16" x14ac:dyDescent="0.35">
      <c r="A2055" s="7"/>
      <c r="C2055" s="30" t="str">
        <f>IF(指数列表!B2052="","",指数列表!B2052)</f>
        <v/>
      </c>
      <c r="D2055" s="35" t="str">
        <f>IF(C2055="","",[1]!s_info_name(C2055))</f>
        <v/>
      </c>
      <c r="E2055" s="24" t="str">
        <f>IF(C2055="","",[1]!s_dq_close(C2055,$N$1))</f>
        <v/>
      </c>
      <c r="F2055" s="28" t="str">
        <f>IF($C2055=""," ",[1]!i_pq_pctchange($C2055,F$6,$N$1))</f>
        <v xml:space="preserve"> </v>
      </c>
      <c r="G2055" s="28" t="str">
        <f>IF($C2055=""," ",[1]!i_pq_pctchange($C2055,G$6,$N$1))</f>
        <v xml:space="preserve"> </v>
      </c>
      <c r="H2055" s="28" t="str">
        <f>IF($C2055=""," ",[1]!i_pq_pctchange($C2055,H$6,$N$1))</f>
        <v xml:space="preserve"> </v>
      </c>
      <c r="I2055" s="28" t="str">
        <f>IF($C2055=""," ",[1]!i_pq_pctchange($C2055,I$6,$N$1))</f>
        <v xml:space="preserve"> </v>
      </c>
      <c r="J2055" s="28" t="str">
        <f>IF($C2055=""," ",[1]!i_pq_pctchange($C2055,J$6,$N$1))</f>
        <v xml:space="preserve"> </v>
      </c>
      <c r="K2055" s="28" t="str">
        <f>IF($C2055=""," ",[1]!i_pq_pctchange($C2055,K$6,$N$1))</f>
        <v xml:space="preserve"> </v>
      </c>
      <c r="L2055" s="28" t="str">
        <f>IF(C2055=""," ",[1]!s_wq_pctchange($C2055,$N$1))</f>
        <v xml:space="preserve"> </v>
      </c>
      <c r="M2055" s="28" t="str">
        <f>IF(C2055=""," ",[1]!s_mq_pctchange($C2055,$N$1))</f>
        <v xml:space="preserve"> </v>
      </c>
      <c r="N2055" s="28" t="str">
        <f>IF(C2055=""," ",[1]!s_yq_pctchange($C2055,$N$1))</f>
        <v xml:space="preserve"> </v>
      </c>
      <c r="O2055" s="11"/>
      <c r="P2055" s="7"/>
    </row>
    <row r="2056" spans="1:16" x14ac:dyDescent="0.35">
      <c r="A2056" s="7"/>
      <c r="C2056" s="31" t="str">
        <f>IF(指数列表!B2053="","",指数列表!B2053)</f>
        <v/>
      </c>
      <c r="D2056" s="36" t="str">
        <f>IF(C2056="","",[1]!s_info_name(C2056))</f>
        <v/>
      </c>
      <c r="E2056" s="25" t="str">
        <f>IF(C2056="","",[1]!s_dq_close(C2056,$N$1))</f>
        <v/>
      </c>
      <c r="F2056" s="28" t="str">
        <f>IF($C2056=""," ",[1]!i_pq_pctchange($C2056,F$6,$N$1))</f>
        <v xml:space="preserve"> </v>
      </c>
      <c r="G2056" s="28" t="str">
        <f>IF($C2056=""," ",[1]!i_pq_pctchange($C2056,G$6,$N$1))</f>
        <v xml:space="preserve"> </v>
      </c>
      <c r="H2056" s="28" t="str">
        <f>IF($C2056=""," ",[1]!i_pq_pctchange($C2056,H$6,$N$1))</f>
        <v xml:space="preserve"> </v>
      </c>
      <c r="I2056" s="28" t="str">
        <f>IF($C2056=""," ",[1]!i_pq_pctchange($C2056,I$6,$N$1))</f>
        <v xml:space="preserve"> </v>
      </c>
      <c r="J2056" s="28" t="str">
        <f>IF($C2056=""," ",[1]!i_pq_pctchange($C2056,J$6,$N$1))</f>
        <v xml:space="preserve"> </v>
      </c>
      <c r="K2056" s="28" t="str">
        <f>IF($C2056=""," ",[1]!i_pq_pctchange($C2056,K$6,$N$1))</f>
        <v xml:space="preserve"> </v>
      </c>
      <c r="L2056" s="28" t="str">
        <f>IF(C2056=""," ",[1]!s_wq_pctchange($C2056,$N$1))</f>
        <v xml:space="preserve"> </v>
      </c>
      <c r="M2056" s="28" t="str">
        <f>IF(C2056=""," ",[1]!s_mq_pctchange($C2056,$N$1))</f>
        <v xml:space="preserve"> </v>
      </c>
      <c r="N2056" s="28" t="str">
        <f>IF(C2056=""," ",[1]!s_yq_pctchange($C2056,$N$1))</f>
        <v xml:space="preserve"> </v>
      </c>
      <c r="O2056" s="11"/>
      <c r="P2056" s="7"/>
    </row>
    <row r="2057" spans="1:16" x14ac:dyDescent="0.35">
      <c r="A2057" s="7"/>
      <c r="C2057" s="30" t="str">
        <f>IF(指数列表!B2054="","",指数列表!B2054)</f>
        <v/>
      </c>
      <c r="D2057" s="35" t="str">
        <f>IF(C2057="","",[1]!s_info_name(C2057))</f>
        <v/>
      </c>
      <c r="E2057" s="24" t="str">
        <f>IF(C2057="","",[1]!s_dq_close(C2057,$N$1))</f>
        <v/>
      </c>
      <c r="F2057" s="28" t="str">
        <f>IF($C2057=""," ",[1]!i_pq_pctchange($C2057,F$6,$N$1))</f>
        <v xml:space="preserve"> </v>
      </c>
      <c r="G2057" s="28" t="str">
        <f>IF($C2057=""," ",[1]!i_pq_pctchange($C2057,G$6,$N$1))</f>
        <v xml:space="preserve"> </v>
      </c>
      <c r="H2057" s="28" t="str">
        <f>IF($C2057=""," ",[1]!i_pq_pctchange($C2057,H$6,$N$1))</f>
        <v xml:space="preserve"> </v>
      </c>
      <c r="I2057" s="28" t="str">
        <f>IF($C2057=""," ",[1]!i_pq_pctchange($C2057,I$6,$N$1))</f>
        <v xml:space="preserve"> </v>
      </c>
      <c r="J2057" s="28" t="str">
        <f>IF($C2057=""," ",[1]!i_pq_pctchange($C2057,J$6,$N$1))</f>
        <v xml:space="preserve"> </v>
      </c>
      <c r="K2057" s="28" t="str">
        <f>IF($C2057=""," ",[1]!i_pq_pctchange($C2057,K$6,$N$1))</f>
        <v xml:space="preserve"> </v>
      </c>
      <c r="L2057" s="28" t="str">
        <f>IF(C2057=""," ",[1]!s_wq_pctchange($C2057,$N$1))</f>
        <v xml:space="preserve"> </v>
      </c>
      <c r="M2057" s="28" t="str">
        <f>IF(C2057=""," ",[1]!s_mq_pctchange($C2057,$N$1))</f>
        <v xml:space="preserve"> </v>
      </c>
      <c r="N2057" s="28" t="str">
        <f>IF(C2057=""," ",[1]!s_yq_pctchange($C2057,$N$1))</f>
        <v xml:space="preserve"> </v>
      </c>
      <c r="O2057" s="11"/>
      <c r="P2057" s="7"/>
    </row>
    <row r="2058" spans="1:16" x14ac:dyDescent="0.35">
      <c r="A2058" s="7"/>
      <c r="C2058" s="31" t="str">
        <f>IF(指数列表!B2055="","",指数列表!B2055)</f>
        <v/>
      </c>
      <c r="D2058" s="36" t="str">
        <f>IF(C2058="","",[1]!s_info_name(C2058))</f>
        <v/>
      </c>
      <c r="E2058" s="25" t="str">
        <f>IF(C2058="","",[1]!s_dq_close(C2058,$N$1))</f>
        <v/>
      </c>
      <c r="F2058" s="28" t="str">
        <f>IF($C2058=""," ",[1]!i_pq_pctchange($C2058,F$6,$N$1))</f>
        <v xml:space="preserve"> </v>
      </c>
      <c r="G2058" s="28" t="str">
        <f>IF($C2058=""," ",[1]!i_pq_pctchange($C2058,G$6,$N$1))</f>
        <v xml:space="preserve"> </v>
      </c>
      <c r="H2058" s="28" t="str">
        <f>IF($C2058=""," ",[1]!i_pq_pctchange($C2058,H$6,$N$1))</f>
        <v xml:space="preserve"> </v>
      </c>
      <c r="I2058" s="28" t="str">
        <f>IF($C2058=""," ",[1]!i_pq_pctchange($C2058,I$6,$N$1))</f>
        <v xml:space="preserve"> </v>
      </c>
      <c r="J2058" s="28" t="str">
        <f>IF($C2058=""," ",[1]!i_pq_pctchange($C2058,J$6,$N$1))</f>
        <v xml:space="preserve"> </v>
      </c>
      <c r="K2058" s="28" t="str">
        <f>IF($C2058=""," ",[1]!i_pq_pctchange($C2058,K$6,$N$1))</f>
        <v xml:space="preserve"> </v>
      </c>
      <c r="L2058" s="28" t="str">
        <f>IF(C2058=""," ",[1]!s_wq_pctchange($C2058,$N$1))</f>
        <v xml:space="preserve"> </v>
      </c>
      <c r="M2058" s="28" t="str">
        <f>IF(C2058=""," ",[1]!s_mq_pctchange($C2058,$N$1))</f>
        <v xml:space="preserve"> </v>
      </c>
      <c r="N2058" s="28" t="str">
        <f>IF(C2058=""," ",[1]!s_yq_pctchange($C2058,$N$1))</f>
        <v xml:space="preserve"> </v>
      </c>
      <c r="O2058" s="11"/>
      <c r="P2058" s="7"/>
    </row>
    <row r="2059" spans="1:16" x14ac:dyDescent="0.35">
      <c r="A2059" s="7"/>
      <c r="C2059" s="30" t="str">
        <f>IF(指数列表!B2056="","",指数列表!B2056)</f>
        <v/>
      </c>
      <c r="D2059" s="35" t="str">
        <f>IF(C2059="","",[1]!s_info_name(C2059))</f>
        <v/>
      </c>
      <c r="E2059" s="24" t="str">
        <f>IF(C2059="","",[1]!s_dq_close(C2059,$N$1))</f>
        <v/>
      </c>
      <c r="F2059" s="28" t="str">
        <f>IF($C2059=""," ",[1]!i_pq_pctchange($C2059,F$6,$N$1))</f>
        <v xml:space="preserve"> </v>
      </c>
      <c r="G2059" s="28" t="str">
        <f>IF($C2059=""," ",[1]!i_pq_pctchange($C2059,G$6,$N$1))</f>
        <v xml:space="preserve"> </v>
      </c>
      <c r="H2059" s="28" t="str">
        <f>IF($C2059=""," ",[1]!i_pq_pctchange($C2059,H$6,$N$1))</f>
        <v xml:space="preserve"> </v>
      </c>
      <c r="I2059" s="28" t="str">
        <f>IF($C2059=""," ",[1]!i_pq_pctchange($C2059,I$6,$N$1))</f>
        <v xml:space="preserve"> </v>
      </c>
      <c r="J2059" s="28" t="str">
        <f>IF($C2059=""," ",[1]!i_pq_pctchange($C2059,J$6,$N$1))</f>
        <v xml:space="preserve"> </v>
      </c>
      <c r="K2059" s="28" t="str">
        <f>IF($C2059=""," ",[1]!i_pq_pctchange($C2059,K$6,$N$1))</f>
        <v xml:space="preserve"> </v>
      </c>
      <c r="L2059" s="28" t="str">
        <f>IF(C2059=""," ",[1]!s_wq_pctchange($C2059,$N$1))</f>
        <v xml:space="preserve"> </v>
      </c>
      <c r="M2059" s="28" t="str">
        <f>IF(C2059=""," ",[1]!s_mq_pctchange($C2059,$N$1))</f>
        <v xml:space="preserve"> </v>
      </c>
      <c r="N2059" s="28" t="str">
        <f>IF(C2059=""," ",[1]!s_yq_pctchange($C2059,$N$1))</f>
        <v xml:space="preserve"> </v>
      </c>
      <c r="O2059" s="11"/>
      <c r="P2059" s="7"/>
    </row>
    <row r="2060" spans="1:16" x14ac:dyDescent="0.35">
      <c r="A2060" s="7"/>
      <c r="C2060" s="31" t="str">
        <f>IF(指数列表!B2057="","",指数列表!B2057)</f>
        <v/>
      </c>
      <c r="D2060" s="36" t="str">
        <f>IF(C2060="","",[1]!s_info_name(C2060))</f>
        <v/>
      </c>
      <c r="E2060" s="25" t="str">
        <f>IF(C2060="","",[1]!s_dq_close(C2060,$N$1))</f>
        <v/>
      </c>
      <c r="F2060" s="28" t="str">
        <f>IF($C2060=""," ",[1]!i_pq_pctchange($C2060,F$6,$N$1))</f>
        <v xml:space="preserve"> </v>
      </c>
      <c r="G2060" s="28" t="str">
        <f>IF($C2060=""," ",[1]!i_pq_pctchange($C2060,G$6,$N$1))</f>
        <v xml:space="preserve"> </v>
      </c>
      <c r="H2060" s="28" t="str">
        <f>IF($C2060=""," ",[1]!i_pq_pctchange($C2060,H$6,$N$1))</f>
        <v xml:space="preserve"> </v>
      </c>
      <c r="I2060" s="28" t="str">
        <f>IF($C2060=""," ",[1]!i_pq_pctchange($C2060,I$6,$N$1))</f>
        <v xml:space="preserve"> </v>
      </c>
      <c r="J2060" s="28" t="str">
        <f>IF($C2060=""," ",[1]!i_pq_pctchange($C2060,J$6,$N$1))</f>
        <v xml:space="preserve"> </v>
      </c>
      <c r="K2060" s="28" t="str">
        <f>IF($C2060=""," ",[1]!i_pq_pctchange($C2060,K$6,$N$1))</f>
        <v xml:space="preserve"> </v>
      </c>
      <c r="L2060" s="28" t="str">
        <f>IF(C2060=""," ",[1]!s_wq_pctchange($C2060,$N$1))</f>
        <v xml:space="preserve"> </v>
      </c>
      <c r="M2060" s="28" t="str">
        <f>IF(C2060=""," ",[1]!s_mq_pctchange($C2060,$N$1))</f>
        <v xml:space="preserve"> </v>
      </c>
      <c r="N2060" s="28" t="str">
        <f>IF(C2060=""," ",[1]!s_yq_pctchange($C2060,$N$1))</f>
        <v xml:space="preserve"> </v>
      </c>
      <c r="O2060" s="11"/>
      <c r="P2060" s="7"/>
    </row>
    <row r="2061" spans="1:16" x14ac:dyDescent="0.35">
      <c r="A2061" s="7"/>
      <c r="C2061" s="30" t="str">
        <f>IF(指数列表!B2058="","",指数列表!B2058)</f>
        <v/>
      </c>
      <c r="D2061" s="35" t="str">
        <f>IF(C2061="","",[1]!s_info_name(C2061))</f>
        <v/>
      </c>
      <c r="E2061" s="24" t="str">
        <f>IF(C2061="","",[1]!s_dq_close(C2061,$N$1))</f>
        <v/>
      </c>
      <c r="F2061" s="28" t="str">
        <f>IF($C2061=""," ",[1]!i_pq_pctchange($C2061,F$6,$N$1))</f>
        <v xml:space="preserve"> </v>
      </c>
      <c r="G2061" s="28" t="str">
        <f>IF($C2061=""," ",[1]!i_pq_pctchange($C2061,G$6,$N$1))</f>
        <v xml:space="preserve"> </v>
      </c>
      <c r="H2061" s="28" t="str">
        <f>IF($C2061=""," ",[1]!i_pq_pctchange($C2061,H$6,$N$1))</f>
        <v xml:space="preserve"> </v>
      </c>
      <c r="I2061" s="28" t="str">
        <f>IF($C2061=""," ",[1]!i_pq_pctchange($C2061,I$6,$N$1))</f>
        <v xml:space="preserve"> </v>
      </c>
      <c r="J2061" s="28" t="str">
        <f>IF($C2061=""," ",[1]!i_pq_pctchange($C2061,J$6,$N$1))</f>
        <v xml:space="preserve"> </v>
      </c>
      <c r="K2061" s="28" t="str">
        <f>IF($C2061=""," ",[1]!i_pq_pctchange($C2061,K$6,$N$1))</f>
        <v xml:space="preserve"> </v>
      </c>
      <c r="L2061" s="28" t="str">
        <f>IF(C2061=""," ",[1]!s_wq_pctchange($C2061,$N$1))</f>
        <v xml:space="preserve"> </v>
      </c>
      <c r="M2061" s="28" t="str">
        <f>IF(C2061=""," ",[1]!s_mq_pctchange($C2061,$N$1))</f>
        <v xml:space="preserve"> </v>
      </c>
      <c r="N2061" s="28" t="str">
        <f>IF(C2061=""," ",[1]!s_yq_pctchange($C2061,$N$1))</f>
        <v xml:space="preserve"> </v>
      </c>
      <c r="O2061" s="11"/>
      <c r="P2061" s="7"/>
    </row>
    <row r="2062" spans="1:16" x14ac:dyDescent="0.35">
      <c r="A2062" s="7"/>
      <c r="C2062" s="31" t="str">
        <f>IF(指数列表!B2059="","",指数列表!B2059)</f>
        <v/>
      </c>
      <c r="D2062" s="36" t="str">
        <f>IF(C2062="","",[1]!s_info_name(C2062))</f>
        <v/>
      </c>
      <c r="E2062" s="25" t="str">
        <f>IF(C2062="","",[1]!s_dq_close(C2062,$N$1))</f>
        <v/>
      </c>
      <c r="F2062" s="28" t="str">
        <f>IF($C2062=""," ",[1]!i_pq_pctchange($C2062,F$6,$N$1))</f>
        <v xml:space="preserve"> </v>
      </c>
      <c r="G2062" s="28" t="str">
        <f>IF($C2062=""," ",[1]!i_pq_pctchange($C2062,G$6,$N$1))</f>
        <v xml:space="preserve"> </v>
      </c>
      <c r="H2062" s="28" t="str">
        <f>IF($C2062=""," ",[1]!i_pq_pctchange($C2062,H$6,$N$1))</f>
        <v xml:space="preserve"> </v>
      </c>
      <c r="I2062" s="28" t="str">
        <f>IF($C2062=""," ",[1]!i_pq_pctchange($C2062,I$6,$N$1))</f>
        <v xml:space="preserve"> </v>
      </c>
      <c r="J2062" s="28" t="str">
        <f>IF($C2062=""," ",[1]!i_pq_pctchange($C2062,J$6,$N$1))</f>
        <v xml:space="preserve"> </v>
      </c>
      <c r="K2062" s="28" t="str">
        <f>IF($C2062=""," ",[1]!i_pq_pctchange($C2062,K$6,$N$1))</f>
        <v xml:space="preserve"> </v>
      </c>
      <c r="L2062" s="28" t="str">
        <f>IF(C2062=""," ",[1]!s_wq_pctchange($C2062,$N$1))</f>
        <v xml:space="preserve"> </v>
      </c>
      <c r="M2062" s="28" t="str">
        <f>IF(C2062=""," ",[1]!s_mq_pctchange($C2062,$N$1))</f>
        <v xml:space="preserve"> </v>
      </c>
      <c r="N2062" s="28" t="str">
        <f>IF(C2062=""," ",[1]!s_yq_pctchange($C2062,$N$1))</f>
        <v xml:space="preserve"> </v>
      </c>
      <c r="O2062" s="11"/>
      <c r="P2062" s="7"/>
    </row>
    <row r="2063" spans="1:16" x14ac:dyDescent="0.35">
      <c r="A2063" s="7"/>
      <c r="C2063" s="30" t="str">
        <f>IF(指数列表!B2060="","",指数列表!B2060)</f>
        <v/>
      </c>
      <c r="D2063" s="35" t="str">
        <f>IF(C2063="","",[1]!s_info_name(C2063))</f>
        <v/>
      </c>
      <c r="E2063" s="24" t="str">
        <f>IF(C2063="","",[1]!s_dq_close(C2063,$N$1))</f>
        <v/>
      </c>
      <c r="F2063" s="28" t="str">
        <f>IF($C2063=""," ",[1]!i_pq_pctchange($C2063,F$6,$N$1))</f>
        <v xml:space="preserve"> </v>
      </c>
      <c r="G2063" s="28" t="str">
        <f>IF($C2063=""," ",[1]!i_pq_pctchange($C2063,G$6,$N$1))</f>
        <v xml:space="preserve"> </v>
      </c>
      <c r="H2063" s="28" t="str">
        <f>IF($C2063=""," ",[1]!i_pq_pctchange($C2063,H$6,$N$1))</f>
        <v xml:space="preserve"> </v>
      </c>
      <c r="I2063" s="28" t="str">
        <f>IF($C2063=""," ",[1]!i_pq_pctchange($C2063,I$6,$N$1))</f>
        <v xml:space="preserve"> </v>
      </c>
      <c r="J2063" s="28" t="str">
        <f>IF($C2063=""," ",[1]!i_pq_pctchange($C2063,J$6,$N$1))</f>
        <v xml:space="preserve"> </v>
      </c>
      <c r="K2063" s="28" t="str">
        <f>IF($C2063=""," ",[1]!i_pq_pctchange($C2063,K$6,$N$1))</f>
        <v xml:space="preserve"> </v>
      </c>
      <c r="L2063" s="28" t="str">
        <f>IF(C2063=""," ",[1]!s_wq_pctchange($C2063,$N$1))</f>
        <v xml:space="preserve"> </v>
      </c>
      <c r="M2063" s="28" t="str">
        <f>IF(C2063=""," ",[1]!s_mq_pctchange($C2063,$N$1))</f>
        <v xml:space="preserve"> </v>
      </c>
      <c r="N2063" s="28" t="str">
        <f>IF(C2063=""," ",[1]!s_yq_pctchange($C2063,$N$1))</f>
        <v xml:space="preserve"> </v>
      </c>
      <c r="O2063" s="11"/>
      <c r="P2063" s="7"/>
    </row>
    <row r="2064" spans="1:16" x14ac:dyDescent="0.35">
      <c r="A2064" s="7"/>
      <c r="C2064" s="31" t="str">
        <f>IF(指数列表!B2061="","",指数列表!B2061)</f>
        <v/>
      </c>
      <c r="D2064" s="36" t="str">
        <f>IF(C2064="","",[1]!s_info_name(C2064))</f>
        <v/>
      </c>
      <c r="E2064" s="25" t="str">
        <f>IF(C2064="","",[1]!s_dq_close(C2064,$N$1))</f>
        <v/>
      </c>
      <c r="F2064" s="28" t="str">
        <f>IF($C2064=""," ",[1]!i_pq_pctchange($C2064,F$6,$N$1))</f>
        <v xml:space="preserve"> </v>
      </c>
      <c r="G2064" s="28" t="str">
        <f>IF($C2064=""," ",[1]!i_pq_pctchange($C2064,G$6,$N$1))</f>
        <v xml:space="preserve"> </v>
      </c>
      <c r="H2064" s="28" t="str">
        <f>IF($C2064=""," ",[1]!i_pq_pctchange($C2064,H$6,$N$1))</f>
        <v xml:space="preserve"> </v>
      </c>
      <c r="I2064" s="28" t="str">
        <f>IF($C2064=""," ",[1]!i_pq_pctchange($C2064,I$6,$N$1))</f>
        <v xml:space="preserve"> </v>
      </c>
      <c r="J2064" s="28" t="str">
        <f>IF($C2064=""," ",[1]!i_pq_pctchange($C2064,J$6,$N$1))</f>
        <v xml:space="preserve"> </v>
      </c>
      <c r="K2064" s="28" t="str">
        <f>IF($C2064=""," ",[1]!i_pq_pctchange($C2064,K$6,$N$1))</f>
        <v xml:space="preserve"> </v>
      </c>
      <c r="L2064" s="28" t="str">
        <f>IF(C2064=""," ",[1]!s_wq_pctchange($C2064,$N$1))</f>
        <v xml:space="preserve"> </v>
      </c>
      <c r="M2064" s="28" t="str">
        <f>IF(C2064=""," ",[1]!s_mq_pctchange($C2064,$N$1))</f>
        <v xml:space="preserve"> </v>
      </c>
      <c r="N2064" s="28" t="str">
        <f>IF(C2064=""," ",[1]!s_yq_pctchange($C2064,$N$1))</f>
        <v xml:space="preserve"> </v>
      </c>
      <c r="O2064" s="11"/>
      <c r="P2064" s="7"/>
    </row>
    <row r="2065" spans="1:16" x14ac:dyDescent="0.35">
      <c r="A2065" s="7"/>
      <c r="C2065" s="30" t="str">
        <f>IF(指数列表!B2062="","",指数列表!B2062)</f>
        <v/>
      </c>
      <c r="D2065" s="35" t="str">
        <f>IF(C2065="","",[1]!s_info_name(C2065))</f>
        <v/>
      </c>
      <c r="E2065" s="24" t="str">
        <f>IF(C2065="","",[1]!s_dq_close(C2065,$N$1))</f>
        <v/>
      </c>
      <c r="F2065" s="28" t="str">
        <f>IF($C2065=""," ",[1]!i_pq_pctchange($C2065,F$6,$N$1))</f>
        <v xml:space="preserve"> </v>
      </c>
      <c r="G2065" s="28" t="str">
        <f>IF($C2065=""," ",[1]!i_pq_pctchange($C2065,G$6,$N$1))</f>
        <v xml:space="preserve"> </v>
      </c>
      <c r="H2065" s="28" t="str">
        <f>IF($C2065=""," ",[1]!i_pq_pctchange($C2065,H$6,$N$1))</f>
        <v xml:space="preserve"> </v>
      </c>
      <c r="I2065" s="28" t="str">
        <f>IF($C2065=""," ",[1]!i_pq_pctchange($C2065,I$6,$N$1))</f>
        <v xml:space="preserve"> </v>
      </c>
      <c r="J2065" s="28" t="str">
        <f>IF($C2065=""," ",[1]!i_pq_pctchange($C2065,J$6,$N$1))</f>
        <v xml:space="preserve"> </v>
      </c>
      <c r="K2065" s="28" t="str">
        <f>IF($C2065=""," ",[1]!i_pq_pctchange($C2065,K$6,$N$1))</f>
        <v xml:space="preserve"> </v>
      </c>
      <c r="L2065" s="28" t="str">
        <f>IF(C2065=""," ",[1]!s_wq_pctchange($C2065,$N$1))</f>
        <v xml:space="preserve"> </v>
      </c>
      <c r="M2065" s="28" t="str">
        <f>IF(C2065=""," ",[1]!s_mq_pctchange($C2065,$N$1))</f>
        <v xml:space="preserve"> </v>
      </c>
      <c r="N2065" s="28" t="str">
        <f>IF(C2065=""," ",[1]!s_yq_pctchange($C2065,$N$1))</f>
        <v xml:space="preserve"> </v>
      </c>
      <c r="O2065" s="11"/>
      <c r="P2065" s="7"/>
    </row>
    <row r="2066" spans="1:16" x14ac:dyDescent="0.35">
      <c r="A2066" s="7"/>
      <c r="C2066" s="31" t="str">
        <f>IF(指数列表!B2063="","",指数列表!B2063)</f>
        <v/>
      </c>
      <c r="D2066" s="36" t="str">
        <f>IF(C2066="","",[1]!s_info_name(C2066))</f>
        <v/>
      </c>
      <c r="E2066" s="25" t="str">
        <f>IF(C2066="","",[1]!s_dq_close(C2066,$N$1))</f>
        <v/>
      </c>
      <c r="F2066" s="28" t="str">
        <f>IF($C2066=""," ",[1]!i_pq_pctchange($C2066,F$6,$N$1))</f>
        <v xml:space="preserve"> </v>
      </c>
      <c r="G2066" s="28" t="str">
        <f>IF($C2066=""," ",[1]!i_pq_pctchange($C2066,G$6,$N$1))</f>
        <v xml:space="preserve"> </v>
      </c>
      <c r="H2066" s="28" t="str">
        <f>IF($C2066=""," ",[1]!i_pq_pctchange($C2066,H$6,$N$1))</f>
        <v xml:space="preserve"> </v>
      </c>
      <c r="I2066" s="28" t="str">
        <f>IF($C2066=""," ",[1]!i_pq_pctchange($C2066,I$6,$N$1))</f>
        <v xml:space="preserve"> </v>
      </c>
      <c r="J2066" s="28" t="str">
        <f>IF($C2066=""," ",[1]!i_pq_pctchange($C2066,J$6,$N$1))</f>
        <v xml:space="preserve"> </v>
      </c>
      <c r="K2066" s="28" t="str">
        <f>IF($C2066=""," ",[1]!i_pq_pctchange($C2066,K$6,$N$1))</f>
        <v xml:space="preserve"> </v>
      </c>
      <c r="L2066" s="28" t="str">
        <f>IF(C2066=""," ",[1]!s_wq_pctchange($C2066,$N$1))</f>
        <v xml:space="preserve"> </v>
      </c>
      <c r="M2066" s="28" t="str">
        <f>IF(C2066=""," ",[1]!s_mq_pctchange($C2066,$N$1))</f>
        <v xml:space="preserve"> </v>
      </c>
      <c r="N2066" s="28" t="str">
        <f>IF(C2066=""," ",[1]!s_yq_pctchange($C2066,$N$1))</f>
        <v xml:space="preserve"> </v>
      </c>
      <c r="O2066" s="11"/>
      <c r="P2066" s="7"/>
    </row>
    <row r="2067" spans="1:16" x14ac:dyDescent="0.35">
      <c r="A2067" s="7"/>
      <c r="C2067" s="30" t="str">
        <f>IF(指数列表!B2064="","",指数列表!B2064)</f>
        <v/>
      </c>
      <c r="D2067" s="35" t="str">
        <f>IF(C2067="","",[1]!s_info_name(C2067))</f>
        <v/>
      </c>
      <c r="E2067" s="24" t="str">
        <f>IF(C2067="","",[1]!s_dq_close(C2067,$N$1))</f>
        <v/>
      </c>
      <c r="F2067" s="28" t="str">
        <f>IF($C2067=""," ",[1]!i_pq_pctchange($C2067,F$6,$N$1))</f>
        <v xml:space="preserve"> </v>
      </c>
      <c r="G2067" s="28" t="str">
        <f>IF($C2067=""," ",[1]!i_pq_pctchange($C2067,G$6,$N$1))</f>
        <v xml:space="preserve"> </v>
      </c>
      <c r="H2067" s="28" t="str">
        <f>IF($C2067=""," ",[1]!i_pq_pctchange($C2067,H$6,$N$1))</f>
        <v xml:space="preserve"> </v>
      </c>
      <c r="I2067" s="28" t="str">
        <f>IF($C2067=""," ",[1]!i_pq_pctchange($C2067,I$6,$N$1))</f>
        <v xml:space="preserve"> </v>
      </c>
      <c r="J2067" s="28" t="str">
        <f>IF($C2067=""," ",[1]!i_pq_pctchange($C2067,J$6,$N$1))</f>
        <v xml:space="preserve"> </v>
      </c>
      <c r="K2067" s="28" t="str">
        <f>IF($C2067=""," ",[1]!i_pq_pctchange($C2067,K$6,$N$1))</f>
        <v xml:space="preserve"> </v>
      </c>
      <c r="L2067" s="28" t="str">
        <f>IF(C2067=""," ",[1]!s_wq_pctchange($C2067,$N$1))</f>
        <v xml:space="preserve"> </v>
      </c>
      <c r="M2067" s="28" t="str">
        <f>IF(C2067=""," ",[1]!s_mq_pctchange($C2067,$N$1))</f>
        <v xml:space="preserve"> </v>
      </c>
      <c r="N2067" s="28" t="str">
        <f>IF(C2067=""," ",[1]!s_yq_pctchange($C2067,$N$1))</f>
        <v xml:space="preserve"> </v>
      </c>
      <c r="O2067" s="11"/>
      <c r="P2067" s="7"/>
    </row>
    <row r="2068" spans="1:16" x14ac:dyDescent="0.35">
      <c r="A2068" s="7"/>
      <c r="C2068" s="31" t="str">
        <f>IF(指数列表!B2065="","",指数列表!B2065)</f>
        <v/>
      </c>
      <c r="D2068" s="36" t="str">
        <f>IF(C2068="","",[1]!s_info_name(C2068))</f>
        <v/>
      </c>
      <c r="E2068" s="25" t="str">
        <f>IF(C2068="","",[1]!s_dq_close(C2068,$N$1))</f>
        <v/>
      </c>
      <c r="F2068" s="28" t="str">
        <f>IF($C2068=""," ",[1]!i_pq_pctchange($C2068,F$6,$N$1))</f>
        <v xml:space="preserve"> </v>
      </c>
      <c r="G2068" s="28" t="str">
        <f>IF($C2068=""," ",[1]!i_pq_pctchange($C2068,G$6,$N$1))</f>
        <v xml:space="preserve"> </v>
      </c>
      <c r="H2068" s="28" t="str">
        <f>IF($C2068=""," ",[1]!i_pq_pctchange($C2068,H$6,$N$1))</f>
        <v xml:space="preserve"> </v>
      </c>
      <c r="I2068" s="28" t="str">
        <f>IF($C2068=""," ",[1]!i_pq_pctchange($C2068,I$6,$N$1))</f>
        <v xml:space="preserve"> </v>
      </c>
      <c r="J2068" s="28" t="str">
        <f>IF($C2068=""," ",[1]!i_pq_pctchange($C2068,J$6,$N$1))</f>
        <v xml:space="preserve"> </v>
      </c>
      <c r="K2068" s="28" t="str">
        <f>IF($C2068=""," ",[1]!i_pq_pctchange($C2068,K$6,$N$1))</f>
        <v xml:space="preserve"> </v>
      </c>
      <c r="L2068" s="28" t="str">
        <f>IF(C2068=""," ",[1]!s_wq_pctchange($C2068,$N$1))</f>
        <v xml:space="preserve"> </v>
      </c>
      <c r="M2068" s="28" t="str">
        <f>IF(C2068=""," ",[1]!s_mq_pctchange($C2068,$N$1))</f>
        <v xml:space="preserve"> </v>
      </c>
      <c r="N2068" s="28" t="str">
        <f>IF(C2068=""," ",[1]!s_yq_pctchange($C2068,$N$1))</f>
        <v xml:space="preserve"> </v>
      </c>
      <c r="O2068" s="11"/>
      <c r="P2068" s="7"/>
    </row>
    <row r="2069" spans="1:16" x14ac:dyDescent="0.35">
      <c r="A2069" s="7"/>
      <c r="C2069" s="30" t="str">
        <f>IF(指数列表!B2066="","",指数列表!B2066)</f>
        <v/>
      </c>
      <c r="D2069" s="35" t="str">
        <f>IF(C2069="","",[1]!s_info_name(C2069))</f>
        <v/>
      </c>
      <c r="E2069" s="24" t="str">
        <f>IF(C2069="","",[1]!s_dq_close(C2069,$N$1))</f>
        <v/>
      </c>
      <c r="F2069" s="28" t="str">
        <f>IF($C2069=""," ",[1]!i_pq_pctchange($C2069,F$6,$N$1))</f>
        <v xml:space="preserve"> </v>
      </c>
      <c r="G2069" s="28" t="str">
        <f>IF($C2069=""," ",[1]!i_pq_pctchange($C2069,G$6,$N$1))</f>
        <v xml:space="preserve"> </v>
      </c>
      <c r="H2069" s="28" t="str">
        <f>IF($C2069=""," ",[1]!i_pq_pctchange($C2069,H$6,$N$1))</f>
        <v xml:space="preserve"> </v>
      </c>
      <c r="I2069" s="28" t="str">
        <f>IF($C2069=""," ",[1]!i_pq_pctchange($C2069,I$6,$N$1))</f>
        <v xml:space="preserve"> </v>
      </c>
      <c r="J2069" s="28" t="str">
        <f>IF($C2069=""," ",[1]!i_pq_pctchange($C2069,J$6,$N$1))</f>
        <v xml:space="preserve"> </v>
      </c>
      <c r="K2069" s="28" t="str">
        <f>IF($C2069=""," ",[1]!i_pq_pctchange($C2069,K$6,$N$1))</f>
        <v xml:space="preserve"> </v>
      </c>
      <c r="L2069" s="28" t="str">
        <f>IF(C2069=""," ",[1]!s_wq_pctchange($C2069,$N$1))</f>
        <v xml:space="preserve"> </v>
      </c>
      <c r="M2069" s="28" t="str">
        <f>IF(C2069=""," ",[1]!s_mq_pctchange($C2069,$N$1))</f>
        <v xml:space="preserve"> </v>
      </c>
      <c r="N2069" s="28" t="str">
        <f>IF(C2069=""," ",[1]!s_yq_pctchange($C2069,$N$1))</f>
        <v xml:space="preserve"> </v>
      </c>
      <c r="O2069" s="11"/>
      <c r="P2069" s="7"/>
    </row>
    <row r="2070" spans="1:16" x14ac:dyDescent="0.35">
      <c r="A2070" s="7"/>
      <c r="C2070" s="31" t="str">
        <f>IF(指数列表!B2067="","",指数列表!B2067)</f>
        <v/>
      </c>
      <c r="D2070" s="36" t="str">
        <f>IF(C2070="","",[1]!s_info_name(C2070))</f>
        <v/>
      </c>
      <c r="E2070" s="25" t="str">
        <f>IF(C2070="","",[1]!s_dq_close(C2070,$N$1))</f>
        <v/>
      </c>
      <c r="F2070" s="28" t="str">
        <f>IF($C2070=""," ",[1]!i_pq_pctchange($C2070,F$6,$N$1))</f>
        <v xml:space="preserve"> </v>
      </c>
      <c r="G2070" s="28" t="str">
        <f>IF($C2070=""," ",[1]!i_pq_pctchange($C2070,G$6,$N$1))</f>
        <v xml:space="preserve"> </v>
      </c>
      <c r="H2070" s="28" t="str">
        <f>IF($C2070=""," ",[1]!i_pq_pctchange($C2070,H$6,$N$1))</f>
        <v xml:space="preserve"> </v>
      </c>
      <c r="I2070" s="28" t="str">
        <f>IF($C2070=""," ",[1]!i_pq_pctchange($C2070,I$6,$N$1))</f>
        <v xml:space="preserve"> </v>
      </c>
      <c r="J2070" s="28" t="str">
        <f>IF($C2070=""," ",[1]!i_pq_pctchange($C2070,J$6,$N$1))</f>
        <v xml:space="preserve"> </v>
      </c>
      <c r="K2070" s="28" t="str">
        <f>IF($C2070=""," ",[1]!i_pq_pctchange($C2070,K$6,$N$1))</f>
        <v xml:space="preserve"> </v>
      </c>
      <c r="L2070" s="28" t="str">
        <f>IF(C2070=""," ",[1]!s_wq_pctchange($C2070,$N$1))</f>
        <v xml:space="preserve"> </v>
      </c>
      <c r="M2070" s="28" t="str">
        <f>IF(C2070=""," ",[1]!s_mq_pctchange($C2070,$N$1))</f>
        <v xml:space="preserve"> </v>
      </c>
      <c r="N2070" s="28" t="str">
        <f>IF(C2070=""," ",[1]!s_yq_pctchange($C2070,$N$1))</f>
        <v xml:space="preserve"> </v>
      </c>
      <c r="O2070" s="11"/>
      <c r="P2070" s="7"/>
    </row>
    <row r="2071" spans="1:16" x14ac:dyDescent="0.35">
      <c r="A2071" s="7"/>
      <c r="C2071" s="30" t="str">
        <f>IF(指数列表!B2068="","",指数列表!B2068)</f>
        <v/>
      </c>
      <c r="D2071" s="35" t="str">
        <f>IF(C2071="","",[1]!s_info_name(C2071))</f>
        <v/>
      </c>
      <c r="E2071" s="24" t="str">
        <f>IF(C2071="","",[1]!s_dq_close(C2071,$N$1))</f>
        <v/>
      </c>
      <c r="F2071" s="28" t="str">
        <f>IF($C2071=""," ",[1]!i_pq_pctchange($C2071,F$6,$N$1))</f>
        <v xml:space="preserve"> </v>
      </c>
      <c r="G2071" s="28" t="str">
        <f>IF($C2071=""," ",[1]!i_pq_pctchange($C2071,G$6,$N$1))</f>
        <v xml:space="preserve"> </v>
      </c>
      <c r="H2071" s="28" t="str">
        <f>IF($C2071=""," ",[1]!i_pq_pctchange($C2071,H$6,$N$1))</f>
        <v xml:space="preserve"> </v>
      </c>
      <c r="I2071" s="28" t="str">
        <f>IF($C2071=""," ",[1]!i_pq_pctchange($C2071,I$6,$N$1))</f>
        <v xml:space="preserve"> </v>
      </c>
      <c r="J2071" s="28" t="str">
        <f>IF($C2071=""," ",[1]!i_pq_pctchange($C2071,J$6,$N$1))</f>
        <v xml:space="preserve"> </v>
      </c>
      <c r="K2071" s="28" t="str">
        <f>IF($C2071=""," ",[1]!i_pq_pctchange($C2071,K$6,$N$1))</f>
        <v xml:space="preserve"> </v>
      </c>
      <c r="L2071" s="28" t="str">
        <f>IF(C2071=""," ",[1]!s_wq_pctchange($C2071,$N$1))</f>
        <v xml:space="preserve"> </v>
      </c>
      <c r="M2071" s="28" t="str">
        <f>IF(C2071=""," ",[1]!s_mq_pctchange($C2071,$N$1))</f>
        <v xml:space="preserve"> </v>
      </c>
      <c r="N2071" s="28" t="str">
        <f>IF(C2071=""," ",[1]!s_yq_pctchange($C2071,$N$1))</f>
        <v xml:space="preserve"> </v>
      </c>
      <c r="O2071" s="11"/>
      <c r="P2071" s="7"/>
    </row>
    <row r="2072" spans="1:16" x14ac:dyDescent="0.35">
      <c r="A2072" s="7"/>
      <c r="C2072" s="31" t="str">
        <f>IF(指数列表!B2069="","",指数列表!B2069)</f>
        <v/>
      </c>
      <c r="D2072" s="36" t="str">
        <f>IF(C2072="","",[1]!s_info_name(C2072))</f>
        <v/>
      </c>
      <c r="E2072" s="25" t="str">
        <f>IF(C2072="","",[1]!s_dq_close(C2072,$N$1))</f>
        <v/>
      </c>
      <c r="F2072" s="28" t="str">
        <f>IF($C2072=""," ",[1]!i_pq_pctchange($C2072,F$6,$N$1))</f>
        <v xml:space="preserve"> </v>
      </c>
      <c r="G2072" s="28" t="str">
        <f>IF($C2072=""," ",[1]!i_pq_pctchange($C2072,G$6,$N$1))</f>
        <v xml:space="preserve"> </v>
      </c>
      <c r="H2072" s="28" t="str">
        <f>IF($C2072=""," ",[1]!i_pq_pctchange($C2072,H$6,$N$1))</f>
        <v xml:space="preserve"> </v>
      </c>
      <c r="I2072" s="28" t="str">
        <f>IF($C2072=""," ",[1]!i_pq_pctchange($C2072,I$6,$N$1))</f>
        <v xml:space="preserve"> </v>
      </c>
      <c r="J2072" s="28" t="str">
        <f>IF($C2072=""," ",[1]!i_pq_pctchange($C2072,J$6,$N$1))</f>
        <v xml:space="preserve"> </v>
      </c>
      <c r="K2072" s="28" t="str">
        <f>IF($C2072=""," ",[1]!i_pq_pctchange($C2072,K$6,$N$1))</f>
        <v xml:space="preserve"> </v>
      </c>
      <c r="L2072" s="28" t="str">
        <f>IF(C2072=""," ",[1]!s_wq_pctchange($C2072,$N$1))</f>
        <v xml:space="preserve"> </v>
      </c>
      <c r="M2072" s="28" t="str">
        <f>IF(C2072=""," ",[1]!s_mq_pctchange($C2072,$N$1))</f>
        <v xml:space="preserve"> </v>
      </c>
      <c r="N2072" s="28" t="str">
        <f>IF(C2072=""," ",[1]!s_yq_pctchange($C2072,$N$1))</f>
        <v xml:space="preserve"> </v>
      </c>
      <c r="O2072" s="11"/>
      <c r="P2072" s="7"/>
    </row>
    <row r="2073" spans="1:16" x14ac:dyDescent="0.35">
      <c r="A2073" s="7"/>
      <c r="C2073" s="30" t="str">
        <f>IF(指数列表!B2070="","",指数列表!B2070)</f>
        <v/>
      </c>
      <c r="D2073" s="35" t="str">
        <f>IF(C2073="","",[1]!s_info_name(C2073))</f>
        <v/>
      </c>
      <c r="E2073" s="24" t="str">
        <f>IF(C2073="","",[1]!s_dq_close(C2073,$N$1))</f>
        <v/>
      </c>
      <c r="F2073" s="28" t="str">
        <f>IF($C2073=""," ",[1]!i_pq_pctchange($C2073,F$6,$N$1))</f>
        <v xml:space="preserve"> </v>
      </c>
      <c r="G2073" s="28" t="str">
        <f>IF($C2073=""," ",[1]!i_pq_pctchange($C2073,G$6,$N$1))</f>
        <v xml:space="preserve"> </v>
      </c>
      <c r="H2073" s="28" t="str">
        <f>IF($C2073=""," ",[1]!i_pq_pctchange($C2073,H$6,$N$1))</f>
        <v xml:space="preserve"> </v>
      </c>
      <c r="I2073" s="28" t="str">
        <f>IF($C2073=""," ",[1]!i_pq_pctchange($C2073,I$6,$N$1))</f>
        <v xml:space="preserve"> </v>
      </c>
      <c r="J2073" s="28" t="str">
        <f>IF($C2073=""," ",[1]!i_pq_pctchange($C2073,J$6,$N$1))</f>
        <v xml:space="preserve"> </v>
      </c>
      <c r="K2073" s="28" t="str">
        <f>IF($C2073=""," ",[1]!i_pq_pctchange($C2073,K$6,$N$1))</f>
        <v xml:space="preserve"> </v>
      </c>
      <c r="L2073" s="28" t="str">
        <f>IF(C2073=""," ",[1]!s_wq_pctchange($C2073,$N$1))</f>
        <v xml:space="preserve"> </v>
      </c>
      <c r="M2073" s="28" t="str">
        <f>IF(C2073=""," ",[1]!s_mq_pctchange($C2073,$N$1))</f>
        <v xml:space="preserve"> </v>
      </c>
      <c r="N2073" s="28" t="str">
        <f>IF(C2073=""," ",[1]!s_yq_pctchange($C2073,$N$1))</f>
        <v xml:space="preserve"> </v>
      </c>
      <c r="O2073" s="11"/>
      <c r="P2073" s="7"/>
    </row>
    <row r="2074" spans="1:16" x14ac:dyDescent="0.35">
      <c r="A2074" s="7"/>
      <c r="C2074" s="31" t="str">
        <f>IF(指数列表!B2071="","",指数列表!B2071)</f>
        <v/>
      </c>
      <c r="D2074" s="36" t="str">
        <f>IF(C2074="","",[1]!s_info_name(C2074))</f>
        <v/>
      </c>
      <c r="E2074" s="25" t="str">
        <f>IF(C2074="","",[1]!s_dq_close(C2074,$N$1))</f>
        <v/>
      </c>
      <c r="F2074" s="28" t="str">
        <f>IF($C2074=""," ",[1]!i_pq_pctchange($C2074,F$6,$N$1))</f>
        <v xml:space="preserve"> </v>
      </c>
      <c r="G2074" s="28" t="str">
        <f>IF($C2074=""," ",[1]!i_pq_pctchange($C2074,G$6,$N$1))</f>
        <v xml:space="preserve"> </v>
      </c>
      <c r="H2074" s="28" t="str">
        <f>IF($C2074=""," ",[1]!i_pq_pctchange($C2074,H$6,$N$1))</f>
        <v xml:space="preserve"> </v>
      </c>
      <c r="I2074" s="28" t="str">
        <f>IF($C2074=""," ",[1]!i_pq_pctchange($C2074,I$6,$N$1))</f>
        <v xml:space="preserve"> </v>
      </c>
      <c r="J2074" s="28" t="str">
        <f>IF($C2074=""," ",[1]!i_pq_pctchange($C2074,J$6,$N$1))</f>
        <v xml:space="preserve"> </v>
      </c>
      <c r="K2074" s="28" t="str">
        <f>IF($C2074=""," ",[1]!i_pq_pctchange($C2074,K$6,$N$1))</f>
        <v xml:space="preserve"> </v>
      </c>
      <c r="L2074" s="28" t="str">
        <f>IF(C2074=""," ",[1]!s_wq_pctchange($C2074,$N$1))</f>
        <v xml:space="preserve"> </v>
      </c>
      <c r="M2074" s="28" t="str">
        <f>IF(C2074=""," ",[1]!s_mq_pctchange($C2074,$N$1))</f>
        <v xml:space="preserve"> </v>
      </c>
      <c r="N2074" s="28" t="str">
        <f>IF(C2074=""," ",[1]!s_yq_pctchange($C2074,$N$1))</f>
        <v xml:space="preserve"> </v>
      </c>
      <c r="O2074" s="11"/>
      <c r="P2074" s="7"/>
    </row>
    <row r="2075" spans="1:16" x14ac:dyDescent="0.35">
      <c r="A2075" s="7"/>
      <c r="C2075" s="30" t="str">
        <f>IF(指数列表!B2072="","",指数列表!B2072)</f>
        <v/>
      </c>
      <c r="D2075" s="35" t="str">
        <f>IF(C2075="","",[1]!s_info_name(C2075))</f>
        <v/>
      </c>
      <c r="E2075" s="24" t="str">
        <f>IF(C2075="","",[1]!s_dq_close(C2075,$N$1))</f>
        <v/>
      </c>
      <c r="F2075" s="28" t="str">
        <f>IF($C2075=""," ",[1]!i_pq_pctchange($C2075,F$6,$N$1))</f>
        <v xml:space="preserve"> </v>
      </c>
      <c r="G2075" s="28" t="str">
        <f>IF($C2075=""," ",[1]!i_pq_pctchange($C2075,G$6,$N$1))</f>
        <v xml:space="preserve"> </v>
      </c>
      <c r="H2075" s="28" t="str">
        <f>IF($C2075=""," ",[1]!i_pq_pctchange($C2075,H$6,$N$1))</f>
        <v xml:space="preserve"> </v>
      </c>
      <c r="I2075" s="28" t="str">
        <f>IF($C2075=""," ",[1]!i_pq_pctchange($C2075,I$6,$N$1))</f>
        <v xml:space="preserve"> </v>
      </c>
      <c r="J2075" s="28" t="str">
        <f>IF($C2075=""," ",[1]!i_pq_pctchange($C2075,J$6,$N$1))</f>
        <v xml:space="preserve"> </v>
      </c>
      <c r="K2075" s="28" t="str">
        <f>IF($C2075=""," ",[1]!i_pq_pctchange($C2075,K$6,$N$1))</f>
        <v xml:space="preserve"> </v>
      </c>
      <c r="L2075" s="28" t="str">
        <f>IF(C2075=""," ",[1]!s_wq_pctchange($C2075,$N$1))</f>
        <v xml:space="preserve"> </v>
      </c>
      <c r="M2075" s="28" t="str">
        <f>IF(C2075=""," ",[1]!s_mq_pctchange($C2075,$N$1))</f>
        <v xml:space="preserve"> </v>
      </c>
      <c r="N2075" s="28" t="str">
        <f>IF(C2075=""," ",[1]!s_yq_pctchange($C2075,$N$1))</f>
        <v xml:space="preserve"> </v>
      </c>
      <c r="O2075" s="11"/>
      <c r="P2075" s="7"/>
    </row>
    <row r="2076" spans="1:16" x14ac:dyDescent="0.35">
      <c r="A2076" s="7"/>
      <c r="C2076" s="31" t="str">
        <f>IF(指数列表!B2073="","",指数列表!B2073)</f>
        <v/>
      </c>
      <c r="D2076" s="36" t="str">
        <f>IF(C2076="","",[1]!s_info_name(C2076))</f>
        <v/>
      </c>
      <c r="E2076" s="25" t="str">
        <f>IF(C2076="","",[1]!s_dq_close(C2076,$N$1))</f>
        <v/>
      </c>
      <c r="F2076" s="28" t="str">
        <f>IF($C2076=""," ",[1]!i_pq_pctchange($C2076,F$6,$N$1))</f>
        <v xml:space="preserve"> </v>
      </c>
      <c r="G2076" s="28" t="str">
        <f>IF($C2076=""," ",[1]!i_pq_pctchange($C2076,G$6,$N$1))</f>
        <v xml:space="preserve"> </v>
      </c>
      <c r="H2076" s="28" t="str">
        <f>IF($C2076=""," ",[1]!i_pq_pctchange($C2076,H$6,$N$1))</f>
        <v xml:space="preserve"> </v>
      </c>
      <c r="I2076" s="28" t="str">
        <f>IF($C2076=""," ",[1]!i_pq_pctchange($C2076,I$6,$N$1))</f>
        <v xml:space="preserve"> </v>
      </c>
      <c r="J2076" s="28" t="str">
        <f>IF($C2076=""," ",[1]!i_pq_pctchange($C2076,J$6,$N$1))</f>
        <v xml:space="preserve"> </v>
      </c>
      <c r="K2076" s="28" t="str">
        <f>IF($C2076=""," ",[1]!i_pq_pctchange($C2076,K$6,$N$1))</f>
        <v xml:space="preserve"> </v>
      </c>
      <c r="L2076" s="28" t="str">
        <f>IF(C2076=""," ",[1]!s_wq_pctchange($C2076,$N$1))</f>
        <v xml:space="preserve"> </v>
      </c>
      <c r="M2076" s="28" t="str">
        <f>IF(C2076=""," ",[1]!s_mq_pctchange($C2076,$N$1))</f>
        <v xml:space="preserve"> </v>
      </c>
      <c r="N2076" s="28" t="str">
        <f>IF(C2076=""," ",[1]!s_yq_pctchange($C2076,$N$1))</f>
        <v xml:space="preserve"> </v>
      </c>
      <c r="O2076" s="11"/>
      <c r="P2076" s="7"/>
    </row>
    <row r="2077" spans="1:16" x14ac:dyDescent="0.35">
      <c r="A2077" s="7"/>
      <c r="C2077" s="30" t="str">
        <f>IF(指数列表!B2074="","",指数列表!B2074)</f>
        <v/>
      </c>
      <c r="D2077" s="35" t="str">
        <f>IF(C2077="","",[1]!s_info_name(C2077))</f>
        <v/>
      </c>
      <c r="E2077" s="24" t="str">
        <f>IF(C2077="","",[1]!s_dq_close(C2077,$N$1))</f>
        <v/>
      </c>
      <c r="F2077" s="28" t="str">
        <f>IF($C2077=""," ",[1]!i_pq_pctchange($C2077,F$6,$N$1))</f>
        <v xml:space="preserve"> </v>
      </c>
      <c r="G2077" s="28" t="str">
        <f>IF($C2077=""," ",[1]!i_pq_pctchange($C2077,G$6,$N$1))</f>
        <v xml:space="preserve"> </v>
      </c>
      <c r="H2077" s="28" t="str">
        <f>IF($C2077=""," ",[1]!i_pq_pctchange($C2077,H$6,$N$1))</f>
        <v xml:space="preserve"> </v>
      </c>
      <c r="I2077" s="28" t="str">
        <f>IF($C2077=""," ",[1]!i_pq_pctchange($C2077,I$6,$N$1))</f>
        <v xml:space="preserve"> </v>
      </c>
      <c r="J2077" s="28" t="str">
        <f>IF($C2077=""," ",[1]!i_pq_pctchange($C2077,J$6,$N$1))</f>
        <v xml:space="preserve"> </v>
      </c>
      <c r="K2077" s="28" t="str">
        <f>IF($C2077=""," ",[1]!i_pq_pctchange($C2077,K$6,$N$1))</f>
        <v xml:space="preserve"> </v>
      </c>
      <c r="L2077" s="28" t="str">
        <f>IF(C2077=""," ",[1]!s_wq_pctchange($C2077,$N$1))</f>
        <v xml:space="preserve"> </v>
      </c>
      <c r="M2077" s="28" t="str">
        <f>IF(C2077=""," ",[1]!s_mq_pctchange($C2077,$N$1))</f>
        <v xml:space="preserve"> </v>
      </c>
      <c r="N2077" s="28" t="str">
        <f>IF(C2077=""," ",[1]!s_yq_pctchange($C2077,$N$1))</f>
        <v xml:space="preserve"> </v>
      </c>
      <c r="O2077" s="11"/>
      <c r="P2077" s="7"/>
    </row>
    <row r="2078" spans="1:16" x14ac:dyDescent="0.35">
      <c r="A2078" s="7"/>
      <c r="C2078" s="31" t="str">
        <f>IF(指数列表!B2075="","",指数列表!B2075)</f>
        <v/>
      </c>
      <c r="D2078" s="36" t="str">
        <f>IF(C2078="","",[1]!s_info_name(C2078))</f>
        <v/>
      </c>
      <c r="E2078" s="25" t="str">
        <f>IF(C2078="","",[1]!s_dq_close(C2078,$N$1))</f>
        <v/>
      </c>
      <c r="F2078" s="28" t="str">
        <f>IF($C2078=""," ",[1]!i_pq_pctchange($C2078,F$6,$N$1))</f>
        <v xml:space="preserve"> </v>
      </c>
      <c r="G2078" s="28" t="str">
        <f>IF($C2078=""," ",[1]!i_pq_pctchange($C2078,G$6,$N$1))</f>
        <v xml:space="preserve"> </v>
      </c>
      <c r="H2078" s="28" t="str">
        <f>IF($C2078=""," ",[1]!i_pq_pctchange($C2078,H$6,$N$1))</f>
        <v xml:space="preserve"> </v>
      </c>
      <c r="I2078" s="28" t="str">
        <f>IF($C2078=""," ",[1]!i_pq_pctchange($C2078,I$6,$N$1))</f>
        <v xml:space="preserve"> </v>
      </c>
      <c r="J2078" s="28" t="str">
        <f>IF($C2078=""," ",[1]!i_pq_pctchange($C2078,J$6,$N$1))</f>
        <v xml:space="preserve"> </v>
      </c>
      <c r="K2078" s="28" t="str">
        <f>IF($C2078=""," ",[1]!i_pq_pctchange($C2078,K$6,$N$1))</f>
        <v xml:space="preserve"> </v>
      </c>
      <c r="L2078" s="28" t="str">
        <f>IF(C2078=""," ",[1]!s_wq_pctchange($C2078,$N$1))</f>
        <v xml:space="preserve"> </v>
      </c>
      <c r="M2078" s="28" t="str">
        <f>IF(C2078=""," ",[1]!s_mq_pctchange($C2078,$N$1))</f>
        <v xml:space="preserve"> </v>
      </c>
      <c r="N2078" s="28" t="str">
        <f>IF(C2078=""," ",[1]!s_yq_pctchange($C2078,$N$1))</f>
        <v xml:space="preserve"> </v>
      </c>
      <c r="O2078" s="11"/>
      <c r="P2078" s="7"/>
    </row>
    <row r="2079" spans="1:16" x14ac:dyDescent="0.35">
      <c r="A2079" s="7"/>
      <c r="C2079" s="30" t="str">
        <f>IF(指数列表!B2076="","",指数列表!B2076)</f>
        <v/>
      </c>
      <c r="D2079" s="35" t="str">
        <f>IF(C2079="","",[1]!s_info_name(C2079))</f>
        <v/>
      </c>
      <c r="E2079" s="24" t="str">
        <f>IF(C2079="","",[1]!s_dq_close(C2079,$N$1))</f>
        <v/>
      </c>
      <c r="F2079" s="28" t="str">
        <f>IF($C2079=""," ",[1]!i_pq_pctchange($C2079,F$6,$N$1))</f>
        <v xml:space="preserve"> </v>
      </c>
      <c r="G2079" s="28" t="str">
        <f>IF($C2079=""," ",[1]!i_pq_pctchange($C2079,G$6,$N$1))</f>
        <v xml:space="preserve"> </v>
      </c>
      <c r="H2079" s="28" t="str">
        <f>IF($C2079=""," ",[1]!i_pq_pctchange($C2079,H$6,$N$1))</f>
        <v xml:space="preserve"> </v>
      </c>
      <c r="I2079" s="28" t="str">
        <f>IF($C2079=""," ",[1]!i_pq_pctchange($C2079,I$6,$N$1))</f>
        <v xml:space="preserve"> </v>
      </c>
      <c r="J2079" s="28" t="str">
        <f>IF($C2079=""," ",[1]!i_pq_pctchange($C2079,J$6,$N$1))</f>
        <v xml:space="preserve"> </v>
      </c>
      <c r="K2079" s="28" t="str">
        <f>IF($C2079=""," ",[1]!i_pq_pctchange($C2079,K$6,$N$1))</f>
        <v xml:space="preserve"> </v>
      </c>
      <c r="L2079" s="28" t="str">
        <f>IF(C2079=""," ",[1]!s_wq_pctchange($C2079,$N$1))</f>
        <v xml:space="preserve"> </v>
      </c>
      <c r="M2079" s="28" t="str">
        <f>IF(C2079=""," ",[1]!s_mq_pctchange($C2079,$N$1))</f>
        <v xml:space="preserve"> </v>
      </c>
      <c r="N2079" s="28" t="str">
        <f>IF(C2079=""," ",[1]!s_yq_pctchange($C2079,$N$1))</f>
        <v xml:space="preserve"> </v>
      </c>
      <c r="O2079" s="11"/>
      <c r="P2079" s="7"/>
    </row>
    <row r="2080" spans="1:16" x14ac:dyDescent="0.35">
      <c r="A2080" s="7"/>
      <c r="C2080" s="31" t="str">
        <f>IF(指数列表!B2077="","",指数列表!B2077)</f>
        <v/>
      </c>
      <c r="D2080" s="36" t="str">
        <f>IF(C2080="","",[1]!s_info_name(C2080))</f>
        <v/>
      </c>
      <c r="E2080" s="25" t="str">
        <f>IF(C2080="","",[1]!s_dq_close(C2080,$N$1))</f>
        <v/>
      </c>
      <c r="F2080" s="28" t="str">
        <f>IF($C2080=""," ",[1]!i_pq_pctchange($C2080,F$6,$N$1))</f>
        <v xml:space="preserve"> </v>
      </c>
      <c r="G2080" s="28" t="str">
        <f>IF($C2080=""," ",[1]!i_pq_pctchange($C2080,G$6,$N$1))</f>
        <v xml:space="preserve"> </v>
      </c>
      <c r="H2080" s="28" t="str">
        <f>IF($C2080=""," ",[1]!i_pq_pctchange($C2080,H$6,$N$1))</f>
        <v xml:space="preserve"> </v>
      </c>
      <c r="I2080" s="28" t="str">
        <f>IF($C2080=""," ",[1]!i_pq_pctchange($C2080,I$6,$N$1))</f>
        <v xml:space="preserve"> </v>
      </c>
      <c r="J2080" s="28" t="str">
        <f>IF($C2080=""," ",[1]!i_pq_pctchange($C2080,J$6,$N$1))</f>
        <v xml:space="preserve"> </v>
      </c>
      <c r="K2080" s="28" t="str">
        <f>IF($C2080=""," ",[1]!i_pq_pctchange($C2080,K$6,$N$1))</f>
        <v xml:space="preserve"> </v>
      </c>
      <c r="L2080" s="28" t="str">
        <f>IF(C2080=""," ",[1]!s_wq_pctchange($C2080,$N$1))</f>
        <v xml:space="preserve"> </v>
      </c>
      <c r="M2080" s="28" t="str">
        <f>IF(C2080=""," ",[1]!s_mq_pctchange($C2080,$N$1))</f>
        <v xml:space="preserve"> </v>
      </c>
      <c r="N2080" s="28" t="str">
        <f>IF(C2080=""," ",[1]!s_yq_pctchange($C2080,$N$1))</f>
        <v xml:space="preserve"> </v>
      </c>
      <c r="O2080" s="11"/>
      <c r="P2080" s="7"/>
    </row>
    <row r="2081" spans="1:16" x14ac:dyDescent="0.35">
      <c r="A2081" s="7"/>
      <c r="C2081" s="30" t="str">
        <f>IF(指数列表!B2078="","",指数列表!B2078)</f>
        <v/>
      </c>
      <c r="D2081" s="35" t="str">
        <f>IF(C2081="","",[1]!s_info_name(C2081))</f>
        <v/>
      </c>
      <c r="E2081" s="24" t="str">
        <f>IF(C2081="","",[1]!s_dq_close(C2081,$N$1))</f>
        <v/>
      </c>
      <c r="F2081" s="28" t="str">
        <f>IF($C2081=""," ",[1]!i_pq_pctchange($C2081,F$6,$N$1))</f>
        <v xml:space="preserve"> </v>
      </c>
      <c r="G2081" s="28" t="str">
        <f>IF($C2081=""," ",[1]!i_pq_pctchange($C2081,G$6,$N$1))</f>
        <v xml:space="preserve"> </v>
      </c>
      <c r="H2081" s="28" t="str">
        <f>IF($C2081=""," ",[1]!i_pq_pctchange($C2081,H$6,$N$1))</f>
        <v xml:space="preserve"> </v>
      </c>
      <c r="I2081" s="28" t="str">
        <f>IF($C2081=""," ",[1]!i_pq_pctchange($C2081,I$6,$N$1))</f>
        <v xml:space="preserve"> </v>
      </c>
      <c r="J2081" s="28" t="str">
        <f>IF($C2081=""," ",[1]!i_pq_pctchange($C2081,J$6,$N$1))</f>
        <v xml:space="preserve"> </v>
      </c>
      <c r="K2081" s="28" t="str">
        <f>IF($C2081=""," ",[1]!i_pq_pctchange($C2081,K$6,$N$1))</f>
        <v xml:space="preserve"> </v>
      </c>
      <c r="L2081" s="28" t="str">
        <f>IF(C2081=""," ",[1]!s_wq_pctchange($C2081,$N$1))</f>
        <v xml:space="preserve"> </v>
      </c>
      <c r="M2081" s="28" t="str">
        <f>IF(C2081=""," ",[1]!s_mq_pctchange($C2081,$N$1))</f>
        <v xml:space="preserve"> </v>
      </c>
      <c r="N2081" s="28" t="str">
        <f>IF(C2081=""," ",[1]!s_yq_pctchange($C2081,$N$1))</f>
        <v xml:space="preserve"> </v>
      </c>
      <c r="O2081" s="11"/>
      <c r="P2081" s="7"/>
    </row>
    <row r="2082" spans="1:16" x14ac:dyDescent="0.35">
      <c r="A2082" s="7"/>
      <c r="C2082" s="31" t="str">
        <f>IF(指数列表!B2079="","",指数列表!B2079)</f>
        <v/>
      </c>
      <c r="D2082" s="36" t="str">
        <f>IF(C2082="","",[1]!s_info_name(C2082))</f>
        <v/>
      </c>
      <c r="E2082" s="25" t="str">
        <f>IF(C2082="","",[1]!s_dq_close(C2082,$N$1))</f>
        <v/>
      </c>
      <c r="F2082" s="28" t="str">
        <f>IF($C2082=""," ",[1]!i_pq_pctchange($C2082,F$6,$N$1))</f>
        <v xml:space="preserve"> </v>
      </c>
      <c r="G2082" s="28" t="str">
        <f>IF($C2082=""," ",[1]!i_pq_pctchange($C2082,G$6,$N$1))</f>
        <v xml:space="preserve"> </v>
      </c>
      <c r="H2082" s="28" t="str">
        <f>IF($C2082=""," ",[1]!i_pq_pctchange($C2082,H$6,$N$1))</f>
        <v xml:space="preserve"> </v>
      </c>
      <c r="I2082" s="28" t="str">
        <f>IF($C2082=""," ",[1]!i_pq_pctchange($C2082,I$6,$N$1))</f>
        <v xml:space="preserve"> </v>
      </c>
      <c r="J2082" s="28" t="str">
        <f>IF($C2082=""," ",[1]!i_pq_pctchange($C2082,J$6,$N$1))</f>
        <v xml:space="preserve"> </v>
      </c>
      <c r="K2082" s="28" t="str">
        <f>IF($C2082=""," ",[1]!i_pq_pctchange($C2082,K$6,$N$1))</f>
        <v xml:space="preserve"> </v>
      </c>
      <c r="L2082" s="28" t="str">
        <f>IF(C2082=""," ",[1]!s_wq_pctchange($C2082,$N$1))</f>
        <v xml:space="preserve"> </v>
      </c>
      <c r="M2082" s="28" t="str">
        <f>IF(C2082=""," ",[1]!s_mq_pctchange($C2082,$N$1))</f>
        <v xml:space="preserve"> </v>
      </c>
      <c r="N2082" s="28" t="str">
        <f>IF(C2082=""," ",[1]!s_yq_pctchange($C2082,$N$1))</f>
        <v xml:space="preserve"> </v>
      </c>
      <c r="O2082" s="11"/>
      <c r="P2082" s="7"/>
    </row>
    <row r="2083" spans="1:16" x14ac:dyDescent="0.35">
      <c r="A2083" s="7"/>
      <c r="C2083" s="30" t="str">
        <f>IF(指数列表!B2080="","",指数列表!B2080)</f>
        <v/>
      </c>
      <c r="D2083" s="35" t="str">
        <f>IF(C2083="","",[1]!s_info_name(C2083))</f>
        <v/>
      </c>
      <c r="E2083" s="24" t="str">
        <f>IF(C2083="","",[1]!s_dq_close(C2083,$N$1))</f>
        <v/>
      </c>
      <c r="F2083" s="28" t="str">
        <f>IF($C2083=""," ",[1]!i_pq_pctchange($C2083,F$6,$N$1))</f>
        <v xml:space="preserve"> </v>
      </c>
      <c r="G2083" s="28" t="str">
        <f>IF($C2083=""," ",[1]!i_pq_pctchange($C2083,G$6,$N$1))</f>
        <v xml:space="preserve"> </v>
      </c>
      <c r="H2083" s="28" t="str">
        <f>IF($C2083=""," ",[1]!i_pq_pctchange($C2083,H$6,$N$1))</f>
        <v xml:space="preserve"> </v>
      </c>
      <c r="I2083" s="28" t="str">
        <f>IF($C2083=""," ",[1]!i_pq_pctchange($C2083,I$6,$N$1))</f>
        <v xml:space="preserve"> </v>
      </c>
      <c r="J2083" s="28" t="str">
        <f>IF($C2083=""," ",[1]!i_pq_pctchange($C2083,J$6,$N$1))</f>
        <v xml:space="preserve"> </v>
      </c>
      <c r="K2083" s="28" t="str">
        <f>IF($C2083=""," ",[1]!i_pq_pctchange($C2083,K$6,$N$1))</f>
        <v xml:space="preserve"> </v>
      </c>
      <c r="L2083" s="28" t="str">
        <f>IF(C2083=""," ",[1]!s_wq_pctchange($C2083,$N$1))</f>
        <v xml:space="preserve"> </v>
      </c>
      <c r="M2083" s="28" t="str">
        <f>IF(C2083=""," ",[1]!s_mq_pctchange($C2083,$N$1))</f>
        <v xml:space="preserve"> </v>
      </c>
      <c r="N2083" s="28" t="str">
        <f>IF(C2083=""," ",[1]!s_yq_pctchange($C2083,$N$1))</f>
        <v xml:space="preserve"> </v>
      </c>
      <c r="O2083" s="11"/>
      <c r="P2083" s="7"/>
    </row>
    <row r="2084" spans="1:16" x14ac:dyDescent="0.35">
      <c r="A2084" s="7"/>
      <c r="C2084" s="31" t="str">
        <f>IF(指数列表!B2081="","",指数列表!B2081)</f>
        <v/>
      </c>
      <c r="D2084" s="36" t="str">
        <f>IF(C2084="","",[1]!s_info_name(C2084))</f>
        <v/>
      </c>
      <c r="E2084" s="25" t="str">
        <f>IF(C2084="","",[1]!s_dq_close(C2084,$N$1))</f>
        <v/>
      </c>
      <c r="F2084" s="28" t="str">
        <f>IF($C2084=""," ",[1]!i_pq_pctchange($C2084,F$6,$N$1))</f>
        <v xml:space="preserve"> </v>
      </c>
      <c r="G2084" s="28" t="str">
        <f>IF($C2084=""," ",[1]!i_pq_pctchange($C2084,G$6,$N$1))</f>
        <v xml:space="preserve"> </v>
      </c>
      <c r="H2084" s="28" t="str">
        <f>IF($C2084=""," ",[1]!i_pq_pctchange($C2084,H$6,$N$1))</f>
        <v xml:space="preserve"> </v>
      </c>
      <c r="I2084" s="28" t="str">
        <f>IF($C2084=""," ",[1]!i_pq_pctchange($C2084,I$6,$N$1))</f>
        <v xml:space="preserve"> </v>
      </c>
      <c r="J2084" s="28" t="str">
        <f>IF($C2084=""," ",[1]!i_pq_pctchange($C2084,J$6,$N$1))</f>
        <v xml:space="preserve"> </v>
      </c>
      <c r="K2084" s="28" t="str">
        <f>IF($C2084=""," ",[1]!i_pq_pctchange($C2084,K$6,$N$1))</f>
        <v xml:space="preserve"> </v>
      </c>
      <c r="L2084" s="28" t="str">
        <f>IF(C2084=""," ",[1]!s_wq_pctchange($C2084,$N$1))</f>
        <v xml:space="preserve"> </v>
      </c>
      <c r="M2084" s="28" t="str">
        <f>IF(C2084=""," ",[1]!s_mq_pctchange($C2084,$N$1))</f>
        <v xml:space="preserve"> </v>
      </c>
      <c r="N2084" s="28" t="str">
        <f>IF(C2084=""," ",[1]!s_yq_pctchange($C2084,$N$1))</f>
        <v xml:space="preserve"> </v>
      </c>
      <c r="O2084" s="11"/>
      <c r="P2084" s="7"/>
    </row>
    <row r="2085" spans="1:16" x14ac:dyDescent="0.35">
      <c r="A2085" s="7"/>
      <c r="C2085" s="30" t="str">
        <f>IF(指数列表!B2082="","",指数列表!B2082)</f>
        <v/>
      </c>
      <c r="D2085" s="35" t="str">
        <f>IF(C2085="","",[1]!s_info_name(C2085))</f>
        <v/>
      </c>
      <c r="E2085" s="24" t="str">
        <f>IF(C2085="","",[1]!s_dq_close(C2085,$N$1))</f>
        <v/>
      </c>
      <c r="F2085" s="28" t="str">
        <f>IF($C2085=""," ",[1]!i_pq_pctchange($C2085,F$6,$N$1))</f>
        <v xml:space="preserve"> </v>
      </c>
      <c r="G2085" s="28" t="str">
        <f>IF($C2085=""," ",[1]!i_pq_pctchange($C2085,G$6,$N$1))</f>
        <v xml:space="preserve"> </v>
      </c>
      <c r="H2085" s="28" t="str">
        <f>IF($C2085=""," ",[1]!i_pq_pctchange($C2085,H$6,$N$1))</f>
        <v xml:space="preserve"> </v>
      </c>
      <c r="I2085" s="28" t="str">
        <f>IF($C2085=""," ",[1]!i_pq_pctchange($C2085,I$6,$N$1))</f>
        <v xml:space="preserve"> </v>
      </c>
      <c r="J2085" s="28" t="str">
        <f>IF($C2085=""," ",[1]!i_pq_pctchange($C2085,J$6,$N$1))</f>
        <v xml:space="preserve"> </v>
      </c>
      <c r="K2085" s="28" t="str">
        <f>IF($C2085=""," ",[1]!i_pq_pctchange($C2085,K$6,$N$1))</f>
        <v xml:space="preserve"> </v>
      </c>
      <c r="L2085" s="28" t="str">
        <f>IF(C2085=""," ",[1]!s_wq_pctchange($C2085,$N$1))</f>
        <v xml:space="preserve"> </v>
      </c>
      <c r="M2085" s="28" t="str">
        <f>IF(C2085=""," ",[1]!s_mq_pctchange($C2085,$N$1))</f>
        <v xml:space="preserve"> </v>
      </c>
      <c r="N2085" s="28" t="str">
        <f>IF(C2085=""," ",[1]!s_yq_pctchange($C2085,$N$1))</f>
        <v xml:space="preserve"> </v>
      </c>
      <c r="O2085" s="11"/>
      <c r="P2085" s="7"/>
    </row>
    <row r="2086" spans="1:16" x14ac:dyDescent="0.35">
      <c r="A2086" s="7"/>
      <c r="C2086" s="31" t="str">
        <f>IF(指数列表!B2083="","",指数列表!B2083)</f>
        <v/>
      </c>
      <c r="D2086" s="36" t="str">
        <f>IF(C2086="","",[1]!s_info_name(C2086))</f>
        <v/>
      </c>
      <c r="E2086" s="25" t="str">
        <f>IF(C2086="","",[1]!s_dq_close(C2086,$N$1))</f>
        <v/>
      </c>
      <c r="F2086" s="28" t="str">
        <f>IF($C2086=""," ",[1]!i_pq_pctchange($C2086,F$6,$N$1))</f>
        <v xml:space="preserve"> </v>
      </c>
      <c r="G2086" s="28" t="str">
        <f>IF($C2086=""," ",[1]!i_pq_pctchange($C2086,G$6,$N$1))</f>
        <v xml:space="preserve"> </v>
      </c>
      <c r="H2086" s="28" t="str">
        <f>IF($C2086=""," ",[1]!i_pq_pctchange($C2086,H$6,$N$1))</f>
        <v xml:space="preserve"> </v>
      </c>
      <c r="I2086" s="28" t="str">
        <f>IF($C2086=""," ",[1]!i_pq_pctchange($C2086,I$6,$N$1))</f>
        <v xml:space="preserve"> </v>
      </c>
      <c r="J2086" s="28" t="str">
        <f>IF($C2086=""," ",[1]!i_pq_pctchange($C2086,J$6,$N$1))</f>
        <v xml:space="preserve"> </v>
      </c>
      <c r="K2086" s="28" t="str">
        <f>IF($C2086=""," ",[1]!i_pq_pctchange($C2086,K$6,$N$1))</f>
        <v xml:space="preserve"> </v>
      </c>
      <c r="L2086" s="28" t="str">
        <f>IF(C2086=""," ",[1]!s_wq_pctchange($C2086,$N$1))</f>
        <v xml:space="preserve"> </v>
      </c>
      <c r="M2086" s="28" t="str">
        <f>IF(C2086=""," ",[1]!s_mq_pctchange($C2086,$N$1))</f>
        <v xml:space="preserve"> </v>
      </c>
      <c r="N2086" s="28" t="str">
        <f>IF(C2086=""," ",[1]!s_yq_pctchange($C2086,$N$1))</f>
        <v xml:space="preserve"> </v>
      </c>
      <c r="O2086" s="11"/>
      <c r="P2086" s="7"/>
    </row>
    <row r="2087" spans="1:16" x14ac:dyDescent="0.35">
      <c r="A2087" s="7"/>
      <c r="C2087" s="30" t="str">
        <f>IF(指数列表!B2084="","",指数列表!B2084)</f>
        <v/>
      </c>
      <c r="D2087" s="35" t="str">
        <f>IF(C2087="","",[1]!s_info_name(C2087))</f>
        <v/>
      </c>
      <c r="E2087" s="24" t="str">
        <f>IF(C2087="","",[1]!s_dq_close(C2087,$N$1))</f>
        <v/>
      </c>
      <c r="F2087" s="28" t="str">
        <f>IF($C2087=""," ",[1]!i_pq_pctchange($C2087,F$6,$N$1))</f>
        <v xml:space="preserve"> </v>
      </c>
      <c r="G2087" s="28" t="str">
        <f>IF($C2087=""," ",[1]!i_pq_pctchange($C2087,G$6,$N$1))</f>
        <v xml:space="preserve"> </v>
      </c>
      <c r="H2087" s="28" t="str">
        <f>IF($C2087=""," ",[1]!i_pq_pctchange($C2087,H$6,$N$1))</f>
        <v xml:space="preserve"> </v>
      </c>
      <c r="I2087" s="28" t="str">
        <f>IF($C2087=""," ",[1]!i_pq_pctchange($C2087,I$6,$N$1))</f>
        <v xml:space="preserve"> </v>
      </c>
      <c r="J2087" s="28" t="str">
        <f>IF($C2087=""," ",[1]!i_pq_pctchange($C2087,J$6,$N$1))</f>
        <v xml:space="preserve"> </v>
      </c>
      <c r="K2087" s="28" t="str">
        <f>IF($C2087=""," ",[1]!i_pq_pctchange($C2087,K$6,$N$1))</f>
        <v xml:space="preserve"> </v>
      </c>
      <c r="L2087" s="28" t="str">
        <f>IF(C2087=""," ",[1]!s_wq_pctchange($C2087,$N$1))</f>
        <v xml:space="preserve"> </v>
      </c>
      <c r="M2087" s="28" t="str">
        <f>IF(C2087=""," ",[1]!s_mq_pctchange($C2087,$N$1))</f>
        <v xml:space="preserve"> </v>
      </c>
      <c r="N2087" s="28" t="str">
        <f>IF(C2087=""," ",[1]!s_yq_pctchange($C2087,$N$1))</f>
        <v xml:space="preserve"> </v>
      </c>
      <c r="O2087" s="11"/>
      <c r="P2087" s="7"/>
    </row>
    <row r="2088" spans="1:16" x14ac:dyDescent="0.35">
      <c r="A2088" s="7"/>
      <c r="C2088" s="31" t="str">
        <f>IF(指数列表!B2085="","",指数列表!B2085)</f>
        <v/>
      </c>
      <c r="D2088" s="36" t="str">
        <f>IF(C2088="","",[1]!s_info_name(C2088))</f>
        <v/>
      </c>
      <c r="E2088" s="25" t="str">
        <f>IF(C2088="","",[1]!s_dq_close(C2088,$N$1))</f>
        <v/>
      </c>
      <c r="F2088" s="28" t="str">
        <f>IF($C2088=""," ",[1]!i_pq_pctchange($C2088,F$6,$N$1))</f>
        <v xml:space="preserve"> </v>
      </c>
      <c r="G2088" s="28" t="str">
        <f>IF($C2088=""," ",[1]!i_pq_pctchange($C2088,G$6,$N$1))</f>
        <v xml:space="preserve"> </v>
      </c>
      <c r="H2088" s="28" t="str">
        <f>IF($C2088=""," ",[1]!i_pq_pctchange($C2088,H$6,$N$1))</f>
        <v xml:space="preserve"> </v>
      </c>
      <c r="I2088" s="28" t="str">
        <f>IF($C2088=""," ",[1]!i_pq_pctchange($C2088,I$6,$N$1))</f>
        <v xml:space="preserve"> </v>
      </c>
      <c r="J2088" s="28" t="str">
        <f>IF($C2088=""," ",[1]!i_pq_pctchange($C2088,J$6,$N$1))</f>
        <v xml:space="preserve"> </v>
      </c>
      <c r="K2088" s="28" t="str">
        <f>IF($C2088=""," ",[1]!i_pq_pctchange($C2088,K$6,$N$1))</f>
        <v xml:space="preserve"> </v>
      </c>
      <c r="L2088" s="28" t="str">
        <f>IF(C2088=""," ",[1]!s_wq_pctchange($C2088,$N$1))</f>
        <v xml:space="preserve"> </v>
      </c>
      <c r="M2088" s="28" t="str">
        <f>IF(C2088=""," ",[1]!s_mq_pctchange($C2088,$N$1))</f>
        <v xml:space="preserve"> </v>
      </c>
      <c r="N2088" s="28" t="str">
        <f>IF(C2088=""," ",[1]!s_yq_pctchange($C2088,$N$1))</f>
        <v xml:space="preserve"> </v>
      </c>
      <c r="O2088" s="11"/>
      <c r="P2088" s="7"/>
    </row>
    <row r="2089" spans="1:16" x14ac:dyDescent="0.35">
      <c r="A2089" s="7"/>
      <c r="C2089" s="30" t="str">
        <f>IF(指数列表!B2086="","",指数列表!B2086)</f>
        <v/>
      </c>
      <c r="D2089" s="35" t="str">
        <f>IF(C2089="","",[1]!s_info_name(C2089))</f>
        <v/>
      </c>
      <c r="E2089" s="24" t="str">
        <f>IF(C2089="","",[1]!s_dq_close(C2089,$N$1))</f>
        <v/>
      </c>
      <c r="F2089" s="28" t="str">
        <f>IF($C2089=""," ",[1]!i_pq_pctchange($C2089,F$6,$N$1))</f>
        <v xml:space="preserve"> </v>
      </c>
      <c r="G2089" s="28" t="str">
        <f>IF($C2089=""," ",[1]!i_pq_pctchange($C2089,G$6,$N$1))</f>
        <v xml:space="preserve"> </v>
      </c>
      <c r="H2089" s="28" t="str">
        <f>IF($C2089=""," ",[1]!i_pq_pctchange($C2089,H$6,$N$1))</f>
        <v xml:space="preserve"> </v>
      </c>
      <c r="I2089" s="28" t="str">
        <f>IF($C2089=""," ",[1]!i_pq_pctchange($C2089,I$6,$N$1))</f>
        <v xml:space="preserve"> </v>
      </c>
      <c r="J2089" s="28" t="str">
        <f>IF($C2089=""," ",[1]!i_pq_pctchange($C2089,J$6,$N$1))</f>
        <v xml:space="preserve"> </v>
      </c>
      <c r="K2089" s="28" t="str">
        <f>IF($C2089=""," ",[1]!i_pq_pctchange($C2089,K$6,$N$1))</f>
        <v xml:space="preserve"> </v>
      </c>
      <c r="L2089" s="28" t="str">
        <f>IF(C2089=""," ",[1]!s_wq_pctchange($C2089,$N$1))</f>
        <v xml:space="preserve"> </v>
      </c>
      <c r="M2089" s="28" t="str">
        <f>IF(C2089=""," ",[1]!s_mq_pctchange($C2089,$N$1))</f>
        <v xml:space="preserve"> </v>
      </c>
      <c r="N2089" s="28" t="str">
        <f>IF(C2089=""," ",[1]!s_yq_pctchange($C2089,$N$1))</f>
        <v xml:space="preserve"> </v>
      </c>
      <c r="O2089" s="11"/>
      <c r="P2089" s="7"/>
    </row>
    <row r="2090" spans="1:16" x14ac:dyDescent="0.35">
      <c r="A2090" s="7"/>
      <c r="C2090" s="31" t="str">
        <f>IF(指数列表!B2087="","",指数列表!B2087)</f>
        <v/>
      </c>
      <c r="D2090" s="36" t="str">
        <f>IF(C2090="","",[1]!s_info_name(C2090))</f>
        <v/>
      </c>
      <c r="E2090" s="25" t="str">
        <f>IF(C2090="","",[1]!s_dq_close(C2090,$N$1))</f>
        <v/>
      </c>
      <c r="F2090" s="28" t="str">
        <f>IF($C2090=""," ",[1]!i_pq_pctchange($C2090,F$6,$N$1))</f>
        <v xml:space="preserve"> </v>
      </c>
      <c r="G2090" s="28" t="str">
        <f>IF($C2090=""," ",[1]!i_pq_pctchange($C2090,G$6,$N$1))</f>
        <v xml:space="preserve"> </v>
      </c>
      <c r="H2090" s="28" t="str">
        <f>IF($C2090=""," ",[1]!i_pq_pctchange($C2090,H$6,$N$1))</f>
        <v xml:space="preserve"> </v>
      </c>
      <c r="I2090" s="28" t="str">
        <f>IF($C2090=""," ",[1]!i_pq_pctchange($C2090,I$6,$N$1))</f>
        <v xml:space="preserve"> </v>
      </c>
      <c r="J2090" s="28" t="str">
        <f>IF($C2090=""," ",[1]!i_pq_pctchange($C2090,J$6,$N$1))</f>
        <v xml:space="preserve"> </v>
      </c>
      <c r="K2090" s="28" t="str">
        <f>IF($C2090=""," ",[1]!i_pq_pctchange($C2090,K$6,$N$1))</f>
        <v xml:space="preserve"> </v>
      </c>
      <c r="L2090" s="28" t="str">
        <f>IF(C2090=""," ",[1]!s_wq_pctchange($C2090,$N$1))</f>
        <v xml:space="preserve"> </v>
      </c>
      <c r="M2090" s="28" t="str">
        <f>IF(C2090=""," ",[1]!s_mq_pctchange($C2090,$N$1))</f>
        <v xml:space="preserve"> </v>
      </c>
      <c r="N2090" s="28" t="str">
        <f>IF(C2090=""," ",[1]!s_yq_pctchange($C2090,$N$1))</f>
        <v xml:space="preserve"> </v>
      </c>
      <c r="O2090" s="11"/>
      <c r="P2090" s="7"/>
    </row>
    <row r="2091" spans="1:16" x14ac:dyDescent="0.35">
      <c r="A2091" s="7"/>
      <c r="C2091" s="30" t="str">
        <f>IF(指数列表!B2088="","",指数列表!B2088)</f>
        <v/>
      </c>
      <c r="D2091" s="35" t="str">
        <f>IF(C2091="","",[1]!s_info_name(C2091))</f>
        <v/>
      </c>
      <c r="E2091" s="24" t="str">
        <f>IF(C2091="","",[1]!s_dq_close(C2091,$N$1))</f>
        <v/>
      </c>
      <c r="F2091" s="28" t="str">
        <f>IF($C2091=""," ",[1]!i_pq_pctchange($C2091,F$6,$N$1))</f>
        <v xml:space="preserve"> </v>
      </c>
      <c r="G2091" s="28" t="str">
        <f>IF($C2091=""," ",[1]!i_pq_pctchange($C2091,G$6,$N$1))</f>
        <v xml:space="preserve"> </v>
      </c>
      <c r="H2091" s="28" t="str">
        <f>IF($C2091=""," ",[1]!i_pq_pctchange($C2091,H$6,$N$1))</f>
        <v xml:space="preserve"> </v>
      </c>
      <c r="I2091" s="28" t="str">
        <f>IF($C2091=""," ",[1]!i_pq_pctchange($C2091,I$6,$N$1))</f>
        <v xml:space="preserve"> </v>
      </c>
      <c r="J2091" s="28" t="str">
        <f>IF($C2091=""," ",[1]!i_pq_pctchange($C2091,J$6,$N$1))</f>
        <v xml:space="preserve"> </v>
      </c>
      <c r="K2091" s="28" t="str">
        <f>IF($C2091=""," ",[1]!i_pq_pctchange($C2091,K$6,$N$1))</f>
        <v xml:space="preserve"> </v>
      </c>
      <c r="L2091" s="28" t="str">
        <f>IF(C2091=""," ",[1]!s_wq_pctchange($C2091,$N$1))</f>
        <v xml:space="preserve"> </v>
      </c>
      <c r="M2091" s="28" t="str">
        <f>IF(C2091=""," ",[1]!s_mq_pctchange($C2091,$N$1))</f>
        <v xml:space="preserve"> </v>
      </c>
      <c r="N2091" s="28" t="str">
        <f>IF(C2091=""," ",[1]!s_yq_pctchange($C2091,$N$1))</f>
        <v xml:space="preserve"> </v>
      </c>
      <c r="O2091" s="11"/>
      <c r="P2091" s="7"/>
    </row>
    <row r="2092" spans="1:16" x14ac:dyDescent="0.35">
      <c r="A2092" s="7"/>
      <c r="C2092" s="31" t="str">
        <f>IF(指数列表!B2089="","",指数列表!B2089)</f>
        <v/>
      </c>
      <c r="D2092" s="36" t="str">
        <f>IF(C2092="","",[1]!s_info_name(C2092))</f>
        <v/>
      </c>
      <c r="E2092" s="25" t="str">
        <f>IF(C2092="","",[1]!s_dq_close(C2092,$N$1))</f>
        <v/>
      </c>
      <c r="F2092" s="28" t="str">
        <f>IF($C2092=""," ",[1]!i_pq_pctchange($C2092,F$6,$N$1))</f>
        <v xml:space="preserve"> </v>
      </c>
      <c r="G2092" s="28" t="str">
        <f>IF($C2092=""," ",[1]!i_pq_pctchange($C2092,G$6,$N$1))</f>
        <v xml:space="preserve"> </v>
      </c>
      <c r="H2092" s="28" t="str">
        <f>IF($C2092=""," ",[1]!i_pq_pctchange($C2092,H$6,$N$1))</f>
        <v xml:space="preserve"> </v>
      </c>
      <c r="I2092" s="28" t="str">
        <f>IF($C2092=""," ",[1]!i_pq_pctchange($C2092,I$6,$N$1))</f>
        <v xml:space="preserve"> </v>
      </c>
      <c r="J2092" s="28" t="str">
        <f>IF($C2092=""," ",[1]!i_pq_pctchange($C2092,J$6,$N$1))</f>
        <v xml:space="preserve"> </v>
      </c>
      <c r="K2092" s="28" t="str">
        <f>IF($C2092=""," ",[1]!i_pq_pctchange($C2092,K$6,$N$1))</f>
        <v xml:space="preserve"> </v>
      </c>
      <c r="L2092" s="28" t="str">
        <f>IF(C2092=""," ",[1]!s_wq_pctchange($C2092,$N$1))</f>
        <v xml:space="preserve"> </v>
      </c>
      <c r="M2092" s="28" t="str">
        <f>IF(C2092=""," ",[1]!s_mq_pctchange($C2092,$N$1))</f>
        <v xml:space="preserve"> </v>
      </c>
      <c r="N2092" s="28" t="str">
        <f>IF(C2092=""," ",[1]!s_yq_pctchange($C2092,$N$1))</f>
        <v xml:space="preserve"> </v>
      </c>
      <c r="O2092" s="11"/>
      <c r="P2092" s="7"/>
    </row>
    <row r="2093" spans="1:16" x14ac:dyDescent="0.35">
      <c r="A2093" s="7"/>
      <c r="C2093" s="30" t="str">
        <f>IF(指数列表!B2090="","",指数列表!B2090)</f>
        <v/>
      </c>
      <c r="D2093" s="35" t="str">
        <f>IF(C2093="","",[1]!s_info_name(C2093))</f>
        <v/>
      </c>
      <c r="E2093" s="24" t="str">
        <f>IF(C2093="","",[1]!s_dq_close(C2093,$N$1))</f>
        <v/>
      </c>
      <c r="F2093" s="28" t="str">
        <f>IF($C2093=""," ",[1]!i_pq_pctchange($C2093,F$6,$N$1))</f>
        <v xml:space="preserve"> </v>
      </c>
      <c r="G2093" s="28" t="str">
        <f>IF($C2093=""," ",[1]!i_pq_pctchange($C2093,G$6,$N$1))</f>
        <v xml:space="preserve"> </v>
      </c>
      <c r="H2093" s="28" t="str">
        <f>IF($C2093=""," ",[1]!i_pq_pctchange($C2093,H$6,$N$1))</f>
        <v xml:space="preserve"> </v>
      </c>
      <c r="I2093" s="28" t="str">
        <f>IF($C2093=""," ",[1]!i_pq_pctchange($C2093,I$6,$N$1))</f>
        <v xml:space="preserve"> </v>
      </c>
      <c r="J2093" s="28" t="str">
        <f>IF($C2093=""," ",[1]!i_pq_pctchange($C2093,J$6,$N$1))</f>
        <v xml:space="preserve"> </v>
      </c>
      <c r="K2093" s="28" t="str">
        <f>IF($C2093=""," ",[1]!i_pq_pctchange($C2093,K$6,$N$1))</f>
        <v xml:space="preserve"> </v>
      </c>
      <c r="L2093" s="28" t="str">
        <f>IF(C2093=""," ",[1]!s_wq_pctchange($C2093,$N$1))</f>
        <v xml:space="preserve"> </v>
      </c>
      <c r="M2093" s="28" t="str">
        <f>IF(C2093=""," ",[1]!s_mq_pctchange($C2093,$N$1))</f>
        <v xml:space="preserve"> </v>
      </c>
      <c r="N2093" s="28" t="str">
        <f>IF(C2093=""," ",[1]!s_yq_pctchange($C2093,$N$1))</f>
        <v xml:space="preserve"> </v>
      </c>
      <c r="O2093" s="11"/>
      <c r="P2093" s="7"/>
    </row>
    <row r="2094" spans="1:16" x14ac:dyDescent="0.35">
      <c r="A2094" s="7"/>
      <c r="C2094" s="31" t="str">
        <f>IF(指数列表!B2091="","",指数列表!B2091)</f>
        <v/>
      </c>
      <c r="D2094" s="36" t="str">
        <f>IF(C2094="","",[1]!s_info_name(C2094))</f>
        <v/>
      </c>
      <c r="E2094" s="25" t="str">
        <f>IF(C2094="","",[1]!s_dq_close(C2094,$N$1))</f>
        <v/>
      </c>
      <c r="F2094" s="28" t="str">
        <f>IF($C2094=""," ",[1]!i_pq_pctchange($C2094,F$6,$N$1))</f>
        <v xml:space="preserve"> </v>
      </c>
      <c r="G2094" s="28" t="str">
        <f>IF($C2094=""," ",[1]!i_pq_pctchange($C2094,G$6,$N$1))</f>
        <v xml:space="preserve"> </v>
      </c>
      <c r="H2094" s="28" t="str">
        <f>IF($C2094=""," ",[1]!i_pq_pctchange($C2094,H$6,$N$1))</f>
        <v xml:space="preserve"> </v>
      </c>
      <c r="I2094" s="28" t="str">
        <f>IF($C2094=""," ",[1]!i_pq_pctchange($C2094,I$6,$N$1))</f>
        <v xml:space="preserve"> </v>
      </c>
      <c r="J2094" s="28" t="str">
        <f>IF($C2094=""," ",[1]!i_pq_pctchange($C2094,J$6,$N$1))</f>
        <v xml:space="preserve"> </v>
      </c>
      <c r="K2094" s="28" t="str">
        <f>IF($C2094=""," ",[1]!i_pq_pctchange($C2094,K$6,$N$1))</f>
        <v xml:space="preserve"> </v>
      </c>
      <c r="L2094" s="28" t="str">
        <f>IF(C2094=""," ",[1]!s_wq_pctchange($C2094,$N$1))</f>
        <v xml:space="preserve"> </v>
      </c>
      <c r="M2094" s="28" t="str">
        <f>IF(C2094=""," ",[1]!s_mq_pctchange($C2094,$N$1))</f>
        <v xml:space="preserve"> </v>
      </c>
      <c r="N2094" s="28" t="str">
        <f>IF(C2094=""," ",[1]!s_yq_pctchange($C2094,$N$1))</f>
        <v xml:space="preserve"> </v>
      </c>
      <c r="O2094" s="11"/>
      <c r="P2094" s="7"/>
    </row>
    <row r="2095" spans="1:16" x14ac:dyDescent="0.35">
      <c r="A2095" s="7"/>
      <c r="C2095" s="30" t="str">
        <f>IF(指数列表!B2092="","",指数列表!B2092)</f>
        <v/>
      </c>
      <c r="D2095" s="35" t="str">
        <f>IF(C2095="","",[1]!s_info_name(C2095))</f>
        <v/>
      </c>
      <c r="E2095" s="24" t="str">
        <f>IF(C2095="","",[1]!s_dq_close(C2095,$N$1))</f>
        <v/>
      </c>
      <c r="F2095" s="28" t="str">
        <f>IF($C2095=""," ",[1]!i_pq_pctchange($C2095,F$6,$N$1))</f>
        <v xml:space="preserve"> </v>
      </c>
      <c r="G2095" s="28" t="str">
        <f>IF($C2095=""," ",[1]!i_pq_pctchange($C2095,G$6,$N$1))</f>
        <v xml:space="preserve"> </v>
      </c>
      <c r="H2095" s="28" t="str">
        <f>IF($C2095=""," ",[1]!i_pq_pctchange($C2095,H$6,$N$1))</f>
        <v xml:space="preserve"> </v>
      </c>
      <c r="I2095" s="28" t="str">
        <f>IF($C2095=""," ",[1]!i_pq_pctchange($C2095,I$6,$N$1))</f>
        <v xml:space="preserve"> </v>
      </c>
      <c r="J2095" s="28" t="str">
        <f>IF($C2095=""," ",[1]!i_pq_pctchange($C2095,J$6,$N$1))</f>
        <v xml:space="preserve"> </v>
      </c>
      <c r="K2095" s="28" t="str">
        <f>IF($C2095=""," ",[1]!i_pq_pctchange($C2095,K$6,$N$1))</f>
        <v xml:space="preserve"> </v>
      </c>
      <c r="L2095" s="28" t="str">
        <f>IF(C2095=""," ",[1]!s_wq_pctchange($C2095,$N$1))</f>
        <v xml:space="preserve"> </v>
      </c>
      <c r="M2095" s="28" t="str">
        <f>IF(C2095=""," ",[1]!s_mq_pctchange($C2095,$N$1))</f>
        <v xml:space="preserve"> </v>
      </c>
      <c r="N2095" s="28" t="str">
        <f>IF(C2095=""," ",[1]!s_yq_pctchange($C2095,$N$1))</f>
        <v xml:space="preserve"> </v>
      </c>
      <c r="O2095" s="11"/>
      <c r="P2095" s="7"/>
    </row>
    <row r="2096" spans="1:16" x14ac:dyDescent="0.35">
      <c r="A2096" s="7"/>
      <c r="C2096" s="31" t="str">
        <f>IF(指数列表!B2093="","",指数列表!B2093)</f>
        <v/>
      </c>
      <c r="D2096" s="36" t="str">
        <f>IF(C2096="","",[1]!s_info_name(C2096))</f>
        <v/>
      </c>
      <c r="E2096" s="25" t="str">
        <f>IF(C2096="","",[1]!s_dq_close(C2096,$N$1))</f>
        <v/>
      </c>
      <c r="F2096" s="28" t="str">
        <f>IF($C2096=""," ",[1]!i_pq_pctchange($C2096,F$6,$N$1))</f>
        <v xml:space="preserve"> </v>
      </c>
      <c r="G2096" s="28" t="str">
        <f>IF($C2096=""," ",[1]!i_pq_pctchange($C2096,G$6,$N$1))</f>
        <v xml:space="preserve"> </v>
      </c>
      <c r="H2096" s="28" t="str">
        <f>IF($C2096=""," ",[1]!i_pq_pctchange($C2096,H$6,$N$1))</f>
        <v xml:space="preserve"> </v>
      </c>
      <c r="I2096" s="28" t="str">
        <f>IF($C2096=""," ",[1]!i_pq_pctchange($C2096,I$6,$N$1))</f>
        <v xml:space="preserve"> </v>
      </c>
      <c r="J2096" s="28" t="str">
        <f>IF($C2096=""," ",[1]!i_pq_pctchange($C2096,J$6,$N$1))</f>
        <v xml:space="preserve"> </v>
      </c>
      <c r="K2096" s="28" t="str">
        <f>IF($C2096=""," ",[1]!i_pq_pctchange($C2096,K$6,$N$1))</f>
        <v xml:space="preserve"> </v>
      </c>
      <c r="L2096" s="28" t="str">
        <f>IF(C2096=""," ",[1]!s_wq_pctchange($C2096,$N$1))</f>
        <v xml:space="preserve"> </v>
      </c>
      <c r="M2096" s="28" t="str">
        <f>IF(C2096=""," ",[1]!s_mq_pctchange($C2096,$N$1))</f>
        <v xml:space="preserve"> </v>
      </c>
      <c r="N2096" s="28" t="str">
        <f>IF(C2096=""," ",[1]!s_yq_pctchange($C2096,$N$1))</f>
        <v xml:space="preserve"> </v>
      </c>
      <c r="O2096" s="11"/>
      <c r="P2096" s="7"/>
    </row>
    <row r="2097" spans="1:16" x14ac:dyDescent="0.35">
      <c r="A2097" s="7"/>
      <c r="C2097" s="30" t="str">
        <f>IF(指数列表!B2094="","",指数列表!B2094)</f>
        <v/>
      </c>
      <c r="D2097" s="35" t="str">
        <f>IF(C2097="","",[1]!s_info_name(C2097))</f>
        <v/>
      </c>
      <c r="E2097" s="24" t="str">
        <f>IF(C2097="","",[1]!s_dq_close(C2097,$N$1))</f>
        <v/>
      </c>
      <c r="F2097" s="28" t="str">
        <f>IF($C2097=""," ",[1]!i_pq_pctchange($C2097,F$6,$N$1))</f>
        <v xml:space="preserve"> </v>
      </c>
      <c r="G2097" s="28" t="str">
        <f>IF($C2097=""," ",[1]!i_pq_pctchange($C2097,G$6,$N$1))</f>
        <v xml:space="preserve"> </v>
      </c>
      <c r="H2097" s="28" t="str">
        <f>IF($C2097=""," ",[1]!i_pq_pctchange($C2097,H$6,$N$1))</f>
        <v xml:space="preserve"> </v>
      </c>
      <c r="I2097" s="28" t="str">
        <f>IF($C2097=""," ",[1]!i_pq_pctchange($C2097,I$6,$N$1))</f>
        <v xml:space="preserve"> </v>
      </c>
      <c r="J2097" s="28" t="str">
        <f>IF($C2097=""," ",[1]!i_pq_pctchange($C2097,J$6,$N$1))</f>
        <v xml:space="preserve"> </v>
      </c>
      <c r="K2097" s="28" t="str">
        <f>IF($C2097=""," ",[1]!i_pq_pctchange($C2097,K$6,$N$1))</f>
        <v xml:space="preserve"> </v>
      </c>
      <c r="L2097" s="28" t="str">
        <f>IF(C2097=""," ",[1]!s_wq_pctchange($C2097,$N$1))</f>
        <v xml:space="preserve"> </v>
      </c>
      <c r="M2097" s="28" t="str">
        <f>IF(C2097=""," ",[1]!s_mq_pctchange($C2097,$N$1))</f>
        <v xml:space="preserve"> </v>
      </c>
      <c r="N2097" s="28" t="str">
        <f>IF(C2097=""," ",[1]!s_yq_pctchange($C2097,$N$1))</f>
        <v xml:space="preserve"> </v>
      </c>
      <c r="O2097" s="11"/>
      <c r="P2097" s="7"/>
    </row>
    <row r="2098" spans="1:16" x14ac:dyDescent="0.35">
      <c r="A2098" s="7"/>
      <c r="C2098" s="31" t="str">
        <f>IF(指数列表!B2095="","",指数列表!B2095)</f>
        <v/>
      </c>
      <c r="D2098" s="36" t="str">
        <f>IF(C2098="","",[1]!s_info_name(C2098))</f>
        <v/>
      </c>
      <c r="E2098" s="25" t="str">
        <f>IF(C2098="","",[1]!s_dq_close(C2098,$N$1))</f>
        <v/>
      </c>
      <c r="F2098" s="28" t="str">
        <f>IF($C2098=""," ",[1]!i_pq_pctchange($C2098,F$6,$N$1))</f>
        <v xml:space="preserve"> </v>
      </c>
      <c r="G2098" s="28" t="str">
        <f>IF($C2098=""," ",[1]!i_pq_pctchange($C2098,G$6,$N$1))</f>
        <v xml:space="preserve"> </v>
      </c>
      <c r="H2098" s="28" t="str">
        <f>IF($C2098=""," ",[1]!i_pq_pctchange($C2098,H$6,$N$1))</f>
        <v xml:space="preserve"> </v>
      </c>
      <c r="I2098" s="28" t="str">
        <f>IF($C2098=""," ",[1]!i_pq_pctchange($C2098,I$6,$N$1))</f>
        <v xml:space="preserve"> </v>
      </c>
      <c r="J2098" s="28" t="str">
        <f>IF($C2098=""," ",[1]!i_pq_pctchange($C2098,J$6,$N$1))</f>
        <v xml:space="preserve"> </v>
      </c>
      <c r="K2098" s="28" t="str">
        <f>IF($C2098=""," ",[1]!i_pq_pctchange($C2098,K$6,$N$1))</f>
        <v xml:space="preserve"> </v>
      </c>
      <c r="L2098" s="28" t="str">
        <f>IF(C2098=""," ",[1]!s_wq_pctchange($C2098,$N$1))</f>
        <v xml:space="preserve"> </v>
      </c>
      <c r="M2098" s="28" t="str">
        <f>IF(C2098=""," ",[1]!s_mq_pctchange($C2098,$N$1))</f>
        <v xml:space="preserve"> </v>
      </c>
      <c r="N2098" s="28" t="str">
        <f>IF(C2098=""," ",[1]!s_yq_pctchange($C2098,$N$1))</f>
        <v xml:space="preserve"> </v>
      </c>
      <c r="O2098" s="11"/>
      <c r="P2098" s="7"/>
    </row>
    <row r="2099" spans="1:16" x14ac:dyDescent="0.35">
      <c r="A2099" s="7"/>
      <c r="C2099" s="30" t="str">
        <f>IF(指数列表!B2096="","",指数列表!B2096)</f>
        <v/>
      </c>
      <c r="D2099" s="35" t="str">
        <f>IF(C2099="","",[1]!s_info_name(C2099))</f>
        <v/>
      </c>
      <c r="E2099" s="24" t="str">
        <f>IF(C2099="","",[1]!s_dq_close(C2099,$N$1))</f>
        <v/>
      </c>
      <c r="F2099" s="28" t="str">
        <f>IF($C2099=""," ",[1]!i_pq_pctchange($C2099,F$6,$N$1))</f>
        <v xml:space="preserve"> </v>
      </c>
      <c r="G2099" s="28" t="str">
        <f>IF($C2099=""," ",[1]!i_pq_pctchange($C2099,G$6,$N$1))</f>
        <v xml:space="preserve"> </v>
      </c>
      <c r="H2099" s="28" t="str">
        <f>IF($C2099=""," ",[1]!i_pq_pctchange($C2099,H$6,$N$1))</f>
        <v xml:space="preserve"> </v>
      </c>
      <c r="I2099" s="28" t="str">
        <f>IF($C2099=""," ",[1]!i_pq_pctchange($C2099,I$6,$N$1))</f>
        <v xml:space="preserve"> </v>
      </c>
      <c r="J2099" s="28" t="str">
        <f>IF($C2099=""," ",[1]!i_pq_pctchange($C2099,J$6,$N$1))</f>
        <v xml:space="preserve"> </v>
      </c>
      <c r="K2099" s="28" t="str">
        <f>IF($C2099=""," ",[1]!i_pq_pctchange($C2099,K$6,$N$1))</f>
        <v xml:space="preserve"> </v>
      </c>
      <c r="L2099" s="28" t="str">
        <f>IF(C2099=""," ",[1]!s_wq_pctchange($C2099,$N$1))</f>
        <v xml:space="preserve"> </v>
      </c>
      <c r="M2099" s="28" t="str">
        <f>IF(C2099=""," ",[1]!s_mq_pctchange($C2099,$N$1))</f>
        <v xml:space="preserve"> </v>
      </c>
      <c r="N2099" s="28" t="str">
        <f>IF(C2099=""," ",[1]!s_yq_pctchange($C2099,$N$1))</f>
        <v xml:space="preserve"> </v>
      </c>
      <c r="O2099" s="11"/>
      <c r="P2099" s="7"/>
    </row>
    <row r="2100" spans="1:16" x14ac:dyDescent="0.35">
      <c r="A2100" s="7"/>
      <c r="C2100" s="31" t="str">
        <f>IF(指数列表!B2097="","",指数列表!B2097)</f>
        <v/>
      </c>
      <c r="D2100" s="36" t="str">
        <f>IF(C2100="","",[1]!s_info_name(C2100))</f>
        <v/>
      </c>
      <c r="E2100" s="25" t="str">
        <f>IF(C2100="","",[1]!s_dq_close(C2100,$N$1))</f>
        <v/>
      </c>
      <c r="F2100" s="28" t="str">
        <f>IF($C2100=""," ",[1]!i_pq_pctchange($C2100,F$6,$N$1))</f>
        <v xml:space="preserve"> </v>
      </c>
      <c r="G2100" s="28" t="str">
        <f>IF($C2100=""," ",[1]!i_pq_pctchange($C2100,G$6,$N$1))</f>
        <v xml:space="preserve"> </v>
      </c>
      <c r="H2100" s="28" t="str">
        <f>IF($C2100=""," ",[1]!i_pq_pctchange($C2100,H$6,$N$1))</f>
        <v xml:space="preserve"> </v>
      </c>
      <c r="I2100" s="28" t="str">
        <f>IF($C2100=""," ",[1]!i_pq_pctchange($C2100,I$6,$N$1))</f>
        <v xml:space="preserve"> </v>
      </c>
      <c r="J2100" s="28" t="str">
        <f>IF($C2100=""," ",[1]!i_pq_pctchange($C2100,J$6,$N$1))</f>
        <v xml:space="preserve"> </v>
      </c>
      <c r="K2100" s="28" t="str">
        <f>IF($C2100=""," ",[1]!i_pq_pctchange($C2100,K$6,$N$1))</f>
        <v xml:space="preserve"> </v>
      </c>
      <c r="L2100" s="28" t="str">
        <f>IF(C2100=""," ",[1]!s_wq_pctchange($C2100,$N$1))</f>
        <v xml:space="preserve"> </v>
      </c>
      <c r="M2100" s="28" t="str">
        <f>IF(C2100=""," ",[1]!s_mq_pctchange($C2100,$N$1))</f>
        <v xml:space="preserve"> </v>
      </c>
      <c r="N2100" s="28" t="str">
        <f>IF(C2100=""," ",[1]!s_yq_pctchange($C2100,$N$1))</f>
        <v xml:space="preserve"> </v>
      </c>
      <c r="O2100" s="11"/>
      <c r="P2100" s="7"/>
    </row>
    <row r="2101" spans="1:16" x14ac:dyDescent="0.35">
      <c r="A2101" s="7"/>
      <c r="C2101" s="30" t="str">
        <f>IF(指数列表!B2098="","",指数列表!B2098)</f>
        <v/>
      </c>
      <c r="D2101" s="35" t="str">
        <f>IF(C2101="","",[1]!s_info_name(C2101))</f>
        <v/>
      </c>
      <c r="E2101" s="24" t="str">
        <f>IF(C2101="","",[1]!s_dq_close(C2101,$N$1))</f>
        <v/>
      </c>
      <c r="F2101" s="28" t="str">
        <f>IF($C2101=""," ",[1]!i_pq_pctchange($C2101,F$6,$N$1))</f>
        <v xml:space="preserve"> </v>
      </c>
      <c r="G2101" s="28" t="str">
        <f>IF($C2101=""," ",[1]!i_pq_pctchange($C2101,G$6,$N$1))</f>
        <v xml:space="preserve"> </v>
      </c>
      <c r="H2101" s="28" t="str">
        <f>IF($C2101=""," ",[1]!i_pq_pctchange($C2101,H$6,$N$1))</f>
        <v xml:space="preserve"> </v>
      </c>
      <c r="I2101" s="28" t="str">
        <f>IF($C2101=""," ",[1]!i_pq_pctchange($C2101,I$6,$N$1))</f>
        <v xml:space="preserve"> </v>
      </c>
      <c r="J2101" s="28" t="str">
        <f>IF($C2101=""," ",[1]!i_pq_pctchange($C2101,J$6,$N$1))</f>
        <v xml:space="preserve"> </v>
      </c>
      <c r="K2101" s="28" t="str">
        <f>IF($C2101=""," ",[1]!i_pq_pctchange($C2101,K$6,$N$1))</f>
        <v xml:space="preserve"> </v>
      </c>
      <c r="L2101" s="28" t="str">
        <f>IF(C2101=""," ",[1]!s_wq_pctchange($C2101,$N$1))</f>
        <v xml:space="preserve"> </v>
      </c>
      <c r="M2101" s="28" t="str">
        <f>IF(C2101=""," ",[1]!s_mq_pctchange($C2101,$N$1))</f>
        <v xml:space="preserve"> </v>
      </c>
      <c r="N2101" s="28" t="str">
        <f>IF(C2101=""," ",[1]!s_yq_pctchange($C2101,$N$1))</f>
        <v xml:space="preserve"> </v>
      </c>
      <c r="O2101" s="11"/>
      <c r="P2101" s="7"/>
    </row>
    <row r="2102" spans="1:16" x14ac:dyDescent="0.35">
      <c r="A2102" s="7"/>
      <c r="C2102" s="31" t="str">
        <f>IF(指数列表!B2099="","",指数列表!B2099)</f>
        <v/>
      </c>
      <c r="D2102" s="36" t="str">
        <f>IF(C2102="","",[1]!s_info_name(C2102))</f>
        <v/>
      </c>
      <c r="E2102" s="25" t="str">
        <f>IF(C2102="","",[1]!s_dq_close(C2102,$N$1))</f>
        <v/>
      </c>
      <c r="F2102" s="28" t="str">
        <f>IF($C2102=""," ",[1]!i_pq_pctchange($C2102,F$6,$N$1))</f>
        <v xml:space="preserve"> </v>
      </c>
      <c r="G2102" s="28" t="str">
        <f>IF($C2102=""," ",[1]!i_pq_pctchange($C2102,G$6,$N$1))</f>
        <v xml:space="preserve"> </v>
      </c>
      <c r="H2102" s="28" t="str">
        <f>IF($C2102=""," ",[1]!i_pq_pctchange($C2102,H$6,$N$1))</f>
        <v xml:space="preserve"> </v>
      </c>
      <c r="I2102" s="28" t="str">
        <f>IF($C2102=""," ",[1]!i_pq_pctchange($C2102,I$6,$N$1))</f>
        <v xml:space="preserve"> </v>
      </c>
      <c r="J2102" s="28" t="str">
        <f>IF($C2102=""," ",[1]!i_pq_pctchange($C2102,J$6,$N$1))</f>
        <v xml:space="preserve"> </v>
      </c>
      <c r="K2102" s="28" t="str">
        <f>IF($C2102=""," ",[1]!i_pq_pctchange($C2102,K$6,$N$1))</f>
        <v xml:space="preserve"> </v>
      </c>
      <c r="L2102" s="28" t="str">
        <f>IF(C2102=""," ",[1]!s_wq_pctchange($C2102,$N$1))</f>
        <v xml:space="preserve"> </v>
      </c>
      <c r="M2102" s="28" t="str">
        <f>IF(C2102=""," ",[1]!s_mq_pctchange($C2102,$N$1))</f>
        <v xml:space="preserve"> </v>
      </c>
      <c r="N2102" s="28" t="str">
        <f>IF(C2102=""," ",[1]!s_yq_pctchange($C2102,$N$1))</f>
        <v xml:space="preserve"> </v>
      </c>
      <c r="O2102" s="11"/>
      <c r="P2102" s="7"/>
    </row>
    <row r="2103" spans="1:16" x14ac:dyDescent="0.35">
      <c r="A2103" s="7"/>
      <c r="C2103" s="30" t="str">
        <f>IF(指数列表!B2100="","",指数列表!B2100)</f>
        <v/>
      </c>
      <c r="D2103" s="35" t="str">
        <f>IF(C2103="","",[1]!s_info_name(C2103))</f>
        <v/>
      </c>
      <c r="E2103" s="24" t="str">
        <f>IF(C2103="","",[1]!s_dq_close(C2103,$N$1))</f>
        <v/>
      </c>
      <c r="F2103" s="28" t="str">
        <f>IF($C2103=""," ",[1]!i_pq_pctchange($C2103,F$6,$N$1))</f>
        <v xml:space="preserve"> </v>
      </c>
      <c r="G2103" s="28" t="str">
        <f>IF($C2103=""," ",[1]!i_pq_pctchange($C2103,G$6,$N$1))</f>
        <v xml:space="preserve"> </v>
      </c>
      <c r="H2103" s="28" t="str">
        <f>IF($C2103=""," ",[1]!i_pq_pctchange($C2103,H$6,$N$1))</f>
        <v xml:space="preserve"> </v>
      </c>
      <c r="I2103" s="28" t="str">
        <f>IF($C2103=""," ",[1]!i_pq_pctchange($C2103,I$6,$N$1))</f>
        <v xml:space="preserve"> </v>
      </c>
      <c r="J2103" s="28" t="str">
        <f>IF($C2103=""," ",[1]!i_pq_pctchange($C2103,J$6,$N$1))</f>
        <v xml:space="preserve"> </v>
      </c>
      <c r="K2103" s="28" t="str">
        <f>IF($C2103=""," ",[1]!i_pq_pctchange($C2103,K$6,$N$1))</f>
        <v xml:space="preserve"> </v>
      </c>
      <c r="L2103" s="28" t="str">
        <f>IF(C2103=""," ",[1]!s_wq_pctchange($C2103,$N$1))</f>
        <v xml:space="preserve"> </v>
      </c>
      <c r="M2103" s="28" t="str">
        <f>IF(C2103=""," ",[1]!s_mq_pctchange($C2103,$N$1))</f>
        <v xml:space="preserve"> </v>
      </c>
      <c r="N2103" s="28" t="str">
        <f>IF(C2103=""," ",[1]!s_yq_pctchange($C2103,$N$1))</f>
        <v xml:space="preserve"> </v>
      </c>
      <c r="O2103" s="11"/>
      <c r="P2103" s="7"/>
    </row>
    <row r="2104" spans="1:16" x14ac:dyDescent="0.35">
      <c r="A2104" s="7"/>
      <c r="C2104" s="31" t="str">
        <f>IF(指数列表!B2101="","",指数列表!B2101)</f>
        <v/>
      </c>
      <c r="D2104" s="36" t="str">
        <f>IF(C2104="","",[1]!s_info_name(C2104))</f>
        <v/>
      </c>
      <c r="E2104" s="25" t="str">
        <f>IF(C2104="","",[1]!s_dq_close(C2104,$N$1))</f>
        <v/>
      </c>
      <c r="F2104" s="28" t="str">
        <f>IF($C2104=""," ",[1]!i_pq_pctchange($C2104,F$6,$N$1))</f>
        <v xml:space="preserve"> </v>
      </c>
      <c r="G2104" s="28" t="str">
        <f>IF($C2104=""," ",[1]!i_pq_pctchange($C2104,G$6,$N$1))</f>
        <v xml:space="preserve"> </v>
      </c>
      <c r="H2104" s="28" t="str">
        <f>IF($C2104=""," ",[1]!i_pq_pctchange($C2104,H$6,$N$1))</f>
        <v xml:space="preserve"> </v>
      </c>
      <c r="I2104" s="28" t="str">
        <f>IF($C2104=""," ",[1]!i_pq_pctchange($C2104,I$6,$N$1))</f>
        <v xml:space="preserve"> </v>
      </c>
      <c r="J2104" s="28" t="str">
        <f>IF($C2104=""," ",[1]!i_pq_pctchange($C2104,J$6,$N$1))</f>
        <v xml:space="preserve"> </v>
      </c>
      <c r="K2104" s="28" t="str">
        <f>IF($C2104=""," ",[1]!i_pq_pctchange($C2104,K$6,$N$1))</f>
        <v xml:space="preserve"> </v>
      </c>
      <c r="L2104" s="28" t="str">
        <f>IF(C2104=""," ",[1]!s_wq_pctchange($C2104,$N$1))</f>
        <v xml:space="preserve"> </v>
      </c>
      <c r="M2104" s="28" t="str">
        <f>IF(C2104=""," ",[1]!s_mq_pctchange($C2104,$N$1))</f>
        <v xml:space="preserve"> </v>
      </c>
      <c r="N2104" s="28" t="str">
        <f>IF(C2104=""," ",[1]!s_yq_pctchange($C2104,$N$1))</f>
        <v xml:space="preserve"> </v>
      </c>
      <c r="O2104" s="11"/>
      <c r="P2104" s="7"/>
    </row>
    <row r="2105" spans="1:16" x14ac:dyDescent="0.35">
      <c r="A2105" s="7"/>
      <c r="C2105" s="30" t="str">
        <f>IF(指数列表!B2102="","",指数列表!B2102)</f>
        <v/>
      </c>
      <c r="D2105" s="35" t="str">
        <f>IF(C2105="","",[1]!s_info_name(C2105))</f>
        <v/>
      </c>
      <c r="E2105" s="24" t="str">
        <f>IF(C2105="","",[1]!s_dq_close(C2105,$N$1))</f>
        <v/>
      </c>
      <c r="F2105" s="28" t="str">
        <f>IF($C2105=""," ",[1]!i_pq_pctchange($C2105,F$6,$N$1))</f>
        <v xml:space="preserve"> </v>
      </c>
      <c r="G2105" s="28" t="str">
        <f>IF($C2105=""," ",[1]!i_pq_pctchange($C2105,G$6,$N$1))</f>
        <v xml:space="preserve"> </v>
      </c>
      <c r="H2105" s="28" t="str">
        <f>IF($C2105=""," ",[1]!i_pq_pctchange($C2105,H$6,$N$1))</f>
        <v xml:space="preserve"> </v>
      </c>
      <c r="I2105" s="28" t="str">
        <f>IF($C2105=""," ",[1]!i_pq_pctchange($C2105,I$6,$N$1))</f>
        <v xml:space="preserve"> </v>
      </c>
      <c r="J2105" s="28" t="str">
        <f>IF($C2105=""," ",[1]!i_pq_pctchange($C2105,J$6,$N$1))</f>
        <v xml:space="preserve"> </v>
      </c>
      <c r="K2105" s="28" t="str">
        <f>IF($C2105=""," ",[1]!i_pq_pctchange($C2105,K$6,$N$1))</f>
        <v xml:space="preserve"> </v>
      </c>
      <c r="L2105" s="28" t="str">
        <f>IF(C2105=""," ",[1]!s_wq_pctchange($C2105,$N$1))</f>
        <v xml:space="preserve"> </v>
      </c>
      <c r="M2105" s="28" t="str">
        <f>IF(C2105=""," ",[1]!s_mq_pctchange($C2105,$N$1))</f>
        <v xml:space="preserve"> </v>
      </c>
      <c r="N2105" s="28" t="str">
        <f>IF(C2105=""," ",[1]!s_yq_pctchange($C2105,$N$1))</f>
        <v xml:space="preserve"> </v>
      </c>
      <c r="O2105" s="11"/>
      <c r="P2105" s="7"/>
    </row>
    <row r="2106" spans="1:16" x14ac:dyDescent="0.35">
      <c r="A2106" s="7"/>
      <c r="C2106" s="31" t="str">
        <f>IF(指数列表!B2103="","",指数列表!B2103)</f>
        <v/>
      </c>
      <c r="D2106" s="36" t="str">
        <f>IF(C2106="","",[1]!s_info_name(C2106))</f>
        <v/>
      </c>
      <c r="E2106" s="25" t="str">
        <f>IF(C2106="","",[1]!s_dq_close(C2106,$N$1))</f>
        <v/>
      </c>
      <c r="F2106" s="28" t="str">
        <f>IF($C2106=""," ",[1]!i_pq_pctchange($C2106,F$6,$N$1))</f>
        <v xml:space="preserve"> </v>
      </c>
      <c r="G2106" s="28" t="str">
        <f>IF($C2106=""," ",[1]!i_pq_pctchange($C2106,G$6,$N$1))</f>
        <v xml:space="preserve"> </v>
      </c>
      <c r="H2106" s="28" t="str">
        <f>IF($C2106=""," ",[1]!i_pq_pctchange($C2106,H$6,$N$1))</f>
        <v xml:space="preserve"> </v>
      </c>
      <c r="I2106" s="28" t="str">
        <f>IF($C2106=""," ",[1]!i_pq_pctchange($C2106,I$6,$N$1))</f>
        <v xml:space="preserve"> </v>
      </c>
      <c r="J2106" s="28" t="str">
        <f>IF($C2106=""," ",[1]!i_pq_pctchange($C2106,J$6,$N$1))</f>
        <v xml:space="preserve"> </v>
      </c>
      <c r="K2106" s="28" t="str">
        <f>IF($C2106=""," ",[1]!i_pq_pctchange($C2106,K$6,$N$1))</f>
        <v xml:space="preserve"> </v>
      </c>
      <c r="L2106" s="28" t="str">
        <f>IF(C2106=""," ",[1]!s_wq_pctchange($C2106,$N$1))</f>
        <v xml:space="preserve"> </v>
      </c>
      <c r="M2106" s="28" t="str">
        <f>IF(C2106=""," ",[1]!s_mq_pctchange($C2106,$N$1))</f>
        <v xml:space="preserve"> </v>
      </c>
      <c r="N2106" s="28" t="str">
        <f>IF(C2106=""," ",[1]!s_yq_pctchange($C2106,$N$1))</f>
        <v xml:space="preserve"> </v>
      </c>
      <c r="O2106" s="11"/>
      <c r="P2106" s="7"/>
    </row>
    <row r="2107" spans="1:16" x14ac:dyDescent="0.35">
      <c r="A2107" s="7"/>
      <c r="C2107" s="30" t="str">
        <f>IF(指数列表!B2104="","",指数列表!B2104)</f>
        <v/>
      </c>
      <c r="D2107" s="35" t="str">
        <f>IF(C2107="","",[1]!s_info_name(C2107))</f>
        <v/>
      </c>
      <c r="E2107" s="24" t="str">
        <f>IF(C2107="","",[1]!s_dq_close(C2107,$N$1))</f>
        <v/>
      </c>
      <c r="F2107" s="28" t="str">
        <f>IF($C2107=""," ",[1]!i_pq_pctchange($C2107,F$6,$N$1))</f>
        <v xml:space="preserve"> </v>
      </c>
      <c r="G2107" s="28" t="str">
        <f>IF($C2107=""," ",[1]!i_pq_pctchange($C2107,G$6,$N$1))</f>
        <v xml:space="preserve"> </v>
      </c>
      <c r="H2107" s="28" t="str">
        <f>IF($C2107=""," ",[1]!i_pq_pctchange($C2107,H$6,$N$1))</f>
        <v xml:space="preserve"> </v>
      </c>
      <c r="I2107" s="28" t="str">
        <f>IF($C2107=""," ",[1]!i_pq_pctchange($C2107,I$6,$N$1))</f>
        <v xml:space="preserve"> </v>
      </c>
      <c r="J2107" s="28" t="str">
        <f>IF($C2107=""," ",[1]!i_pq_pctchange($C2107,J$6,$N$1))</f>
        <v xml:space="preserve"> </v>
      </c>
      <c r="K2107" s="28" t="str">
        <f>IF($C2107=""," ",[1]!i_pq_pctchange($C2107,K$6,$N$1))</f>
        <v xml:space="preserve"> </v>
      </c>
      <c r="L2107" s="28" t="str">
        <f>IF(C2107=""," ",[1]!s_wq_pctchange($C2107,$N$1))</f>
        <v xml:space="preserve"> </v>
      </c>
      <c r="M2107" s="28" t="str">
        <f>IF(C2107=""," ",[1]!s_mq_pctchange($C2107,$N$1))</f>
        <v xml:space="preserve"> </v>
      </c>
      <c r="N2107" s="28" t="str">
        <f>IF(C2107=""," ",[1]!s_yq_pctchange($C2107,$N$1))</f>
        <v xml:space="preserve"> </v>
      </c>
      <c r="O2107" s="11"/>
      <c r="P2107" s="7"/>
    </row>
    <row r="2108" spans="1:16" x14ac:dyDescent="0.35">
      <c r="A2108" s="7"/>
      <c r="C2108" s="31" t="str">
        <f>IF(指数列表!B2105="","",指数列表!B2105)</f>
        <v/>
      </c>
      <c r="D2108" s="36" t="str">
        <f>IF(C2108="","",[1]!s_info_name(C2108))</f>
        <v/>
      </c>
      <c r="E2108" s="25" t="str">
        <f>IF(C2108="","",[1]!s_dq_close(C2108,$N$1))</f>
        <v/>
      </c>
      <c r="F2108" s="28" t="str">
        <f>IF($C2108=""," ",[1]!i_pq_pctchange($C2108,F$6,$N$1))</f>
        <v xml:space="preserve"> </v>
      </c>
      <c r="G2108" s="28" t="str">
        <f>IF($C2108=""," ",[1]!i_pq_pctchange($C2108,G$6,$N$1))</f>
        <v xml:space="preserve"> </v>
      </c>
      <c r="H2108" s="28" t="str">
        <f>IF($C2108=""," ",[1]!i_pq_pctchange($C2108,H$6,$N$1))</f>
        <v xml:space="preserve"> </v>
      </c>
      <c r="I2108" s="28" t="str">
        <f>IF($C2108=""," ",[1]!i_pq_pctchange($C2108,I$6,$N$1))</f>
        <v xml:space="preserve"> </v>
      </c>
      <c r="J2108" s="28" t="str">
        <f>IF($C2108=""," ",[1]!i_pq_pctchange($C2108,J$6,$N$1))</f>
        <v xml:space="preserve"> </v>
      </c>
      <c r="K2108" s="28" t="str">
        <f>IF($C2108=""," ",[1]!i_pq_pctchange($C2108,K$6,$N$1))</f>
        <v xml:space="preserve"> </v>
      </c>
      <c r="L2108" s="28" t="str">
        <f>IF(C2108=""," ",[1]!s_wq_pctchange($C2108,$N$1))</f>
        <v xml:space="preserve"> </v>
      </c>
      <c r="M2108" s="28" t="str">
        <f>IF(C2108=""," ",[1]!s_mq_pctchange($C2108,$N$1))</f>
        <v xml:space="preserve"> </v>
      </c>
      <c r="N2108" s="28" t="str">
        <f>IF(C2108=""," ",[1]!s_yq_pctchange($C2108,$N$1))</f>
        <v xml:space="preserve"> </v>
      </c>
      <c r="O2108" s="11"/>
      <c r="P2108" s="7"/>
    </row>
    <row r="2109" spans="1:16" x14ac:dyDescent="0.35">
      <c r="A2109" s="7"/>
      <c r="C2109" s="30" t="str">
        <f>IF(指数列表!B2106="","",指数列表!B2106)</f>
        <v/>
      </c>
      <c r="D2109" s="35" t="str">
        <f>IF(C2109="","",[1]!s_info_name(C2109))</f>
        <v/>
      </c>
      <c r="E2109" s="24" t="str">
        <f>IF(C2109="","",[1]!s_dq_close(C2109,$N$1))</f>
        <v/>
      </c>
      <c r="F2109" s="28" t="str">
        <f>IF($C2109=""," ",[1]!i_pq_pctchange($C2109,F$6,$N$1))</f>
        <v xml:space="preserve"> </v>
      </c>
      <c r="G2109" s="28" t="str">
        <f>IF($C2109=""," ",[1]!i_pq_pctchange($C2109,G$6,$N$1))</f>
        <v xml:space="preserve"> </v>
      </c>
      <c r="H2109" s="28" t="str">
        <f>IF($C2109=""," ",[1]!i_pq_pctchange($C2109,H$6,$N$1))</f>
        <v xml:space="preserve"> </v>
      </c>
      <c r="I2109" s="28" t="str">
        <f>IF($C2109=""," ",[1]!i_pq_pctchange($C2109,I$6,$N$1))</f>
        <v xml:space="preserve"> </v>
      </c>
      <c r="J2109" s="28" t="str">
        <f>IF($C2109=""," ",[1]!i_pq_pctchange($C2109,J$6,$N$1))</f>
        <v xml:space="preserve"> </v>
      </c>
      <c r="K2109" s="28" t="str">
        <f>IF($C2109=""," ",[1]!i_pq_pctchange($C2109,K$6,$N$1))</f>
        <v xml:space="preserve"> </v>
      </c>
      <c r="L2109" s="28" t="str">
        <f>IF(C2109=""," ",[1]!s_wq_pctchange($C2109,$N$1))</f>
        <v xml:space="preserve"> </v>
      </c>
      <c r="M2109" s="28" t="str">
        <f>IF(C2109=""," ",[1]!s_mq_pctchange($C2109,$N$1))</f>
        <v xml:space="preserve"> </v>
      </c>
      <c r="N2109" s="28" t="str">
        <f>IF(C2109=""," ",[1]!s_yq_pctchange($C2109,$N$1))</f>
        <v xml:space="preserve"> </v>
      </c>
      <c r="O2109" s="11"/>
      <c r="P2109" s="7"/>
    </row>
    <row r="2110" spans="1:16" x14ac:dyDescent="0.35">
      <c r="A2110" s="7"/>
      <c r="C2110" s="31" t="str">
        <f>IF(指数列表!B2107="","",指数列表!B2107)</f>
        <v/>
      </c>
      <c r="D2110" s="36" t="str">
        <f>IF(C2110="","",[1]!s_info_name(C2110))</f>
        <v/>
      </c>
      <c r="E2110" s="25" t="str">
        <f>IF(C2110="","",[1]!s_dq_close(C2110,$N$1))</f>
        <v/>
      </c>
      <c r="F2110" s="28" t="str">
        <f>IF($C2110=""," ",[1]!i_pq_pctchange($C2110,F$6,$N$1))</f>
        <v xml:space="preserve"> </v>
      </c>
      <c r="G2110" s="28" t="str">
        <f>IF($C2110=""," ",[1]!i_pq_pctchange($C2110,G$6,$N$1))</f>
        <v xml:space="preserve"> </v>
      </c>
      <c r="H2110" s="28" t="str">
        <f>IF($C2110=""," ",[1]!i_pq_pctchange($C2110,H$6,$N$1))</f>
        <v xml:space="preserve"> </v>
      </c>
      <c r="I2110" s="28" t="str">
        <f>IF($C2110=""," ",[1]!i_pq_pctchange($C2110,I$6,$N$1))</f>
        <v xml:space="preserve"> </v>
      </c>
      <c r="J2110" s="28" t="str">
        <f>IF($C2110=""," ",[1]!i_pq_pctchange($C2110,J$6,$N$1))</f>
        <v xml:space="preserve"> </v>
      </c>
      <c r="K2110" s="28" t="str">
        <f>IF($C2110=""," ",[1]!i_pq_pctchange($C2110,K$6,$N$1))</f>
        <v xml:space="preserve"> </v>
      </c>
      <c r="L2110" s="28" t="str">
        <f>IF(C2110=""," ",[1]!s_wq_pctchange($C2110,$N$1))</f>
        <v xml:space="preserve"> </v>
      </c>
      <c r="M2110" s="28" t="str">
        <f>IF(C2110=""," ",[1]!s_mq_pctchange($C2110,$N$1))</f>
        <v xml:space="preserve"> </v>
      </c>
      <c r="N2110" s="28" t="str">
        <f>IF(C2110=""," ",[1]!s_yq_pctchange($C2110,$N$1))</f>
        <v xml:space="preserve"> </v>
      </c>
      <c r="O2110" s="11"/>
      <c r="P2110" s="7"/>
    </row>
    <row r="2111" spans="1:16" x14ac:dyDescent="0.35">
      <c r="A2111" s="7"/>
      <c r="C2111" s="30" t="str">
        <f>IF(指数列表!B2108="","",指数列表!B2108)</f>
        <v/>
      </c>
      <c r="D2111" s="35" t="str">
        <f>IF(C2111="","",[1]!s_info_name(C2111))</f>
        <v/>
      </c>
      <c r="E2111" s="24" t="str">
        <f>IF(C2111="","",[1]!s_dq_close(C2111,$N$1))</f>
        <v/>
      </c>
      <c r="F2111" s="28" t="str">
        <f>IF($C2111=""," ",[1]!i_pq_pctchange($C2111,F$6,$N$1))</f>
        <v xml:space="preserve"> </v>
      </c>
      <c r="G2111" s="28" t="str">
        <f>IF($C2111=""," ",[1]!i_pq_pctchange($C2111,G$6,$N$1))</f>
        <v xml:space="preserve"> </v>
      </c>
      <c r="H2111" s="28" t="str">
        <f>IF($C2111=""," ",[1]!i_pq_pctchange($C2111,H$6,$N$1))</f>
        <v xml:space="preserve"> </v>
      </c>
      <c r="I2111" s="28" t="str">
        <f>IF($C2111=""," ",[1]!i_pq_pctchange($C2111,I$6,$N$1))</f>
        <v xml:space="preserve"> </v>
      </c>
      <c r="J2111" s="28" t="str">
        <f>IF($C2111=""," ",[1]!i_pq_pctchange($C2111,J$6,$N$1))</f>
        <v xml:space="preserve"> </v>
      </c>
      <c r="K2111" s="28" t="str">
        <f>IF($C2111=""," ",[1]!i_pq_pctchange($C2111,K$6,$N$1))</f>
        <v xml:space="preserve"> </v>
      </c>
      <c r="L2111" s="28" t="str">
        <f>IF(C2111=""," ",[1]!s_wq_pctchange($C2111,$N$1))</f>
        <v xml:space="preserve"> </v>
      </c>
      <c r="M2111" s="28" t="str">
        <f>IF(C2111=""," ",[1]!s_mq_pctchange($C2111,$N$1))</f>
        <v xml:space="preserve"> </v>
      </c>
      <c r="N2111" s="28" t="str">
        <f>IF(C2111=""," ",[1]!s_yq_pctchange($C2111,$N$1))</f>
        <v xml:space="preserve"> </v>
      </c>
      <c r="O2111" s="11"/>
      <c r="P2111" s="7"/>
    </row>
    <row r="2112" spans="1:16" x14ac:dyDescent="0.35">
      <c r="A2112" s="7"/>
      <c r="C2112" s="31" t="str">
        <f>IF(指数列表!B2109="","",指数列表!B2109)</f>
        <v/>
      </c>
      <c r="D2112" s="36" t="str">
        <f>IF(C2112="","",[1]!s_info_name(C2112))</f>
        <v/>
      </c>
      <c r="E2112" s="25" t="str">
        <f>IF(C2112="","",[1]!s_dq_close(C2112,$N$1))</f>
        <v/>
      </c>
      <c r="F2112" s="28" t="str">
        <f>IF($C2112=""," ",[1]!i_pq_pctchange($C2112,F$6,$N$1))</f>
        <v xml:space="preserve"> </v>
      </c>
      <c r="G2112" s="28" t="str">
        <f>IF($C2112=""," ",[1]!i_pq_pctchange($C2112,G$6,$N$1))</f>
        <v xml:space="preserve"> </v>
      </c>
      <c r="H2112" s="28" t="str">
        <f>IF($C2112=""," ",[1]!i_pq_pctchange($C2112,H$6,$N$1))</f>
        <v xml:space="preserve"> </v>
      </c>
      <c r="I2112" s="28" t="str">
        <f>IF($C2112=""," ",[1]!i_pq_pctchange($C2112,I$6,$N$1))</f>
        <v xml:space="preserve"> </v>
      </c>
      <c r="J2112" s="28" t="str">
        <f>IF($C2112=""," ",[1]!i_pq_pctchange($C2112,J$6,$N$1))</f>
        <v xml:space="preserve"> </v>
      </c>
      <c r="K2112" s="28" t="str">
        <f>IF($C2112=""," ",[1]!i_pq_pctchange($C2112,K$6,$N$1))</f>
        <v xml:space="preserve"> </v>
      </c>
      <c r="L2112" s="28" t="str">
        <f>IF(C2112=""," ",[1]!s_wq_pctchange($C2112,$N$1))</f>
        <v xml:space="preserve"> </v>
      </c>
      <c r="M2112" s="28" t="str">
        <f>IF(C2112=""," ",[1]!s_mq_pctchange($C2112,$N$1))</f>
        <v xml:space="preserve"> </v>
      </c>
      <c r="N2112" s="28" t="str">
        <f>IF(C2112=""," ",[1]!s_yq_pctchange($C2112,$N$1))</f>
        <v xml:space="preserve"> </v>
      </c>
      <c r="O2112" s="11"/>
      <c r="P2112" s="7"/>
    </row>
    <row r="2113" spans="1:16" x14ac:dyDescent="0.35">
      <c r="A2113" s="7"/>
      <c r="C2113" s="30" t="str">
        <f>IF(指数列表!B2110="","",指数列表!B2110)</f>
        <v/>
      </c>
      <c r="D2113" s="35" t="str">
        <f>IF(C2113="","",[1]!s_info_name(C2113))</f>
        <v/>
      </c>
      <c r="E2113" s="24" t="str">
        <f>IF(C2113="","",[1]!s_dq_close(C2113,$N$1))</f>
        <v/>
      </c>
      <c r="F2113" s="28" t="str">
        <f>IF($C2113=""," ",[1]!i_pq_pctchange($C2113,F$6,$N$1))</f>
        <v xml:space="preserve"> </v>
      </c>
      <c r="G2113" s="28" t="str">
        <f>IF($C2113=""," ",[1]!i_pq_pctchange($C2113,G$6,$N$1))</f>
        <v xml:space="preserve"> </v>
      </c>
      <c r="H2113" s="28" t="str">
        <f>IF($C2113=""," ",[1]!i_pq_pctchange($C2113,H$6,$N$1))</f>
        <v xml:space="preserve"> </v>
      </c>
      <c r="I2113" s="28" t="str">
        <f>IF($C2113=""," ",[1]!i_pq_pctchange($C2113,I$6,$N$1))</f>
        <v xml:space="preserve"> </v>
      </c>
      <c r="J2113" s="28" t="str">
        <f>IF($C2113=""," ",[1]!i_pq_pctchange($C2113,J$6,$N$1))</f>
        <v xml:space="preserve"> </v>
      </c>
      <c r="K2113" s="28" t="str">
        <f>IF($C2113=""," ",[1]!i_pq_pctchange($C2113,K$6,$N$1))</f>
        <v xml:space="preserve"> </v>
      </c>
      <c r="L2113" s="28" t="str">
        <f>IF(C2113=""," ",[1]!s_wq_pctchange($C2113,$N$1))</f>
        <v xml:space="preserve"> </v>
      </c>
      <c r="M2113" s="28" t="str">
        <f>IF(C2113=""," ",[1]!s_mq_pctchange($C2113,$N$1))</f>
        <v xml:space="preserve"> </v>
      </c>
      <c r="N2113" s="28" t="str">
        <f>IF(C2113=""," ",[1]!s_yq_pctchange($C2113,$N$1))</f>
        <v xml:space="preserve"> </v>
      </c>
      <c r="O2113" s="11"/>
      <c r="P2113" s="7"/>
    </row>
    <row r="2114" spans="1:16" x14ac:dyDescent="0.35">
      <c r="A2114" s="7"/>
      <c r="C2114" s="31" t="str">
        <f>IF(指数列表!B2111="","",指数列表!B2111)</f>
        <v/>
      </c>
      <c r="D2114" s="36" t="str">
        <f>IF(C2114="","",[1]!s_info_name(C2114))</f>
        <v/>
      </c>
      <c r="E2114" s="25" t="str">
        <f>IF(C2114="","",[1]!s_dq_close(C2114,$N$1))</f>
        <v/>
      </c>
      <c r="F2114" s="28" t="str">
        <f>IF($C2114=""," ",[1]!i_pq_pctchange($C2114,F$6,$N$1))</f>
        <v xml:space="preserve"> </v>
      </c>
      <c r="G2114" s="28" t="str">
        <f>IF($C2114=""," ",[1]!i_pq_pctchange($C2114,G$6,$N$1))</f>
        <v xml:space="preserve"> </v>
      </c>
      <c r="H2114" s="28" t="str">
        <f>IF($C2114=""," ",[1]!i_pq_pctchange($C2114,H$6,$N$1))</f>
        <v xml:space="preserve"> </v>
      </c>
      <c r="I2114" s="28" t="str">
        <f>IF($C2114=""," ",[1]!i_pq_pctchange($C2114,I$6,$N$1))</f>
        <v xml:space="preserve"> </v>
      </c>
      <c r="J2114" s="28" t="str">
        <f>IF($C2114=""," ",[1]!i_pq_pctchange($C2114,J$6,$N$1))</f>
        <v xml:space="preserve"> </v>
      </c>
      <c r="K2114" s="28" t="str">
        <f>IF($C2114=""," ",[1]!i_pq_pctchange($C2114,K$6,$N$1))</f>
        <v xml:space="preserve"> </v>
      </c>
      <c r="L2114" s="28" t="str">
        <f>IF(C2114=""," ",[1]!s_wq_pctchange($C2114,$N$1))</f>
        <v xml:space="preserve"> </v>
      </c>
      <c r="M2114" s="28" t="str">
        <f>IF(C2114=""," ",[1]!s_mq_pctchange($C2114,$N$1))</f>
        <v xml:space="preserve"> </v>
      </c>
      <c r="N2114" s="28" t="str">
        <f>IF(C2114=""," ",[1]!s_yq_pctchange($C2114,$N$1))</f>
        <v xml:space="preserve"> </v>
      </c>
      <c r="O2114" s="11"/>
      <c r="P2114" s="7"/>
    </row>
    <row r="2115" spans="1:16" x14ac:dyDescent="0.35">
      <c r="A2115" s="7"/>
      <c r="C2115" s="30" t="str">
        <f>IF(指数列表!B2112="","",指数列表!B2112)</f>
        <v/>
      </c>
      <c r="D2115" s="35" t="str">
        <f>IF(C2115="","",[1]!s_info_name(C2115))</f>
        <v/>
      </c>
      <c r="E2115" s="24" t="str">
        <f>IF(C2115="","",[1]!s_dq_close(C2115,$N$1))</f>
        <v/>
      </c>
      <c r="F2115" s="28" t="str">
        <f>IF($C2115=""," ",[1]!i_pq_pctchange($C2115,F$6,$N$1))</f>
        <v xml:space="preserve"> </v>
      </c>
      <c r="G2115" s="28" t="str">
        <f>IF($C2115=""," ",[1]!i_pq_pctchange($C2115,G$6,$N$1))</f>
        <v xml:space="preserve"> </v>
      </c>
      <c r="H2115" s="28" t="str">
        <f>IF($C2115=""," ",[1]!i_pq_pctchange($C2115,H$6,$N$1))</f>
        <v xml:space="preserve"> </v>
      </c>
      <c r="I2115" s="28" t="str">
        <f>IF($C2115=""," ",[1]!i_pq_pctchange($C2115,I$6,$N$1))</f>
        <v xml:space="preserve"> </v>
      </c>
      <c r="J2115" s="28" t="str">
        <f>IF($C2115=""," ",[1]!i_pq_pctchange($C2115,J$6,$N$1))</f>
        <v xml:space="preserve"> </v>
      </c>
      <c r="K2115" s="28" t="str">
        <f>IF($C2115=""," ",[1]!i_pq_pctchange($C2115,K$6,$N$1))</f>
        <v xml:space="preserve"> </v>
      </c>
      <c r="L2115" s="28" t="str">
        <f>IF(C2115=""," ",[1]!s_wq_pctchange($C2115,$N$1))</f>
        <v xml:space="preserve"> </v>
      </c>
      <c r="M2115" s="28" t="str">
        <f>IF(C2115=""," ",[1]!s_mq_pctchange($C2115,$N$1))</f>
        <v xml:space="preserve"> </v>
      </c>
      <c r="N2115" s="28" t="str">
        <f>IF(C2115=""," ",[1]!s_yq_pctchange($C2115,$N$1))</f>
        <v xml:space="preserve"> </v>
      </c>
      <c r="O2115" s="11"/>
      <c r="P2115" s="7"/>
    </row>
    <row r="2116" spans="1:16" x14ac:dyDescent="0.35">
      <c r="A2116" s="7"/>
      <c r="C2116" s="31" t="str">
        <f>IF(指数列表!B2113="","",指数列表!B2113)</f>
        <v/>
      </c>
      <c r="D2116" s="36" t="str">
        <f>IF(C2116="","",[1]!s_info_name(C2116))</f>
        <v/>
      </c>
      <c r="E2116" s="25" t="str">
        <f>IF(C2116="","",[1]!s_dq_close(C2116,$N$1))</f>
        <v/>
      </c>
      <c r="F2116" s="28" t="str">
        <f>IF($C2116=""," ",[1]!i_pq_pctchange($C2116,F$6,$N$1))</f>
        <v xml:space="preserve"> </v>
      </c>
      <c r="G2116" s="28" t="str">
        <f>IF($C2116=""," ",[1]!i_pq_pctchange($C2116,G$6,$N$1))</f>
        <v xml:space="preserve"> </v>
      </c>
      <c r="H2116" s="28" t="str">
        <f>IF($C2116=""," ",[1]!i_pq_pctchange($C2116,H$6,$N$1))</f>
        <v xml:space="preserve"> </v>
      </c>
      <c r="I2116" s="28" t="str">
        <f>IF($C2116=""," ",[1]!i_pq_pctchange($C2116,I$6,$N$1))</f>
        <v xml:space="preserve"> </v>
      </c>
      <c r="J2116" s="28" t="str">
        <f>IF($C2116=""," ",[1]!i_pq_pctchange($C2116,J$6,$N$1))</f>
        <v xml:space="preserve"> </v>
      </c>
      <c r="K2116" s="28" t="str">
        <f>IF($C2116=""," ",[1]!i_pq_pctchange($C2116,K$6,$N$1))</f>
        <v xml:space="preserve"> </v>
      </c>
      <c r="L2116" s="28" t="str">
        <f>IF(C2116=""," ",[1]!s_wq_pctchange($C2116,$N$1))</f>
        <v xml:space="preserve"> </v>
      </c>
      <c r="M2116" s="28" t="str">
        <f>IF(C2116=""," ",[1]!s_mq_pctchange($C2116,$N$1))</f>
        <v xml:space="preserve"> </v>
      </c>
      <c r="N2116" s="28" t="str">
        <f>IF(C2116=""," ",[1]!s_yq_pctchange($C2116,$N$1))</f>
        <v xml:space="preserve"> </v>
      </c>
      <c r="O2116" s="11"/>
      <c r="P2116" s="7"/>
    </row>
    <row r="2117" spans="1:16" x14ac:dyDescent="0.35">
      <c r="A2117" s="7"/>
      <c r="C2117" s="30" t="str">
        <f>IF(指数列表!B2114="","",指数列表!B2114)</f>
        <v/>
      </c>
      <c r="D2117" s="35" t="str">
        <f>IF(C2117="","",[1]!s_info_name(C2117))</f>
        <v/>
      </c>
      <c r="E2117" s="24" t="str">
        <f>IF(C2117="","",[1]!s_dq_close(C2117,$N$1))</f>
        <v/>
      </c>
      <c r="F2117" s="28" t="str">
        <f>IF($C2117=""," ",[1]!i_pq_pctchange($C2117,F$6,$N$1))</f>
        <v xml:space="preserve"> </v>
      </c>
      <c r="G2117" s="28" t="str">
        <f>IF($C2117=""," ",[1]!i_pq_pctchange($C2117,G$6,$N$1))</f>
        <v xml:space="preserve"> </v>
      </c>
      <c r="H2117" s="28" t="str">
        <f>IF($C2117=""," ",[1]!i_pq_pctchange($C2117,H$6,$N$1))</f>
        <v xml:space="preserve"> </v>
      </c>
      <c r="I2117" s="28" t="str">
        <f>IF($C2117=""," ",[1]!i_pq_pctchange($C2117,I$6,$N$1))</f>
        <v xml:space="preserve"> </v>
      </c>
      <c r="J2117" s="28" t="str">
        <f>IF($C2117=""," ",[1]!i_pq_pctchange($C2117,J$6,$N$1))</f>
        <v xml:space="preserve"> </v>
      </c>
      <c r="K2117" s="28" t="str">
        <f>IF($C2117=""," ",[1]!i_pq_pctchange($C2117,K$6,$N$1))</f>
        <v xml:space="preserve"> </v>
      </c>
      <c r="L2117" s="28" t="str">
        <f>IF(C2117=""," ",[1]!s_wq_pctchange($C2117,$N$1))</f>
        <v xml:space="preserve"> </v>
      </c>
      <c r="M2117" s="28" t="str">
        <f>IF(C2117=""," ",[1]!s_mq_pctchange($C2117,$N$1))</f>
        <v xml:space="preserve"> </v>
      </c>
      <c r="N2117" s="28" t="str">
        <f>IF(C2117=""," ",[1]!s_yq_pctchange($C2117,$N$1))</f>
        <v xml:space="preserve"> </v>
      </c>
      <c r="O2117" s="11"/>
      <c r="P2117" s="7"/>
    </row>
    <row r="2118" spans="1:16" x14ac:dyDescent="0.35">
      <c r="A2118" s="7"/>
      <c r="C2118" s="31" t="str">
        <f>IF(指数列表!B2115="","",指数列表!B2115)</f>
        <v/>
      </c>
      <c r="D2118" s="36" t="str">
        <f>IF(C2118="","",[1]!s_info_name(C2118))</f>
        <v/>
      </c>
      <c r="E2118" s="25" t="str">
        <f>IF(C2118="","",[1]!s_dq_close(C2118,$N$1))</f>
        <v/>
      </c>
      <c r="F2118" s="28" t="str">
        <f>IF($C2118=""," ",[1]!i_pq_pctchange($C2118,F$6,$N$1))</f>
        <v xml:space="preserve"> </v>
      </c>
      <c r="G2118" s="28" t="str">
        <f>IF($C2118=""," ",[1]!i_pq_pctchange($C2118,G$6,$N$1))</f>
        <v xml:space="preserve"> </v>
      </c>
      <c r="H2118" s="28" t="str">
        <f>IF($C2118=""," ",[1]!i_pq_pctchange($C2118,H$6,$N$1))</f>
        <v xml:space="preserve"> </v>
      </c>
      <c r="I2118" s="28" t="str">
        <f>IF($C2118=""," ",[1]!i_pq_pctchange($C2118,I$6,$N$1))</f>
        <v xml:space="preserve"> </v>
      </c>
      <c r="J2118" s="28" t="str">
        <f>IF($C2118=""," ",[1]!i_pq_pctchange($C2118,J$6,$N$1))</f>
        <v xml:space="preserve"> </v>
      </c>
      <c r="K2118" s="28" t="str">
        <f>IF($C2118=""," ",[1]!i_pq_pctchange($C2118,K$6,$N$1))</f>
        <v xml:space="preserve"> </v>
      </c>
      <c r="L2118" s="28" t="str">
        <f>IF(C2118=""," ",[1]!s_wq_pctchange($C2118,$N$1))</f>
        <v xml:space="preserve"> </v>
      </c>
      <c r="M2118" s="28" t="str">
        <f>IF(C2118=""," ",[1]!s_mq_pctchange($C2118,$N$1))</f>
        <v xml:space="preserve"> </v>
      </c>
      <c r="N2118" s="28" t="str">
        <f>IF(C2118=""," ",[1]!s_yq_pctchange($C2118,$N$1))</f>
        <v xml:space="preserve"> </v>
      </c>
      <c r="O2118" s="11"/>
      <c r="P2118" s="7"/>
    </row>
    <row r="2119" spans="1:16" x14ac:dyDescent="0.35">
      <c r="A2119" s="7"/>
      <c r="C2119" s="30" t="str">
        <f>IF(指数列表!B2116="","",指数列表!B2116)</f>
        <v/>
      </c>
      <c r="D2119" s="35" t="str">
        <f>IF(C2119="","",[1]!s_info_name(C2119))</f>
        <v/>
      </c>
      <c r="E2119" s="24" t="str">
        <f>IF(C2119="","",[1]!s_dq_close(C2119,$N$1))</f>
        <v/>
      </c>
      <c r="F2119" s="28" t="str">
        <f>IF($C2119=""," ",[1]!i_pq_pctchange($C2119,F$6,$N$1))</f>
        <v xml:space="preserve"> </v>
      </c>
      <c r="G2119" s="28" t="str">
        <f>IF($C2119=""," ",[1]!i_pq_pctchange($C2119,G$6,$N$1))</f>
        <v xml:space="preserve"> </v>
      </c>
      <c r="H2119" s="28" t="str">
        <f>IF($C2119=""," ",[1]!i_pq_pctchange($C2119,H$6,$N$1))</f>
        <v xml:space="preserve"> </v>
      </c>
      <c r="I2119" s="28" t="str">
        <f>IF($C2119=""," ",[1]!i_pq_pctchange($C2119,I$6,$N$1))</f>
        <v xml:space="preserve"> </v>
      </c>
      <c r="J2119" s="28" t="str">
        <f>IF($C2119=""," ",[1]!i_pq_pctchange($C2119,J$6,$N$1))</f>
        <v xml:space="preserve"> </v>
      </c>
      <c r="K2119" s="28" t="str">
        <f>IF($C2119=""," ",[1]!i_pq_pctchange($C2119,K$6,$N$1))</f>
        <v xml:space="preserve"> </v>
      </c>
      <c r="L2119" s="28" t="str">
        <f>IF(C2119=""," ",[1]!s_wq_pctchange($C2119,$N$1))</f>
        <v xml:space="preserve"> </v>
      </c>
      <c r="M2119" s="28" t="str">
        <f>IF(C2119=""," ",[1]!s_mq_pctchange($C2119,$N$1))</f>
        <v xml:space="preserve"> </v>
      </c>
      <c r="N2119" s="28" t="str">
        <f>IF(C2119=""," ",[1]!s_yq_pctchange($C2119,$N$1))</f>
        <v xml:space="preserve"> </v>
      </c>
      <c r="O2119" s="11"/>
      <c r="P2119" s="7"/>
    </row>
    <row r="2120" spans="1:16" x14ac:dyDescent="0.35">
      <c r="A2120" s="7"/>
      <c r="C2120" s="31" t="str">
        <f>IF(指数列表!B2117="","",指数列表!B2117)</f>
        <v/>
      </c>
      <c r="D2120" s="36" t="str">
        <f>IF(C2120="","",[1]!s_info_name(C2120))</f>
        <v/>
      </c>
      <c r="E2120" s="25" t="str">
        <f>IF(C2120="","",[1]!s_dq_close(C2120,$N$1))</f>
        <v/>
      </c>
      <c r="F2120" s="28" t="str">
        <f>IF($C2120=""," ",[1]!i_pq_pctchange($C2120,F$6,$N$1))</f>
        <v xml:space="preserve"> </v>
      </c>
      <c r="G2120" s="28" t="str">
        <f>IF($C2120=""," ",[1]!i_pq_pctchange($C2120,G$6,$N$1))</f>
        <v xml:space="preserve"> </v>
      </c>
      <c r="H2120" s="28" t="str">
        <f>IF($C2120=""," ",[1]!i_pq_pctchange($C2120,H$6,$N$1))</f>
        <v xml:space="preserve"> </v>
      </c>
      <c r="I2120" s="28" t="str">
        <f>IF($C2120=""," ",[1]!i_pq_pctchange($C2120,I$6,$N$1))</f>
        <v xml:space="preserve"> </v>
      </c>
      <c r="J2120" s="28" t="str">
        <f>IF($C2120=""," ",[1]!i_pq_pctchange($C2120,J$6,$N$1))</f>
        <v xml:space="preserve"> </v>
      </c>
      <c r="K2120" s="28" t="str">
        <f>IF($C2120=""," ",[1]!i_pq_pctchange($C2120,K$6,$N$1))</f>
        <v xml:space="preserve"> </v>
      </c>
      <c r="L2120" s="28" t="str">
        <f>IF(C2120=""," ",[1]!s_wq_pctchange($C2120,$N$1))</f>
        <v xml:space="preserve"> </v>
      </c>
      <c r="M2120" s="28" t="str">
        <f>IF(C2120=""," ",[1]!s_mq_pctchange($C2120,$N$1))</f>
        <v xml:space="preserve"> </v>
      </c>
      <c r="N2120" s="28" t="str">
        <f>IF(C2120=""," ",[1]!s_yq_pctchange($C2120,$N$1))</f>
        <v xml:space="preserve"> </v>
      </c>
      <c r="O2120" s="11"/>
      <c r="P2120" s="7"/>
    </row>
    <row r="2121" spans="1:16" x14ac:dyDescent="0.35">
      <c r="A2121" s="7"/>
      <c r="C2121" s="30" t="str">
        <f>IF(指数列表!B2118="","",指数列表!B2118)</f>
        <v/>
      </c>
      <c r="D2121" s="35" t="str">
        <f>IF(C2121="","",[1]!s_info_name(C2121))</f>
        <v/>
      </c>
      <c r="E2121" s="24" t="str">
        <f>IF(C2121="","",[1]!s_dq_close(C2121,$N$1))</f>
        <v/>
      </c>
      <c r="F2121" s="28" t="str">
        <f>IF($C2121=""," ",[1]!i_pq_pctchange($C2121,F$6,$N$1))</f>
        <v xml:space="preserve"> </v>
      </c>
      <c r="G2121" s="28" t="str">
        <f>IF($C2121=""," ",[1]!i_pq_pctchange($C2121,G$6,$N$1))</f>
        <v xml:space="preserve"> </v>
      </c>
      <c r="H2121" s="28" t="str">
        <f>IF($C2121=""," ",[1]!i_pq_pctchange($C2121,H$6,$N$1))</f>
        <v xml:space="preserve"> </v>
      </c>
      <c r="I2121" s="28" t="str">
        <f>IF($C2121=""," ",[1]!i_pq_pctchange($C2121,I$6,$N$1))</f>
        <v xml:space="preserve"> </v>
      </c>
      <c r="J2121" s="28" t="str">
        <f>IF($C2121=""," ",[1]!i_pq_pctchange($C2121,J$6,$N$1))</f>
        <v xml:space="preserve"> </v>
      </c>
      <c r="K2121" s="28" t="str">
        <f>IF($C2121=""," ",[1]!i_pq_pctchange($C2121,K$6,$N$1))</f>
        <v xml:space="preserve"> </v>
      </c>
      <c r="L2121" s="28" t="str">
        <f>IF(C2121=""," ",[1]!s_wq_pctchange($C2121,$N$1))</f>
        <v xml:space="preserve"> </v>
      </c>
      <c r="M2121" s="28" t="str">
        <f>IF(C2121=""," ",[1]!s_mq_pctchange($C2121,$N$1))</f>
        <v xml:space="preserve"> </v>
      </c>
      <c r="N2121" s="28" t="str">
        <f>IF(C2121=""," ",[1]!s_yq_pctchange($C2121,$N$1))</f>
        <v xml:space="preserve"> </v>
      </c>
      <c r="O2121" s="11"/>
      <c r="P2121" s="7"/>
    </row>
    <row r="2122" spans="1:16" x14ac:dyDescent="0.35">
      <c r="A2122" s="7"/>
      <c r="C2122" s="31" t="str">
        <f>IF(指数列表!B2119="","",指数列表!B2119)</f>
        <v/>
      </c>
      <c r="D2122" s="36" t="str">
        <f>IF(C2122="","",[1]!s_info_name(C2122))</f>
        <v/>
      </c>
      <c r="E2122" s="25" t="str">
        <f>IF(C2122="","",[1]!s_dq_close(C2122,$N$1))</f>
        <v/>
      </c>
      <c r="F2122" s="28" t="str">
        <f>IF($C2122=""," ",[1]!i_pq_pctchange($C2122,F$6,$N$1))</f>
        <v xml:space="preserve"> </v>
      </c>
      <c r="G2122" s="28" t="str">
        <f>IF($C2122=""," ",[1]!i_pq_pctchange($C2122,G$6,$N$1))</f>
        <v xml:space="preserve"> </v>
      </c>
      <c r="H2122" s="28" t="str">
        <f>IF($C2122=""," ",[1]!i_pq_pctchange($C2122,H$6,$N$1))</f>
        <v xml:space="preserve"> </v>
      </c>
      <c r="I2122" s="28" t="str">
        <f>IF($C2122=""," ",[1]!i_pq_pctchange($C2122,I$6,$N$1))</f>
        <v xml:space="preserve"> </v>
      </c>
      <c r="J2122" s="28" t="str">
        <f>IF($C2122=""," ",[1]!i_pq_pctchange($C2122,J$6,$N$1))</f>
        <v xml:space="preserve"> </v>
      </c>
      <c r="K2122" s="28" t="str">
        <f>IF($C2122=""," ",[1]!i_pq_pctchange($C2122,K$6,$N$1))</f>
        <v xml:space="preserve"> </v>
      </c>
      <c r="L2122" s="28" t="str">
        <f>IF(C2122=""," ",[1]!s_wq_pctchange($C2122,$N$1))</f>
        <v xml:space="preserve"> </v>
      </c>
      <c r="M2122" s="28" t="str">
        <f>IF(C2122=""," ",[1]!s_mq_pctchange($C2122,$N$1))</f>
        <v xml:space="preserve"> </v>
      </c>
      <c r="N2122" s="28" t="str">
        <f>IF(C2122=""," ",[1]!s_yq_pctchange($C2122,$N$1))</f>
        <v xml:space="preserve"> </v>
      </c>
      <c r="O2122" s="11"/>
      <c r="P2122" s="7"/>
    </row>
    <row r="2123" spans="1:16" x14ac:dyDescent="0.35">
      <c r="A2123" s="7"/>
      <c r="C2123" s="30" t="str">
        <f>IF(指数列表!B2120="","",指数列表!B2120)</f>
        <v/>
      </c>
      <c r="D2123" s="35" t="str">
        <f>IF(C2123="","",[1]!s_info_name(C2123))</f>
        <v/>
      </c>
      <c r="E2123" s="24" t="str">
        <f>IF(C2123="","",[1]!s_dq_close(C2123,$N$1))</f>
        <v/>
      </c>
      <c r="F2123" s="28" t="str">
        <f>IF($C2123=""," ",[1]!i_pq_pctchange($C2123,F$6,$N$1))</f>
        <v xml:space="preserve"> </v>
      </c>
      <c r="G2123" s="28" t="str">
        <f>IF($C2123=""," ",[1]!i_pq_pctchange($C2123,G$6,$N$1))</f>
        <v xml:space="preserve"> </v>
      </c>
      <c r="H2123" s="28" t="str">
        <f>IF($C2123=""," ",[1]!i_pq_pctchange($C2123,H$6,$N$1))</f>
        <v xml:space="preserve"> </v>
      </c>
      <c r="I2123" s="28" t="str">
        <f>IF($C2123=""," ",[1]!i_pq_pctchange($C2123,I$6,$N$1))</f>
        <v xml:space="preserve"> </v>
      </c>
      <c r="J2123" s="28" t="str">
        <f>IF($C2123=""," ",[1]!i_pq_pctchange($C2123,J$6,$N$1))</f>
        <v xml:space="preserve"> </v>
      </c>
      <c r="K2123" s="28" t="str">
        <f>IF($C2123=""," ",[1]!i_pq_pctchange($C2123,K$6,$N$1))</f>
        <v xml:space="preserve"> </v>
      </c>
      <c r="L2123" s="28" t="str">
        <f>IF(C2123=""," ",[1]!s_wq_pctchange($C2123,$N$1))</f>
        <v xml:space="preserve"> </v>
      </c>
      <c r="M2123" s="28" t="str">
        <f>IF(C2123=""," ",[1]!s_mq_pctchange($C2123,$N$1))</f>
        <v xml:space="preserve"> </v>
      </c>
      <c r="N2123" s="28" t="str">
        <f>IF(C2123=""," ",[1]!s_yq_pctchange($C2123,$N$1))</f>
        <v xml:space="preserve"> </v>
      </c>
      <c r="O2123" s="11"/>
      <c r="P2123" s="7"/>
    </row>
    <row r="2124" spans="1:16" x14ac:dyDescent="0.35">
      <c r="A2124" s="7"/>
      <c r="C2124" s="31" t="str">
        <f>IF(指数列表!B2121="","",指数列表!B2121)</f>
        <v/>
      </c>
      <c r="D2124" s="36" t="str">
        <f>IF(C2124="","",[1]!s_info_name(C2124))</f>
        <v/>
      </c>
      <c r="E2124" s="25" t="str">
        <f>IF(C2124="","",[1]!s_dq_close(C2124,$N$1))</f>
        <v/>
      </c>
      <c r="F2124" s="28" t="str">
        <f>IF($C2124=""," ",[1]!i_pq_pctchange($C2124,F$6,$N$1))</f>
        <v xml:space="preserve"> </v>
      </c>
      <c r="G2124" s="28" t="str">
        <f>IF($C2124=""," ",[1]!i_pq_pctchange($C2124,G$6,$N$1))</f>
        <v xml:space="preserve"> </v>
      </c>
      <c r="H2124" s="28" t="str">
        <f>IF($C2124=""," ",[1]!i_pq_pctchange($C2124,H$6,$N$1))</f>
        <v xml:space="preserve"> </v>
      </c>
      <c r="I2124" s="28" t="str">
        <f>IF($C2124=""," ",[1]!i_pq_pctchange($C2124,I$6,$N$1))</f>
        <v xml:space="preserve"> </v>
      </c>
      <c r="J2124" s="28" t="str">
        <f>IF($C2124=""," ",[1]!i_pq_pctchange($C2124,J$6,$N$1))</f>
        <v xml:space="preserve"> </v>
      </c>
      <c r="K2124" s="28" t="str">
        <f>IF($C2124=""," ",[1]!i_pq_pctchange($C2124,K$6,$N$1))</f>
        <v xml:space="preserve"> </v>
      </c>
      <c r="L2124" s="28" t="str">
        <f>IF(C2124=""," ",[1]!s_wq_pctchange($C2124,$N$1))</f>
        <v xml:space="preserve"> </v>
      </c>
      <c r="M2124" s="28" t="str">
        <f>IF(C2124=""," ",[1]!s_mq_pctchange($C2124,$N$1))</f>
        <v xml:space="preserve"> </v>
      </c>
      <c r="N2124" s="28" t="str">
        <f>IF(C2124=""," ",[1]!s_yq_pctchange($C2124,$N$1))</f>
        <v xml:space="preserve"> </v>
      </c>
      <c r="O2124" s="11"/>
      <c r="P2124" s="7"/>
    </row>
    <row r="2125" spans="1:16" x14ac:dyDescent="0.35">
      <c r="A2125" s="7"/>
      <c r="C2125" s="30" t="str">
        <f>IF(指数列表!B2122="","",指数列表!B2122)</f>
        <v/>
      </c>
      <c r="D2125" s="35" t="str">
        <f>IF(C2125="","",[1]!s_info_name(C2125))</f>
        <v/>
      </c>
      <c r="E2125" s="24" t="str">
        <f>IF(C2125="","",[1]!s_dq_close(C2125,$N$1))</f>
        <v/>
      </c>
      <c r="F2125" s="28" t="str">
        <f>IF($C2125=""," ",[1]!i_pq_pctchange($C2125,F$6,$N$1))</f>
        <v xml:space="preserve"> </v>
      </c>
      <c r="G2125" s="28" t="str">
        <f>IF($C2125=""," ",[1]!i_pq_pctchange($C2125,G$6,$N$1))</f>
        <v xml:space="preserve"> </v>
      </c>
      <c r="H2125" s="28" t="str">
        <f>IF($C2125=""," ",[1]!i_pq_pctchange($C2125,H$6,$N$1))</f>
        <v xml:space="preserve"> </v>
      </c>
      <c r="I2125" s="28" t="str">
        <f>IF($C2125=""," ",[1]!i_pq_pctchange($C2125,I$6,$N$1))</f>
        <v xml:space="preserve"> </v>
      </c>
      <c r="J2125" s="28" t="str">
        <f>IF($C2125=""," ",[1]!i_pq_pctchange($C2125,J$6,$N$1))</f>
        <v xml:space="preserve"> </v>
      </c>
      <c r="K2125" s="28" t="str">
        <f>IF($C2125=""," ",[1]!i_pq_pctchange($C2125,K$6,$N$1))</f>
        <v xml:space="preserve"> </v>
      </c>
      <c r="L2125" s="28" t="str">
        <f>IF(C2125=""," ",[1]!s_wq_pctchange($C2125,$N$1))</f>
        <v xml:space="preserve"> </v>
      </c>
      <c r="M2125" s="28" t="str">
        <f>IF(C2125=""," ",[1]!s_mq_pctchange($C2125,$N$1))</f>
        <v xml:space="preserve"> </v>
      </c>
      <c r="N2125" s="28" t="str">
        <f>IF(C2125=""," ",[1]!s_yq_pctchange($C2125,$N$1))</f>
        <v xml:space="preserve"> </v>
      </c>
      <c r="O2125" s="11"/>
      <c r="P2125" s="7"/>
    </row>
    <row r="2126" spans="1:16" x14ac:dyDescent="0.35">
      <c r="A2126" s="7"/>
      <c r="C2126" s="31" t="str">
        <f>IF(指数列表!B2123="","",指数列表!B2123)</f>
        <v/>
      </c>
      <c r="D2126" s="36" t="str">
        <f>IF(C2126="","",[1]!s_info_name(C2126))</f>
        <v/>
      </c>
      <c r="E2126" s="25" t="str">
        <f>IF(C2126="","",[1]!s_dq_close(C2126,$N$1))</f>
        <v/>
      </c>
      <c r="F2126" s="28" t="str">
        <f>IF($C2126=""," ",[1]!i_pq_pctchange($C2126,F$6,$N$1))</f>
        <v xml:space="preserve"> </v>
      </c>
      <c r="G2126" s="28" t="str">
        <f>IF($C2126=""," ",[1]!i_pq_pctchange($C2126,G$6,$N$1))</f>
        <v xml:space="preserve"> </v>
      </c>
      <c r="H2126" s="28" t="str">
        <f>IF($C2126=""," ",[1]!i_pq_pctchange($C2126,H$6,$N$1))</f>
        <v xml:space="preserve"> </v>
      </c>
      <c r="I2126" s="28" t="str">
        <f>IF($C2126=""," ",[1]!i_pq_pctchange($C2126,I$6,$N$1))</f>
        <v xml:space="preserve"> </v>
      </c>
      <c r="J2126" s="28" t="str">
        <f>IF($C2126=""," ",[1]!i_pq_pctchange($C2126,J$6,$N$1))</f>
        <v xml:space="preserve"> </v>
      </c>
      <c r="K2126" s="28" t="str">
        <f>IF($C2126=""," ",[1]!i_pq_pctchange($C2126,K$6,$N$1))</f>
        <v xml:space="preserve"> </v>
      </c>
      <c r="L2126" s="28" t="str">
        <f>IF(C2126=""," ",[1]!s_wq_pctchange($C2126,$N$1))</f>
        <v xml:space="preserve"> </v>
      </c>
      <c r="M2126" s="28" t="str">
        <f>IF(C2126=""," ",[1]!s_mq_pctchange($C2126,$N$1))</f>
        <v xml:space="preserve"> </v>
      </c>
      <c r="N2126" s="28" t="str">
        <f>IF(C2126=""," ",[1]!s_yq_pctchange($C2126,$N$1))</f>
        <v xml:space="preserve"> </v>
      </c>
      <c r="O2126" s="11"/>
      <c r="P2126" s="7"/>
    </row>
    <row r="2127" spans="1:16" x14ac:dyDescent="0.35">
      <c r="A2127" s="7"/>
      <c r="C2127" s="30" t="str">
        <f>IF(指数列表!B2124="","",指数列表!B2124)</f>
        <v/>
      </c>
      <c r="D2127" s="35" t="str">
        <f>IF(C2127="","",[1]!s_info_name(C2127))</f>
        <v/>
      </c>
      <c r="E2127" s="24" t="str">
        <f>IF(C2127="","",[1]!s_dq_close(C2127,$N$1))</f>
        <v/>
      </c>
      <c r="F2127" s="28" t="str">
        <f>IF($C2127=""," ",[1]!i_pq_pctchange($C2127,F$6,$N$1))</f>
        <v xml:space="preserve"> </v>
      </c>
      <c r="G2127" s="28" t="str">
        <f>IF($C2127=""," ",[1]!i_pq_pctchange($C2127,G$6,$N$1))</f>
        <v xml:space="preserve"> </v>
      </c>
      <c r="H2127" s="28" t="str">
        <f>IF($C2127=""," ",[1]!i_pq_pctchange($C2127,H$6,$N$1))</f>
        <v xml:space="preserve"> </v>
      </c>
      <c r="I2127" s="28" t="str">
        <f>IF($C2127=""," ",[1]!i_pq_pctchange($C2127,I$6,$N$1))</f>
        <v xml:space="preserve"> </v>
      </c>
      <c r="J2127" s="28" t="str">
        <f>IF($C2127=""," ",[1]!i_pq_pctchange($C2127,J$6,$N$1))</f>
        <v xml:space="preserve"> </v>
      </c>
      <c r="K2127" s="28" t="str">
        <f>IF($C2127=""," ",[1]!i_pq_pctchange($C2127,K$6,$N$1))</f>
        <v xml:space="preserve"> </v>
      </c>
      <c r="L2127" s="28" t="str">
        <f>IF(C2127=""," ",[1]!s_wq_pctchange($C2127,$N$1))</f>
        <v xml:space="preserve"> </v>
      </c>
      <c r="M2127" s="28" t="str">
        <f>IF(C2127=""," ",[1]!s_mq_pctchange($C2127,$N$1))</f>
        <v xml:space="preserve"> </v>
      </c>
      <c r="N2127" s="28" t="str">
        <f>IF(C2127=""," ",[1]!s_yq_pctchange($C2127,$N$1))</f>
        <v xml:space="preserve"> </v>
      </c>
      <c r="O2127" s="11"/>
      <c r="P2127" s="7"/>
    </row>
    <row r="2128" spans="1:16" x14ac:dyDescent="0.35">
      <c r="A2128" s="7"/>
      <c r="C2128" s="31" t="str">
        <f>IF(指数列表!B2125="","",指数列表!B2125)</f>
        <v/>
      </c>
      <c r="D2128" s="36" t="str">
        <f>IF(C2128="","",[1]!s_info_name(C2128))</f>
        <v/>
      </c>
      <c r="E2128" s="25" t="str">
        <f>IF(C2128="","",[1]!s_dq_close(C2128,$N$1))</f>
        <v/>
      </c>
      <c r="F2128" s="28" t="str">
        <f>IF($C2128=""," ",[1]!i_pq_pctchange($C2128,F$6,$N$1))</f>
        <v xml:space="preserve"> </v>
      </c>
      <c r="G2128" s="28" t="str">
        <f>IF($C2128=""," ",[1]!i_pq_pctchange($C2128,G$6,$N$1))</f>
        <v xml:space="preserve"> </v>
      </c>
      <c r="H2128" s="28" t="str">
        <f>IF($C2128=""," ",[1]!i_pq_pctchange($C2128,H$6,$N$1))</f>
        <v xml:space="preserve"> </v>
      </c>
      <c r="I2128" s="28" t="str">
        <f>IF($C2128=""," ",[1]!i_pq_pctchange($C2128,I$6,$N$1))</f>
        <v xml:space="preserve"> </v>
      </c>
      <c r="J2128" s="28" t="str">
        <f>IF($C2128=""," ",[1]!i_pq_pctchange($C2128,J$6,$N$1))</f>
        <v xml:space="preserve"> </v>
      </c>
      <c r="K2128" s="28" t="str">
        <f>IF($C2128=""," ",[1]!i_pq_pctchange($C2128,K$6,$N$1))</f>
        <v xml:space="preserve"> </v>
      </c>
      <c r="L2128" s="28" t="str">
        <f>IF(C2128=""," ",[1]!s_wq_pctchange($C2128,$N$1))</f>
        <v xml:space="preserve"> </v>
      </c>
      <c r="M2128" s="28" t="str">
        <f>IF(C2128=""," ",[1]!s_mq_pctchange($C2128,$N$1))</f>
        <v xml:space="preserve"> </v>
      </c>
      <c r="N2128" s="28" t="str">
        <f>IF(C2128=""," ",[1]!s_yq_pctchange($C2128,$N$1))</f>
        <v xml:space="preserve"> </v>
      </c>
      <c r="O2128" s="11"/>
      <c r="P2128" s="7"/>
    </row>
    <row r="2129" spans="1:16" x14ac:dyDescent="0.35">
      <c r="A2129" s="7"/>
      <c r="C2129" s="30" t="str">
        <f>IF(指数列表!B2126="","",指数列表!B2126)</f>
        <v/>
      </c>
      <c r="D2129" s="35" t="str">
        <f>IF(C2129="","",[1]!s_info_name(C2129))</f>
        <v/>
      </c>
      <c r="E2129" s="24" t="str">
        <f>IF(C2129="","",[1]!s_dq_close(C2129,$N$1))</f>
        <v/>
      </c>
      <c r="F2129" s="28" t="str">
        <f>IF($C2129=""," ",[1]!i_pq_pctchange($C2129,F$6,$N$1))</f>
        <v xml:space="preserve"> </v>
      </c>
      <c r="G2129" s="28" t="str">
        <f>IF($C2129=""," ",[1]!i_pq_pctchange($C2129,G$6,$N$1))</f>
        <v xml:space="preserve"> </v>
      </c>
      <c r="H2129" s="28" t="str">
        <f>IF($C2129=""," ",[1]!i_pq_pctchange($C2129,H$6,$N$1))</f>
        <v xml:space="preserve"> </v>
      </c>
      <c r="I2129" s="28" t="str">
        <f>IF($C2129=""," ",[1]!i_pq_pctchange($C2129,I$6,$N$1))</f>
        <v xml:space="preserve"> </v>
      </c>
      <c r="J2129" s="28" t="str">
        <f>IF($C2129=""," ",[1]!i_pq_pctchange($C2129,J$6,$N$1))</f>
        <v xml:space="preserve"> </v>
      </c>
      <c r="K2129" s="28" t="str">
        <f>IF($C2129=""," ",[1]!i_pq_pctchange($C2129,K$6,$N$1))</f>
        <v xml:space="preserve"> </v>
      </c>
      <c r="L2129" s="28" t="str">
        <f>IF(C2129=""," ",[1]!s_wq_pctchange($C2129,$N$1))</f>
        <v xml:space="preserve"> </v>
      </c>
      <c r="M2129" s="28" t="str">
        <f>IF(C2129=""," ",[1]!s_mq_pctchange($C2129,$N$1))</f>
        <v xml:space="preserve"> </v>
      </c>
      <c r="N2129" s="28" t="str">
        <f>IF(C2129=""," ",[1]!s_yq_pctchange($C2129,$N$1))</f>
        <v xml:space="preserve"> </v>
      </c>
      <c r="O2129" s="11"/>
      <c r="P2129" s="7"/>
    </row>
    <row r="2130" spans="1:16" x14ac:dyDescent="0.35">
      <c r="A2130" s="7"/>
      <c r="C2130" s="31" t="str">
        <f>IF(指数列表!B2127="","",指数列表!B2127)</f>
        <v/>
      </c>
      <c r="D2130" s="36" t="str">
        <f>IF(C2130="","",[1]!s_info_name(C2130))</f>
        <v/>
      </c>
      <c r="E2130" s="25" t="str">
        <f>IF(C2130="","",[1]!s_dq_close(C2130,$N$1))</f>
        <v/>
      </c>
      <c r="F2130" s="28" t="str">
        <f>IF($C2130=""," ",[1]!i_pq_pctchange($C2130,F$6,$N$1))</f>
        <v xml:space="preserve"> </v>
      </c>
      <c r="G2130" s="28" t="str">
        <f>IF($C2130=""," ",[1]!i_pq_pctchange($C2130,G$6,$N$1))</f>
        <v xml:space="preserve"> </v>
      </c>
      <c r="H2130" s="28" t="str">
        <f>IF($C2130=""," ",[1]!i_pq_pctchange($C2130,H$6,$N$1))</f>
        <v xml:space="preserve"> </v>
      </c>
      <c r="I2130" s="28" t="str">
        <f>IF($C2130=""," ",[1]!i_pq_pctchange($C2130,I$6,$N$1))</f>
        <v xml:space="preserve"> </v>
      </c>
      <c r="J2130" s="28" t="str">
        <f>IF($C2130=""," ",[1]!i_pq_pctchange($C2130,J$6,$N$1))</f>
        <v xml:space="preserve"> </v>
      </c>
      <c r="K2130" s="28" t="str">
        <f>IF($C2130=""," ",[1]!i_pq_pctchange($C2130,K$6,$N$1))</f>
        <v xml:space="preserve"> </v>
      </c>
      <c r="L2130" s="28" t="str">
        <f>IF(C2130=""," ",[1]!s_wq_pctchange($C2130,$N$1))</f>
        <v xml:space="preserve"> </v>
      </c>
      <c r="M2130" s="28" t="str">
        <f>IF(C2130=""," ",[1]!s_mq_pctchange($C2130,$N$1))</f>
        <v xml:space="preserve"> </v>
      </c>
      <c r="N2130" s="28" t="str">
        <f>IF(C2130=""," ",[1]!s_yq_pctchange($C2130,$N$1))</f>
        <v xml:space="preserve"> </v>
      </c>
      <c r="O2130" s="11"/>
      <c r="P2130" s="7"/>
    </row>
    <row r="2131" spans="1:16" x14ac:dyDescent="0.35">
      <c r="A2131" s="7"/>
      <c r="C2131" s="30" t="str">
        <f>IF(指数列表!B2128="","",指数列表!B2128)</f>
        <v/>
      </c>
      <c r="D2131" s="35" t="str">
        <f>IF(C2131="","",[1]!s_info_name(C2131))</f>
        <v/>
      </c>
      <c r="E2131" s="24" t="str">
        <f>IF(C2131="","",[1]!s_dq_close(C2131,$N$1))</f>
        <v/>
      </c>
      <c r="F2131" s="28" t="str">
        <f>IF($C2131=""," ",[1]!i_pq_pctchange($C2131,F$6,$N$1))</f>
        <v xml:space="preserve"> </v>
      </c>
      <c r="G2131" s="28" t="str">
        <f>IF($C2131=""," ",[1]!i_pq_pctchange($C2131,G$6,$N$1))</f>
        <v xml:space="preserve"> </v>
      </c>
      <c r="H2131" s="28" t="str">
        <f>IF($C2131=""," ",[1]!i_pq_pctchange($C2131,H$6,$N$1))</f>
        <v xml:space="preserve"> </v>
      </c>
      <c r="I2131" s="28" t="str">
        <f>IF($C2131=""," ",[1]!i_pq_pctchange($C2131,I$6,$N$1))</f>
        <v xml:space="preserve"> </v>
      </c>
      <c r="J2131" s="28" t="str">
        <f>IF($C2131=""," ",[1]!i_pq_pctchange($C2131,J$6,$N$1))</f>
        <v xml:space="preserve"> </v>
      </c>
      <c r="K2131" s="28" t="str">
        <f>IF($C2131=""," ",[1]!i_pq_pctchange($C2131,K$6,$N$1))</f>
        <v xml:space="preserve"> </v>
      </c>
      <c r="L2131" s="28" t="str">
        <f>IF(C2131=""," ",[1]!s_wq_pctchange($C2131,$N$1))</f>
        <v xml:space="preserve"> </v>
      </c>
      <c r="M2131" s="28" t="str">
        <f>IF(C2131=""," ",[1]!s_mq_pctchange($C2131,$N$1))</f>
        <v xml:space="preserve"> </v>
      </c>
      <c r="N2131" s="28" t="str">
        <f>IF(C2131=""," ",[1]!s_yq_pctchange($C2131,$N$1))</f>
        <v xml:space="preserve"> </v>
      </c>
      <c r="O2131" s="11"/>
      <c r="P2131" s="7"/>
    </row>
    <row r="2132" spans="1:16" x14ac:dyDescent="0.35">
      <c r="A2132" s="7"/>
      <c r="C2132" s="31" t="str">
        <f>IF(指数列表!B2129="","",指数列表!B2129)</f>
        <v/>
      </c>
      <c r="D2132" s="36" t="str">
        <f>IF(C2132="","",[1]!s_info_name(C2132))</f>
        <v/>
      </c>
      <c r="E2132" s="25" t="str">
        <f>IF(C2132="","",[1]!s_dq_close(C2132,$N$1))</f>
        <v/>
      </c>
      <c r="F2132" s="28" t="str">
        <f>IF($C2132=""," ",[1]!i_pq_pctchange($C2132,F$6,$N$1))</f>
        <v xml:space="preserve"> </v>
      </c>
      <c r="G2132" s="28" t="str">
        <f>IF($C2132=""," ",[1]!i_pq_pctchange($C2132,G$6,$N$1))</f>
        <v xml:space="preserve"> </v>
      </c>
      <c r="H2132" s="28" t="str">
        <f>IF($C2132=""," ",[1]!i_pq_pctchange($C2132,H$6,$N$1))</f>
        <v xml:space="preserve"> </v>
      </c>
      <c r="I2132" s="28" t="str">
        <f>IF($C2132=""," ",[1]!i_pq_pctchange($C2132,I$6,$N$1))</f>
        <v xml:space="preserve"> </v>
      </c>
      <c r="J2132" s="28" t="str">
        <f>IF($C2132=""," ",[1]!i_pq_pctchange($C2132,J$6,$N$1))</f>
        <v xml:space="preserve"> </v>
      </c>
      <c r="K2132" s="28" t="str">
        <f>IF($C2132=""," ",[1]!i_pq_pctchange($C2132,K$6,$N$1))</f>
        <v xml:space="preserve"> </v>
      </c>
      <c r="L2132" s="28" t="str">
        <f>IF(C2132=""," ",[1]!s_wq_pctchange($C2132,$N$1))</f>
        <v xml:space="preserve"> </v>
      </c>
      <c r="M2132" s="28" t="str">
        <f>IF(C2132=""," ",[1]!s_mq_pctchange($C2132,$N$1))</f>
        <v xml:space="preserve"> </v>
      </c>
      <c r="N2132" s="28" t="str">
        <f>IF(C2132=""," ",[1]!s_yq_pctchange($C2132,$N$1))</f>
        <v xml:space="preserve"> </v>
      </c>
      <c r="O2132" s="11"/>
      <c r="P2132" s="7"/>
    </row>
    <row r="2133" spans="1:16" x14ac:dyDescent="0.35">
      <c r="A2133" s="7"/>
      <c r="C2133" s="30" t="str">
        <f>IF(指数列表!B2130="","",指数列表!B2130)</f>
        <v/>
      </c>
      <c r="D2133" s="35" t="str">
        <f>IF(C2133="","",[1]!s_info_name(C2133))</f>
        <v/>
      </c>
      <c r="E2133" s="24" t="str">
        <f>IF(C2133="","",[1]!s_dq_close(C2133,$N$1))</f>
        <v/>
      </c>
      <c r="F2133" s="28" t="str">
        <f>IF($C2133=""," ",[1]!i_pq_pctchange($C2133,F$6,$N$1))</f>
        <v xml:space="preserve"> </v>
      </c>
      <c r="G2133" s="28" t="str">
        <f>IF($C2133=""," ",[1]!i_pq_pctchange($C2133,G$6,$N$1))</f>
        <v xml:space="preserve"> </v>
      </c>
      <c r="H2133" s="28" t="str">
        <f>IF($C2133=""," ",[1]!i_pq_pctchange($C2133,H$6,$N$1))</f>
        <v xml:space="preserve"> </v>
      </c>
      <c r="I2133" s="28" t="str">
        <f>IF($C2133=""," ",[1]!i_pq_pctchange($C2133,I$6,$N$1))</f>
        <v xml:space="preserve"> </v>
      </c>
      <c r="J2133" s="28" t="str">
        <f>IF($C2133=""," ",[1]!i_pq_pctchange($C2133,J$6,$N$1))</f>
        <v xml:space="preserve"> </v>
      </c>
      <c r="K2133" s="28" t="str">
        <f>IF($C2133=""," ",[1]!i_pq_pctchange($C2133,K$6,$N$1))</f>
        <v xml:space="preserve"> </v>
      </c>
      <c r="L2133" s="28" t="str">
        <f>IF(C2133=""," ",[1]!s_wq_pctchange($C2133,$N$1))</f>
        <v xml:space="preserve"> </v>
      </c>
      <c r="M2133" s="28" t="str">
        <f>IF(C2133=""," ",[1]!s_mq_pctchange($C2133,$N$1))</f>
        <v xml:space="preserve"> </v>
      </c>
      <c r="N2133" s="28" t="str">
        <f>IF(C2133=""," ",[1]!s_yq_pctchange($C2133,$N$1))</f>
        <v xml:space="preserve"> </v>
      </c>
      <c r="O2133" s="11"/>
      <c r="P2133" s="7"/>
    </row>
    <row r="2134" spans="1:16" x14ac:dyDescent="0.35">
      <c r="A2134" s="7"/>
      <c r="C2134" s="31" t="str">
        <f>IF(指数列表!B2131="","",指数列表!B2131)</f>
        <v/>
      </c>
      <c r="D2134" s="36" t="str">
        <f>IF(C2134="","",[1]!s_info_name(C2134))</f>
        <v/>
      </c>
      <c r="E2134" s="25" t="str">
        <f>IF(C2134="","",[1]!s_dq_close(C2134,$N$1))</f>
        <v/>
      </c>
      <c r="F2134" s="28" t="str">
        <f>IF($C2134=""," ",[1]!i_pq_pctchange($C2134,F$6,$N$1))</f>
        <v xml:space="preserve"> </v>
      </c>
      <c r="G2134" s="28" t="str">
        <f>IF($C2134=""," ",[1]!i_pq_pctchange($C2134,G$6,$N$1))</f>
        <v xml:space="preserve"> </v>
      </c>
      <c r="H2134" s="28" t="str">
        <f>IF($C2134=""," ",[1]!i_pq_pctchange($C2134,H$6,$N$1))</f>
        <v xml:space="preserve"> </v>
      </c>
      <c r="I2134" s="28" t="str">
        <f>IF($C2134=""," ",[1]!i_pq_pctchange($C2134,I$6,$N$1))</f>
        <v xml:space="preserve"> </v>
      </c>
      <c r="J2134" s="28" t="str">
        <f>IF($C2134=""," ",[1]!i_pq_pctchange($C2134,J$6,$N$1))</f>
        <v xml:space="preserve"> </v>
      </c>
      <c r="K2134" s="28" t="str">
        <f>IF($C2134=""," ",[1]!i_pq_pctchange($C2134,K$6,$N$1))</f>
        <v xml:space="preserve"> </v>
      </c>
      <c r="L2134" s="28" t="str">
        <f>IF(C2134=""," ",[1]!s_wq_pctchange($C2134,$N$1))</f>
        <v xml:space="preserve"> </v>
      </c>
      <c r="M2134" s="28" t="str">
        <f>IF(C2134=""," ",[1]!s_mq_pctchange($C2134,$N$1))</f>
        <v xml:space="preserve"> </v>
      </c>
      <c r="N2134" s="28" t="str">
        <f>IF(C2134=""," ",[1]!s_yq_pctchange($C2134,$N$1))</f>
        <v xml:space="preserve"> </v>
      </c>
      <c r="O2134" s="11"/>
      <c r="P2134" s="7"/>
    </row>
    <row r="2135" spans="1:16" x14ac:dyDescent="0.35">
      <c r="A2135" s="7"/>
      <c r="C2135" s="30" t="str">
        <f>IF(指数列表!B2132="","",指数列表!B2132)</f>
        <v/>
      </c>
      <c r="D2135" s="35" t="str">
        <f>IF(C2135="","",[1]!s_info_name(C2135))</f>
        <v/>
      </c>
      <c r="E2135" s="24" t="str">
        <f>IF(C2135="","",[1]!s_dq_close(C2135,$N$1))</f>
        <v/>
      </c>
      <c r="F2135" s="28" t="str">
        <f>IF($C2135=""," ",[1]!i_pq_pctchange($C2135,F$6,$N$1))</f>
        <v xml:space="preserve"> </v>
      </c>
      <c r="G2135" s="28" t="str">
        <f>IF($C2135=""," ",[1]!i_pq_pctchange($C2135,G$6,$N$1))</f>
        <v xml:space="preserve"> </v>
      </c>
      <c r="H2135" s="28" t="str">
        <f>IF($C2135=""," ",[1]!i_pq_pctchange($C2135,H$6,$N$1))</f>
        <v xml:space="preserve"> </v>
      </c>
      <c r="I2135" s="28" t="str">
        <f>IF($C2135=""," ",[1]!i_pq_pctchange($C2135,I$6,$N$1))</f>
        <v xml:space="preserve"> </v>
      </c>
      <c r="J2135" s="28" t="str">
        <f>IF($C2135=""," ",[1]!i_pq_pctchange($C2135,J$6,$N$1))</f>
        <v xml:space="preserve"> </v>
      </c>
      <c r="K2135" s="28" t="str">
        <f>IF($C2135=""," ",[1]!i_pq_pctchange($C2135,K$6,$N$1))</f>
        <v xml:space="preserve"> </v>
      </c>
      <c r="L2135" s="28" t="str">
        <f>IF(C2135=""," ",[1]!s_wq_pctchange($C2135,$N$1))</f>
        <v xml:space="preserve"> </v>
      </c>
      <c r="M2135" s="28" t="str">
        <f>IF(C2135=""," ",[1]!s_mq_pctchange($C2135,$N$1))</f>
        <v xml:space="preserve"> </v>
      </c>
      <c r="N2135" s="28" t="str">
        <f>IF(C2135=""," ",[1]!s_yq_pctchange($C2135,$N$1))</f>
        <v xml:space="preserve"> </v>
      </c>
      <c r="O2135" s="11"/>
      <c r="P2135" s="7"/>
    </row>
    <row r="2136" spans="1:16" x14ac:dyDescent="0.35">
      <c r="A2136" s="7"/>
      <c r="C2136" s="31" t="str">
        <f>IF(指数列表!B2133="","",指数列表!B2133)</f>
        <v/>
      </c>
      <c r="D2136" s="36" t="str">
        <f>IF(C2136="","",[1]!s_info_name(C2136))</f>
        <v/>
      </c>
      <c r="E2136" s="25" t="str">
        <f>IF(C2136="","",[1]!s_dq_close(C2136,$N$1))</f>
        <v/>
      </c>
      <c r="F2136" s="28" t="str">
        <f>IF($C2136=""," ",[1]!i_pq_pctchange($C2136,F$6,$N$1))</f>
        <v xml:space="preserve"> </v>
      </c>
      <c r="G2136" s="28" t="str">
        <f>IF($C2136=""," ",[1]!i_pq_pctchange($C2136,G$6,$N$1))</f>
        <v xml:space="preserve"> </v>
      </c>
      <c r="H2136" s="28" t="str">
        <f>IF($C2136=""," ",[1]!i_pq_pctchange($C2136,H$6,$N$1))</f>
        <v xml:space="preserve"> </v>
      </c>
      <c r="I2136" s="28" t="str">
        <f>IF($C2136=""," ",[1]!i_pq_pctchange($C2136,I$6,$N$1))</f>
        <v xml:space="preserve"> </v>
      </c>
      <c r="J2136" s="28" t="str">
        <f>IF($C2136=""," ",[1]!i_pq_pctchange($C2136,J$6,$N$1))</f>
        <v xml:space="preserve"> </v>
      </c>
      <c r="K2136" s="28" t="str">
        <f>IF($C2136=""," ",[1]!i_pq_pctchange($C2136,K$6,$N$1))</f>
        <v xml:space="preserve"> </v>
      </c>
      <c r="L2136" s="28" t="str">
        <f>IF(C2136=""," ",[1]!s_wq_pctchange($C2136,$N$1))</f>
        <v xml:space="preserve"> </v>
      </c>
      <c r="M2136" s="28" t="str">
        <f>IF(C2136=""," ",[1]!s_mq_pctchange($C2136,$N$1))</f>
        <v xml:space="preserve"> </v>
      </c>
      <c r="N2136" s="28" t="str">
        <f>IF(C2136=""," ",[1]!s_yq_pctchange($C2136,$N$1))</f>
        <v xml:space="preserve"> </v>
      </c>
      <c r="O2136" s="11"/>
      <c r="P2136" s="7"/>
    </row>
    <row r="2137" spans="1:16" x14ac:dyDescent="0.35">
      <c r="A2137" s="7"/>
      <c r="C2137" s="30" t="str">
        <f>IF(指数列表!B2134="","",指数列表!B2134)</f>
        <v/>
      </c>
      <c r="D2137" s="35" t="str">
        <f>IF(C2137="","",[1]!s_info_name(C2137))</f>
        <v/>
      </c>
      <c r="E2137" s="24" t="str">
        <f>IF(C2137="","",[1]!s_dq_close(C2137,$N$1))</f>
        <v/>
      </c>
      <c r="F2137" s="28" t="str">
        <f>IF($C2137=""," ",[1]!i_pq_pctchange($C2137,F$6,$N$1))</f>
        <v xml:space="preserve"> </v>
      </c>
      <c r="G2137" s="28" t="str">
        <f>IF($C2137=""," ",[1]!i_pq_pctchange($C2137,G$6,$N$1))</f>
        <v xml:space="preserve"> </v>
      </c>
      <c r="H2137" s="28" t="str">
        <f>IF($C2137=""," ",[1]!i_pq_pctchange($C2137,H$6,$N$1))</f>
        <v xml:space="preserve"> </v>
      </c>
      <c r="I2137" s="28" t="str">
        <f>IF($C2137=""," ",[1]!i_pq_pctchange($C2137,I$6,$N$1))</f>
        <v xml:space="preserve"> </v>
      </c>
      <c r="J2137" s="28" t="str">
        <f>IF($C2137=""," ",[1]!i_pq_pctchange($C2137,J$6,$N$1))</f>
        <v xml:space="preserve"> </v>
      </c>
      <c r="K2137" s="28" t="str">
        <f>IF($C2137=""," ",[1]!i_pq_pctchange($C2137,K$6,$N$1))</f>
        <v xml:space="preserve"> </v>
      </c>
      <c r="L2137" s="28" t="str">
        <f>IF(C2137=""," ",[1]!s_wq_pctchange($C2137,$N$1))</f>
        <v xml:space="preserve"> </v>
      </c>
      <c r="M2137" s="28" t="str">
        <f>IF(C2137=""," ",[1]!s_mq_pctchange($C2137,$N$1))</f>
        <v xml:space="preserve"> </v>
      </c>
      <c r="N2137" s="28" t="str">
        <f>IF(C2137=""," ",[1]!s_yq_pctchange($C2137,$N$1))</f>
        <v xml:space="preserve"> </v>
      </c>
      <c r="O2137" s="11"/>
      <c r="P2137" s="7"/>
    </row>
    <row r="2138" spans="1:16" x14ac:dyDescent="0.35">
      <c r="A2138" s="7"/>
      <c r="C2138" s="31" t="str">
        <f>IF(指数列表!B2135="","",指数列表!B2135)</f>
        <v/>
      </c>
      <c r="D2138" s="36" t="str">
        <f>IF(C2138="","",[1]!s_info_name(C2138))</f>
        <v/>
      </c>
      <c r="E2138" s="25" t="str">
        <f>IF(C2138="","",[1]!s_dq_close(C2138,$N$1))</f>
        <v/>
      </c>
      <c r="F2138" s="28" t="str">
        <f>IF($C2138=""," ",[1]!i_pq_pctchange($C2138,F$6,$N$1))</f>
        <v xml:space="preserve"> </v>
      </c>
      <c r="G2138" s="28" t="str">
        <f>IF($C2138=""," ",[1]!i_pq_pctchange($C2138,G$6,$N$1))</f>
        <v xml:space="preserve"> </v>
      </c>
      <c r="H2138" s="28" t="str">
        <f>IF($C2138=""," ",[1]!i_pq_pctchange($C2138,H$6,$N$1))</f>
        <v xml:space="preserve"> </v>
      </c>
      <c r="I2138" s="28" t="str">
        <f>IF($C2138=""," ",[1]!i_pq_pctchange($C2138,I$6,$N$1))</f>
        <v xml:space="preserve"> </v>
      </c>
      <c r="J2138" s="28" t="str">
        <f>IF($C2138=""," ",[1]!i_pq_pctchange($C2138,J$6,$N$1))</f>
        <v xml:space="preserve"> </v>
      </c>
      <c r="K2138" s="28" t="str">
        <f>IF($C2138=""," ",[1]!i_pq_pctchange($C2138,K$6,$N$1))</f>
        <v xml:space="preserve"> </v>
      </c>
      <c r="L2138" s="28" t="str">
        <f>IF(C2138=""," ",[1]!s_wq_pctchange($C2138,$N$1))</f>
        <v xml:space="preserve"> </v>
      </c>
      <c r="M2138" s="28" t="str">
        <f>IF(C2138=""," ",[1]!s_mq_pctchange($C2138,$N$1))</f>
        <v xml:space="preserve"> </v>
      </c>
      <c r="N2138" s="28" t="str">
        <f>IF(C2138=""," ",[1]!s_yq_pctchange($C2138,$N$1))</f>
        <v xml:space="preserve"> </v>
      </c>
      <c r="O2138" s="11"/>
      <c r="P2138" s="7"/>
    </row>
    <row r="2139" spans="1:16" x14ac:dyDescent="0.35">
      <c r="A2139" s="7"/>
      <c r="C2139" s="30" t="str">
        <f>IF(指数列表!B2136="","",指数列表!B2136)</f>
        <v/>
      </c>
      <c r="D2139" s="35" t="str">
        <f>IF(C2139="","",[1]!s_info_name(C2139))</f>
        <v/>
      </c>
      <c r="E2139" s="24" t="str">
        <f>IF(C2139="","",[1]!s_dq_close(C2139,$N$1))</f>
        <v/>
      </c>
      <c r="F2139" s="28" t="str">
        <f>IF($C2139=""," ",[1]!i_pq_pctchange($C2139,F$6,$N$1))</f>
        <v xml:space="preserve"> </v>
      </c>
      <c r="G2139" s="28" t="str">
        <f>IF($C2139=""," ",[1]!i_pq_pctchange($C2139,G$6,$N$1))</f>
        <v xml:space="preserve"> </v>
      </c>
      <c r="H2139" s="28" t="str">
        <f>IF($C2139=""," ",[1]!i_pq_pctchange($C2139,H$6,$N$1))</f>
        <v xml:space="preserve"> </v>
      </c>
      <c r="I2139" s="28" t="str">
        <f>IF($C2139=""," ",[1]!i_pq_pctchange($C2139,I$6,$N$1))</f>
        <v xml:space="preserve"> </v>
      </c>
      <c r="J2139" s="28" t="str">
        <f>IF($C2139=""," ",[1]!i_pq_pctchange($C2139,J$6,$N$1))</f>
        <v xml:space="preserve"> </v>
      </c>
      <c r="K2139" s="28" t="str">
        <f>IF($C2139=""," ",[1]!i_pq_pctchange($C2139,K$6,$N$1))</f>
        <v xml:space="preserve"> </v>
      </c>
      <c r="L2139" s="28" t="str">
        <f>IF(C2139=""," ",[1]!s_wq_pctchange($C2139,$N$1))</f>
        <v xml:space="preserve"> </v>
      </c>
      <c r="M2139" s="28" t="str">
        <f>IF(C2139=""," ",[1]!s_mq_pctchange($C2139,$N$1))</f>
        <v xml:space="preserve"> </v>
      </c>
      <c r="N2139" s="28" t="str">
        <f>IF(C2139=""," ",[1]!s_yq_pctchange($C2139,$N$1))</f>
        <v xml:space="preserve"> </v>
      </c>
      <c r="O2139" s="11"/>
      <c r="P2139" s="7"/>
    </row>
    <row r="2140" spans="1:16" x14ac:dyDescent="0.35">
      <c r="A2140" s="7"/>
      <c r="C2140" s="31" t="str">
        <f>IF(指数列表!B2137="","",指数列表!B2137)</f>
        <v/>
      </c>
      <c r="D2140" s="36" t="str">
        <f>IF(C2140="","",[1]!s_info_name(C2140))</f>
        <v/>
      </c>
      <c r="E2140" s="25" t="str">
        <f>IF(C2140="","",[1]!s_dq_close(C2140,$N$1))</f>
        <v/>
      </c>
      <c r="F2140" s="28" t="str">
        <f>IF($C2140=""," ",[1]!i_pq_pctchange($C2140,F$6,$N$1))</f>
        <v xml:space="preserve"> </v>
      </c>
      <c r="G2140" s="28" t="str">
        <f>IF($C2140=""," ",[1]!i_pq_pctchange($C2140,G$6,$N$1))</f>
        <v xml:space="preserve"> </v>
      </c>
      <c r="H2140" s="28" t="str">
        <f>IF($C2140=""," ",[1]!i_pq_pctchange($C2140,H$6,$N$1))</f>
        <v xml:space="preserve"> </v>
      </c>
      <c r="I2140" s="28" t="str">
        <f>IF($C2140=""," ",[1]!i_pq_pctchange($C2140,I$6,$N$1))</f>
        <v xml:space="preserve"> </v>
      </c>
      <c r="J2140" s="28" t="str">
        <f>IF($C2140=""," ",[1]!i_pq_pctchange($C2140,J$6,$N$1))</f>
        <v xml:space="preserve"> </v>
      </c>
      <c r="K2140" s="28" t="str">
        <f>IF($C2140=""," ",[1]!i_pq_pctchange($C2140,K$6,$N$1))</f>
        <v xml:space="preserve"> </v>
      </c>
      <c r="L2140" s="28" t="str">
        <f>IF(C2140=""," ",[1]!s_wq_pctchange($C2140,$N$1))</f>
        <v xml:space="preserve"> </v>
      </c>
      <c r="M2140" s="28" t="str">
        <f>IF(C2140=""," ",[1]!s_mq_pctchange($C2140,$N$1))</f>
        <v xml:space="preserve"> </v>
      </c>
      <c r="N2140" s="28" t="str">
        <f>IF(C2140=""," ",[1]!s_yq_pctchange($C2140,$N$1))</f>
        <v xml:space="preserve"> </v>
      </c>
      <c r="O2140" s="11"/>
      <c r="P2140" s="7"/>
    </row>
    <row r="2141" spans="1:16" x14ac:dyDescent="0.35">
      <c r="A2141" s="7"/>
      <c r="C2141" s="30" t="str">
        <f>IF(指数列表!B2138="","",指数列表!B2138)</f>
        <v/>
      </c>
      <c r="D2141" s="35" t="str">
        <f>IF(C2141="","",[1]!s_info_name(C2141))</f>
        <v/>
      </c>
      <c r="E2141" s="24" t="str">
        <f>IF(C2141="","",[1]!s_dq_close(C2141,$N$1))</f>
        <v/>
      </c>
      <c r="F2141" s="28" t="str">
        <f>IF($C2141=""," ",[1]!i_pq_pctchange($C2141,F$6,$N$1))</f>
        <v xml:space="preserve"> </v>
      </c>
      <c r="G2141" s="28" t="str">
        <f>IF($C2141=""," ",[1]!i_pq_pctchange($C2141,G$6,$N$1))</f>
        <v xml:space="preserve"> </v>
      </c>
      <c r="H2141" s="28" t="str">
        <f>IF($C2141=""," ",[1]!i_pq_pctchange($C2141,H$6,$N$1))</f>
        <v xml:space="preserve"> </v>
      </c>
      <c r="I2141" s="28" t="str">
        <f>IF($C2141=""," ",[1]!i_pq_pctchange($C2141,I$6,$N$1))</f>
        <v xml:space="preserve"> </v>
      </c>
      <c r="J2141" s="28" t="str">
        <f>IF($C2141=""," ",[1]!i_pq_pctchange($C2141,J$6,$N$1))</f>
        <v xml:space="preserve"> </v>
      </c>
      <c r="K2141" s="28" t="str">
        <f>IF($C2141=""," ",[1]!i_pq_pctchange($C2141,K$6,$N$1))</f>
        <v xml:space="preserve"> </v>
      </c>
      <c r="L2141" s="28" t="str">
        <f>IF(C2141=""," ",[1]!s_wq_pctchange($C2141,$N$1))</f>
        <v xml:space="preserve"> </v>
      </c>
      <c r="M2141" s="28" t="str">
        <f>IF(C2141=""," ",[1]!s_mq_pctchange($C2141,$N$1))</f>
        <v xml:space="preserve"> </v>
      </c>
      <c r="N2141" s="28" t="str">
        <f>IF(C2141=""," ",[1]!s_yq_pctchange($C2141,$N$1))</f>
        <v xml:space="preserve"> </v>
      </c>
      <c r="O2141" s="11"/>
      <c r="P2141" s="7"/>
    </row>
    <row r="2142" spans="1:16" x14ac:dyDescent="0.35">
      <c r="A2142" s="7"/>
      <c r="C2142" s="31" t="str">
        <f>IF(指数列表!B2139="","",指数列表!B2139)</f>
        <v/>
      </c>
      <c r="D2142" s="36" t="str">
        <f>IF(C2142="","",[1]!s_info_name(C2142))</f>
        <v/>
      </c>
      <c r="E2142" s="25" t="str">
        <f>IF(C2142="","",[1]!s_dq_close(C2142,$N$1))</f>
        <v/>
      </c>
      <c r="F2142" s="28" t="str">
        <f>IF($C2142=""," ",[1]!i_pq_pctchange($C2142,F$6,$N$1))</f>
        <v xml:space="preserve"> </v>
      </c>
      <c r="G2142" s="28" t="str">
        <f>IF($C2142=""," ",[1]!i_pq_pctchange($C2142,G$6,$N$1))</f>
        <v xml:space="preserve"> </v>
      </c>
      <c r="H2142" s="28" t="str">
        <f>IF($C2142=""," ",[1]!i_pq_pctchange($C2142,H$6,$N$1))</f>
        <v xml:space="preserve"> </v>
      </c>
      <c r="I2142" s="28" t="str">
        <f>IF($C2142=""," ",[1]!i_pq_pctchange($C2142,I$6,$N$1))</f>
        <v xml:space="preserve"> </v>
      </c>
      <c r="J2142" s="28" t="str">
        <f>IF($C2142=""," ",[1]!i_pq_pctchange($C2142,J$6,$N$1))</f>
        <v xml:space="preserve"> </v>
      </c>
      <c r="K2142" s="28" t="str">
        <f>IF($C2142=""," ",[1]!i_pq_pctchange($C2142,K$6,$N$1))</f>
        <v xml:space="preserve"> </v>
      </c>
      <c r="L2142" s="28" t="str">
        <f>IF(C2142=""," ",[1]!s_wq_pctchange($C2142,$N$1))</f>
        <v xml:space="preserve"> </v>
      </c>
      <c r="M2142" s="28" t="str">
        <f>IF(C2142=""," ",[1]!s_mq_pctchange($C2142,$N$1))</f>
        <v xml:space="preserve"> </v>
      </c>
      <c r="N2142" s="28" t="str">
        <f>IF(C2142=""," ",[1]!s_yq_pctchange($C2142,$N$1))</f>
        <v xml:space="preserve"> </v>
      </c>
      <c r="O2142" s="11"/>
      <c r="P2142" s="7"/>
    </row>
    <row r="2143" spans="1:16" x14ac:dyDescent="0.35">
      <c r="A2143" s="7"/>
      <c r="C2143" s="30" t="str">
        <f>IF(指数列表!B2140="","",指数列表!B2140)</f>
        <v/>
      </c>
      <c r="D2143" s="35" t="str">
        <f>IF(C2143="","",[1]!s_info_name(C2143))</f>
        <v/>
      </c>
      <c r="E2143" s="24" t="str">
        <f>IF(C2143="","",[1]!s_dq_close(C2143,$N$1))</f>
        <v/>
      </c>
      <c r="F2143" s="28" t="str">
        <f>IF($C2143=""," ",[1]!i_pq_pctchange($C2143,F$6,$N$1))</f>
        <v xml:space="preserve"> </v>
      </c>
      <c r="G2143" s="28" t="str">
        <f>IF($C2143=""," ",[1]!i_pq_pctchange($C2143,G$6,$N$1))</f>
        <v xml:space="preserve"> </v>
      </c>
      <c r="H2143" s="28" t="str">
        <f>IF($C2143=""," ",[1]!i_pq_pctchange($C2143,H$6,$N$1))</f>
        <v xml:space="preserve"> </v>
      </c>
      <c r="I2143" s="28" t="str">
        <f>IF($C2143=""," ",[1]!i_pq_pctchange($C2143,I$6,$N$1))</f>
        <v xml:space="preserve"> </v>
      </c>
      <c r="J2143" s="28" t="str">
        <f>IF($C2143=""," ",[1]!i_pq_pctchange($C2143,J$6,$N$1))</f>
        <v xml:space="preserve"> </v>
      </c>
      <c r="K2143" s="28" t="str">
        <f>IF($C2143=""," ",[1]!i_pq_pctchange($C2143,K$6,$N$1))</f>
        <v xml:space="preserve"> </v>
      </c>
      <c r="L2143" s="28" t="str">
        <f>IF(C2143=""," ",[1]!s_wq_pctchange($C2143,$N$1))</f>
        <v xml:space="preserve"> </v>
      </c>
      <c r="M2143" s="28" t="str">
        <f>IF(C2143=""," ",[1]!s_mq_pctchange($C2143,$N$1))</f>
        <v xml:space="preserve"> </v>
      </c>
      <c r="N2143" s="28" t="str">
        <f>IF(C2143=""," ",[1]!s_yq_pctchange($C2143,$N$1))</f>
        <v xml:space="preserve"> </v>
      </c>
      <c r="O2143" s="11"/>
      <c r="P2143" s="7"/>
    </row>
    <row r="2144" spans="1:16" x14ac:dyDescent="0.35">
      <c r="A2144" s="7"/>
      <c r="C2144" s="31" t="str">
        <f>IF(指数列表!B2141="","",指数列表!B2141)</f>
        <v/>
      </c>
      <c r="D2144" s="36" t="str">
        <f>IF(C2144="","",[1]!s_info_name(C2144))</f>
        <v/>
      </c>
      <c r="E2144" s="25" t="str">
        <f>IF(C2144="","",[1]!s_dq_close(C2144,$N$1))</f>
        <v/>
      </c>
      <c r="F2144" s="28" t="str">
        <f>IF($C2144=""," ",[1]!i_pq_pctchange($C2144,F$6,$N$1))</f>
        <v xml:space="preserve"> </v>
      </c>
      <c r="G2144" s="28" t="str">
        <f>IF($C2144=""," ",[1]!i_pq_pctchange($C2144,G$6,$N$1))</f>
        <v xml:space="preserve"> </v>
      </c>
      <c r="H2144" s="28" t="str">
        <f>IF($C2144=""," ",[1]!i_pq_pctchange($C2144,H$6,$N$1))</f>
        <v xml:space="preserve"> </v>
      </c>
      <c r="I2144" s="28" t="str">
        <f>IF($C2144=""," ",[1]!i_pq_pctchange($C2144,I$6,$N$1))</f>
        <v xml:space="preserve"> </v>
      </c>
      <c r="J2144" s="28" t="str">
        <f>IF($C2144=""," ",[1]!i_pq_pctchange($C2144,J$6,$N$1))</f>
        <v xml:space="preserve"> </v>
      </c>
      <c r="K2144" s="28" t="str">
        <f>IF($C2144=""," ",[1]!i_pq_pctchange($C2144,K$6,$N$1))</f>
        <v xml:space="preserve"> </v>
      </c>
      <c r="L2144" s="28" t="str">
        <f>IF(C2144=""," ",[1]!s_wq_pctchange($C2144,$N$1))</f>
        <v xml:space="preserve"> </v>
      </c>
      <c r="M2144" s="28" t="str">
        <f>IF(C2144=""," ",[1]!s_mq_pctchange($C2144,$N$1))</f>
        <v xml:space="preserve"> </v>
      </c>
      <c r="N2144" s="28" t="str">
        <f>IF(C2144=""," ",[1]!s_yq_pctchange($C2144,$N$1))</f>
        <v xml:space="preserve"> </v>
      </c>
      <c r="O2144" s="11"/>
      <c r="P2144" s="7"/>
    </row>
    <row r="2145" spans="1:16" x14ac:dyDescent="0.35">
      <c r="A2145" s="7"/>
      <c r="C2145" s="30" t="str">
        <f>IF(指数列表!B2142="","",指数列表!B2142)</f>
        <v/>
      </c>
      <c r="D2145" s="35" t="str">
        <f>IF(C2145="","",[1]!s_info_name(C2145))</f>
        <v/>
      </c>
      <c r="E2145" s="24" t="str">
        <f>IF(C2145="","",[1]!s_dq_close(C2145,$N$1))</f>
        <v/>
      </c>
      <c r="F2145" s="28" t="str">
        <f>IF($C2145=""," ",[1]!i_pq_pctchange($C2145,F$6,$N$1))</f>
        <v xml:space="preserve"> </v>
      </c>
      <c r="G2145" s="28" t="str">
        <f>IF($C2145=""," ",[1]!i_pq_pctchange($C2145,G$6,$N$1))</f>
        <v xml:space="preserve"> </v>
      </c>
      <c r="H2145" s="28" t="str">
        <f>IF($C2145=""," ",[1]!i_pq_pctchange($C2145,H$6,$N$1))</f>
        <v xml:space="preserve"> </v>
      </c>
      <c r="I2145" s="28" t="str">
        <f>IF($C2145=""," ",[1]!i_pq_pctchange($C2145,I$6,$N$1))</f>
        <v xml:space="preserve"> </v>
      </c>
      <c r="J2145" s="28" t="str">
        <f>IF($C2145=""," ",[1]!i_pq_pctchange($C2145,J$6,$N$1))</f>
        <v xml:space="preserve"> </v>
      </c>
      <c r="K2145" s="28" t="str">
        <f>IF($C2145=""," ",[1]!i_pq_pctchange($C2145,K$6,$N$1))</f>
        <v xml:space="preserve"> </v>
      </c>
      <c r="L2145" s="28" t="str">
        <f>IF(C2145=""," ",[1]!s_wq_pctchange($C2145,$N$1))</f>
        <v xml:space="preserve"> </v>
      </c>
      <c r="M2145" s="28" t="str">
        <f>IF(C2145=""," ",[1]!s_mq_pctchange($C2145,$N$1))</f>
        <v xml:space="preserve"> </v>
      </c>
      <c r="N2145" s="28" t="str">
        <f>IF(C2145=""," ",[1]!s_yq_pctchange($C2145,$N$1))</f>
        <v xml:space="preserve"> </v>
      </c>
      <c r="O2145" s="11"/>
      <c r="P2145" s="7"/>
    </row>
    <row r="2146" spans="1:16" x14ac:dyDescent="0.35">
      <c r="A2146" s="7"/>
      <c r="C2146" s="31" t="str">
        <f>IF(指数列表!B2143="","",指数列表!B2143)</f>
        <v/>
      </c>
      <c r="D2146" s="36" t="str">
        <f>IF(C2146="","",[1]!s_info_name(C2146))</f>
        <v/>
      </c>
      <c r="E2146" s="25" t="str">
        <f>IF(C2146="","",[1]!s_dq_close(C2146,$N$1))</f>
        <v/>
      </c>
      <c r="F2146" s="28" t="str">
        <f>IF($C2146=""," ",[1]!i_pq_pctchange($C2146,F$6,$N$1))</f>
        <v xml:space="preserve"> </v>
      </c>
      <c r="G2146" s="28" t="str">
        <f>IF($C2146=""," ",[1]!i_pq_pctchange($C2146,G$6,$N$1))</f>
        <v xml:space="preserve"> </v>
      </c>
      <c r="H2146" s="28" t="str">
        <f>IF($C2146=""," ",[1]!i_pq_pctchange($C2146,H$6,$N$1))</f>
        <v xml:space="preserve"> </v>
      </c>
      <c r="I2146" s="28" t="str">
        <f>IF($C2146=""," ",[1]!i_pq_pctchange($C2146,I$6,$N$1))</f>
        <v xml:space="preserve"> </v>
      </c>
      <c r="J2146" s="28" t="str">
        <f>IF($C2146=""," ",[1]!i_pq_pctchange($C2146,J$6,$N$1))</f>
        <v xml:space="preserve"> </v>
      </c>
      <c r="K2146" s="28" t="str">
        <f>IF($C2146=""," ",[1]!i_pq_pctchange($C2146,K$6,$N$1))</f>
        <v xml:space="preserve"> </v>
      </c>
      <c r="L2146" s="28" t="str">
        <f>IF(C2146=""," ",[1]!s_wq_pctchange($C2146,$N$1))</f>
        <v xml:space="preserve"> </v>
      </c>
      <c r="M2146" s="28" t="str">
        <f>IF(C2146=""," ",[1]!s_mq_pctchange($C2146,$N$1))</f>
        <v xml:space="preserve"> </v>
      </c>
      <c r="N2146" s="28" t="str">
        <f>IF(C2146=""," ",[1]!s_yq_pctchange($C2146,$N$1))</f>
        <v xml:space="preserve"> </v>
      </c>
      <c r="O2146" s="11"/>
      <c r="P2146" s="7"/>
    </row>
    <row r="2147" spans="1:16" x14ac:dyDescent="0.35">
      <c r="A2147" s="7"/>
      <c r="C2147" s="30" t="str">
        <f>IF(指数列表!B2144="","",指数列表!B2144)</f>
        <v/>
      </c>
      <c r="D2147" s="35" t="str">
        <f>IF(C2147="","",[1]!s_info_name(C2147))</f>
        <v/>
      </c>
      <c r="E2147" s="24" t="str">
        <f>IF(C2147="","",[1]!s_dq_close(C2147,$N$1))</f>
        <v/>
      </c>
      <c r="F2147" s="28" t="str">
        <f>IF($C2147=""," ",[1]!i_pq_pctchange($C2147,F$6,$N$1))</f>
        <v xml:space="preserve"> </v>
      </c>
      <c r="G2147" s="28" t="str">
        <f>IF($C2147=""," ",[1]!i_pq_pctchange($C2147,G$6,$N$1))</f>
        <v xml:space="preserve"> </v>
      </c>
      <c r="H2147" s="28" t="str">
        <f>IF($C2147=""," ",[1]!i_pq_pctchange($C2147,H$6,$N$1))</f>
        <v xml:space="preserve"> </v>
      </c>
      <c r="I2147" s="28" t="str">
        <f>IF($C2147=""," ",[1]!i_pq_pctchange($C2147,I$6,$N$1))</f>
        <v xml:space="preserve"> </v>
      </c>
      <c r="J2147" s="28" t="str">
        <f>IF($C2147=""," ",[1]!i_pq_pctchange($C2147,J$6,$N$1))</f>
        <v xml:space="preserve"> </v>
      </c>
      <c r="K2147" s="28" t="str">
        <f>IF($C2147=""," ",[1]!i_pq_pctchange($C2147,K$6,$N$1))</f>
        <v xml:space="preserve"> </v>
      </c>
      <c r="L2147" s="28" t="str">
        <f>IF(C2147=""," ",[1]!s_wq_pctchange($C2147,$N$1))</f>
        <v xml:space="preserve"> </v>
      </c>
      <c r="M2147" s="28" t="str">
        <f>IF(C2147=""," ",[1]!s_mq_pctchange($C2147,$N$1))</f>
        <v xml:space="preserve"> </v>
      </c>
      <c r="N2147" s="28" t="str">
        <f>IF(C2147=""," ",[1]!s_yq_pctchange($C2147,$N$1))</f>
        <v xml:space="preserve"> </v>
      </c>
      <c r="O2147" s="11"/>
      <c r="P2147" s="7"/>
    </row>
    <row r="2148" spans="1:16" x14ac:dyDescent="0.35">
      <c r="A2148" s="7"/>
      <c r="C2148" s="31" t="str">
        <f>IF(指数列表!B2145="","",指数列表!B2145)</f>
        <v/>
      </c>
      <c r="D2148" s="36" t="str">
        <f>IF(C2148="","",[1]!s_info_name(C2148))</f>
        <v/>
      </c>
      <c r="E2148" s="25" t="str">
        <f>IF(C2148="","",[1]!s_dq_close(C2148,$N$1))</f>
        <v/>
      </c>
      <c r="F2148" s="28" t="str">
        <f>IF($C2148=""," ",[1]!i_pq_pctchange($C2148,F$6,$N$1))</f>
        <v xml:space="preserve"> </v>
      </c>
      <c r="G2148" s="28" t="str">
        <f>IF($C2148=""," ",[1]!i_pq_pctchange($C2148,G$6,$N$1))</f>
        <v xml:space="preserve"> </v>
      </c>
      <c r="H2148" s="28" t="str">
        <f>IF($C2148=""," ",[1]!i_pq_pctchange($C2148,H$6,$N$1))</f>
        <v xml:space="preserve"> </v>
      </c>
      <c r="I2148" s="28" t="str">
        <f>IF($C2148=""," ",[1]!i_pq_pctchange($C2148,I$6,$N$1))</f>
        <v xml:space="preserve"> </v>
      </c>
      <c r="J2148" s="28" t="str">
        <f>IF($C2148=""," ",[1]!i_pq_pctchange($C2148,J$6,$N$1))</f>
        <v xml:space="preserve"> </v>
      </c>
      <c r="K2148" s="28" t="str">
        <f>IF($C2148=""," ",[1]!i_pq_pctchange($C2148,K$6,$N$1))</f>
        <v xml:space="preserve"> </v>
      </c>
      <c r="L2148" s="28" t="str">
        <f>IF(C2148=""," ",[1]!s_wq_pctchange($C2148,$N$1))</f>
        <v xml:space="preserve"> </v>
      </c>
      <c r="M2148" s="28" t="str">
        <f>IF(C2148=""," ",[1]!s_mq_pctchange($C2148,$N$1))</f>
        <v xml:space="preserve"> </v>
      </c>
      <c r="N2148" s="28" t="str">
        <f>IF(C2148=""," ",[1]!s_yq_pctchange($C2148,$N$1))</f>
        <v xml:space="preserve"> </v>
      </c>
      <c r="O2148" s="11"/>
      <c r="P2148" s="7"/>
    </row>
    <row r="2149" spans="1:16" x14ac:dyDescent="0.35">
      <c r="A2149" s="7"/>
      <c r="C2149" s="30" t="str">
        <f>IF(指数列表!B2146="","",指数列表!B2146)</f>
        <v/>
      </c>
      <c r="D2149" s="35" t="str">
        <f>IF(C2149="","",[1]!s_info_name(C2149))</f>
        <v/>
      </c>
      <c r="E2149" s="24" t="str">
        <f>IF(C2149="","",[1]!s_dq_close(C2149,$N$1))</f>
        <v/>
      </c>
      <c r="F2149" s="28" t="str">
        <f>IF($C2149=""," ",[1]!i_pq_pctchange($C2149,F$6,$N$1))</f>
        <v xml:space="preserve"> </v>
      </c>
      <c r="G2149" s="28" t="str">
        <f>IF($C2149=""," ",[1]!i_pq_pctchange($C2149,G$6,$N$1))</f>
        <v xml:space="preserve"> </v>
      </c>
      <c r="H2149" s="28" t="str">
        <f>IF($C2149=""," ",[1]!i_pq_pctchange($C2149,H$6,$N$1))</f>
        <v xml:space="preserve"> </v>
      </c>
      <c r="I2149" s="28" t="str">
        <f>IF($C2149=""," ",[1]!i_pq_pctchange($C2149,I$6,$N$1))</f>
        <v xml:space="preserve"> </v>
      </c>
      <c r="J2149" s="28" t="str">
        <f>IF($C2149=""," ",[1]!i_pq_pctchange($C2149,J$6,$N$1))</f>
        <v xml:space="preserve"> </v>
      </c>
      <c r="K2149" s="28" t="str">
        <f>IF($C2149=""," ",[1]!i_pq_pctchange($C2149,K$6,$N$1))</f>
        <v xml:space="preserve"> </v>
      </c>
      <c r="L2149" s="28" t="str">
        <f>IF(C2149=""," ",[1]!s_wq_pctchange($C2149,$N$1))</f>
        <v xml:space="preserve"> </v>
      </c>
      <c r="M2149" s="28" t="str">
        <f>IF(C2149=""," ",[1]!s_mq_pctchange($C2149,$N$1))</f>
        <v xml:space="preserve"> </v>
      </c>
      <c r="N2149" s="28" t="str">
        <f>IF(C2149=""," ",[1]!s_yq_pctchange($C2149,$N$1))</f>
        <v xml:space="preserve"> </v>
      </c>
      <c r="O2149" s="11"/>
      <c r="P2149" s="7"/>
    </row>
    <row r="2150" spans="1:16" x14ac:dyDescent="0.35">
      <c r="A2150" s="7"/>
      <c r="C2150" s="31" t="str">
        <f>IF(指数列表!B2147="","",指数列表!B2147)</f>
        <v/>
      </c>
      <c r="D2150" s="36" t="str">
        <f>IF(C2150="","",[1]!s_info_name(C2150))</f>
        <v/>
      </c>
      <c r="E2150" s="25" t="str">
        <f>IF(C2150="","",[1]!s_dq_close(C2150,$N$1))</f>
        <v/>
      </c>
      <c r="F2150" s="28" t="str">
        <f>IF($C2150=""," ",[1]!i_pq_pctchange($C2150,F$6,$N$1))</f>
        <v xml:space="preserve"> </v>
      </c>
      <c r="G2150" s="28" t="str">
        <f>IF($C2150=""," ",[1]!i_pq_pctchange($C2150,G$6,$N$1))</f>
        <v xml:space="preserve"> </v>
      </c>
      <c r="H2150" s="28" t="str">
        <f>IF($C2150=""," ",[1]!i_pq_pctchange($C2150,H$6,$N$1))</f>
        <v xml:space="preserve"> </v>
      </c>
      <c r="I2150" s="28" t="str">
        <f>IF($C2150=""," ",[1]!i_pq_pctchange($C2150,I$6,$N$1))</f>
        <v xml:space="preserve"> </v>
      </c>
      <c r="J2150" s="28" t="str">
        <f>IF($C2150=""," ",[1]!i_pq_pctchange($C2150,J$6,$N$1))</f>
        <v xml:space="preserve"> </v>
      </c>
      <c r="K2150" s="28" t="str">
        <f>IF($C2150=""," ",[1]!i_pq_pctchange($C2150,K$6,$N$1))</f>
        <v xml:space="preserve"> </v>
      </c>
      <c r="L2150" s="28" t="str">
        <f>IF(C2150=""," ",[1]!s_wq_pctchange($C2150,$N$1))</f>
        <v xml:space="preserve"> </v>
      </c>
      <c r="M2150" s="28" t="str">
        <f>IF(C2150=""," ",[1]!s_mq_pctchange($C2150,$N$1))</f>
        <v xml:space="preserve"> </v>
      </c>
      <c r="N2150" s="28" t="str">
        <f>IF(C2150=""," ",[1]!s_yq_pctchange($C2150,$N$1))</f>
        <v xml:space="preserve"> </v>
      </c>
      <c r="O2150" s="11"/>
      <c r="P2150" s="7"/>
    </row>
    <row r="2151" spans="1:16" x14ac:dyDescent="0.35">
      <c r="A2151" s="7"/>
      <c r="C2151" s="30" t="str">
        <f>IF(指数列表!B2148="","",指数列表!B2148)</f>
        <v/>
      </c>
      <c r="D2151" s="35" t="str">
        <f>IF(C2151="","",[1]!s_info_name(C2151))</f>
        <v/>
      </c>
      <c r="E2151" s="24" t="str">
        <f>IF(C2151="","",[1]!s_dq_close(C2151,$N$1))</f>
        <v/>
      </c>
      <c r="F2151" s="28" t="str">
        <f>IF($C2151=""," ",[1]!i_pq_pctchange($C2151,F$6,$N$1))</f>
        <v xml:space="preserve"> </v>
      </c>
      <c r="G2151" s="28" t="str">
        <f>IF($C2151=""," ",[1]!i_pq_pctchange($C2151,G$6,$N$1))</f>
        <v xml:space="preserve"> </v>
      </c>
      <c r="H2151" s="28" t="str">
        <f>IF($C2151=""," ",[1]!i_pq_pctchange($C2151,H$6,$N$1))</f>
        <v xml:space="preserve"> </v>
      </c>
      <c r="I2151" s="28" t="str">
        <f>IF($C2151=""," ",[1]!i_pq_pctchange($C2151,I$6,$N$1))</f>
        <v xml:space="preserve"> </v>
      </c>
      <c r="J2151" s="28" t="str">
        <f>IF($C2151=""," ",[1]!i_pq_pctchange($C2151,J$6,$N$1))</f>
        <v xml:space="preserve"> </v>
      </c>
      <c r="K2151" s="28" t="str">
        <f>IF($C2151=""," ",[1]!i_pq_pctchange($C2151,K$6,$N$1))</f>
        <v xml:space="preserve"> </v>
      </c>
      <c r="L2151" s="28" t="str">
        <f>IF(C2151=""," ",[1]!s_wq_pctchange($C2151,$N$1))</f>
        <v xml:space="preserve"> </v>
      </c>
      <c r="M2151" s="28" t="str">
        <f>IF(C2151=""," ",[1]!s_mq_pctchange($C2151,$N$1))</f>
        <v xml:space="preserve"> </v>
      </c>
      <c r="N2151" s="28" t="str">
        <f>IF(C2151=""," ",[1]!s_yq_pctchange($C2151,$N$1))</f>
        <v xml:space="preserve"> </v>
      </c>
      <c r="O2151" s="11"/>
      <c r="P2151" s="7"/>
    </row>
    <row r="2152" spans="1:16" x14ac:dyDescent="0.35">
      <c r="A2152" s="7"/>
      <c r="C2152" s="31" t="str">
        <f>IF(指数列表!B2149="","",指数列表!B2149)</f>
        <v/>
      </c>
      <c r="D2152" s="36" t="str">
        <f>IF(C2152="","",[1]!s_info_name(C2152))</f>
        <v/>
      </c>
      <c r="E2152" s="25" t="str">
        <f>IF(C2152="","",[1]!s_dq_close(C2152,$N$1))</f>
        <v/>
      </c>
      <c r="F2152" s="28" t="str">
        <f>IF($C2152=""," ",[1]!i_pq_pctchange($C2152,F$6,$N$1))</f>
        <v xml:space="preserve"> </v>
      </c>
      <c r="G2152" s="28" t="str">
        <f>IF($C2152=""," ",[1]!i_pq_pctchange($C2152,G$6,$N$1))</f>
        <v xml:space="preserve"> </v>
      </c>
      <c r="H2152" s="28" t="str">
        <f>IF($C2152=""," ",[1]!i_pq_pctchange($C2152,H$6,$N$1))</f>
        <v xml:space="preserve"> </v>
      </c>
      <c r="I2152" s="28" t="str">
        <f>IF($C2152=""," ",[1]!i_pq_pctchange($C2152,I$6,$N$1))</f>
        <v xml:space="preserve"> </v>
      </c>
      <c r="J2152" s="28" t="str">
        <f>IF($C2152=""," ",[1]!i_pq_pctchange($C2152,J$6,$N$1))</f>
        <v xml:space="preserve"> </v>
      </c>
      <c r="K2152" s="28" t="str">
        <f>IF($C2152=""," ",[1]!i_pq_pctchange($C2152,K$6,$N$1))</f>
        <v xml:space="preserve"> </v>
      </c>
      <c r="L2152" s="28" t="str">
        <f>IF(C2152=""," ",[1]!s_wq_pctchange($C2152,$N$1))</f>
        <v xml:space="preserve"> </v>
      </c>
      <c r="M2152" s="28" t="str">
        <f>IF(C2152=""," ",[1]!s_mq_pctchange($C2152,$N$1))</f>
        <v xml:space="preserve"> </v>
      </c>
      <c r="N2152" s="28" t="str">
        <f>IF(C2152=""," ",[1]!s_yq_pctchange($C2152,$N$1))</f>
        <v xml:space="preserve"> </v>
      </c>
      <c r="O2152" s="11"/>
      <c r="P2152" s="7"/>
    </row>
    <row r="2153" spans="1:16" x14ac:dyDescent="0.35">
      <c r="A2153" s="7"/>
      <c r="C2153" s="30" t="str">
        <f>IF(指数列表!B2150="","",指数列表!B2150)</f>
        <v/>
      </c>
      <c r="D2153" s="35" t="str">
        <f>IF(C2153="","",[1]!s_info_name(C2153))</f>
        <v/>
      </c>
      <c r="E2153" s="24" t="str">
        <f>IF(C2153="","",[1]!s_dq_close(C2153,$N$1))</f>
        <v/>
      </c>
      <c r="F2153" s="28" t="str">
        <f>IF($C2153=""," ",[1]!i_pq_pctchange($C2153,F$6,$N$1))</f>
        <v xml:space="preserve"> </v>
      </c>
      <c r="G2153" s="28" t="str">
        <f>IF($C2153=""," ",[1]!i_pq_pctchange($C2153,G$6,$N$1))</f>
        <v xml:space="preserve"> </v>
      </c>
      <c r="H2153" s="28" t="str">
        <f>IF($C2153=""," ",[1]!i_pq_pctchange($C2153,H$6,$N$1))</f>
        <v xml:space="preserve"> </v>
      </c>
      <c r="I2153" s="28" t="str">
        <f>IF($C2153=""," ",[1]!i_pq_pctchange($C2153,I$6,$N$1))</f>
        <v xml:space="preserve"> </v>
      </c>
      <c r="J2153" s="28" t="str">
        <f>IF($C2153=""," ",[1]!i_pq_pctchange($C2153,J$6,$N$1))</f>
        <v xml:space="preserve"> </v>
      </c>
      <c r="K2153" s="28" t="str">
        <f>IF($C2153=""," ",[1]!i_pq_pctchange($C2153,K$6,$N$1))</f>
        <v xml:space="preserve"> </v>
      </c>
      <c r="L2153" s="28" t="str">
        <f>IF(C2153=""," ",[1]!s_wq_pctchange($C2153,$N$1))</f>
        <v xml:space="preserve"> </v>
      </c>
      <c r="M2153" s="28" t="str">
        <f>IF(C2153=""," ",[1]!s_mq_pctchange($C2153,$N$1))</f>
        <v xml:space="preserve"> </v>
      </c>
      <c r="N2153" s="28" t="str">
        <f>IF(C2153=""," ",[1]!s_yq_pctchange($C2153,$N$1))</f>
        <v xml:space="preserve"> </v>
      </c>
      <c r="O2153" s="11"/>
      <c r="P2153" s="7"/>
    </row>
    <row r="2154" spans="1:16" x14ac:dyDescent="0.35">
      <c r="A2154" s="7"/>
      <c r="C2154" s="31" t="str">
        <f>IF(指数列表!B2151="","",指数列表!B2151)</f>
        <v/>
      </c>
      <c r="D2154" s="36" t="str">
        <f>IF(C2154="","",[1]!s_info_name(C2154))</f>
        <v/>
      </c>
      <c r="E2154" s="25" t="str">
        <f>IF(C2154="","",[1]!s_dq_close(C2154,$N$1))</f>
        <v/>
      </c>
      <c r="F2154" s="28" t="str">
        <f>IF($C2154=""," ",[1]!i_pq_pctchange($C2154,F$6,$N$1))</f>
        <v xml:space="preserve"> </v>
      </c>
      <c r="G2154" s="28" t="str">
        <f>IF($C2154=""," ",[1]!i_pq_pctchange($C2154,G$6,$N$1))</f>
        <v xml:space="preserve"> </v>
      </c>
      <c r="H2154" s="28" t="str">
        <f>IF($C2154=""," ",[1]!i_pq_pctchange($C2154,H$6,$N$1))</f>
        <v xml:space="preserve"> </v>
      </c>
      <c r="I2154" s="28" t="str">
        <f>IF($C2154=""," ",[1]!i_pq_pctchange($C2154,I$6,$N$1))</f>
        <v xml:space="preserve"> </v>
      </c>
      <c r="J2154" s="28" t="str">
        <f>IF($C2154=""," ",[1]!i_pq_pctchange($C2154,J$6,$N$1))</f>
        <v xml:space="preserve"> </v>
      </c>
      <c r="K2154" s="28" t="str">
        <f>IF($C2154=""," ",[1]!i_pq_pctchange($C2154,K$6,$N$1))</f>
        <v xml:space="preserve"> </v>
      </c>
      <c r="L2154" s="28" t="str">
        <f>IF(C2154=""," ",[1]!s_wq_pctchange($C2154,$N$1))</f>
        <v xml:space="preserve"> </v>
      </c>
      <c r="M2154" s="28" t="str">
        <f>IF(C2154=""," ",[1]!s_mq_pctchange($C2154,$N$1))</f>
        <v xml:space="preserve"> </v>
      </c>
      <c r="N2154" s="28" t="str">
        <f>IF(C2154=""," ",[1]!s_yq_pctchange($C2154,$N$1))</f>
        <v xml:space="preserve"> </v>
      </c>
      <c r="O2154" s="11"/>
      <c r="P2154" s="7"/>
    </row>
    <row r="2155" spans="1:16" x14ac:dyDescent="0.35">
      <c r="A2155" s="7"/>
      <c r="C2155" s="30" t="str">
        <f>IF(指数列表!B2152="","",指数列表!B2152)</f>
        <v/>
      </c>
      <c r="D2155" s="35" t="str">
        <f>IF(C2155="","",[1]!s_info_name(C2155))</f>
        <v/>
      </c>
      <c r="E2155" s="24" t="str">
        <f>IF(C2155="","",[1]!s_dq_close(C2155,$N$1))</f>
        <v/>
      </c>
      <c r="F2155" s="28" t="str">
        <f>IF($C2155=""," ",[1]!i_pq_pctchange($C2155,F$6,$N$1))</f>
        <v xml:space="preserve"> </v>
      </c>
      <c r="G2155" s="28" t="str">
        <f>IF($C2155=""," ",[1]!i_pq_pctchange($C2155,G$6,$N$1))</f>
        <v xml:space="preserve"> </v>
      </c>
      <c r="H2155" s="28" t="str">
        <f>IF($C2155=""," ",[1]!i_pq_pctchange($C2155,H$6,$N$1))</f>
        <v xml:space="preserve"> </v>
      </c>
      <c r="I2155" s="28" t="str">
        <f>IF($C2155=""," ",[1]!i_pq_pctchange($C2155,I$6,$N$1))</f>
        <v xml:space="preserve"> </v>
      </c>
      <c r="J2155" s="28" t="str">
        <f>IF($C2155=""," ",[1]!i_pq_pctchange($C2155,J$6,$N$1))</f>
        <v xml:space="preserve"> </v>
      </c>
      <c r="K2155" s="28" t="str">
        <f>IF($C2155=""," ",[1]!i_pq_pctchange($C2155,K$6,$N$1))</f>
        <v xml:space="preserve"> </v>
      </c>
      <c r="L2155" s="28" t="str">
        <f>IF(C2155=""," ",[1]!s_wq_pctchange($C2155,$N$1))</f>
        <v xml:space="preserve"> </v>
      </c>
      <c r="M2155" s="28" t="str">
        <f>IF(C2155=""," ",[1]!s_mq_pctchange($C2155,$N$1))</f>
        <v xml:space="preserve"> </v>
      </c>
      <c r="N2155" s="28" t="str">
        <f>IF(C2155=""," ",[1]!s_yq_pctchange($C2155,$N$1))</f>
        <v xml:space="preserve"> </v>
      </c>
      <c r="O2155" s="11"/>
      <c r="P2155" s="7"/>
    </row>
    <row r="2156" spans="1:16" x14ac:dyDescent="0.35">
      <c r="A2156" s="7"/>
      <c r="C2156" s="31" t="str">
        <f>IF(指数列表!B2153="","",指数列表!B2153)</f>
        <v/>
      </c>
      <c r="D2156" s="36" t="str">
        <f>IF(C2156="","",[1]!s_info_name(C2156))</f>
        <v/>
      </c>
      <c r="E2156" s="25" t="str">
        <f>IF(C2156="","",[1]!s_dq_close(C2156,$N$1))</f>
        <v/>
      </c>
      <c r="F2156" s="28" t="str">
        <f>IF($C2156=""," ",[1]!i_pq_pctchange($C2156,F$6,$N$1))</f>
        <v xml:space="preserve"> </v>
      </c>
      <c r="G2156" s="28" t="str">
        <f>IF($C2156=""," ",[1]!i_pq_pctchange($C2156,G$6,$N$1))</f>
        <v xml:space="preserve"> </v>
      </c>
      <c r="H2156" s="28" t="str">
        <f>IF($C2156=""," ",[1]!i_pq_pctchange($C2156,H$6,$N$1))</f>
        <v xml:space="preserve"> </v>
      </c>
      <c r="I2156" s="28" t="str">
        <f>IF($C2156=""," ",[1]!i_pq_pctchange($C2156,I$6,$N$1))</f>
        <v xml:space="preserve"> </v>
      </c>
      <c r="J2156" s="28" t="str">
        <f>IF($C2156=""," ",[1]!i_pq_pctchange($C2156,J$6,$N$1))</f>
        <v xml:space="preserve"> </v>
      </c>
      <c r="K2156" s="28" t="str">
        <f>IF($C2156=""," ",[1]!i_pq_pctchange($C2156,K$6,$N$1))</f>
        <v xml:space="preserve"> </v>
      </c>
      <c r="L2156" s="28" t="str">
        <f>IF(C2156=""," ",[1]!s_wq_pctchange($C2156,$N$1))</f>
        <v xml:space="preserve"> </v>
      </c>
      <c r="M2156" s="28" t="str">
        <f>IF(C2156=""," ",[1]!s_mq_pctchange($C2156,$N$1))</f>
        <v xml:space="preserve"> </v>
      </c>
      <c r="N2156" s="28" t="str">
        <f>IF(C2156=""," ",[1]!s_yq_pctchange($C2156,$N$1))</f>
        <v xml:space="preserve"> </v>
      </c>
      <c r="O2156" s="11"/>
      <c r="P2156" s="7"/>
    </row>
    <row r="2157" spans="1:16" x14ac:dyDescent="0.35">
      <c r="A2157" s="7"/>
      <c r="C2157" s="30" t="str">
        <f>IF(指数列表!B2154="","",指数列表!B2154)</f>
        <v/>
      </c>
      <c r="D2157" s="35" t="str">
        <f>IF(C2157="","",[1]!s_info_name(C2157))</f>
        <v/>
      </c>
      <c r="E2157" s="24" t="str">
        <f>IF(C2157="","",[1]!s_dq_close(C2157,$N$1))</f>
        <v/>
      </c>
      <c r="F2157" s="28" t="str">
        <f>IF($C2157=""," ",[1]!i_pq_pctchange($C2157,F$6,$N$1))</f>
        <v xml:space="preserve"> </v>
      </c>
      <c r="G2157" s="28" t="str">
        <f>IF($C2157=""," ",[1]!i_pq_pctchange($C2157,G$6,$N$1))</f>
        <v xml:space="preserve"> </v>
      </c>
      <c r="H2157" s="28" t="str">
        <f>IF($C2157=""," ",[1]!i_pq_pctchange($C2157,H$6,$N$1))</f>
        <v xml:space="preserve"> </v>
      </c>
      <c r="I2157" s="28" t="str">
        <f>IF($C2157=""," ",[1]!i_pq_pctchange($C2157,I$6,$N$1))</f>
        <v xml:space="preserve"> </v>
      </c>
      <c r="J2157" s="28" t="str">
        <f>IF($C2157=""," ",[1]!i_pq_pctchange($C2157,J$6,$N$1))</f>
        <v xml:space="preserve"> </v>
      </c>
      <c r="K2157" s="28" t="str">
        <f>IF($C2157=""," ",[1]!i_pq_pctchange($C2157,K$6,$N$1))</f>
        <v xml:space="preserve"> </v>
      </c>
      <c r="L2157" s="28" t="str">
        <f>IF(C2157=""," ",[1]!s_wq_pctchange($C2157,$N$1))</f>
        <v xml:space="preserve"> </v>
      </c>
      <c r="M2157" s="28" t="str">
        <f>IF(C2157=""," ",[1]!s_mq_pctchange($C2157,$N$1))</f>
        <v xml:space="preserve"> </v>
      </c>
      <c r="N2157" s="28" t="str">
        <f>IF(C2157=""," ",[1]!s_yq_pctchange($C2157,$N$1))</f>
        <v xml:space="preserve"> </v>
      </c>
      <c r="O2157" s="11"/>
      <c r="P2157" s="7"/>
    </row>
    <row r="2158" spans="1:16" x14ac:dyDescent="0.35">
      <c r="A2158" s="7"/>
      <c r="C2158" s="31" t="str">
        <f>IF(指数列表!B2155="","",指数列表!B2155)</f>
        <v/>
      </c>
      <c r="D2158" s="36" t="str">
        <f>IF(C2158="","",[1]!s_info_name(C2158))</f>
        <v/>
      </c>
      <c r="E2158" s="25" t="str">
        <f>IF(C2158="","",[1]!s_dq_close(C2158,$N$1))</f>
        <v/>
      </c>
      <c r="F2158" s="28" t="str">
        <f>IF($C2158=""," ",[1]!i_pq_pctchange($C2158,F$6,$N$1))</f>
        <v xml:space="preserve"> </v>
      </c>
      <c r="G2158" s="28" t="str">
        <f>IF($C2158=""," ",[1]!i_pq_pctchange($C2158,G$6,$N$1))</f>
        <v xml:space="preserve"> </v>
      </c>
      <c r="H2158" s="28" t="str">
        <f>IF($C2158=""," ",[1]!i_pq_pctchange($C2158,H$6,$N$1))</f>
        <v xml:space="preserve"> </v>
      </c>
      <c r="I2158" s="28" t="str">
        <f>IF($C2158=""," ",[1]!i_pq_pctchange($C2158,I$6,$N$1))</f>
        <v xml:space="preserve"> </v>
      </c>
      <c r="J2158" s="28" t="str">
        <f>IF($C2158=""," ",[1]!i_pq_pctchange($C2158,J$6,$N$1))</f>
        <v xml:space="preserve"> </v>
      </c>
      <c r="K2158" s="28" t="str">
        <f>IF($C2158=""," ",[1]!i_pq_pctchange($C2158,K$6,$N$1))</f>
        <v xml:space="preserve"> </v>
      </c>
      <c r="L2158" s="28" t="str">
        <f>IF(C2158=""," ",[1]!s_wq_pctchange($C2158,$N$1))</f>
        <v xml:space="preserve"> </v>
      </c>
      <c r="M2158" s="28" t="str">
        <f>IF(C2158=""," ",[1]!s_mq_pctchange($C2158,$N$1))</f>
        <v xml:space="preserve"> </v>
      </c>
      <c r="N2158" s="28" t="str">
        <f>IF(C2158=""," ",[1]!s_yq_pctchange($C2158,$N$1))</f>
        <v xml:space="preserve"> </v>
      </c>
      <c r="O2158" s="11"/>
      <c r="P2158" s="7"/>
    </row>
    <row r="2159" spans="1:16" x14ac:dyDescent="0.35">
      <c r="A2159" s="7"/>
      <c r="C2159" s="30" t="str">
        <f>IF(指数列表!B2156="","",指数列表!B2156)</f>
        <v/>
      </c>
      <c r="D2159" s="35" t="str">
        <f>IF(C2159="","",[1]!s_info_name(C2159))</f>
        <v/>
      </c>
      <c r="E2159" s="24" t="str">
        <f>IF(C2159="","",[1]!s_dq_close(C2159,$N$1))</f>
        <v/>
      </c>
      <c r="F2159" s="28" t="str">
        <f>IF($C2159=""," ",[1]!i_pq_pctchange($C2159,F$6,$N$1))</f>
        <v xml:space="preserve"> </v>
      </c>
      <c r="G2159" s="28" t="str">
        <f>IF($C2159=""," ",[1]!i_pq_pctchange($C2159,G$6,$N$1))</f>
        <v xml:space="preserve"> </v>
      </c>
      <c r="H2159" s="28" t="str">
        <f>IF($C2159=""," ",[1]!i_pq_pctchange($C2159,H$6,$N$1))</f>
        <v xml:space="preserve"> </v>
      </c>
      <c r="I2159" s="28" t="str">
        <f>IF($C2159=""," ",[1]!i_pq_pctchange($C2159,I$6,$N$1))</f>
        <v xml:space="preserve"> </v>
      </c>
      <c r="J2159" s="28" t="str">
        <f>IF($C2159=""," ",[1]!i_pq_pctchange($C2159,J$6,$N$1))</f>
        <v xml:space="preserve"> </v>
      </c>
      <c r="K2159" s="28" t="str">
        <f>IF($C2159=""," ",[1]!i_pq_pctchange($C2159,K$6,$N$1))</f>
        <v xml:space="preserve"> </v>
      </c>
      <c r="L2159" s="28" t="str">
        <f>IF(C2159=""," ",[1]!s_wq_pctchange($C2159,$N$1))</f>
        <v xml:space="preserve"> </v>
      </c>
      <c r="M2159" s="28" t="str">
        <f>IF(C2159=""," ",[1]!s_mq_pctchange($C2159,$N$1))</f>
        <v xml:space="preserve"> </v>
      </c>
      <c r="N2159" s="28" t="str">
        <f>IF(C2159=""," ",[1]!s_yq_pctchange($C2159,$N$1))</f>
        <v xml:space="preserve"> </v>
      </c>
      <c r="O2159" s="11"/>
      <c r="P2159" s="7"/>
    </row>
    <row r="2160" spans="1:16" x14ac:dyDescent="0.35">
      <c r="A2160" s="7"/>
      <c r="C2160" s="31" t="str">
        <f>IF(指数列表!B2157="","",指数列表!B2157)</f>
        <v/>
      </c>
      <c r="D2160" s="36" t="str">
        <f>IF(C2160="","",[1]!s_info_name(C2160))</f>
        <v/>
      </c>
      <c r="E2160" s="25" t="str">
        <f>IF(C2160="","",[1]!s_dq_close(C2160,$N$1))</f>
        <v/>
      </c>
      <c r="F2160" s="28" t="str">
        <f>IF($C2160=""," ",[1]!i_pq_pctchange($C2160,F$6,$N$1))</f>
        <v xml:space="preserve"> </v>
      </c>
      <c r="G2160" s="28" t="str">
        <f>IF($C2160=""," ",[1]!i_pq_pctchange($C2160,G$6,$N$1))</f>
        <v xml:space="preserve"> </v>
      </c>
      <c r="H2160" s="28" t="str">
        <f>IF($C2160=""," ",[1]!i_pq_pctchange($C2160,H$6,$N$1))</f>
        <v xml:space="preserve"> </v>
      </c>
      <c r="I2160" s="28" t="str">
        <f>IF($C2160=""," ",[1]!i_pq_pctchange($C2160,I$6,$N$1))</f>
        <v xml:space="preserve"> </v>
      </c>
      <c r="J2160" s="28" t="str">
        <f>IF($C2160=""," ",[1]!i_pq_pctchange($C2160,J$6,$N$1))</f>
        <v xml:space="preserve"> </v>
      </c>
      <c r="K2160" s="28" t="str">
        <f>IF($C2160=""," ",[1]!i_pq_pctchange($C2160,K$6,$N$1))</f>
        <v xml:space="preserve"> </v>
      </c>
      <c r="L2160" s="28" t="str">
        <f>IF(C2160=""," ",[1]!s_wq_pctchange($C2160,$N$1))</f>
        <v xml:space="preserve"> </v>
      </c>
      <c r="M2160" s="28" t="str">
        <f>IF(C2160=""," ",[1]!s_mq_pctchange($C2160,$N$1))</f>
        <v xml:space="preserve"> </v>
      </c>
      <c r="N2160" s="28" t="str">
        <f>IF(C2160=""," ",[1]!s_yq_pctchange($C2160,$N$1))</f>
        <v xml:space="preserve"> </v>
      </c>
      <c r="O2160" s="11"/>
      <c r="P2160" s="7"/>
    </row>
    <row r="2161" spans="1:16" x14ac:dyDescent="0.35">
      <c r="A2161" s="7"/>
      <c r="C2161" s="30" t="str">
        <f>IF(指数列表!B2158="","",指数列表!B2158)</f>
        <v/>
      </c>
      <c r="D2161" s="35" t="str">
        <f>IF(C2161="","",[1]!s_info_name(C2161))</f>
        <v/>
      </c>
      <c r="E2161" s="24" t="str">
        <f>IF(C2161="","",[1]!s_dq_close(C2161,$N$1))</f>
        <v/>
      </c>
      <c r="F2161" s="28" t="str">
        <f>IF($C2161=""," ",[1]!i_pq_pctchange($C2161,F$6,$N$1))</f>
        <v xml:space="preserve"> </v>
      </c>
      <c r="G2161" s="28" t="str">
        <f>IF($C2161=""," ",[1]!i_pq_pctchange($C2161,G$6,$N$1))</f>
        <v xml:space="preserve"> </v>
      </c>
      <c r="H2161" s="28" t="str">
        <f>IF($C2161=""," ",[1]!i_pq_pctchange($C2161,H$6,$N$1))</f>
        <v xml:space="preserve"> </v>
      </c>
      <c r="I2161" s="28" t="str">
        <f>IF($C2161=""," ",[1]!i_pq_pctchange($C2161,I$6,$N$1))</f>
        <v xml:space="preserve"> </v>
      </c>
      <c r="J2161" s="28" t="str">
        <f>IF($C2161=""," ",[1]!i_pq_pctchange($C2161,J$6,$N$1))</f>
        <v xml:space="preserve"> </v>
      </c>
      <c r="K2161" s="28" t="str">
        <f>IF($C2161=""," ",[1]!i_pq_pctchange($C2161,K$6,$N$1))</f>
        <v xml:space="preserve"> </v>
      </c>
      <c r="L2161" s="28" t="str">
        <f>IF(C2161=""," ",[1]!s_wq_pctchange($C2161,$N$1))</f>
        <v xml:space="preserve"> </v>
      </c>
      <c r="M2161" s="28" t="str">
        <f>IF(C2161=""," ",[1]!s_mq_pctchange($C2161,$N$1))</f>
        <v xml:space="preserve"> </v>
      </c>
      <c r="N2161" s="28" t="str">
        <f>IF(C2161=""," ",[1]!s_yq_pctchange($C2161,$N$1))</f>
        <v xml:space="preserve"> </v>
      </c>
      <c r="O2161" s="11"/>
      <c r="P2161" s="7"/>
    </row>
    <row r="2162" spans="1:16" x14ac:dyDescent="0.35">
      <c r="A2162" s="7"/>
      <c r="C2162" s="31" t="str">
        <f>IF(指数列表!B2159="","",指数列表!B2159)</f>
        <v/>
      </c>
      <c r="D2162" s="36" t="str">
        <f>IF(C2162="","",[1]!s_info_name(C2162))</f>
        <v/>
      </c>
      <c r="E2162" s="25" t="str">
        <f>IF(C2162="","",[1]!s_dq_close(C2162,$N$1))</f>
        <v/>
      </c>
      <c r="F2162" s="28" t="str">
        <f>IF($C2162=""," ",[1]!i_pq_pctchange($C2162,F$6,$N$1))</f>
        <v xml:space="preserve"> </v>
      </c>
      <c r="G2162" s="28" t="str">
        <f>IF($C2162=""," ",[1]!i_pq_pctchange($C2162,G$6,$N$1))</f>
        <v xml:space="preserve"> </v>
      </c>
      <c r="H2162" s="28" t="str">
        <f>IF($C2162=""," ",[1]!i_pq_pctchange($C2162,H$6,$N$1))</f>
        <v xml:space="preserve"> </v>
      </c>
      <c r="I2162" s="28" t="str">
        <f>IF($C2162=""," ",[1]!i_pq_pctchange($C2162,I$6,$N$1))</f>
        <v xml:space="preserve"> </v>
      </c>
      <c r="J2162" s="28" t="str">
        <f>IF($C2162=""," ",[1]!i_pq_pctchange($C2162,J$6,$N$1))</f>
        <v xml:space="preserve"> </v>
      </c>
      <c r="K2162" s="28" t="str">
        <f>IF($C2162=""," ",[1]!i_pq_pctchange($C2162,K$6,$N$1))</f>
        <v xml:space="preserve"> </v>
      </c>
      <c r="L2162" s="28" t="str">
        <f>IF(C2162=""," ",[1]!s_wq_pctchange($C2162,$N$1))</f>
        <v xml:space="preserve"> </v>
      </c>
      <c r="M2162" s="28" t="str">
        <f>IF(C2162=""," ",[1]!s_mq_pctchange($C2162,$N$1))</f>
        <v xml:space="preserve"> </v>
      </c>
      <c r="N2162" s="28" t="str">
        <f>IF(C2162=""," ",[1]!s_yq_pctchange($C2162,$N$1))</f>
        <v xml:space="preserve"> </v>
      </c>
      <c r="O2162" s="11"/>
      <c r="P2162" s="7"/>
    </row>
    <row r="2163" spans="1:16" x14ac:dyDescent="0.35">
      <c r="A2163" s="7"/>
      <c r="C2163" s="30" t="str">
        <f>IF(指数列表!B2160="","",指数列表!B2160)</f>
        <v/>
      </c>
      <c r="D2163" s="35" t="str">
        <f>IF(C2163="","",[1]!s_info_name(C2163))</f>
        <v/>
      </c>
      <c r="E2163" s="24" t="str">
        <f>IF(C2163="","",[1]!s_dq_close(C2163,$N$1))</f>
        <v/>
      </c>
      <c r="F2163" s="28" t="str">
        <f>IF($C2163=""," ",[1]!i_pq_pctchange($C2163,F$6,$N$1))</f>
        <v xml:space="preserve"> </v>
      </c>
      <c r="G2163" s="28" t="str">
        <f>IF($C2163=""," ",[1]!i_pq_pctchange($C2163,G$6,$N$1))</f>
        <v xml:space="preserve"> </v>
      </c>
      <c r="H2163" s="28" t="str">
        <f>IF($C2163=""," ",[1]!i_pq_pctchange($C2163,H$6,$N$1))</f>
        <v xml:space="preserve"> </v>
      </c>
      <c r="I2163" s="28" t="str">
        <f>IF($C2163=""," ",[1]!i_pq_pctchange($C2163,I$6,$N$1))</f>
        <v xml:space="preserve"> </v>
      </c>
      <c r="J2163" s="28" t="str">
        <f>IF($C2163=""," ",[1]!i_pq_pctchange($C2163,J$6,$N$1))</f>
        <v xml:space="preserve"> </v>
      </c>
      <c r="K2163" s="28" t="str">
        <f>IF($C2163=""," ",[1]!i_pq_pctchange($C2163,K$6,$N$1))</f>
        <v xml:space="preserve"> </v>
      </c>
      <c r="L2163" s="28" t="str">
        <f>IF(C2163=""," ",[1]!s_wq_pctchange($C2163,$N$1))</f>
        <v xml:space="preserve"> </v>
      </c>
      <c r="M2163" s="28" t="str">
        <f>IF(C2163=""," ",[1]!s_mq_pctchange($C2163,$N$1))</f>
        <v xml:space="preserve"> </v>
      </c>
      <c r="N2163" s="28" t="str">
        <f>IF(C2163=""," ",[1]!s_yq_pctchange($C2163,$N$1))</f>
        <v xml:space="preserve"> </v>
      </c>
      <c r="O2163" s="11"/>
      <c r="P2163" s="7"/>
    </row>
    <row r="2164" spans="1:16" x14ac:dyDescent="0.35">
      <c r="A2164" s="7"/>
      <c r="C2164" s="31" t="str">
        <f>IF(指数列表!B2161="","",指数列表!B2161)</f>
        <v/>
      </c>
      <c r="D2164" s="36" t="str">
        <f>IF(C2164="","",[1]!s_info_name(C2164))</f>
        <v/>
      </c>
      <c r="E2164" s="25" t="str">
        <f>IF(C2164="","",[1]!s_dq_close(C2164,$N$1))</f>
        <v/>
      </c>
      <c r="F2164" s="28" t="str">
        <f>IF($C2164=""," ",[1]!i_pq_pctchange($C2164,F$6,$N$1))</f>
        <v xml:space="preserve"> </v>
      </c>
      <c r="G2164" s="28" t="str">
        <f>IF($C2164=""," ",[1]!i_pq_pctchange($C2164,G$6,$N$1))</f>
        <v xml:space="preserve"> </v>
      </c>
      <c r="H2164" s="28" t="str">
        <f>IF($C2164=""," ",[1]!i_pq_pctchange($C2164,H$6,$N$1))</f>
        <v xml:space="preserve"> </v>
      </c>
      <c r="I2164" s="28" t="str">
        <f>IF($C2164=""," ",[1]!i_pq_pctchange($C2164,I$6,$N$1))</f>
        <v xml:space="preserve"> </v>
      </c>
      <c r="J2164" s="28" t="str">
        <f>IF($C2164=""," ",[1]!i_pq_pctchange($C2164,J$6,$N$1))</f>
        <v xml:space="preserve"> </v>
      </c>
      <c r="K2164" s="28" t="str">
        <f>IF($C2164=""," ",[1]!i_pq_pctchange($C2164,K$6,$N$1))</f>
        <v xml:space="preserve"> </v>
      </c>
      <c r="L2164" s="28" t="str">
        <f>IF(C2164=""," ",[1]!s_wq_pctchange($C2164,$N$1))</f>
        <v xml:space="preserve"> </v>
      </c>
      <c r="M2164" s="28" t="str">
        <f>IF(C2164=""," ",[1]!s_mq_pctchange($C2164,$N$1))</f>
        <v xml:space="preserve"> </v>
      </c>
      <c r="N2164" s="28" t="str">
        <f>IF(C2164=""," ",[1]!s_yq_pctchange($C2164,$N$1))</f>
        <v xml:space="preserve"> </v>
      </c>
      <c r="O2164" s="11"/>
      <c r="P2164" s="7"/>
    </row>
    <row r="2165" spans="1:16" x14ac:dyDescent="0.35">
      <c r="A2165" s="7"/>
      <c r="C2165" s="30" t="str">
        <f>IF(指数列表!B2162="","",指数列表!B2162)</f>
        <v/>
      </c>
      <c r="D2165" s="35" t="str">
        <f>IF(C2165="","",[1]!s_info_name(C2165))</f>
        <v/>
      </c>
      <c r="E2165" s="24" t="str">
        <f>IF(C2165="","",[1]!s_dq_close(C2165,$N$1))</f>
        <v/>
      </c>
      <c r="F2165" s="28" t="str">
        <f>IF($C2165=""," ",[1]!i_pq_pctchange($C2165,F$6,$N$1))</f>
        <v xml:space="preserve"> </v>
      </c>
      <c r="G2165" s="28" t="str">
        <f>IF($C2165=""," ",[1]!i_pq_pctchange($C2165,G$6,$N$1))</f>
        <v xml:space="preserve"> </v>
      </c>
      <c r="H2165" s="28" t="str">
        <f>IF($C2165=""," ",[1]!i_pq_pctchange($C2165,H$6,$N$1))</f>
        <v xml:space="preserve"> </v>
      </c>
      <c r="I2165" s="28" t="str">
        <f>IF($C2165=""," ",[1]!i_pq_pctchange($C2165,I$6,$N$1))</f>
        <v xml:space="preserve"> </v>
      </c>
      <c r="J2165" s="28" t="str">
        <f>IF($C2165=""," ",[1]!i_pq_pctchange($C2165,J$6,$N$1))</f>
        <v xml:space="preserve"> </v>
      </c>
      <c r="K2165" s="28" t="str">
        <f>IF($C2165=""," ",[1]!i_pq_pctchange($C2165,K$6,$N$1))</f>
        <v xml:space="preserve"> </v>
      </c>
      <c r="L2165" s="28" t="str">
        <f>IF(C2165=""," ",[1]!s_wq_pctchange($C2165,$N$1))</f>
        <v xml:space="preserve"> </v>
      </c>
      <c r="M2165" s="28" t="str">
        <f>IF(C2165=""," ",[1]!s_mq_pctchange($C2165,$N$1))</f>
        <v xml:space="preserve"> </v>
      </c>
      <c r="N2165" s="28" t="str">
        <f>IF(C2165=""," ",[1]!s_yq_pctchange($C2165,$N$1))</f>
        <v xml:space="preserve"> </v>
      </c>
      <c r="O2165" s="11"/>
      <c r="P2165" s="7"/>
    </row>
    <row r="2166" spans="1:16" x14ac:dyDescent="0.35">
      <c r="A2166" s="7"/>
      <c r="C2166" s="31" t="str">
        <f>IF(指数列表!B2163="","",指数列表!B2163)</f>
        <v/>
      </c>
      <c r="D2166" s="36" t="str">
        <f>IF(C2166="","",[1]!s_info_name(C2166))</f>
        <v/>
      </c>
      <c r="E2166" s="25" t="str">
        <f>IF(C2166="","",[1]!s_dq_close(C2166,$N$1))</f>
        <v/>
      </c>
      <c r="F2166" s="28" t="str">
        <f>IF($C2166=""," ",[1]!i_pq_pctchange($C2166,F$6,$N$1))</f>
        <v xml:space="preserve"> </v>
      </c>
      <c r="G2166" s="28" t="str">
        <f>IF($C2166=""," ",[1]!i_pq_pctchange($C2166,G$6,$N$1))</f>
        <v xml:space="preserve"> </v>
      </c>
      <c r="H2166" s="28" t="str">
        <f>IF($C2166=""," ",[1]!i_pq_pctchange($C2166,H$6,$N$1))</f>
        <v xml:space="preserve"> </v>
      </c>
      <c r="I2166" s="28" t="str">
        <f>IF($C2166=""," ",[1]!i_pq_pctchange($C2166,I$6,$N$1))</f>
        <v xml:space="preserve"> </v>
      </c>
      <c r="J2166" s="28" t="str">
        <f>IF($C2166=""," ",[1]!i_pq_pctchange($C2166,J$6,$N$1))</f>
        <v xml:space="preserve"> </v>
      </c>
      <c r="K2166" s="28" t="str">
        <f>IF($C2166=""," ",[1]!i_pq_pctchange($C2166,K$6,$N$1))</f>
        <v xml:space="preserve"> </v>
      </c>
      <c r="L2166" s="28" t="str">
        <f>IF(C2166=""," ",[1]!s_wq_pctchange($C2166,$N$1))</f>
        <v xml:space="preserve"> </v>
      </c>
      <c r="M2166" s="28" t="str">
        <f>IF(C2166=""," ",[1]!s_mq_pctchange($C2166,$N$1))</f>
        <v xml:space="preserve"> </v>
      </c>
      <c r="N2166" s="28" t="str">
        <f>IF(C2166=""," ",[1]!s_yq_pctchange($C2166,$N$1))</f>
        <v xml:space="preserve"> </v>
      </c>
      <c r="O2166" s="11"/>
      <c r="P2166" s="7"/>
    </row>
    <row r="2167" spans="1:16" x14ac:dyDescent="0.35">
      <c r="A2167" s="7"/>
      <c r="C2167" s="30" t="str">
        <f>IF(指数列表!B2164="","",指数列表!B2164)</f>
        <v/>
      </c>
      <c r="D2167" s="35" t="str">
        <f>IF(C2167="","",[1]!s_info_name(C2167))</f>
        <v/>
      </c>
      <c r="E2167" s="24" t="str">
        <f>IF(C2167="","",[1]!s_dq_close(C2167,$N$1))</f>
        <v/>
      </c>
      <c r="F2167" s="28" t="str">
        <f>IF($C2167=""," ",[1]!i_pq_pctchange($C2167,F$6,$N$1))</f>
        <v xml:space="preserve"> </v>
      </c>
      <c r="G2167" s="28" t="str">
        <f>IF($C2167=""," ",[1]!i_pq_pctchange($C2167,G$6,$N$1))</f>
        <v xml:space="preserve"> </v>
      </c>
      <c r="H2167" s="28" t="str">
        <f>IF($C2167=""," ",[1]!i_pq_pctchange($C2167,H$6,$N$1))</f>
        <v xml:space="preserve"> </v>
      </c>
      <c r="I2167" s="28" t="str">
        <f>IF($C2167=""," ",[1]!i_pq_pctchange($C2167,I$6,$N$1))</f>
        <v xml:space="preserve"> </v>
      </c>
      <c r="J2167" s="28" t="str">
        <f>IF($C2167=""," ",[1]!i_pq_pctchange($C2167,J$6,$N$1))</f>
        <v xml:space="preserve"> </v>
      </c>
      <c r="K2167" s="28" t="str">
        <f>IF($C2167=""," ",[1]!i_pq_pctchange($C2167,K$6,$N$1))</f>
        <v xml:space="preserve"> </v>
      </c>
      <c r="L2167" s="28" t="str">
        <f>IF(C2167=""," ",[1]!s_wq_pctchange($C2167,$N$1))</f>
        <v xml:space="preserve"> </v>
      </c>
      <c r="M2167" s="28" t="str">
        <f>IF(C2167=""," ",[1]!s_mq_pctchange($C2167,$N$1))</f>
        <v xml:space="preserve"> </v>
      </c>
      <c r="N2167" s="28" t="str">
        <f>IF(C2167=""," ",[1]!s_yq_pctchange($C2167,$N$1))</f>
        <v xml:space="preserve"> </v>
      </c>
      <c r="O2167" s="11"/>
      <c r="P2167" s="7"/>
    </row>
    <row r="2168" spans="1:16" x14ac:dyDescent="0.35">
      <c r="A2168" s="7"/>
      <c r="C2168" s="31" t="str">
        <f>IF(指数列表!B2165="","",指数列表!B2165)</f>
        <v/>
      </c>
      <c r="D2168" s="36" t="str">
        <f>IF(C2168="","",[1]!s_info_name(C2168))</f>
        <v/>
      </c>
      <c r="E2168" s="25" t="str">
        <f>IF(C2168="","",[1]!s_dq_close(C2168,$N$1))</f>
        <v/>
      </c>
      <c r="F2168" s="28" t="str">
        <f>IF($C2168=""," ",[1]!i_pq_pctchange($C2168,F$6,$N$1))</f>
        <v xml:space="preserve"> </v>
      </c>
      <c r="G2168" s="28" t="str">
        <f>IF($C2168=""," ",[1]!i_pq_pctchange($C2168,G$6,$N$1))</f>
        <v xml:space="preserve"> </v>
      </c>
      <c r="H2168" s="28" t="str">
        <f>IF($C2168=""," ",[1]!i_pq_pctchange($C2168,H$6,$N$1))</f>
        <v xml:space="preserve"> </v>
      </c>
      <c r="I2168" s="28" t="str">
        <f>IF($C2168=""," ",[1]!i_pq_pctchange($C2168,I$6,$N$1))</f>
        <v xml:space="preserve"> </v>
      </c>
      <c r="J2168" s="28" t="str">
        <f>IF($C2168=""," ",[1]!i_pq_pctchange($C2168,J$6,$N$1))</f>
        <v xml:space="preserve"> </v>
      </c>
      <c r="K2168" s="28" t="str">
        <f>IF($C2168=""," ",[1]!i_pq_pctchange($C2168,K$6,$N$1))</f>
        <v xml:space="preserve"> </v>
      </c>
      <c r="L2168" s="28" t="str">
        <f>IF(C2168=""," ",[1]!s_wq_pctchange($C2168,$N$1))</f>
        <v xml:space="preserve"> </v>
      </c>
      <c r="M2168" s="28" t="str">
        <f>IF(C2168=""," ",[1]!s_mq_pctchange($C2168,$N$1))</f>
        <v xml:space="preserve"> </v>
      </c>
      <c r="N2168" s="28" t="str">
        <f>IF(C2168=""," ",[1]!s_yq_pctchange($C2168,$N$1))</f>
        <v xml:space="preserve"> </v>
      </c>
      <c r="O2168" s="11"/>
      <c r="P2168" s="7"/>
    </row>
    <row r="2169" spans="1:16" x14ac:dyDescent="0.35">
      <c r="A2169" s="7"/>
      <c r="C2169" s="30" t="str">
        <f>IF(指数列表!B2166="","",指数列表!B2166)</f>
        <v/>
      </c>
      <c r="D2169" s="35" t="str">
        <f>IF(C2169="","",[1]!s_info_name(C2169))</f>
        <v/>
      </c>
      <c r="E2169" s="24" t="str">
        <f>IF(C2169="","",[1]!s_dq_close(C2169,$N$1))</f>
        <v/>
      </c>
      <c r="F2169" s="28" t="str">
        <f>IF($C2169=""," ",[1]!i_pq_pctchange($C2169,F$6,$N$1))</f>
        <v xml:space="preserve"> </v>
      </c>
      <c r="G2169" s="28" t="str">
        <f>IF($C2169=""," ",[1]!i_pq_pctchange($C2169,G$6,$N$1))</f>
        <v xml:space="preserve"> </v>
      </c>
      <c r="H2169" s="28" t="str">
        <f>IF($C2169=""," ",[1]!i_pq_pctchange($C2169,H$6,$N$1))</f>
        <v xml:space="preserve"> </v>
      </c>
      <c r="I2169" s="28" t="str">
        <f>IF($C2169=""," ",[1]!i_pq_pctchange($C2169,I$6,$N$1))</f>
        <v xml:space="preserve"> </v>
      </c>
      <c r="J2169" s="28" t="str">
        <f>IF($C2169=""," ",[1]!i_pq_pctchange($C2169,J$6,$N$1))</f>
        <v xml:space="preserve"> </v>
      </c>
      <c r="K2169" s="28" t="str">
        <f>IF($C2169=""," ",[1]!i_pq_pctchange($C2169,K$6,$N$1))</f>
        <v xml:space="preserve"> </v>
      </c>
      <c r="L2169" s="28" t="str">
        <f>IF(C2169=""," ",[1]!s_wq_pctchange($C2169,$N$1))</f>
        <v xml:space="preserve"> </v>
      </c>
      <c r="M2169" s="28" t="str">
        <f>IF(C2169=""," ",[1]!s_mq_pctchange($C2169,$N$1))</f>
        <v xml:space="preserve"> </v>
      </c>
      <c r="N2169" s="28" t="str">
        <f>IF(C2169=""," ",[1]!s_yq_pctchange($C2169,$N$1))</f>
        <v xml:space="preserve"> </v>
      </c>
      <c r="O2169" s="11"/>
      <c r="P2169" s="7"/>
    </row>
    <row r="2170" spans="1:16" x14ac:dyDescent="0.35">
      <c r="A2170" s="7"/>
      <c r="C2170" s="31" t="str">
        <f>IF(指数列表!B2167="","",指数列表!B2167)</f>
        <v/>
      </c>
      <c r="D2170" s="36" t="str">
        <f>IF(C2170="","",[1]!s_info_name(C2170))</f>
        <v/>
      </c>
      <c r="E2170" s="25" t="str">
        <f>IF(C2170="","",[1]!s_dq_close(C2170,$N$1))</f>
        <v/>
      </c>
      <c r="F2170" s="28" t="str">
        <f>IF($C2170=""," ",[1]!i_pq_pctchange($C2170,F$6,$N$1))</f>
        <v xml:space="preserve"> </v>
      </c>
      <c r="G2170" s="28" t="str">
        <f>IF($C2170=""," ",[1]!i_pq_pctchange($C2170,G$6,$N$1))</f>
        <v xml:space="preserve"> </v>
      </c>
      <c r="H2170" s="28" t="str">
        <f>IF($C2170=""," ",[1]!i_pq_pctchange($C2170,H$6,$N$1))</f>
        <v xml:space="preserve"> </v>
      </c>
      <c r="I2170" s="28" t="str">
        <f>IF($C2170=""," ",[1]!i_pq_pctchange($C2170,I$6,$N$1))</f>
        <v xml:space="preserve"> </v>
      </c>
      <c r="J2170" s="28" t="str">
        <f>IF($C2170=""," ",[1]!i_pq_pctchange($C2170,J$6,$N$1))</f>
        <v xml:space="preserve"> </v>
      </c>
      <c r="K2170" s="28" t="str">
        <f>IF($C2170=""," ",[1]!i_pq_pctchange($C2170,K$6,$N$1))</f>
        <v xml:space="preserve"> </v>
      </c>
      <c r="L2170" s="28" t="str">
        <f>IF(C2170=""," ",[1]!s_wq_pctchange($C2170,$N$1))</f>
        <v xml:space="preserve"> </v>
      </c>
      <c r="M2170" s="28" t="str">
        <f>IF(C2170=""," ",[1]!s_mq_pctchange($C2170,$N$1))</f>
        <v xml:space="preserve"> </v>
      </c>
      <c r="N2170" s="28" t="str">
        <f>IF(C2170=""," ",[1]!s_yq_pctchange($C2170,$N$1))</f>
        <v xml:space="preserve"> </v>
      </c>
      <c r="O2170" s="11"/>
      <c r="P2170" s="7"/>
    </row>
    <row r="2171" spans="1:16" x14ac:dyDescent="0.35">
      <c r="A2171" s="7"/>
      <c r="C2171" s="30" t="str">
        <f>IF(指数列表!B2168="","",指数列表!B2168)</f>
        <v/>
      </c>
      <c r="D2171" s="35" t="str">
        <f>IF(C2171="","",[1]!s_info_name(C2171))</f>
        <v/>
      </c>
      <c r="E2171" s="24" t="str">
        <f>IF(C2171="","",[1]!s_dq_close(C2171,$N$1))</f>
        <v/>
      </c>
      <c r="F2171" s="28" t="str">
        <f>IF($C2171=""," ",[1]!i_pq_pctchange($C2171,F$6,$N$1))</f>
        <v xml:space="preserve"> </v>
      </c>
      <c r="G2171" s="28" t="str">
        <f>IF($C2171=""," ",[1]!i_pq_pctchange($C2171,G$6,$N$1))</f>
        <v xml:space="preserve"> </v>
      </c>
      <c r="H2171" s="28" t="str">
        <f>IF($C2171=""," ",[1]!i_pq_pctchange($C2171,H$6,$N$1))</f>
        <v xml:space="preserve"> </v>
      </c>
      <c r="I2171" s="28" t="str">
        <f>IF($C2171=""," ",[1]!i_pq_pctchange($C2171,I$6,$N$1))</f>
        <v xml:space="preserve"> </v>
      </c>
      <c r="J2171" s="28" t="str">
        <f>IF($C2171=""," ",[1]!i_pq_pctchange($C2171,J$6,$N$1))</f>
        <v xml:space="preserve"> </v>
      </c>
      <c r="K2171" s="28" t="str">
        <f>IF($C2171=""," ",[1]!i_pq_pctchange($C2171,K$6,$N$1))</f>
        <v xml:space="preserve"> </v>
      </c>
      <c r="L2171" s="28" t="str">
        <f>IF(C2171=""," ",[1]!s_wq_pctchange($C2171,$N$1))</f>
        <v xml:space="preserve"> </v>
      </c>
      <c r="M2171" s="28" t="str">
        <f>IF(C2171=""," ",[1]!s_mq_pctchange($C2171,$N$1))</f>
        <v xml:space="preserve"> </v>
      </c>
      <c r="N2171" s="28" t="str">
        <f>IF(C2171=""," ",[1]!s_yq_pctchange($C2171,$N$1))</f>
        <v xml:space="preserve"> </v>
      </c>
      <c r="O2171" s="11"/>
      <c r="P2171" s="7"/>
    </row>
    <row r="2172" spans="1:16" x14ac:dyDescent="0.35">
      <c r="A2172" s="7"/>
      <c r="C2172" s="31" t="str">
        <f>IF(指数列表!B2169="","",指数列表!B2169)</f>
        <v/>
      </c>
      <c r="D2172" s="36" t="str">
        <f>IF(C2172="","",[1]!s_info_name(C2172))</f>
        <v/>
      </c>
      <c r="E2172" s="25" t="str">
        <f>IF(C2172="","",[1]!s_dq_close(C2172,$N$1))</f>
        <v/>
      </c>
      <c r="F2172" s="28" t="str">
        <f>IF($C2172=""," ",[1]!i_pq_pctchange($C2172,F$6,$N$1))</f>
        <v xml:space="preserve"> </v>
      </c>
      <c r="G2172" s="28" t="str">
        <f>IF($C2172=""," ",[1]!i_pq_pctchange($C2172,G$6,$N$1))</f>
        <v xml:space="preserve"> </v>
      </c>
      <c r="H2172" s="28" t="str">
        <f>IF($C2172=""," ",[1]!i_pq_pctchange($C2172,H$6,$N$1))</f>
        <v xml:space="preserve"> </v>
      </c>
      <c r="I2172" s="28" t="str">
        <f>IF($C2172=""," ",[1]!i_pq_pctchange($C2172,I$6,$N$1))</f>
        <v xml:space="preserve"> </v>
      </c>
      <c r="J2172" s="28" t="str">
        <f>IF($C2172=""," ",[1]!i_pq_pctchange($C2172,J$6,$N$1))</f>
        <v xml:space="preserve"> </v>
      </c>
      <c r="K2172" s="28" t="str">
        <f>IF($C2172=""," ",[1]!i_pq_pctchange($C2172,K$6,$N$1))</f>
        <v xml:space="preserve"> </v>
      </c>
      <c r="L2172" s="28" t="str">
        <f>IF(C2172=""," ",[1]!s_wq_pctchange($C2172,$N$1))</f>
        <v xml:space="preserve"> </v>
      </c>
      <c r="M2172" s="28" t="str">
        <f>IF(C2172=""," ",[1]!s_mq_pctchange($C2172,$N$1))</f>
        <v xml:space="preserve"> </v>
      </c>
      <c r="N2172" s="28" t="str">
        <f>IF(C2172=""," ",[1]!s_yq_pctchange($C2172,$N$1))</f>
        <v xml:space="preserve"> </v>
      </c>
      <c r="O2172" s="11"/>
      <c r="P2172" s="7"/>
    </row>
    <row r="2173" spans="1:16" x14ac:dyDescent="0.35">
      <c r="A2173" s="7"/>
      <c r="C2173" s="30" t="str">
        <f>IF(指数列表!B2170="","",指数列表!B2170)</f>
        <v/>
      </c>
      <c r="D2173" s="35" t="str">
        <f>IF(C2173="","",[1]!s_info_name(C2173))</f>
        <v/>
      </c>
      <c r="E2173" s="24" t="str">
        <f>IF(C2173="","",[1]!s_dq_close(C2173,$N$1))</f>
        <v/>
      </c>
      <c r="F2173" s="28" t="str">
        <f>IF($C2173=""," ",[1]!i_pq_pctchange($C2173,F$6,$N$1))</f>
        <v xml:space="preserve"> </v>
      </c>
      <c r="G2173" s="28" t="str">
        <f>IF($C2173=""," ",[1]!i_pq_pctchange($C2173,G$6,$N$1))</f>
        <v xml:space="preserve"> </v>
      </c>
      <c r="H2173" s="28" t="str">
        <f>IF($C2173=""," ",[1]!i_pq_pctchange($C2173,H$6,$N$1))</f>
        <v xml:space="preserve"> </v>
      </c>
      <c r="I2173" s="28" t="str">
        <f>IF($C2173=""," ",[1]!i_pq_pctchange($C2173,I$6,$N$1))</f>
        <v xml:space="preserve"> </v>
      </c>
      <c r="J2173" s="28" t="str">
        <f>IF($C2173=""," ",[1]!i_pq_pctchange($C2173,J$6,$N$1))</f>
        <v xml:space="preserve"> </v>
      </c>
      <c r="K2173" s="28" t="str">
        <f>IF($C2173=""," ",[1]!i_pq_pctchange($C2173,K$6,$N$1))</f>
        <v xml:space="preserve"> </v>
      </c>
      <c r="L2173" s="28" t="str">
        <f>IF(C2173=""," ",[1]!s_wq_pctchange($C2173,$N$1))</f>
        <v xml:space="preserve"> </v>
      </c>
      <c r="M2173" s="28" t="str">
        <f>IF(C2173=""," ",[1]!s_mq_pctchange($C2173,$N$1))</f>
        <v xml:space="preserve"> </v>
      </c>
      <c r="N2173" s="28" t="str">
        <f>IF(C2173=""," ",[1]!s_yq_pctchange($C2173,$N$1))</f>
        <v xml:space="preserve"> </v>
      </c>
      <c r="O2173" s="11"/>
      <c r="P2173" s="7"/>
    </row>
    <row r="2174" spans="1:16" x14ac:dyDescent="0.35">
      <c r="A2174" s="7"/>
      <c r="C2174" s="31" t="str">
        <f>IF(指数列表!B2171="","",指数列表!B2171)</f>
        <v/>
      </c>
      <c r="D2174" s="36" t="str">
        <f>IF(C2174="","",[1]!s_info_name(C2174))</f>
        <v/>
      </c>
      <c r="E2174" s="25" t="str">
        <f>IF(C2174="","",[1]!s_dq_close(C2174,$N$1))</f>
        <v/>
      </c>
      <c r="F2174" s="28" t="str">
        <f>IF($C2174=""," ",[1]!i_pq_pctchange($C2174,F$6,$N$1))</f>
        <v xml:space="preserve"> </v>
      </c>
      <c r="G2174" s="28" t="str">
        <f>IF($C2174=""," ",[1]!i_pq_pctchange($C2174,G$6,$N$1))</f>
        <v xml:space="preserve"> </v>
      </c>
      <c r="H2174" s="28" t="str">
        <f>IF($C2174=""," ",[1]!i_pq_pctchange($C2174,H$6,$N$1))</f>
        <v xml:space="preserve"> </v>
      </c>
      <c r="I2174" s="28" t="str">
        <f>IF($C2174=""," ",[1]!i_pq_pctchange($C2174,I$6,$N$1))</f>
        <v xml:space="preserve"> </v>
      </c>
      <c r="J2174" s="28" t="str">
        <f>IF($C2174=""," ",[1]!i_pq_pctchange($C2174,J$6,$N$1))</f>
        <v xml:space="preserve"> </v>
      </c>
      <c r="K2174" s="28" t="str">
        <f>IF($C2174=""," ",[1]!i_pq_pctchange($C2174,K$6,$N$1))</f>
        <v xml:space="preserve"> </v>
      </c>
      <c r="L2174" s="28" t="str">
        <f>IF(C2174=""," ",[1]!s_wq_pctchange($C2174,$N$1))</f>
        <v xml:space="preserve"> </v>
      </c>
      <c r="M2174" s="28" t="str">
        <f>IF(C2174=""," ",[1]!s_mq_pctchange($C2174,$N$1))</f>
        <v xml:space="preserve"> </v>
      </c>
      <c r="N2174" s="28" t="str">
        <f>IF(C2174=""," ",[1]!s_yq_pctchange($C2174,$N$1))</f>
        <v xml:space="preserve"> </v>
      </c>
      <c r="O2174" s="11"/>
      <c r="P2174" s="7"/>
    </row>
    <row r="2175" spans="1:16" x14ac:dyDescent="0.35">
      <c r="A2175" s="7"/>
      <c r="C2175" s="30" t="str">
        <f>IF(指数列表!B2172="","",指数列表!B2172)</f>
        <v/>
      </c>
      <c r="D2175" s="35" t="str">
        <f>IF(C2175="","",[1]!s_info_name(C2175))</f>
        <v/>
      </c>
      <c r="E2175" s="24" t="str">
        <f>IF(C2175="","",[1]!s_dq_close(C2175,$N$1))</f>
        <v/>
      </c>
      <c r="F2175" s="28" t="str">
        <f>IF($C2175=""," ",[1]!i_pq_pctchange($C2175,F$6,$N$1))</f>
        <v xml:space="preserve"> </v>
      </c>
      <c r="G2175" s="28" t="str">
        <f>IF($C2175=""," ",[1]!i_pq_pctchange($C2175,G$6,$N$1))</f>
        <v xml:space="preserve"> </v>
      </c>
      <c r="H2175" s="28" t="str">
        <f>IF($C2175=""," ",[1]!i_pq_pctchange($C2175,H$6,$N$1))</f>
        <v xml:space="preserve"> </v>
      </c>
      <c r="I2175" s="28" t="str">
        <f>IF($C2175=""," ",[1]!i_pq_pctchange($C2175,I$6,$N$1))</f>
        <v xml:space="preserve"> </v>
      </c>
      <c r="J2175" s="28" t="str">
        <f>IF($C2175=""," ",[1]!i_pq_pctchange($C2175,J$6,$N$1))</f>
        <v xml:space="preserve"> </v>
      </c>
      <c r="K2175" s="28" t="str">
        <f>IF($C2175=""," ",[1]!i_pq_pctchange($C2175,K$6,$N$1))</f>
        <v xml:space="preserve"> </v>
      </c>
      <c r="L2175" s="28" t="str">
        <f>IF(C2175=""," ",[1]!s_wq_pctchange($C2175,$N$1))</f>
        <v xml:space="preserve"> </v>
      </c>
      <c r="M2175" s="28" t="str">
        <f>IF(C2175=""," ",[1]!s_mq_pctchange($C2175,$N$1))</f>
        <v xml:space="preserve"> </v>
      </c>
      <c r="N2175" s="28" t="str">
        <f>IF(C2175=""," ",[1]!s_yq_pctchange($C2175,$N$1))</f>
        <v xml:space="preserve"> </v>
      </c>
      <c r="O2175" s="11"/>
      <c r="P2175" s="7"/>
    </row>
    <row r="2176" spans="1:16" x14ac:dyDescent="0.35">
      <c r="A2176" s="7"/>
      <c r="C2176" s="31" t="str">
        <f>IF(指数列表!B2173="","",指数列表!B2173)</f>
        <v/>
      </c>
      <c r="D2176" s="36" t="str">
        <f>IF(C2176="","",[1]!s_info_name(C2176))</f>
        <v/>
      </c>
      <c r="E2176" s="25" t="str">
        <f>IF(C2176="","",[1]!s_dq_close(C2176,$N$1))</f>
        <v/>
      </c>
      <c r="F2176" s="28" t="str">
        <f>IF($C2176=""," ",[1]!i_pq_pctchange($C2176,F$6,$N$1))</f>
        <v xml:space="preserve"> </v>
      </c>
      <c r="G2176" s="28" t="str">
        <f>IF($C2176=""," ",[1]!i_pq_pctchange($C2176,G$6,$N$1))</f>
        <v xml:space="preserve"> </v>
      </c>
      <c r="H2176" s="28" t="str">
        <f>IF($C2176=""," ",[1]!i_pq_pctchange($C2176,H$6,$N$1))</f>
        <v xml:space="preserve"> </v>
      </c>
      <c r="I2176" s="28" t="str">
        <f>IF($C2176=""," ",[1]!i_pq_pctchange($C2176,I$6,$N$1))</f>
        <v xml:space="preserve"> </v>
      </c>
      <c r="J2176" s="28" t="str">
        <f>IF($C2176=""," ",[1]!i_pq_pctchange($C2176,J$6,$N$1))</f>
        <v xml:space="preserve"> </v>
      </c>
      <c r="K2176" s="28" t="str">
        <f>IF($C2176=""," ",[1]!i_pq_pctchange($C2176,K$6,$N$1))</f>
        <v xml:space="preserve"> </v>
      </c>
      <c r="L2176" s="28" t="str">
        <f>IF(C2176=""," ",[1]!s_wq_pctchange($C2176,$N$1))</f>
        <v xml:space="preserve"> </v>
      </c>
      <c r="M2176" s="28" t="str">
        <f>IF(C2176=""," ",[1]!s_mq_pctchange($C2176,$N$1))</f>
        <v xml:space="preserve"> </v>
      </c>
      <c r="N2176" s="28" t="str">
        <f>IF(C2176=""," ",[1]!s_yq_pctchange($C2176,$N$1))</f>
        <v xml:space="preserve"> </v>
      </c>
      <c r="O2176" s="11"/>
      <c r="P2176" s="7"/>
    </row>
    <row r="2177" spans="1:16" x14ac:dyDescent="0.35">
      <c r="A2177" s="7"/>
      <c r="C2177" s="30" t="str">
        <f>IF(指数列表!B2174="","",指数列表!B2174)</f>
        <v/>
      </c>
      <c r="D2177" s="35" t="str">
        <f>IF(C2177="","",[1]!s_info_name(C2177))</f>
        <v/>
      </c>
      <c r="E2177" s="24" t="str">
        <f>IF(C2177="","",[1]!s_dq_close(C2177,$N$1))</f>
        <v/>
      </c>
      <c r="F2177" s="28" t="str">
        <f>IF($C2177=""," ",[1]!i_pq_pctchange($C2177,F$6,$N$1))</f>
        <v xml:space="preserve"> </v>
      </c>
      <c r="G2177" s="28" t="str">
        <f>IF($C2177=""," ",[1]!i_pq_pctchange($C2177,G$6,$N$1))</f>
        <v xml:space="preserve"> </v>
      </c>
      <c r="H2177" s="28" t="str">
        <f>IF($C2177=""," ",[1]!i_pq_pctchange($C2177,H$6,$N$1))</f>
        <v xml:space="preserve"> </v>
      </c>
      <c r="I2177" s="28" t="str">
        <f>IF($C2177=""," ",[1]!i_pq_pctchange($C2177,I$6,$N$1))</f>
        <v xml:space="preserve"> </v>
      </c>
      <c r="J2177" s="28" t="str">
        <f>IF($C2177=""," ",[1]!i_pq_pctchange($C2177,J$6,$N$1))</f>
        <v xml:space="preserve"> </v>
      </c>
      <c r="K2177" s="28" t="str">
        <f>IF($C2177=""," ",[1]!i_pq_pctchange($C2177,K$6,$N$1))</f>
        <v xml:space="preserve"> </v>
      </c>
      <c r="L2177" s="28" t="str">
        <f>IF(C2177=""," ",[1]!s_wq_pctchange($C2177,$N$1))</f>
        <v xml:space="preserve"> </v>
      </c>
      <c r="M2177" s="28" t="str">
        <f>IF(C2177=""," ",[1]!s_mq_pctchange($C2177,$N$1))</f>
        <v xml:space="preserve"> </v>
      </c>
      <c r="N2177" s="28" t="str">
        <f>IF(C2177=""," ",[1]!s_yq_pctchange($C2177,$N$1))</f>
        <v xml:space="preserve"> </v>
      </c>
      <c r="O2177" s="11"/>
      <c r="P2177" s="7"/>
    </row>
    <row r="2178" spans="1:16" x14ac:dyDescent="0.35">
      <c r="A2178" s="7"/>
      <c r="C2178" s="31" t="str">
        <f>IF(指数列表!B2175="","",指数列表!B2175)</f>
        <v/>
      </c>
      <c r="D2178" s="36" t="str">
        <f>IF(C2178="","",[1]!s_info_name(C2178))</f>
        <v/>
      </c>
      <c r="E2178" s="25" t="str">
        <f>IF(C2178="","",[1]!s_dq_close(C2178,$N$1))</f>
        <v/>
      </c>
      <c r="F2178" s="28" t="str">
        <f>IF($C2178=""," ",[1]!i_pq_pctchange($C2178,F$6,$N$1))</f>
        <v xml:space="preserve"> </v>
      </c>
      <c r="G2178" s="28" t="str">
        <f>IF($C2178=""," ",[1]!i_pq_pctchange($C2178,G$6,$N$1))</f>
        <v xml:space="preserve"> </v>
      </c>
      <c r="H2178" s="28" t="str">
        <f>IF($C2178=""," ",[1]!i_pq_pctchange($C2178,H$6,$N$1))</f>
        <v xml:space="preserve"> </v>
      </c>
      <c r="I2178" s="28" t="str">
        <f>IF($C2178=""," ",[1]!i_pq_pctchange($C2178,I$6,$N$1))</f>
        <v xml:space="preserve"> </v>
      </c>
      <c r="J2178" s="28" t="str">
        <f>IF($C2178=""," ",[1]!i_pq_pctchange($C2178,J$6,$N$1))</f>
        <v xml:space="preserve"> </v>
      </c>
      <c r="K2178" s="28" t="str">
        <f>IF($C2178=""," ",[1]!i_pq_pctchange($C2178,K$6,$N$1))</f>
        <v xml:space="preserve"> </v>
      </c>
      <c r="L2178" s="28" t="str">
        <f>IF(C2178=""," ",[1]!s_wq_pctchange($C2178,$N$1))</f>
        <v xml:space="preserve"> </v>
      </c>
      <c r="M2178" s="28" t="str">
        <f>IF(C2178=""," ",[1]!s_mq_pctchange($C2178,$N$1))</f>
        <v xml:space="preserve"> </v>
      </c>
      <c r="N2178" s="28" t="str">
        <f>IF(C2178=""," ",[1]!s_yq_pctchange($C2178,$N$1))</f>
        <v xml:space="preserve"> </v>
      </c>
      <c r="O2178" s="11"/>
      <c r="P2178" s="7"/>
    </row>
    <row r="2179" spans="1:16" x14ac:dyDescent="0.35">
      <c r="A2179" s="7"/>
      <c r="C2179" s="30" t="str">
        <f>IF(指数列表!B2176="","",指数列表!B2176)</f>
        <v/>
      </c>
      <c r="D2179" s="35" t="str">
        <f>IF(C2179="","",[1]!s_info_name(C2179))</f>
        <v/>
      </c>
      <c r="E2179" s="24" t="str">
        <f>IF(C2179="","",[1]!s_dq_close(C2179,$N$1))</f>
        <v/>
      </c>
      <c r="F2179" s="28" t="str">
        <f>IF($C2179=""," ",[1]!i_pq_pctchange($C2179,F$6,$N$1))</f>
        <v xml:space="preserve"> </v>
      </c>
      <c r="G2179" s="28" t="str">
        <f>IF($C2179=""," ",[1]!i_pq_pctchange($C2179,G$6,$N$1))</f>
        <v xml:space="preserve"> </v>
      </c>
      <c r="H2179" s="28" t="str">
        <f>IF($C2179=""," ",[1]!i_pq_pctchange($C2179,H$6,$N$1))</f>
        <v xml:space="preserve"> </v>
      </c>
      <c r="I2179" s="28" t="str">
        <f>IF($C2179=""," ",[1]!i_pq_pctchange($C2179,I$6,$N$1))</f>
        <v xml:space="preserve"> </v>
      </c>
      <c r="J2179" s="28" t="str">
        <f>IF($C2179=""," ",[1]!i_pq_pctchange($C2179,J$6,$N$1))</f>
        <v xml:space="preserve"> </v>
      </c>
      <c r="K2179" s="28" t="str">
        <f>IF($C2179=""," ",[1]!i_pq_pctchange($C2179,K$6,$N$1))</f>
        <v xml:space="preserve"> </v>
      </c>
      <c r="L2179" s="28" t="str">
        <f>IF(C2179=""," ",[1]!s_wq_pctchange($C2179,$N$1))</f>
        <v xml:space="preserve"> </v>
      </c>
      <c r="M2179" s="28" t="str">
        <f>IF(C2179=""," ",[1]!s_mq_pctchange($C2179,$N$1))</f>
        <v xml:space="preserve"> </v>
      </c>
      <c r="N2179" s="28" t="str">
        <f>IF(C2179=""," ",[1]!s_yq_pctchange($C2179,$N$1))</f>
        <v xml:space="preserve"> </v>
      </c>
      <c r="O2179" s="11"/>
      <c r="P2179" s="7"/>
    </row>
    <row r="2180" spans="1:16" x14ac:dyDescent="0.35">
      <c r="A2180" s="7"/>
      <c r="C2180" s="31" t="str">
        <f>IF(指数列表!B2177="","",指数列表!B2177)</f>
        <v/>
      </c>
      <c r="D2180" s="36" t="str">
        <f>IF(C2180="","",[1]!s_info_name(C2180))</f>
        <v/>
      </c>
      <c r="E2180" s="25" t="str">
        <f>IF(C2180="","",[1]!s_dq_close(C2180,$N$1))</f>
        <v/>
      </c>
      <c r="F2180" s="28" t="str">
        <f>IF($C2180=""," ",[1]!i_pq_pctchange($C2180,F$6,$N$1))</f>
        <v xml:space="preserve"> </v>
      </c>
      <c r="G2180" s="28" t="str">
        <f>IF($C2180=""," ",[1]!i_pq_pctchange($C2180,G$6,$N$1))</f>
        <v xml:space="preserve"> </v>
      </c>
      <c r="H2180" s="28" t="str">
        <f>IF($C2180=""," ",[1]!i_pq_pctchange($C2180,H$6,$N$1))</f>
        <v xml:space="preserve"> </v>
      </c>
      <c r="I2180" s="28" t="str">
        <f>IF($C2180=""," ",[1]!i_pq_pctchange($C2180,I$6,$N$1))</f>
        <v xml:space="preserve"> </v>
      </c>
      <c r="J2180" s="28" t="str">
        <f>IF($C2180=""," ",[1]!i_pq_pctchange($C2180,J$6,$N$1))</f>
        <v xml:space="preserve"> </v>
      </c>
      <c r="K2180" s="28" t="str">
        <f>IF($C2180=""," ",[1]!i_pq_pctchange($C2180,K$6,$N$1))</f>
        <v xml:space="preserve"> </v>
      </c>
      <c r="L2180" s="28" t="str">
        <f>IF(C2180=""," ",[1]!s_wq_pctchange($C2180,$N$1))</f>
        <v xml:space="preserve"> </v>
      </c>
      <c r="M2180" s="28" t="str">
        <f>IF(C2180=""," ",[1]!s_mq_pctchange($C2180,$N$1))</f>
        <v xml:space="preserve"> </v>
      </c>
      <c r="N2180" s="28" t="str">
        <f>IF(C2180=""," ",[1]!s_yq_pctchange($C2180,$N$1))</f>
        <v xml:space="preserve"> </v>
      </c>
      <c r="O2180" s="11"/>
      <c r="P2180" s="7"/>
    </row>
    <row r="2181" spans="1:16" x14ac:dyDescent="0.35">
      <c r="A2181" s="7"/>
      <c r="C2181" s="30" t="str">
        <f>IF(指数列表!B2178="","",指数列表!B2178)</f>
        <v/>
      </c>
      <c r="D2181" s="35" t="str">
        <f>IF(C2181="","",[1]!s_info_name(C2181))</f>
        <v/>
      </c>
      <c r="E2181" s="24" t="str">
        <f>IF(C2181="","",[1]!s_dq_close(C2181,$N$1))</f>
        <v/>
      </c>
      <c r="F2181" s="28" t="str">
        <f>IF($C2181=""," ",[1]!i_pq_pctchange($C2181,F$6,$N$1))</f>
        <v xml:space="preserve"> </v>
      </c>
      <c r="G2181" s="28" t="str">
        <f>IF($C2181=""," ",[1]!i_pq_pctchange($C2181,G$6,$N$1))</f>
        <v xml:space="preserve"> </v>
      </c>
      <c r="H2181" s="28" t="str">
        <f>IF($C2181=""," ",[1]!i_pq_pctchange($C2181,H$6,$N$1))</f>
        <v xml:space="preserve"> </v>
      </c>
      <c r="I2181" s="28" t="str">
        <f>IF($C2181=""," ",[1]!i_pq_pctchange($C2181,I$6,$N$1))</f>
        <v xml:space="preserve"> </v>
      </c>
      <c r="J2181" s="28" t="str">
        <f>IF($C2181=""," ",[1]!i_pq_pctchange($C2181,J$6,$N$1))</f>
        <v xml:space="preserve"> </v>
      </c>
      <c r="K2181" s="28" t="str">
        <f>IF($C2181=""," ",[1]!i_pq_pctchange($C2181,K$6,$N$1))</f>
        <v xml:space="preserve"> </v>
      </c>
      <c r="L2181" s="28" t="str">
        <f>IF(C2181=""," ",[1]!s_wq_pctchange($C2181,$N$1))</f>
        <v xml:space="preserve"> </v>
      </c>
      <c r="M2181" s="28" t="str">
        <f>IF(C2181=""," ",[1]!s_mq_pctchange($C2181,$N$1))</f>
        <v xml:space="preserve"> </v>
      </c>
      <c r="N2181" s="28" t="str">
        <f>IF(C2181=""," ",[1]!s_yq_pctchange($C2181,$N$1))</f>
        <v xml:space="preserve"> </v>
      </c>
      <c r="O2181" s="11"/>
      <c r="P2181" s="7"/>
    </row>
    <row r="2182" spans="1:16" x14ac:dyDescent="0.35">
      <c r="A2182" s="7"/>
      <c r="C2182" s="31" t="str">
        <f>IF(指数列表!B2179="","",指数列表!B2179)</f>
        <v/>
      </c>
      <c r="D2182" s="36" t="str">
        <f>IF(C2182="","",[1]!s_info_name(C2182))</f>
        <v/>
      </c>
      <c r="E2182" s="25" t="str">
        <f>IF(C2182="","",[1]!s_dq_close(C2182,$N$1))</f>
        <v/>
      </c>
      <c r="F2182" s="28" t="str">
        <f>IF($C2182=""," ",[1]!i_pq_pctchange($C2182,F$6,$N$1))</f>
        <v xml:space="preserve"> </v>
      </c>
      <c r="G2182" s="28" t="str">
        <f>IF($C2182=""," ",[1]!i_pq_pctchange($C2182,G$6,$N$1))</f>
        <v xml:space="preserve"> </v>
      </c>
      <c r="H2182" s="28" t="str">
        <f>IF($C2182=""," ",[1]!i_pq_pctchange($C2182,H$6,$N$1))</f>
        <v xml:space="preserve"> </v>
      </c>
      <c r="I2182" s="28" t="str">
        <f>IF($C2182=""," ",[1]!i_pq_pctchange($C2182,I$6,$N$1))</f>
        <v xml:space="preserve"> </v>
      </c>
      <c r="J2182" s="28" t="str">
        <f>IF($C2182=""," ",[1]!i_pq_pctchange($C2182,J$6,$N$1))</f>
        <v xml:space="preserve"> </v>
      </c>
      <c r="K2182" s="28" t="str">
        <f>IF($C2182=""," ",[1]!i_pq_pctchange($C2182,K$6,$N$1))</f>
        <v xml:space="preserve"> </v>
      </c>
      <c r="L2182" s="28" t="str">
        <f>IF(C2182=""," ",[1]!s_wq_pctchange($C2182,$N$1))</f>
        <v xml:space="preserve"> </v>
      </c>
      <c r="M2182" s="28" t="str">
        <f>IF(C2182=""," ",[1]!s_mq_pctchange($C2182,$N$1))</f>
        <v xml:space="preserve"> </v>
      </c>
      <c r="N2182" s="28" t="str">
        <f>IF(C2182=""," ",[1]!s_yq_pctchange($C2182,$N$1))</f>
        <v xml:space="preserve"> </v>
      </c>
      <c r="O2182" s="11"/>
      <c r="P2182" s="7"/>
    </row>
    <row r="2183" spans="1:16" x14ac:dyDescent="0.35">
      <c r="A2183" s="7"/>
      <c r="C2183" s="30" t="str">
        <f>IF(指数列表!B2180="","",指数列表!B2180)</f>
        <v/>
      </c>
      <c r="D2183" s="35" t="str">
        <f>IF(C2183="","",[1]!s_info_name(C2183))</f>
        <v/>
      </c>
      <c r="E2183" s="24" t="str">
        <f>IF(C2183="","",[1]!s_dq_close(C2183,$N$1))</f>
        <v/>
      </c>
      <c r="F2183" s="28" t="str">
        <f>IF($C2183=""," ",[1]!i_pq_pctchange($C2183,F$6,$N$1))</f>
        <v xml:space="preserve"> </v>
      </c>
      <c r="G2183" s="28" t="str">
        <f>IF($C2183=""," ",[1]!i_pq_pctchange($C2183,G$6,$N$1))</f>
        <v xml:space="preserve"> </v>
      </c>
      <c r="H2183" s="28" t="str">
        <f>IF($C2183=""," ",[1]!i_pq_pctchange($C2183,H$6,$N$1))</f>
        <v xml:space="preserve"> </v>
      </c>
      <c r="I2183" s="28" t="str">
        <f>IF($C2183=""," ",[1]!i_pq_pctchange($C2183,I$6,$N$1))</f>
        <v xml:space="preserve"> </v>
      </c>
      <c r="J2183" s="28" t="str">
        <f>IF($C2183=""," ",[1]!i_pq_pctchange($C2183,J$6,$N$1))</f>
        <v xml:space="preserve"> </v>
      </c>
      <c r="K2183" s="28" t="str">
        <f>IF($C2183=""," ",[1]!i_pq_pctchange($C2183,K$6,$N$1))</f>
        <v xml:space="preserve"> </v>
      </c>
      <c r="L2183" s="28" t="str">
        <f>IF(C2183=""," ",[1]!s_wq_pctchange($C2183,$N$1))</f>
        <v xml:space="preserve"> </v>
      </c>
      <c r="M2183" s="28" t="str">
        <f>IF(C2183=""," ",[1]!s_mq_pctchange($C2183,$N$1))</f>
        <v xml:space="preserve"> </v>
      </c>
      <c r="N2183" s="28" t="str">
        <f>IF(C2183=""," ",[1]!s_yq_pctchange($C2183,$N$1))</f>
        <v xml:space="preserve"> </v>
      </c>
      <c r="O2183" s="11"/>
      <c r="P2183" s="7"/>
    </row>
    <row r="2184" spans="1:16" x14ac:dyDescent="0.35">
      <c r="A2184" s="7"/>
      <c r="C2184" s="31" t="str">
        <f>IF(指数列表!B2181="","",指数列表!B2181)</f>
        <v/>
      </c>
      <c r="D2184" s="36" t="str">
        <f>IF(C2184="","",[1]!s_info_name(C2184))</f>
        <v/>
      </c>
      <c r="E2184" s="25" t="str">
        <f>IF(C2184="","",[1]!s_dq_close(C2184,$N$1))</f>
        <v/>
      </c>
      <c r="F2184" s="28" t="str">
        <f>IF($C2184=""," ",[1]!i_pq_pctchange($C2184,F$6,$N$1))</f>
        <v xml:space="preserve"> </v>
      </c>
      <c r="G2184" s="28" t="str">
        <f>IF($C2184=""," ",[1]!i_pq_pctchange($C2184,G$6,$N$1))</f>
        <v xml:space="preserve"> </v>
      </c>
      <c r="H2184" s="28" t="str">
        <f>IF($C2184=""," ",[1]!i_pq_pctchange($C2184,H$6,$N$1))</f>
        <v xml:space="preserve"> </v>
      </c>
      <c r="I2184" s="28" t="str">
        <f>IF($C2184=""," ",[1]!i_pq_pctchange($C2184,I$6,$N$1))</f>
        <v xml:space="preserve"> </v>
      </c>
      <c r="J2184" s="28" t="str">
        <f>IF($C2184=""," ",[1]!i_pq_pctchange($C2184,J$6,$N$1))</f>
        <v xml:space="preserve"> </v>
      </c>
      <c r="K2184" s="28" t="str">
        <f>IF($C2184=""," ",[1]!i_pq_pctchange($C2184,K$6,$N$1))</f>
        <v xml:space="preserve"> </v>
      </c>
      <c r="L2184" s="28" t="str">
        <f>IF(C2184=""," ",[1]!s_wq_pctchange($C2184,$N$1))</f>
        <v xml:space="preserve"> </v>
      </c>
      <c r="M2184" s="28" t="str">
        <f>IF(C2184=""," ",[1]!s_mq_pctchange($C2184,$N$1))</f>
        <v xml:space="preserve"> </v>
      </c>
      <c r="N2184" s="28" t="str">
        <f>IF(C2184=""," ",[1]!s_yq_pctchange($C2184,$N$1))</f>
        <v xml:space="preserve"> </v>
      </c>
      <c r="O2184" s="11"/>
      <c r="P2184" s="7"/>
    </row>
    <row r="2185" spans="1:16" x14ac:dyDescent="0.35">
      <c r="A2185" s="7"/>
      <c r="C2185" s="30" t="str">
        <f>IF(指数列表!B2182="","",指数列表!B2182)</f>
        <v/>
      </c>
      <c r="D2185" s="35" t="str">
        <f>IF(C2185="","",[1]!s_info_name(C2185))</f>
        <v/>
      </c>
      <c r="E2185" s="24" t="str">
        <f>IF(C2185="","",[1]!s_dq_close(C2185,$N$1))</f>
        <v/>
      </c>
      <c r="F2185" s="28" t="str">
        <f>IF($C2185=""," ",[1]!i_pq_pctchange($C2185,F$6,$N$1))</f>
        <v xml:space="preserve"> </v>
      </c>
      <c r="G2185" s="28" t="str">
        <f>IF($C2185=""," ",[1]!i_pq_pctchange($C2185,G$6,$N$1))</f>
        <v xml:space="preserve"> </v>
      </c>
      <c r="H2185" s="28" t="str">
        <f>IF($C2185=""," ",[1]!i_pq_pctchange($C2185,H$6,$N$1))</f>
        <v xml:space="preserve"> </v>
      </c>
      <c r="I2185" s="28" t="str">
        <f>IF($C2185=""," ",[1]!i_pq_pctchange($C2185,I$6,$N$1))</f>
        <v xml:space="preserve"> </v>
      </c>
      <c r="J2185" s="28" t="str">
        <f>IF($C2185=""," ",[1]!i_pq_pctchange($C2185,J$6,$N$1))</f>
        <v xml:space="preserve"> </v>
      </c>
      <c r="K2185" s="28" t="str">
        <f>IF($C2185=""," ",[1]!i_pq_pctchange($C2185,K$6,$N$1))</f>
        <v xml:space="preserve"> </v>
      </c>
      <c r="L2185" s="28" t="str">
        <f>IF(C2185=""," ",[1]!s_wq_pctchange($C2185,$N$1))</f>
        <v xml:space="preserve"> </v>
      </c>
      <c r="M2185" s="28" t="str">
        <f>IF(C2185=""," ",[1]!s_mq_pctchange($C2185,$N$1))</f>
        <v xml:space="preserve"> </v>
      </c>
      <c r="N2185" s="28" t="str">
        <f>IF(C2185=""," ",[1]!s_yq_pctchange($C2185,$N$1))</f>
        <v xml:space="preserve"> </v>
      </c>
      <c r="O2185" s="11"/>
      <c r="P2185" s="7"/>
    </row>
    <row r="2186" spans="1:16" x14ac:dyDescent="0.35">
      <c r="A2186" s="7"/>
      <c r="C2186" s="31" t="str">
        <f>IF(指数列表!B2183="","",指数列表!B2183)</f>
        <v/>
      </c>
      <c r="D2186" s="36" t="str">
        <f>IF(C2186="","",[1]!s_info_name(C2186))</f>
        <v/>
      </c>
      <c r="E2186" s="25" t="str">
        <f>IF(C2186="","",[1]!s_dq_close(C2186,$N$1))</f>
        <v/>
      </c>
      <c r="F2186" s="28" t="str">
        <f>IF($C2186=""," ",[1]!i_pq_pctchange($C2186,F$6,$N$1))</f>
        <v xml:space="preserve"> </v>
      </c>
      <c r="G2186" s="28" t="str">
        <f>IF($C2186=""," ",[1]!i_pq_pctchange($C2186,G$6,$N$1))</f>
        <v xml:space="preserve"> </v>
      </c>
      <c r="H2186" s="28" t="str">
        <f>IF($C2186=""," ",[1]!i_pq_pctchange($C2186,H$6,$N$1))</f>
        <v xml:space="preserve"> </v>
      </c>
      <c r="I2186" s="28" t="str">
        <f>IF($C2186=""," ",[1]!i_pq_pctchange($C2186,I$6,$N$1))</f>
        <v xml:space="preserve"> </v>
      </c>
      <c r="J2186" s="28" t="str">
        <f>IF($C2186=""," ",[1]!i_pq_pctchange($C2186,J$6,$N$1))</f>
        <v xml:space="preserve"> </v>
      </c>
      <c r="K2186" s="28" t="str">
        <f>IF($C2186=""," ",[1]!i_pq_pctchange($C2186,K$6,$N$1))</f>
        <v xml:space="preserve"> </v>
      </c>
      <c r="L2186" s="28" t="str">
        <f>IF(C2186=""," ",[1]!s_wq_pctchange($C2186,$N$1))</f>
        <v xml:space="preserve"> </v>
      </c>
      <c r="M2186" s="28" t="str">
        <f>IF(C2186=""," ",[1]!s_mq_pctchange($C2186,$N$1))</f>
        <v xml:space="preserve"> </v>
      </c>
      <c r="N2186" s="28" t="str">
        <f>IF(C2186=""," ",[1]!s_yq_pctchange($C2186,$N$1))</f>
        <v xml:space="preserve"> </v>
      </c>
      <c r="O2186" s="11"/>
      <c r="P2186" s="7"/>
    </row>
    <row r="2187" spans="1:16" x14ac:dyDescent="0.35">
      <c r="A2187" s="7"/>
      <c r="C2187" s="30" t="str">
        <f>IF(指数列表!B2184="","",指数列表!B2184)</f>
        <v/>
      </c>
      <c r="D2187" s="35" t="str">
        <f>IF(C2187="","",[1]!s_info_name(C2187))</f>
        <v/>
      </c>
      <c r="E2187" s="24" t="str">
        <f>IF(C2187="","",[1]!s_dq_close(C2187,$N$1))</f>
        <v/>
      </c>
      <c r="F2187" s="28" t="str">
        <f>IF($C2187=""," ",[1]!i_pq_pctchange($C2187,F$6,$N$1))</f>
        <v xml:space="preserve"> </v>
      </c>
      <c r="G2187" s="28" t="str">
        <f>IF($C2187=""," ",[1]!i_pq_pctchange($C2187,G$6,$N$1))</f>
        <v xml:space="preserve"> </v>
      </c>
      <c r="H2187" s="28" t="str">
        <f>IF($C2187=""," ",[1]!i_pq_pctchange($C2187,H$6,$N$1))</f>
        <v xml:space="preserve"> </v>
      </c>
      <c r="I2187" s="28" t="str">
        <f>IF($C2187=""," ",[1]!i_pq_pctchange($C2187,I$6,$N$1))</f>
        <v xml:space="preserve"> </v>
      </c>
      <c r="J2187" s="28" t="str">
        <f>IF($C2187=""," ",[1]!i_pq_pctchange($C2187,J$6,$N$1))</f>
        <v xml:space="preserve"> </v>
      </c>
      <c r="K2187" s="28" t="str">
        <f>IF($C2187=""," ",[1]!i_pq_pctchange($C2187,K$6,$N$1))</f>
        <v xml:space="preserve"> </v>
      </c>
      <c r="L2187" s="28" t="str">
        <f>IF(C2187=""," ",[1]!s_wq_pctchange($C2187,$N$1))</f>
        <v xml:space="preserve"> </v>
      </c>
      <c r="M2187" s="28" t="str">
        <f>IF(C2187=""," ",[1]!s_mq_pctchange($C2187,$N$1))</f>
        <v xml:space="preserve"> </v>
      </c>
      <c r="N2187" s="28" t="str">
        <f>IF(C2187=""," ",[1]!s_yq_pctchange($C2187,$N$1))</f>
        <v xml:space="preserve"> </v>
      </c>
      <c r="O2187" s="11"/>
      <c r="P2187" s="7"/>
    </row>
    <row r="2188" spans="1:16" x14ac:dyDescent="0.35">
      <c r="A2188" s="7"/>
      <c r="C2188" s="31" t="str">
        <f>IF(指数列表!B2185="","",指数列表!B2185)</f>
        <v/>
      </c>
      <c r="D2188" s="36" t="str">
        <f>IF(C2188="","",[1]!s_info_name(C2188))</f>
        <v/>
      </c>
      <c r="E2188" s="25" t="str">
        <f>IF(C2188="","",[1]!s_dq_close(C2188,$N$1))</f>
        <v/>
      </c>
      <c r="F2188" s="28" t="str">
        <f>IF($C2188=""," ",[1]!i_pq_pctchange($C2188,F$6,$N$1))</f>
        <v xml:space="preserve"> </v>
      </c>
      <c r="G2188" s="28" t="str">
        <f>IF($C2188=""," ",[1]!i_pq_pctchange($C2188,G$6,$N$1))</f>
        <v xml:space="preserve"> </v>
      </c>
      <c r="H2188" s="28" t="str">
        <f>IF($C2188=""," ",[1]!i_pq_pctchange($C2188,H$6,$N$1))</f>
        <v xml:space="preserve"> </v>
      </c>
      <c r="I2188" s="28" t="str">
        <f>IF($C2188=""," ",[1]!i_pq_pctchange($C2188,I$6,$N$1))</f>
        <v xml:space="preserve"> </v>
      </c>
      <c r="J2188" s="28" t="str">
        <f>IF($C2188=""," ",[1]!i_pq_pctchange($C2188,J$6,$N$1))</f>
        <v xml:space="preserve"> </v>
      </c>
      <c r="K2188" s="28" t="str">
        <f>IF($C2188=""," ",[1]!i_pq_pctchange($C2188,K$6,$N$1))</f>
        <v xml:space="preserve"> </v>
      </c>
      <c r="L2188" s="28" t="str">
        <f>IF(C2188=""," ",[1]!s_wq_pctchange($C2188,$N$1))</f>
        <v xml:space="preserve"> </v>
      </c>
      <c r="M2188" s="28" t="str">
        <f>IF(C2188=""," ",[1]!s_mq_pctchange($C2188,$N$1))</f>
        <v xml:space="preserve"> </v>
      </c>
      <c r="N2188" s="28" t="str">
        <f>IF(C2188=""," ",[1]!s_yq_pctchange($C2188,$N$1))</f>
        <v xml:space="preserve"> </v>
      </c>
      <c r="O2188" s="11"/>
      <c r="P2188" s="7"/>
    </row>
    <row r="2189" spans="1:16" x14ac:dyDescent="0.35">
      <c r="A2189" s="7"/>
      <c r="C2189" s="30" t="str">
        <f>IF(指数列表!B2186="","",指数列表!B2186)</f>
        <v/>
      </c>
      <c r="D2189" s="35" t="str">
        <f>IF(C2189="","",[1]!s_info_name(C2189))</f>
        <v/>
      </c>
      <c r="E2189" s="24" t="str">
        <f>IF(C2189="","",[1]!s_dq_close(C2189,$N$1))</f>
        <v/>
      </c>
      <c r="F2189" s="28" t="str">
        <f>IF($C2189=""," ",[1]!i_pq_pctchange($C2189,F$6,$N$1))</f>
        <v xml:space="preserve"> </v>
      </c>
      <c r="G2189" s="28" t="str">
        <f>IF($C2189=""," ",[1]!i_pq_pctchange($C2189,G$6,$N$1))</f>
        <v xml:space="preserve"> </v>
      </c>
      <c r="H2189" s="28" t="str">
        <f>IF($C2189=""," ",[1]!i_pq_pctchange($C2189,H$6,$N$1))</f>
        <v xml:space="preserve"> </v>
      </c>
      <c r="I2189" s="28" t="str">
        <f>IF($C2189=""," ",[1]!i_pq_pctchange($C2189,I$6,$N$1))</f>
        <v xml:space="preserve"> </v>
      </c>
      <c r="J2189" s="28" t="str">
        <f>IF($C2189=""," ",[1]!i_pq_pctchange($C2189,J$6,$N$1))</f>
        <v xml:space="preserve"> </v>
      </c>
      <c r="K2189" s="28" t="str">
        <f>IF($C2189=""," ",[1]!i_pq_pctchange($C2189,K$6,$N$1))</f>
        <v xml:space="preserve"> </v>
      </c>
      <c r="L2189" s="28" t="str">
        <f>IF(C2189=""," ",[1]!s_wq_pctchange($C2189,$N$1))</f>
        <v xml:space="preserve"> </v>
      </c>
      <c r="M2189" s="28" t="str">
        <f>IF(C2189=""," ",[1]!s_mq_pctchange($C2189,$N$1))</f>
        <v xml:space="preserve"> </v>
      </c>
      <c r="N2189" s="28" t="str">
        <f>IF(C2189=""," ",[1]!s_yq_pctchange($C2189,$N$1))</f>
        <v xml:space="preserve"> </v>
      </c>
      <c r="O2189" s="11"/>
      <c r="P2189" s="7"/>
    </row>
    <row r="2190" spans="1:16" x14ac:dyDescent="0.35">
      <c r="A2190" s="7"/>
      <c r="C2190" s="31" t="str">
        <f>IF(指数列表!B2187="","",指数列表!B2187)</f>
        <v/>
      </c>
      <c r="D2190" s="36" t="str">
        <f>IF(C2190="","",[1]!s_info_name(C2190))</f>
        <v/>
      </c>
      <c r="E2190" s="25" t="str">
        <f>IF(C2190="","",[1]!s_dq_close(C2190,$N$1))</f>
        <v/>
      </c>
      <c r="F2190" s="28" t="str">
        <f>IF($C2190=""," ",[1]!i_pq_pctchange($C2190,F$6,$N$1))</f>
        <v xml:space="preserve"> </v>
      </c>
      <c r="G2190" s="28" t="str">
        <f>IF($C2190=""," ",[1]!i_pq_pctchange($C2190,G$6,$N$1))</f>
        <v xml:space="preserve"> </v>
      </c>
      <c r="H2190" s="28" t="str">
        <f>IF($C2190=""," ",[1]!i_pq_pctchange($C2190,H$6,$N$1))</f>
        <v xml:space="preserve"> </v>
      </c>
      <c r="I2190" s="28" t="str">
        <f>IF($C2190=""," ",[1]!i_pq_pctchange($C2190,I$6,$N$1))</f>
        <v xml:space="preserve"> </v>
      </c>
      <c r="J2190" s="28" t="str">
        <f>IF($C2190=""," ",[1]!i_pq_pctchange($C2190,J$6,$N$1))</f>
        <v xml:space="preserve"> </v>
      </c>
      <c r="K2190" s="28" t="str">
        <f>IF($C2190=""," ",[1]!i_pq_pctchange($C2190,K$6,$N$1))</f>
        <v xml:space="preserve"> </v>
      </c>
      <c r="L2190" s="28" t="str">
        <f>IF(C2190=""," ",[1]!s_wq_pctchange($C2190,$N$1))</f>
        <v xml:space="preserve"> </v>
      </c>
      <c r="M2190" s="28" t="str">
        <f>IF(C2190=""," ",[1]!s_mq_pctchange($C2190,$N$1))</f>
        <v xml:space="preserve"> </v>
      </c>
      <c r="N2190" s="28" t="str">
        <f>IF(C2190=""," ",[1]!s_yq_pctchange($C2190,$N$1))</f>
        <v xml:space="preserve"> </v>
      </c>
      <c r="O2190" s="11"/>
      <c r="P2190" s="7"/>
    </row>
    <row r="2191" spans="1:16" x14ac:dyDescent="0.35">
      <c r="A2191" s="7"/>
      <c r="C2191" s="30" t="str">
        <f>IF(指数列表!B2188="","",指数列表!B2188)</f>
        <v/>
      </c>
      <c r="D2191" s="35" t="str">
        <f>IF(C2191="","",[1]!s_info_name(C2191))</f>
        <v/>
      </c>
      <c r="E2191" s="24" t="str">
        <f>IF(C2191="","",[1]!s_dq_close(C2191,$N$1))</f>
        <v/>
      </c>
      <c r="F2191" s="28" t="str">
        <f>IF($C2191=""," ",[1]!i_pq_pctchange($C2191,F$6,$N$1))</f>
        <v xml:space="preserve"> </v>
      </c>
      <c r="G2191" s="28" t="str">
        <f>IF($C2191=""," ",[1]!i_pq_pctchange($C2191,G$6,$N$1))</f>
        <v xml:space="preserve"> </v>
      </c>
      <c r="H2191" s="28" t="str">
        <f>IF($C2191=""," ",[1]!i_pq_pctchange($C2191,H$6,$N$1))</f>
        <v xml:space="preserve"> </v>
      </c>
      <c r="I2191" s="28" t="str">
        <f>IF($C2191=""," ",[1]!i_pq_pctchange($C2191,I$6,$N$1))</f>
        <v xml:space="preserve"> </v>
      </c>
      <c r="J2191" s="28" t="str">
        <f>IF($C2191=""," ",[1]!i_pq_pctchange($C2191,J$6,$N$1))</f>
        <v xml:space="preserve"> </v>
      </c>
      <c r="K2191" s="28" t="str">
        <f>IF($C2191=""," ",[1]!i_pq_pctchange($C2191,K$6,$N$1))</f>
        <v xml:space="preserve"> </v>
      </c>
      <c r="L2191" s="28" t="str">
        <f>IF(C2191=""," ",[1]!s_wq_pctchange($C2191,$N$1))</f>
        <v xml:space="preserve"> </v>
      </c>
      <c r="M2191" s="28" t="str">
        <f>IF(C2191=""," ",[1]!s_mq_pctchange($C2191,$N$1))</f>
        <v xml:space="preserve"> </v>
      </c>
      <c r="N2191" s="28" t="str">
        <f>IF(C2191=""," ",[1]!s_yq_pctchange($C2191,$N$1))</f>
        <v xml:space="preserve"> </v>
      </c>
      <c r="O2191" s="11"/>
      <c r="P2191" s="7"/>
    </row>
    <row r="2192" spans="1:16" x14ac:dyDescent="0.35">
      <c r="A2192" s="7"/>
      <c r="C2192" s="31" t="str">
        <f>IF(指数列表!B2189="","",指数列表!B2189)</f>
        <v/>
      </c>
      <c r="D2192" s="36" t="str">
        <f>IF(C2192="","",[1]!s_info_name(C2192))</f>
        <v/>
      </c>
      <c r="E2192" s="25" t="str">
        <f>IF(C2192="","",[1]!s_dq_close(C2192,$N$1))</f>
        <v/>
      </c>
      <c r="F2192" s="28" t="str">
        <f>IF($C2192=""," ",[1]!i_pq_pctchange($C2192,F$6,$N$1))</f>
        <v xml:space="preserve"> </v>
      </c>
      <c r="G2192" s="28" t="str">
        <f>IF($C2192=""," ",[1]!i_pq_pctchange($C2192,G$6,$N$1))</f>
        <v xml:space="preserve"> </v>
      </c>
      <c r="H2192" s="28" t="str">
        <f>IF($C2192=""," ",[1]!i_pq_pctchange($C2192,H$6,$N$1))</f>
        <v xml:space="preserve"> </v>
      </c>
      <c r="I2192" s="28" t="str">
        <f>IF($C2192=""," ",[1]!i_pq_pctchange($C2192,I$6,$N$1))</f>
        <v xml:space="preserve"> </v>
      </c>
      <c r="J2192" s="28" t="str">
        <f>IF($C2192=""," ",[1]!i_pq_pctchange($C2192,J$6,$N$1))</f>
        <v xml:space="preserve"> </v>
      </c>
      <c r="K2192" s="28" t="str">
        <f>IF($C2192=""," ",[1]!i_pq_pctchange($C2192,K$6,$N$1))</f>
        <v xml:space="preserve"> </v>
      </c>
      <c r="L2192" s="28" t="str">
        <f>IF(C2192=""," ",[1]!s_wq_pctchange($C2192,$N$1))</f>
        <v xml:space="preserve"> </v>
      </c>
      <c r="M2192" s="28" t="str">
        <f>IF(C2192=""," ",[1]!s_mq_pctchange($C2192,$N$1))</f>
        <v xml:space="preserve"> </v>
      </c>
      <c r="N2192" s="28" t="str">
        <f>IF(C2192=""," ",[1]!s_yq_pctchange($C2192,$N$1))</f>
        <v xml:space="preserve"> </v>
      </c>
      <c r="O2192" s="11"/>
      <c r="P2192" s="7"/>
    </row>
    <row r="2193" spans="1:16" x14ac:dyDescent="0.35">
      <c r="A2193" s="7"/>
      <c r="C2193" s="30" t="str">
        <f>IF(指数列表!B2190="","",指数列表!B2190)</f>
        <v/>
      </c>
      <c r="D2193" s="35" t="str">
        <f>IF(C2193="","",[1]!s_info_name(C2193))</f>
        <v/>
      </c>
      <c r="E2193" s="24" t="str">
        <f>IF(C2193="","",[1]!s_dq_close(C2193,$N$1))</f>
        <v/>
      </c>
      <c r="F2193" s="28" t="str">
        <f>IF($C2193=""," ",[1]!i_pq_pctchange($C2193,F$6,$N$1))</f>
        <v xml:space="preserve"> </v>
      </c>
      <c r="G2193" s="28" t="str">
        <f>IF($C2193=""," ",[1]!i_pq_pctchange($C2193,G$6,$N$1))</f>
        <v xml:space="preserve"> </v>
      </c>
      <c r="H2193" s="28" t="str">
        <f>IF($C2193=""," ",[1]!i_pq_pctchange($C2193,H$6,$N$1))</f>
        <v xml:space="preserve"> </v>
      </c>
      <c r="I2193" s="28" t="str">
        <f>IF($C2193=""," ",[1]!i_pq_pctchange($C2193,I$6,$N$1))</f>
        <v xml:space="preserve"> </v>
      </c>
      <c r="J2193" s="28" t="str">
        <f>IF($C2193=""," ",[1]!i_pq_pctchange($C2193,J$6,$N$1))</f>
        <v xml:space="preserve"> </v>
      </c>
      <c r="K2193" s="28" t="str">
        <f>IF($C2193=""," ",[1]!i_pq_pctchange($C2193,K$6,$N$1))</f>
        <v xml:space="preserve"> </v>
      </c>
      <c r="L2193" s="28" t="str">
        <f>IF(C2193=""," ",[1]!s_wq_pctchange($C2193,$N$1))</f>
        <v xml:space="preserve"> </v>
      </c>
      <c r="M2193" s="28" t="str">
        <f>IF(C2193=""," ",[1]!s_mq_pctchange($C2193,$N$1))</f>
        <v xml:space="preserve"> </v>
      </c>
      <c r="N2193" s="28" t="str">
        <f>IF(C2193=""," ",[1]!s_yq_pctchange($C2193,$N$1))</f>
        <v xml:space="preserve"> </v>
      </c>
      <c r="O2193" s="11"/>
      <c r="P2193" s="7"/>
    </row>
    <row r="2194" spans="1:16" x14ac:dyDescent="0.35">
      <c r="A2194" s="7"/>
      <c r="C2194" s="31" t="str">
        <f>IF(指数列表!B2191="","",指数列表!B2191)</f>
        <v/>
      </c>
      <c r="D2194" s="36" t="str">
        <f>IF(C2194="","",[1]!s_info_name(C2194))</f>
        <v/>
      </c>
      <c r="E2194" s="25" t="str">
        <f>IF(C2194="","",[1]!s_dq_close(C2194,$N$1))</f>
        <v/>
      </c>
      <c r="F2194" s="28" t="str">
        <f>IF($C2194=""," ",[1]!i_pq_pctchange($C2194,F$6,$N$1))</f>
        <v xml:space="preserve"> </v>
      </c>
      <c r="G2194" s="28" t="str">
        <f>IF($C2194=""," ",[1]!i_pq_pctchange($C2194,G$6,$N$1))</f>
        <v xml:space="preserve"> </v>
      </c>
      <c r="H2194" s="28" t="str">
        <f>IF($C2194=""," ",[1]!i_pq_pctchange($C2194,H$6,$N$1))</f>
        <v xml:space="preserve"> </v>
      </c>
      <c r="I2194" s="28" t="str">
        <f>IF($C2194=""," ",[1]!i_pq_pctchange($C2194,I$6,$N$1))</f>
        <v xml:space="preserve"> </v>
      </c>
      <c r="J2194" s="28" t="str">
        <f>IF($C2194=""," ",[1]!i_pq_pctchange($C2194,J$6,$N$1))</f>
        <v xml:space="preserve"> </v>
      </c>
      <c r="K2194" s="28" t="str">
        <f>IF($C2194=""," ",[1]!i_pq_pctchange($C2194,K$6,$N$1))</f>
        <v xml:space="preserve"> </v>
      </c>
      <c r="L2194" s="28" t="str">
        <f>IF(C2194=""," ",[1]!s_wq_pctchange($C2194,$N$1))</f>
        <v xml:space="preserve"> </v>
      </c>
      <c r="M2194" s="28" t="str">
        <f>IF(C2194=""," ",[1]!s_mq_pctchange($C2194,$N$1))</f>
        <v xml:space="preserve"> </v>
      </c>
      <c r="N2194" s="28" t="str">
        <f>IF(C2194=""," ",[1]!s_yq_pctchange($C2194,$N$1))</f>
        <v xml:space="preserve"> </v>
      </c>
      <c r="O2194" s="11"/>
      <c r="P2194" s="7"/>
    </row>
    <row r="2195" spans="1:16" x14ac:dyDescent="0.35">
      <c r="A2195" s="7"/>
      <c r="C2195" s="30" t="str">
        <f>IF(指数列表!B2192="","",指数列表!B2192)</f>
        <v/>
      </c>
      <c r="D2195" s="35" t="str">
        <f>IF(C2195="","",[1]!s_info_name(C2195))</f>
        <v/>
      </c>
      <c r="E2195" s="24" t="str">
        <f>IF(C2195="","",[1]!s_dq_close(C2195,$N$1))</f>
        <v/>
      </c>
      <c r="F2195" s="28" t="str">
        <f>IF($C2195=""," ",[1]!i_pq_pctchange($C2195,F$6,$N$1))</f>
        <v xml:space="preserve"> </v>
      </c>
      <c r="G2195" s="28" t="str">
        <f>IF($C2195=""," ",[1]!i_pq_pctchange($C2195,G$6,$N$1))</f>
        <v xml:space="preserve"> </v>
      </c>
      <c r="H2195" s="28" t="str">
        <f>IF($C2195=""," ",[1]!i_pq_pctchange($C2195,H$6,$N$1))</f>
        <v xml:space="preserve"> </v>
      </c>
      <c r="I2195" s="28" t="str">
        <f>IF($C2195=""," ",[1]!i_pq_pctchange($C2195,I$6,$N$1))</f>
        <v xml:space="preserve"> </v>
      </c>
      <c r="J2195" s="28" t="str">
        <f>IF($C2195=""," ",[1]!i_pq_pctchange($C2195,J$6,$N$1))</f>
        <v xml:space="preserve"> </v>
      </c>
      <c r="K2195" s="28" t="str">
        <f>IF($C2195=""," ",[1]!i_pq_pctchange($C2195,K$6,$N$1))</f>
        <v xml:space="preserve"> </v>
      </c>
      <c r="L2195" s="28" t="str">
        <f>IF(C2195=""," ",[1]!s_wq_pctchange($C2195,$N$1))</f>
        <v xml:space="preserve"> </v>
      </c>
      <c r="M2195" s="28" t="str">
        <f>IF(C2195=""," ",[1]!s_mq_pctchange($C2195,$N$1))</f>
        <v xml:space="preserve"> </v>
      </c>
      <c r="N2195" s="28" t="str">
        <f>IF(C2195=""," ",[1]!s_yq_pctchange($C2195,$N$1))</f>
        <v xml:space="preserve"> </v>
      </c>
      <c r="O2195" s="11"/>
      <c r="P2195" s="7"/>
    </row>
    <row r="2196" spans="1:16" x14ac:dyDescent="0.35">
      <c r="A2196" s="7"/>
      <c r="C2196" s="31" t="str">
        <f>IF(指数列表!B2193="","",指数列表!B2193)</f>
        <v/>
      </c>
      <c r="D2196" s="36" t="str">
        <f>IF(C2196="","",[1]!s_info_name(C2196))</f>
        <v/>
      </c>
      <c r="E2196" s="25" t="str">
        <f>IF(C2196="","",[1]!s_dq_close(C2196,$N$1))</f>
        <v/>
      </c>
      <c r="F2196" s="28" t="str">
        <f>IF($C2196=""," ",[1]!i_pq_pctchange($C2196,F$6,$N$1))</f>
        <v xml:space="preserve"> </v>
      </c>
      <c r="G2196" s="28" t="str">
        <f>IF($C2196=""," ",[1]!i_pq_pctchange($C2196,G$6,$N$1))</f>
        <v xml:space="preserve"> </v>
      </c>
      <c r="H2196" s="28" t="str">
        <f>IF($C2196=""," ",[1]!i_pq_pctchange($C2196,H$6,$N$1))</f>
        <v xml:space="preserve"> </v>
      </c>
      <c r="I2196" s="28" t="str">
        <f>IF($C2196=""," ",[1]!i_pq_pctchange($C2196,I$6,$N$1))</f>
        <v xml:space="preserve"> </v>
      </c>
      <c r="J2196" s="28" t="str">
        <f>IF($C2196=""," ",[1]!i_pq_pctchange($C2196,J$6,$N$1))</f>
        <v xml:space="preserve"> </v>
      </c>
      <c r="K2196" s="28" t="str">
        <f>IF($C2196=""," ",[1]!i_pq_pctchange($C2196,K$6,$N$1))</f>
        <v xml:space="preserve"> </v>
      </c>
      <c r="L2196" s="28" t="str">
        <f>IF(C2196=""," ",[1]!s_wq_pctchange($C2196,$N$1))</f>
        <v xml:space="preserve"> </v>
      </c>
      <c r="M2196" s="28" t="str">
        <f>IF(C2196=""," ",[1]!s_mq_pctchange($C2196,$N$1))</f>
        <v xml:space="preserve"> </v>
      </c>
      <c r="N2196" s="28" t="str">
        <f>IF(C2196=""," ",[1]!s_yq_pctchange($C2196,$N$1))</f>
        <v xml:space="preserve"> </v>
      </c>
      <c r="O2196" s="11"/>
      <c r="P2196" s="7"/>
    </row>
    <row r="2197" spans="1:16" x14ac:dyDescent="0.35">
      <c r="A2197" s="7"/>
      <c r="C2197" s="30" t="str">
        <f>IF(指数列表!B2194="","",指数列表!B2194)</f>
        <v/>
      </c>
      <c r="D2197" s="35" t="str">
        <f>IF(C2197="","",[1]!s_info_name(C2197))</f>
        <v/>
      </c>
      <c r="E2197" s="24" t="str">
        <f>IF(C2197="","",[1]!s_dq_close(C2197,$N$1))</f>
        <v/>
      </c>
      <c r="F2197" s="28" t="str">
        <f>IF($C2197=""," ",[1]!i_pq_pctchange($C2197,F$6,$N$1))</f>
        <v xml:space="preserve"> </v>
      </c>
      <c r="G2197" s="28" t="str">
        <f>IF($C2197=""," ",[1]!i_pq_pctchange($C2197,G$6,$N$1))</f>
        <v xml:space="preserve"> </v>
      </c>
      <c r="H2197" s="28" t="str">
        <f>IF($C2197=""," ",[1]!i_pq_pctchange($C2197,H$6,$N$1))</f>
        <v xml:space="preserve"> </v>
      </c>
      <c r="I2197" s="28" t="str">
        <f>IF($C2197=""," ",[1]!i_pq_pctchange($C2197,I$6,$N$1))</f>
        <v xml:space="preserve"> </v>
      </c>
      <c r="J2197" s="28" t="str">
        <f>IF($C2197=""," ",[1]!i_pq_pctchange($C2197,J$6,$N$1))</f>
        <v xml:space="preserve"> </v>
      </c>
      <c r="K2197" s="28" t="str">
        <f>IF($C2197=""," ",[1]!i_pq_pctchange($C2197,K$6,$N$1))</f>
        <v xml:space="preserve"> </v>
      </c>
      <c r="L2197" s="28" t="str">
        <f>IF(C2197=""," ",[1]!s_wq_pctchange($C2197,$N$1))</f>
        <v xml:space="preserve"> </v>
      </c>
      <c r="M2197" s="28" t="str">
        <f>IF(C2197=""," ",[1]!s_mq_pctchange($C2197,$N$1))</f>
        <v xml:space="preserve"> </v>
      </c>
      <c r="N2197" s="28" t="str">
        <f>IF(C2197=""," ",[1]!s_yq_pctchange($C2197,$N$1))</f>
        <v xml:space="preserve"> </v>
      </c>
      <c r="O2197" s="11"/>
      <c r="P2197" s="7"/>
    </row>
    <row r="2198" spans="1:16" x14ac:dyDescent="0.35">
      <c r="A2198" s="7"/>
      <c r="C2198" s="31" t="str">
        <f>IF(指数列表!B2195="","",指数列表!B2195)</f>
        <v/>
      </c>
      <c r="D2198" s="36" t="str">
        <f>IF(C2198="","",[1]!s_info_name(C2198))</f>
        <v/>
      </c>
      <c r="E2198" s="25" t="str">
        <f>IF(C2198="","",[1]!s_dq_close(C2198,$N$1))</f>
        <v/>
      </c>
      <c r="F2198" s="28" t="str">
        <f>IF($C2198=""," ",[1]!i_pq_pctchange($C2198,F$6,$N$1))</f>
        <v xml:space="preserve"> </v>
      </c>
      <c r="G2198" s="28" t="str">
        <f>IF($C2198=""," ",[1]!i_pq_pctchange($C2198,G$6,$N$1))</f>
        <v xml:space="preserve"> </v>
      </c>
      <c r="H2198" s="28" t="str">
        <f>IF($C2198=""," ",[1]!i_pq_pctchange($C2198,H$6,$N$1))</f>
        <v xml:space="preserve"> </v>
      </c>
      <c r="I2198" s="28" t="str">
        <f>IF($C2198=""," ",[1]!i_pq_pctchange($C2198,I$6,$N$1))</f>
        <v xml:space="preserve"> </v>
      </c>
      <c r="J2198" s="28" t="str">
        <f>IF($C2198=""," ",[1]!i_pq_pctchange($C2198,J$6,$N$1))</f>
        <v xml:space="preserve"> </v>
      </c>
      <c r="K2198" s="28" t="str">
        <f>IF($C2198=""," ",[1]!i_pq_pctchange($C2198,K$6,$N$1))</f>
        <v xml:space="preserve"> </v>
      </c>
      <c r="L2198" s="28" t="str">
        <f>IF(C2198=""," ",[1]!s_wq_pctchange($C2198,$N$1))</f>
        <v xml:space="preserve"> </v>
      </c>
      <c r="M2198" s="28" t="str">
        <f>IF(C2198=""," ",[1]!s_mq_pctchange($C2198,$N$1))</f>
        <v xml:space="preserve"> </v>
      </c>
      <c r="N2198" s="28" t="str">
        <f>IF(C2198=""," ",[1]!s_yq_pctchange($C2198,$N$1))</f>
        <v xml:space="preserve"> </v>
      </c>
      <c r="O2198" s="11"/>
      <c r="P2198" s="7"/>
    </row>
    <row r="2199" spans="1:16" x14ac:dyDescent="0.35">
      <c r="A2199" s="7"/>
      <c r="C2199" s="30" t="str">
        <f>IF(指数列表!B2196="","",指数列表!B2196)</f>
        <v/>
      </c>
      <c r="D2199" s="35" t="str">
        <f>IF(C2199="","",[1]!s_info_name(C2199))</f>
        <v/>
      </c>
      <c r="E2199" s="24" t="str">
        <f>IF(C2199="","",[1]!s_dq_close(C2199,$N$1))</f>
        <v/>
      </c>
      <c r="F2199" s="28" t="str">
        <f>IF($C2199=""," ",[1]!i_pq_pctchange($C2199,F$6,$N$1))</f>
        <v xml:space="preserve"> </v>
      </c>
      <c r="G2199" s="28" t="str">
        <f>IF($C2199=""," ",[1]!i_pq_pctchange($C2199,G$6,$N$1))</f>
        <v xml:space="preserve"> </v>
      </c>
      <c r="H2199" s="28" t="str">
        <f>IF($C2199=""," ",[1]!i_pq_pctchange($C2199,H$6,$N$1))</f>
        <v xml:space="preserve"> </v>
      </c>
      <c r="I2199" s="28" t="str">
        <f>IF($C2199=""," ",[1]!i_pq_pctchange($C2199,I$6,$N$1))</f>
        <v xml:space="preserve"> </v>
      </c>
      <c r="J2199" s="28" t="str">
        <f>IF($C2199=""," ",[1]!i_pq_pctchange($C2199,J$6,$N$1))</f>
        <v xml:space="preserve"> </v>
      </c>
      <c r="K2199" s="28" t="str">
        <f>IF($C2199=""," ",[1]!i_pq_pctchange($C2199,K$6,$N$1))</f>
        <v xml:space="preserve"> </v>
      </c>
      <c r="L2199" s="28" t="str">
        <f>IF(C2199=""," ",[1]!s_wq_pctchange($C2199,$N$1))</f>
        <v xml:space="preserve"> </v>
      </c>
      <c r="M2199" s="28" t="str">
        <f>IF(C2199=""," ",[1]!s_mq_pctchange($C2199,$N$1))</f>
        <v xml:space="preserve"> </v>
      </c>
      <c r="N2199" s="28" t="str">
        <f>IF(C2199=""," ",[1]!s_yq_pctchange($C2199,$N$1))</f>
        <v xml:space="preserve"> </v>
      </c>
      <c r="O2199" s="11"/>
      <c r="P2199" s="7"/>
    </row>
    <row r="2200" spans="1:16" x14ac:dyDescent="0.35">
      <c r="A2200" s="7"/>
      <c r="C2200" s="31" t="str">
        <f>IF(指数列表!B2197="","",指数列表!B2197)</f>
        <v/>
      </c>
      <c r="D2200" s="36" t="str">
        <f>IF(C2200="","",[1]!s_info_name(C2200))</f>
        <v/>
      </c>
      <c r="E2200" s="25" t="str">
        <f>IF(C2200="","",[1]!s_dq_close(C2200,$N$1))</f>
        <v/>
      </c>
      <c r="F2200" s="28" t="str">
        <f>IF($C2200=""," ",[1]!i_pq_pctchange($C2200,F$6,$N$1))</f>
        <v xml:space="preserve"> </v>
      </c>
      <c r="G2200" s="28" t="str">
        <f>IF($C2200=""," ",[1]!i_pq_pctchange($C2200,G$6,$N$1))</f>
        <v xml:space="preserve"> </v>
      </c>
      <c r="H2200" s="28" t="str">
        <f>IF($C2200=""," ",[1]!i_pq_pctchange($C2200,H$6,$N$1))</f>
        <v xml:space="preserve"> </v>
      </c>
      <c r="I2200" s="28" t="str">
        <f>IF($C2200=""," ",[1]!i_pq_pctchange($C2200,I$6,$N$1))</f>
        <v xml:space="preserve"> </v>
      </c>
      <c r="J2200" s="28" t="str">
        <f>IF($C2200=""," ",[1]!i_pq_pctchange($C2200,J$6,$N$1))</f>
        <v xml:space="preserve"> </v>
      </c>
      <c r="K2200" s="28" t="str">
        <f>IF($C2200=""," ",[1]!i_pq_pctchange($C2200,K$6,$N$1))</f>
        <v xml:space="preserve"> </v>
      </c>
      <c r="L2200" s="28" t="str">
        <f>IF(C2200=""," ",[1]!s_wq_pctchange($C2200,$N$1))</f>
        <v xml:space="preserve"> </v>
      </c>
      <c r="M2200" s="28" t="str">
        <f>IF(C2200=""," ",[1]!s_mq_pctchange($C2200,$N$1))</f>
        <v xml:space="preserve"> </v>
      </c>
      <c r="N2200" s="28" t="str">
        <f>IF(C2200=""," ",[1]!s_yq_pctchange($C2200,$N$1))</f>
        <v xml:space="preserve"> </v>
      </c>
      <c r="O2200" s="11"/>
      <c r="P2200" s="7"/>
    </row>
    <row r="2201" spans="1:16" x14ac:dyDescent="0.35">
      <c r="A2201" s="7"/>
      <c r="C2201" s="30" t="str">
        <f>IF(指数列表!B2198="","",指数列表!B2198)</f>
        <v/>
      </c>
      <c r="D2201" s="35" t="str">
        <f>IF(C2201="","",[1]!s_info_name(C2201))</f>
        <v/>
      </c>
      <c r="E2201" s="24" t="str">
        <f>IF(C2201="","",[1]!s_dq_close(C2201,$N$1))</f>
        <v/>
      </c>
      <c r="F2201" s="28" t="str">
        <f>IF($C2201=""," ",[1]!i_pq_pctchange($C2201,F$6,$N$1))</f>
        <v xml:space="preserve"> </v>
      </c>
      <c r="G2201" s="28" t="str">
        <f>IF($C2201=""," ",[1]!i_pq_pctchange($C2201,G$6,$N$1))</f>
        <v xml:space="preserve"> </v>
      </c>
      <c r="H2201" s="28" t="str">
        <f>IF($C2201=""," ",[1]!i_pq_pctchange($C2201,H$6,$N$1))</f>
        <v xml:space="preserve"> </v>
      </c>
      <c r="I2201" s="28" t="str">
        <f>IF($C2201=""," ",[1]!i_pq_pctchange($C2201,I$6,$N$1))</f>
        <v xml:space="preserve"> </v>
      </c>
      <c r="J2201" s="28" t="str">
        <f>IF($C2201=""," ",[1]!i_pq_pctchange($C2201,J$6,$N$1))</f>
        <v xml:space="preserve"> </v>
      </c>
      <c r="K2201" s="28" t="str">
        <f>IF($C2201=""," ",[1]!i_pq_pctchange($C2201,K$6,$N$1))</f>
        <v xml:space="preserve"> </v>
      </c>
      <c r="L2201" s="28" t="str">
        <f>IF(C2201=""," ",[1]!s_wq_pctchange($C2201,$N$1))</f>
        <v xml:space="preserve"> </v>
      </c>
      <c r="M2201" s="28" t="str">
        <f>IF(C2201=""," ",[1]!s_mq_pctchange($C2201,$N$1))</f>
        <v xml:space="preserve"> </v>
      </c>
      <c r="N2201" s="28" t="str">
        <f>IF(C2201=""," ",[1]!s_yq_pctchange($C2201,$N$1))</f>
        <v xml:space="preserve"> </v>
      </c>
      <c r="O2201" s="11"/>
      <c r="P2201" s="7"/>
    </row>
    <row r="2202" spans="1:16" x14ac:dyDescent="0.35">
      <c r="A2202" s="7"/>
      <c r="C2202" s="31" t="str">
        <f>IF(指数列表!B2199="","",指数列表!B2199)</f>
        <v/>
      </c>
      <c r="D2202" s="36" t="str">
        <f>IF(C2202="","",[1]!s_info_name(C2202))</f>
        <v/>
      </c>
      <c r="E2202" s="25" t="str">
        <f>IF(C2202="","",[1]!s_dq_close(C2202,$N$1))</f>
        <v/>
      </c>
      <c r="F2202" s="28" t="str">
        <f>IF($C2202=""," ",[1]!i_pq_pctchange($C2202,F$6,$N$1))</f>
        <v xml:space="preserve"> </v>
      </c>
      <c r="G2202" s="28" t="str">
        <f>IF($C2202=""," ",[1]!i_pq_pctchange($C2202,G$6,$N$1))</f>
        <v xml:space="preserve"> </v>
      </c>
      <c r="H2202" s="28" t="str">
        <f>IF($C2202=""," ",[1]!i_pq_pctchange($C2202,H$6,$N$1))</f>
        <v xml:space="preserve"> </v>
      </c>
      <c r="I2202" s="28" t="str">
        <f>IF($C2202=""," ",[1]!i_pq_pctchange($C2202,I$6,$N$1))</f>
        <v xml:space="preserve"> </v>
      </c>
      <c r="J2202" s="28" t="str">
        <f>IF($C2202=""," ",[1]!i_pq_pctchange($C2202,J$6,$N$1))</f>
        <v xml:space="preserve"> </v>
      </c>
      <c r="K2202" s="28" t="str">
        <f>IF($C2202=""," ",[1]!i_pq_pctchange($C2202,K$6,$N$1))</f>
        <v xml:space="preserve"> </v>
      </c>
      <c r="L2202" s="28" t="str">
        <f>IF(C2202=""," ",[1]!s_wq_pctchange($C2202,$N$1))</f>
        <v xml:space="preserve"> </v>
      </c>
      <c r="M2202" s="28" t="str">
        <f>IF(C2202=""," ",[1]!s_mq_pctchange($C2202,$N$1))</f>
        <v xml:space="preserve"> </v>
      </c>
      <c r="N2202" s="28" t="str">
        <f>IF(C2202=""," ",[1]!s_yq_pctchange($C2202,$N$1))</f>
        <v xml:space="preserve"> </v>
      </c>
      <c r="O2202" s="11"/>
      <c r="P2202" s="7"/>
    </row>
    <row r="2203" spans="1:16" x14ac:dyDescent="0.35">
      <c r="A2203" s="7"/>
      <c r="C2203" s="30" t="str">
        <f>IF(指数列表!B2200="","",指数列表!B2200)</f>
        <v/>
      </c>
      <c r="D2203" s="35" t="str">
        <f>IF(C2203="","",[1]!s_info_name(C2203))</f>
        <v/>
      </c>
      <c r="E2203" s="24" t="str">
        <f>IF(C2203="","",[1]!s_dq_close(C2203,$N$1))</f>
        <v/>
      </c>
      <c r="F2203" s="28" t="str">
        <f>IF($C2203=""," ",[1]!i_pq_pctchange($C2203,F$6,$N$1))</f>
        <v xml:space="preserve"> </v>
      </c>
      <c r="G2203" s="28" t="str">
        <f>IF($C2203=""," ",[1]!i_pq_pctchange($C2203,G$6,$N$1))</f>
        <v xml:space="preserve"> </v>
      </c>
      <c r="H2203" s="28" t="str">
        <f>IF($C2203=""," ",[1]!i_pq_pctchange($C2203,H$6,$N$1))</f>
        <v xml:space="preserve"> </v>
      </c>
      <c r="I2203" s="28" t="str">
        <f>IF($C2203=""," ",[1]!i_pq_pctchange($C2203,I$6,$N$1))</f>
        <v xml:space="preserve"> </v>
      </c>
      <c r="J2203" s="28" t="str">
        <f>IF($C2203=""," ",[1]!i_pq_pctchange($C2203,J$6,$N$1))</f>
        <v xml:space="preserve"> </v>
      </c>
      <c r="K2203" s="28" t="str">
        <f>IF($C2203=""," ",[1]!i_pq_pctchange($C2203,K$6,$N$1))</f>
        <v xml:space="preserve"> </v>
      </c>
      <c r="L2203" s="28" t="str">
        <f>IF(C2203=""," ",[1]!s_wq_pctchange($C2203,$N$1))</f>
        <v xml:space="preserve"> </v>
      </c>
      <c r="M2203" s="28" t="str">
        <f>IF(C2203=""," ",[1]!s_mq_pctchange($C2203,$N$1))</f>
        <v xml:space="preserve"> </v>
      </c>
      <c r="N2203" s="28" t="str">
        <f>IF(C2203=""," ",[1]!s_yq_pctchange($C2203,$N$1))</f>
        <v xml:space="preserve"> </v>
      </c>
      <c r="O2203" s="11"/>
      <c r="P2203" s="7"/>
    </row>
    <row r="2204" spans="1:16" x14ac:dyDescent="0.35">
      <c r="A2204" s="7"/>
      <c r="C2204" s="31" t="str">
        <f>IF(指数列表!B2201="","",指数列表!B2201)</f>
        <v/>
      </c>
      <c r="D2204" s="36" t="str">
        <f>IF(C2204="","",[1]!s_info_name(C2204))</f>
        <v/>
      </c>
      <c r="E2204" s="25" t="str">
        <f>IF(C2204="","",[1]!s_dq_close(C2204,$N$1))</f>
        <v/>
      </c>
      <c r="F2204" s="28" t="str">
        <f>IF($C2204=""," ",[1]!i_pq_pctchange($C2204,F$6,$N$1))</f>
        <v xml:space="preserve"> </v>
      </c>
      <c r="G2204" s="28" t="str">
        <f>IF($C2204=""," ",[1]!i_pq_pctchange($C2204,G$6,$N$1))</f>
        <v xml:space="preserve"> </v>
      </c>
      <c r="H2204" s="28" t="str">
        <f>IF($C2204=""," ",[1]!i_pq_pctchange($C2204,H$6,$N$1))</f>
        <v xml:space="preserve"> </v>
      </c>
      <c r="I2204" s="28" t="str">
        <f>IF($C2204=""," ",[1]!i_pq_pctchange($C2204,I$6,$N$1))</f>
        <v xml:space="preserve"> </v>
      </c>
      <c r="J2204" s="28" t="str">
        <f>IF($C2204=""," ",[1]!i_pq_pctchange($C2204,J$6,$N$1))</f>
        <v xml:space="preserve"> </v>
      </c>
      <c r="K2204" s="28" t="str">
        <f>IF($C2204=""," ",[1]!i_pq_pctchange($C2204,K$6,$N$1))</f>
        <v xml:space="preserve"> </v>
      </c>
      <c r="L2204" s="28" t="str">
        <f>IF(C2204=""," ",[1]!s_wq_pctchange($C2204,$N$1))</f>
        <v xml:space="preserve"> </v>
      </c>
      <c r="M2204" s="28" t="str">
        <f>IF(C2204=""," ",[1]!s_mq_pctchange($C2204,$N$1))</f>
        <v xml:space="preserve"> </v>
      </c>
      <c r="N2204" s="28" t="str">
        <f>IF(C2204=""," ",[1]!s_yq_pctchange($C2204,$N$1))</f>
        <v xml:space="preserve"> </v>
      </c>
      <c r="O2204" s="11"/>
      <c r="P2204" s="7"/>
    </row>
    <row r="2205" spans="1:16" x14ac:dyDescent="0.35">
      <c r="A2205" s="7"/>
      <c r="C2205" s="30" t="str">
        <f>IF(指数列表!B2202="","",指数列表!B2202)</f>
        <v/>
      </c>
      <c r="D2205" s="35" t="str">
        <f>IF(C2205="","",[1]!s_info_name(C2205))</f>
        <v/>
      </c>
      <c r="E2205" s="24" t="str">
        <f>IF(C2205="","",[1]!s_dq_close(C2205,$N$1))</f>
        <v/>
      </c>
      <c r="F2205" s="28" t="str">
        <f>IF($C2205=""," ",[1]!i_pq_pctchange($C2205,F$6,$N$1))</f>
        <v xml:space="preserve"> </v>
      </c>
      <c r="G2205" s="28" t="str">
        <f>IF($C2205=""," ",[1]!i_pq_pctchange($C2205,G$6,$N$1))</f>
        <v xml:space="preserve"> </v>
      </c>
      <c r="H2205" s="28" t="str">
        <f>IF($C2205=""," ",[1]!i_pq_pctchange($C2205,H$6,$N$1))</f>
        <v xml:space="preserve"> </v>
      </c>
      <c r="I2205" s="28" t="str">
        <f>IF($C2205=""," ",[1]!i_pq_pctchange($C2205,I$6,$N$1))</f>
        <v xml:space="preserve"> </v>
      </c>
      <c r="J2205" s="28" t="str">
        <f>IF($C2205=""," ",[1]!i_pq_pctchange($C2205,J$6,$N$1))</f>
        <v xml:space="preserve"> </v>
      </c>
      <c r="K2205" s="28" t="str">
        <f>IF($C2205=""," ",[1]!i_pq_pctchange($C2205,K$6,$N$1))</f>
        <v xml:space="preserve"> </v>
      </c>
      <c r="L2205" s="28" t="str">
        <f>IF(C2205=""," ",[1]!s_wq_pctchange($C2205,$N$1))</f>
        <v xml:space="preserve"> </v>
      </c>
      <c r="M2205" s="28" t="str">
        <f>IF(C2205=""," ",[1]!s_mq_pctchange($C2205,$N$1))</f>
        <v xml:space="preserve"> </v>
      </c>
      <c r="N2205" s="28" t="str">
        <f>IF(C2205=""," ",[1]!s_yq_pctchange($C2205,$N$1))</f>
        <v xml:space="preserve"> </v>
      </c>
      <c r="O2205" s="11"/>
      <c r="P2205" s="7"/>
    </row>
    <row r="2206" spans="1:16" x14ac:dyDescent="0.35">
      <c r="A2206" s="7"/>
      <c r="C2206" s="31" t="str">
        <f>IF(指数列表!B2203="","",指数列表!B2203)</f>
        <v/>
      </c>
      <c r="D2206" s="36" t="str">
        <f>IF(C2206="","",[1]!s_info_name(C2206))</f>
        <v/>
      </c>
      <c r="E2206" s="25" t="str">
        <f>IF(C2206="","",[1]!s_dq_close(C2206,$N$1))</f>
        <v/>
      </c>
      <c r="F2206" s="28" t="str">
        <f>IF($C2206=""," ",[1]!i_pq_pctchange($C2206,F$6,$N$1))</f>
        <v xml:space="preserve"> </v>
      </c>
      <c r="G2206" s="28" t="str">
        <f>IF($C2206=""," ",[1]!i_pq_pctchange($C2206,G$6,$N$1))</f>
        <v xml:space="preserve"> </v>
      </c>
      <c r="H2206" s="28" t="str">
        <f>IF($C2206=""," ",[1]!i_pq_pctchange($C2206,H$6,$N$1))</f>
        <v xml:space="preserve"> </v>
      </c>
      <c r="I2206" s="28" t="str">
        <f>IF($C2206=""," ",[1]!i_pq_pctchange($C2206,I$6,$N$1))</f>
        <v xml:space="preserve"> </v>
      </c>
      <c r="J2206" s="28" t="str">
        <f>IF($C2206=""," ",[1]!i_pq_pctchange($C2206,J$6,$N$1))</f>
        <v xml:space="preserve"> </v>
      </c>
      <c r="K2206" s="28" t="str">
        <f>IF($C2206=""," ",[1]!i_pq_pctchange($C2206,K$6,$N$1))</f>
        <v xml:space="preserve"> </v>
      </c>
      <c r="L2206" s="28" t="str">
        <f>IF(C2206=""," ",[1]!s_wq_pctchange($C2206,$N$1))</f>
        <v xml:space="preserve"> </v>
      </c>
      <c r="M2206" s="28" t="str">
        <f>IF(C2206=""," ",[1]!s_mq_pctchange($C2206,$N$1))</f>
        <v xml:space="preserve"> </v>
      </c>
      <c r="N2206" s="28" t="str">
        <f>IF(C2206=""," ",[1]!s_yq_pctchange($C2206,$N$1))</f>
        <v xml:space="preserve"> </v>
      </c>
      <c r="O2206" s="11"/>
      <c r="P2206" s="7"/>
    </row>
    <row r="2207" spans="1:16" x14ac:dyDescent="0.35">
      <c r="A2207" s="7"/>
      <c r="C2207" s="30" t="str">
        <f>IF(指数列表!B2204="","",指数列表!B2204)</f>
        <v/>
      </c>
      <c r="D2207" s="35" t="str">
        <f>IF(C2207="","",[1]!s_info_name(C2207))</f>
        <v/>
      </c>
      <c r="E2207" s="24" t="str">
        <f>IF(C2207="","",[1]!s_dq_close(C2207,$N$1))</f>
        <v/>
      </c>
      <c r="F2207" s="28" t="str">
        <f>IF($C2207=""," ",[1]!i_pq_pctchange($C2207,F$6,$N$1))</f>
        <v xml:space="preserve"> </v>
      </c>
      <c r="G2207" s="28" t="str">
        <f>IF($C2207=""," ",[1]!i_pq_pctchange($C2207,G$6,$N$1))</f>
        <v xml:space="preserve"> </v>
      </c>
      <c r="H2207" s="28" t="str">
        <f>IF($C2207=""," ",[1]!i_pq_pctchange($C2207,H$6,$N$1))</f>
        <v xml:space="preserve"> </v>
      </c>
      <c r="I2207" s="28" t="str">
        <f>IF($C2207=""," ",[1]!i_pq_pctchange($C2207,I$6,$N$1))</f>
        <v xml:space="preserve"> </v>
      </c>
      <c r="J2207" s="28" t="str">
        <f>IF($C2207=""," ",[1]!i_pq_pctchange($C2207,J$6,$N$1))</f>
        <v xml:space="preserve"> </v>
      </c>
      <c r="K2207" s="28" t="str">
        <f>IF($C2207=""," ",[1]!i_pq_pctchange($C2207,K$6,$N$1))</f>
        <v xml:space="preserve"> </v>
      </c>
      <c r="L2207" s="28" t="str">
        <f>IF(C2207=""," ",[1]!s_wq_pctchange($C2207,$N$1))</f>
        <v xml:space="preserve"> </v>
      </c>
      <c r="M2207" s="28" t="str">
        <f>IF(C2207=""," ",[1]!s_mq_pctchange($C2207,$N$1))</f>
        <v xml:space="preserve"> </v>
      </c>
      <c r="N2207" s="28" t="str">
        <f>IF(C2207=""," ",[1]!s_yq_pctchange($C2207,$N$1))</f>
        <v xml:space="preserve"> </v>
      </c>
      <c r="O2207" s="11"/>
      <c r="P2207" s="7"/>
    </row>
    <row r="2208" spans="1:16" x14ac:dyDescent="0.35">
      <c r="A2208" s="7"/>
      <c r="C2208" s="31" t="str">
        <f>IF(指数列表!B2205="","",指数列表!B2205)</f>
        <v/>
      </c>
      <c r="D2208" s="36" t="str">
        <f>IF(C2208="","",[1]!s_info_name(C2208))</f>
        <v/>
      </c>
      <c r="E2208" s="25" t="str">
        <f>IF(C2208="","",[1]!s_dq_close(C2208,$N$1))</f>
        <v/>
      </c>
      <c r="F2208" s="28" t="str">
        <f>IF($C2208=""," ",[1]!i_pq_pctchange($C2208,F$6,$N$1))</f>
        <v xml:space="preserve"> </v>
      </c>
      <c r="G2208" s="28" t="str">
        <f>IF($C2208=""," ",[1]!i_pq_pctchange($C2208,G$6,$N$1))</f>
        <v xml:space="preserve"> </v>
      </c>
      <c r="H2208" s="28" t="str">
        <f>IF($C2208=""," ",[1]!i_pq_pctchange($C2208,H$6,$N$1))</f>
        <v xml:space="preserve"> </v>
      </c>
      <c r="I2208" s="28" t="str">
        <f>IF($C2208=""," ",[1]!i_pq_pctchange($C2208,I$6,$N$1))</f>
        <v xml:space="preserve"> </v>
      </c>
      <c r="J2208" s="28" t="str">
        <f>IF($C2208=""," ",[1]!i_pq_pctchange($C2208,J$6,$N$1))</f>
        <v xml:space="preserve"> </v>
      </c>
      <c r="K2208" s="28" t="str">
        <f>IF($C2208=""," ",[1]!i_pq_pctchange($C2208,K$6,$N$1))</f>
        <v xml:space="preserve"> </v>
      </c>
      <c r="L2208" s="28" t="str">
        <f>IF(C2208=""," ",[1]!s_wq_pctchange($C2208,$N$1))</f>
        <v xml:space="preserve"> </v>
      </c>
      <c r="M2208" s="28" t="str">
        <f>IF(C2208=""," ",[1]!s_mq_pctchange($C2208,$N$1))</f>
        <v xml:space="preserve"> </v>
      </c>
      <c r="N2208" s="28" t="str">
        <f>IF(C2208=""," ",[1]!s_yq_pctchange($C2208,$N$1))</f>
        <v xml:space="preserve"> </v>
      </c>
      <c r="O2208" s="11"/>
      <c r="P2208" s="7"/>
    </row>
    <row r="2209" spans="1:16" x14ac:dyDescent="0.35">
      <c r="A2209" s="7"/>
      <c r="C2209" s="30" t="str">
        <f>IF(指数列表!B2206="","",指数列表!B2206)</f>
        <v/>
      </c>
      <c r="D2209" s="35" t="str">
        <f>IF(C2209="","",[1]!s_info_name(C2209))</f>
        <v/>
      </c>
      <c r="E2209" s="24" t="str">
        <f>IF(C2209="","",[1]!s_dq_close(C2209,$N$1))</f>
        <v/>
      </c>
      <c r="F2209" s="28" t="str">
        <f>IF($C2209=""," ",[1]!i_pq_pctchange($C2209,F$6,$N$1))</f>
        <v xml:space="preserve"> </v>
      </c>
      <c r="G2209" s="28" t="str">
        <f>IF($C2209=""," ",[1]!i_pq_pctchange($C2209,G$6,$N$1))</f>
        <v xml:space="preserve"> </v>
      </c>
      <c r="H2209" s="28" t="str">
        <f>IF($C2209=""," ",[1]!i_pq_pctchange($C2209,H$6,$N$1))</f>
        <v xml:space="preserve"> </v>
      </c>
      <c r="I2209" s="28" t="str">
        <f>IF($C2209=""," ",[1]!i_pq_pctchange($C2209,I$6,$N$1))</f>
        <v xml:space="preserve"> </v>
      </c>
      <c r="J2209" s="28" t="str">
        <f>IF($C2209=""," ",[1]!i_pq_pctchange($C2209,J$6,$N$1))</f>
        <v xml:space="preserve"> </v>
      </c>
      <c r="K2209" s="28" t="str">
        <f>IF($C2209=""," ",[1]!i_pq_pctchange($C2209,K$6,$N$1))</f>
        <v xml:space="preserve"> </v>
      </c>
      <c r="L2209" s="28" t="str">
        <f>IF(C2209=""," ",[1]!s_wq_pctchange($C2209,$N$1))</f>
        <v xml:space="preserve"> </v>
      </c>
      <c r="M2209" s="28" t="str">
        <f>IF(C2209=""," ",[1]!s_mq_pctchange($C2209,$N$1))</f>
        <v xml:space="preserve"> </v>
      </c>
      <c r="N2209" s="28" t="str">
        <f>IF(C2209=""," ",[1]!s_yq_pctchange($C2209,$N$1))</f>
        <v xml:space="preserve"> </v>
      </c>
      <c r="O2209" s="11"/>
      <c r="P2209" s="7"/>
    </row>
    <row r="2210" spans="1:16" x14ac:dyDescent="0.35">
      <c r="A2210" s="7"/>
      <c r="C2210" s="31" t="str">
        <f>IF(指数列表!B2207="","",指数列表!B2207)</f>
        <v/>
      </c>
      <c r="D2210" s="36" t="str">
        <f>IF(C2210="","",[1]!s_info_name(C2210))</f>
        <v/>
      </c>
      <c r="E2210" s="25" t="str">
        <f>IF(C2210="","",[1]!s_dq_close(C2210,$N$1))</f>
        <v/>
      </c>
      <c r="F2210" s="28" t="str">
        <f>IF($C2210=""," ",[1]!i_pq_pctchange($C2210,F$6,$N$1))</f>
        <v xml:space="preserve"> </v>
      </c>
      <c r="G2210" s="28" t="str">
        <f>IF($C2210=""," ",[1]!i_pq_pctchange($C2210,G$6,$N$1))</f>
        <v xml:space="preserve"> </v>
      </c>
      <c r="H2210" s="28" t="str">
        <f>IF($C2210=""," ",[1]!i_pq_pctchange($C2210,H$6,$N$1))</f>
        <v xml:space="preserve"> </v>
      </c>
      <c r="I2210" s="28" t="str">
        <f>IF($C2210=""," ",[1]!i_pq_pctchange($C2210,I$6,$N$1))</f>
        <v xml:space="preserve"> </v>
      </c>
      <c r="J2210" s="28" t="str">
        <f>IF($C2210=""," ",[1]!i_pq_pctchange($C2210,J$6,$N$1))</f>
        <v xml:space="preserve"> </v>
      </c>
      <c r="K2210" s="28" t="str">
        <f>IF($C2210=""," ",[1]!i_pq_pctchange($C2210,K$6,$N$1))</f>
        <v xml:space="preserve"> </v>
      </c>
      <c r="L2210" s="28" t="str">
        <f>IF(C2210=""," ",[1]!s_wq_pctchange($C2210,$N$1))</f>
        <v xml:space="preserve"> </v>
      </c>
      <c r="M2210" s="28" t="str">
        <f>IF(C2210=""," ",[1]!s_mq_pctchange($C2210,$N$1))</f>
        <v xml:space="preserve"> </v>
      </c>
      <c r="N2210" s="28" t="str">
        <f>IF(C2210=""," ",[1]!s_yq_pctchange($C2210,$N$1))</f>
        <v xml:space="preserve"> </v>
      </c>
      <c r="O2210" s="11"/>
      <c r="P2210" s="7"/>
    </row>
    <row r="2211" spans="1:16" x14ac:dyDescent="0.35">
      <c r="A2211" s="7"/>
      <c r="C2211" s="30" t="str">
        <f>IF(指数列表!B2208="","",指数列表!B2208)</f>
        <v/>
      </c>
      <c r="D2211" s="35" t="str">
        <f>IF(C2211="","",[1]!s_info_name(C2211))</f>
        <v/>
      </c>
      <c r="E2211" s="24" t="str">
        <f>IF(C2211="","",[1]!s_dq_close(C2211,$N$1))</f>
        <v/>
      </c>
      <c r="F2211" s="28" t="str">
        <f>IF($C2211=""," ",[1]!i_pq_pctchange($C2211,F$6,$N$1))</f>
        <v xml:space="preserve"> </v>
      </c>
      <c r="G2211" s="28" t="str">
        <f>IF($C2211=""," ",[1]!i_pq_pctchange($C2211,G$6,$N$1))</f>
        <v xml:space="preserve"> </v>
      </c>
      <c r="H2211" s="28" t="str">
        <f>IF($C2211=""," ",[1]!i_pq_pctchange($C2211,H$6,$N$1))</f>
        <v xml:space="preserve"> </v>
      </c>
      <c r="I2211" s="28" t="str">
        <f>IF($C2211=""," ",[1]!i_pq_pctchange($C2211,I$6,$N$1))</f>
        <v xml:space="preserve"> </v>
      </c>
      <c r="J2211" s="28" t="str">
        <f>IF($C2211=""," ",[1]!i_pq_pctchange($C2211,J$6,$N$1))</f>
        <v xml:space="preserve"> </v>
      </c>
      <c r="K2211" s="28" t="str">
        <f>IF($C2211=""," ",[1]!i_pq_pctchange($C2211,K$6,$N$1))</f>
        <v xml:space="preserve"> </v>
      </c>
      <c r="L2211" s="28" t="str">
        <f>IF(C2211=""," ",[1]!s_wq_pctchange($C2211,$N$1))</f>
        <v xml:space="preserve"> </v>
      </c>
      <c r="M2211" s="28" t="str">
        <f>IF(C2211=""," ",[1]!s_mq_pctchange($C2211,$N$1))</f>
        <v xml:space="preserve"> </v>
      </c>
      <c r="N2211" s="28" t="str">
        <f>IF(C2211=""," ",[1]!s_yq_pctchange($C2211,$N$1))</f>
        <v xml:space="preserve"> </v>
      </c>
      <c r="O2211" s="11"/>
      <c r="P2211" s="7"/>
    </row>
    <row r="2212" spans="1:16" x14ac:dyDescent="0.35">
      <c r="A2212" s="7"/>
      <c r="C2212" s="31" t="str">
        <f>IF(指数列表!B2209="","",指数列表!B2209)</f>
        <v/>
      </c>
      <c r="D2212" s="36" t="str">
        <f>IF(C2212="","",[1]!s_info_name(C2212))</f>
        <v/>
      </c>
      <c r="E2212" s="25" t="str">
        <f>IF(C2212="","",[1]!s_dq_close(C2212,$N$1))</f>
        <v/>
      </c>
      <c r="F2212" s="28" t="str">
        <f>IF($C2212=""," ",[1]!i_pq_pctchange($C2212,F$6,$N$1))</f>
        <v xml:space="preserve"> </v>
      </c>
      <c r="G2212" s="28" t="str">
        <f>IF($C2212=""," ",[1]!i_pq_pctchange($C2212,G$6,$N$1))</f>
        <v xml:space="preserve"> </v>
      </c>
      <c r="H2212" s="28" t="str">
        <f>IF($C2212=""," ",[1]!i_pq_pctchange($C2212,H$6,$N$1))</f>
        <v xml:space="preserve"> </v>
      </c>
      <c r="I2212" s="28" t="str">
        <f>IF($C2212=""," ",[1]!i_pq_pctchange($C2212,I$6,$N$1))</f>
        <v xml:space="preserve"> </v>
      </c>
      <c r="J2212" s="28" t="str">
        <f>IF($C2212=""," ",[1]!i_pq_pctchange($C2212,J$6,$N$1))</f>
        <v xml:space="preserve"> </v>
      </c>
      <c r="K2212" s="28" t="str">
        <f>IF($C2212=""," ",[1]!i_pq_pctchange($C2212,K$6,$N$1))</f>
        <v xml:space="preserve"> </v>
      </c>
      <c r="L2212" s="28" t="str">
        <f>IF(C2212=""," ",[1]!s_wq_pctchange($C2212,$N$1))</f>
        <v xml:space="preserve"> </v>
      </c>
      <c r="M2212" s="28" t="str">
        <f>IF(C2212=""," ",[1]!s_mq_pctchange($C2212,$N$1))</f>
        <v xml:space="preserve"> </v>
      </c>
      <c r="N2212" s="28" t="str">
        <f>IF(C2212=""," ",[1]!s_yq_pctchange($C2212,$N$1))</f>
        <v xml:space="preserve"> </v>
      </c>
      <c r="O2212" s="11"/>
      <c r="P2212" s="7"/>
    </row>
    <row r="2213" spans="1:16" x14ac:dyDescent="0.35">
      <c r="A2213" s="7"/>
      <c r="C2213" s="30" t="str">
        <f>IF(指数列表!B2210="","",指数列表!B2210)</f>
        <v/>
      </c>
      <c r="D2213" s="35" t="str">
        <f>IF(C2213="","",[1]!s_info_name(C2213))</f>
        <v/>
      </c>
      <c r="E2213" s="24" t="str">
        <f>IF(C2213="","",[1]!s_dq_close(C2213,$N$1))</f>
        <v/>
      </c>
      <c r="F2213" s="28" t="str">
        <f>IF($C2213=""," ",[1]!i_pq_pctchange($C2213,F$6,$N$1))</f>
        <v xml:space="preserve"> </v>
      </c>
      <c r="G2213" s="28" t="str">
        <f>IF($C2213=""," ",[1]!i_pq_pctchange($C2213,G$6,$N$1))</f>
        <v xml:space="preserve"> </v>
      </c>
      <c r="H2213" s="28" t="str">
        <f>IF($C2213=""," ",[1]!i_pq_pctchange($C2213,H$6,$N$1))</f>
        <v xml:space="preserve"> </v>
      </c>
      <c r="I2213" s="28" t="str">
        <f>IF($C2213=""," ",[1]!i_pq_pctchange($C2213,I$6,$N$1))</f>
        <v xml:space="preserve"> </v>
      </c>
      <c r="J2213" s="28" t="str">
        <f>IF($C2213=""," ",[1]!i_pq_pctchange($C2213,J$6,$N$1))</f>
        <v xml:space="preserve"> </v>
      </c>
      <c r="K2213" s="28" t="str">
        <f>IF($C2213=""," ",[1]!i_pq_pctchange($C2213,K$6,$N$1))</f>
        <v xml:space="preserve"> </v>
      </c>
      <c r="L2213" s="28" t="str">
        <f>IF(C2213=""," ",[1]!s_wq_pctchange($C2213,$N$1))</f>
        <v xml:space="preserve"> </v>
      </c>
      <c r="M2213" s="28" t="str">
        <f>IF(C2213=""," ",[1]!s_mq_pctchange($C2213,$N$1))</f>
        <v xml:space="preserve"> </v>
      </c>
      <c r="N2213" s="28" t="str">
        <f>IF(C2213=""," ",[1]!s_yq_pctchange($C2213,$N$1))</f>
        <v xml:space="preserve"> </v>
      </c>
      <c r="O2213" s="11"/>
      <c r="P2213" s="7"/>
    </row>
    <row r="2214" spans="1:16" x14ac:dyDescent="0.35">
      <c r="A2214" s="7"/>
      <c r="C2214" s="31" t="str">
        <f>IF(指数列表!B2211="","",指数列表!B2211)</f>
        <v/>
      </c>
      <c r="D2214" s="36" t="str">
        <f>IF(C2214="","",[1]!s_info_name(C2214))</f>
        <v/>
      </c>
      <c r="E2214" s="25" t="str">
        <f>IF(C2214="","",[1]!s_dq_close(C2214,$N$1))</f>
        <v/>
      </c>
      <c r="F2214" s="28" t="str">
        <f>IF($C2214=""," ",[1]!i_pq_pctchange($C2214,F$6,$N$1))</f>
        <v xml:space="preserve"> </v>
      </c>
      <c r="G2214" s="28" t="str">
        <f>IF($C2214=""," ",[1]!i_pq_pctchange($C2214,G$6,$N$1))</f>
        <v xml:space="preserve"> </v>
      </c>
      <c r="H2214" s="28" t="str">
        <f>IF($C2214=""," ",[1]!i_pq_pctchange($C2214,H$6,$N$1))</f>
        <v xml:space="preserve"> </v>
      </c>
      <c r="I2214" s="28" t="str">
        <f>IF($C2214=""," ",[1]!i_pq_pctchange($C2214,I$6,$N$1))</f>
        <v xml:space="preserve"> </v>
      </c>
      <c r="J2214" s="28" t="str">
        <f>IF($C2214=""," ",[1]!i_pq_pctchange($C2214,J$6,$N$1))</f>
        <v xml:space="preserve"> </v>
      </c>
      <c r="K2214" s="28" t="str">
        <f>IF($C2214=""," ",[1]!i_pq_pctchange($C2214,K$6,$N$1))</f>
        <v xml:space="preserve"> </v>
      </c>
      <c r="L2214" s="28" t="str">
        <f>IF(C2214=""," ",[1]!s_wq_pctchange($C2214,$N$1))</f>
        <v xml:space="preserve"> </v>
      </c>
      <c r="M2214" s="28" t="str">
        <f>IF(C2214=""," ",[1]!s_mq_pctchange($C2214,$N$1))</f>
        <v xml:space="preserve"> </v>
      </c>
      <c r="N2214" s="28" t="str">
        <f>IF(C2214=""," ",[1]!s_yq_pctchange($C2214,$N$1))</f>
        <v xml:space="preserve"> </v>
      </c>
      <c r="O2214" s="11"/>
      <c r="P2214" s="7"/>
    </row>
    <row r="2215" spans="1:16" x14ac:dyDescent="0.35">
      <c r="A2215" s="7"/>
      <c r="C2215" s="30" t="str">
        <f>IF(指数列表!B2212="","",指数列表!B2212)</f>
        <v/>
      </c>
      <c r="D2215" s="35" t="str">
        <f>IF(C2215="","",[1]!s_info_name(C2215))</f>
        <v/>
      </c>
      <c r="E2215" s="24" t="str">
        <f>IF(C2215="","",[1]!s_dq_close(C2215,$N$1))</f>
        <v/>
      </c>
      <c r="F2215" s="28" t="str">
        <f>IF($C2215=""," ",[1]!i_pq_pctchange($C2215,F$6,$N$1))</f>
        <v xml:space="preserve"> </v>
      </c>
      <c r="G2215" s="28" t="str">
        <f>IF($C2215=""," ",[1]!i_pq_pctchange($C2215,G$6,$N$1))</f>
        <v xml:space="preserve"> </v>
      </c>
      <c r="H2215" s="28" t="str">
        <f>IF($C2215=""," ",[1]!i_pq_pctchange($C2215,H$6,$N$1))</f>
        <v xml:space="preserve"> </v>
      </c>
      <c r="I2215" s="28" t="str">
        <f>IF($C2215=""," ",[1]!i_pq_pctchange($C2215,I$6,$N$1))</f>
        <v xml:space="preserve"> </v>
      </c>
      <c r="J2215" s="28" t="str">
        <f>IF($C2215=""," ",[1]!i_pq_pctchange($C2215,J$6,$N$1))</f>
        <v xml:space="preserve"> </v>
      </c>
      <c r="K2215" s="28" t="str">
        <f>IF($C2215=""," ",[1]!i_pq_pctchange($C2215,K$6,$N$1))</f>
        <v xml:space="preserve"> </v>
      </c>
      <c r="L2215" s="28" t="str">
        <f>IF(C2215=""," ",[1]!s_wq_pctchange($C2215,$N$1))</f>
        <v xml:space="preserve"> </v>
      </c>
      <c r="M2215" s="28" t="str">
        <f>IF(C2215=""," ",[1]!s_mq_pctchange($C2215,$N$1))</f>
        <v xml:space="preserve"> </v>
      </c>
      <c r="N2215" s="28" t="str">
        <f>IF(C2215=""," ",[1]!s_yq_pctchange($C2215,$N$1))</f>
        <v xml:space="preserve"> </v>
      </c>
      <c r="O2215" s="11"/>
      <c r="P2215" s="7"/>
    </row>
    <row r="2216" spans="1:16" x14ac:dyDescent="0.35">
      <c r="A2216" s="7"/>
      <c r="C2216" s="31" t="str">
        <f>IF(指数列表!B2213="","",指数列表!B2213)</f>
        <v/>
      </c>
      <c r="D2216" s="36" t="str">
        <f>IF(C2216="","",[1]!s_info_name(C2216))</f>
        <v/>
      </c>
      <c r="E2216" s="25" t="str">
        <f>IF(C2216="","",[1]!s_dq_close(C2216,$N$1))</f>
        <v/>
      </c>
      <c r="F2216" s="28" t="str">
        <f>IF($C2216=""," ",[1]!i_pq_pctchange($C2216,F$6,$N$1))</f>
        <v xml:space="preserve"> </v>
      </c>
      <c r="G2216" s="28" t="str">
        <f>IF($C2216=""," ",[1]!i_pq_pctchange($C2216,G$6,$N$1))</f>
        <v xml:space="preserve"> </v>
      </c>
      <c r="H2216" s="28" t="str">
        <f>IF($C2216=""," ",[1]!i_pq_pctchange($C2216,H$6,$N$1))</f>
        <v xml:space="preserve"> </v>
      </c>
      <c r="I2216" s="28" t="str">
        <f>IF($C2216=""," ",[1]!i_pq_pctchange($C2216,I$6,$N$1))</f>
        <v xml:space="preserve"> </v>
      </c>
      <c r="J2216" s="28" t="str">
        <f>IF($C2216=""," ",[1]!i_pq_pctchange($C2216,J$6,$N$1))</f>
        <v xml:space="preserve"> </v>
      </c>
      <c r="K2216" s="28" t="str">
        <f>IF($C2216=""," ",[1]!i_pq_pctchange($C2216,K$6,$N$1))</f>
        <v xml:space="preserve"> </v>
      </c>
      <c r="L2216" s="28" t="str">
        <f>IF(C2216=""," ",[1]!s_wq_pctchange($C2216,$N$1))</f>
        <v xml:space="preserve"> </v>
      </c>
      <c r="M2216" s="28" t="str">
        <f>IF(C2216=""," ",[1]!s_mq_pctchange($C2216,$N$1))</f>
        <v xml:space="preserve"> </v>
      </c>
      <c r="N2216" s="28" t="str">
        <f>IF(C2216=""," ",[1]!s_yq_pctchange($C2216,$N$1))</f>
        <v xml:space="preserve"> </v>
      </c>
      <c r="O2216" s="11"/>
      <c r="P2216" s="7"/>
    </row>
    <row r="2217" spans="1:16" x14ac:dyDescent="0.35">
      <c r="A2217" s="7"/>
      <c r="C2217" s="30" t="str">
        <f>IF(指数列表!B2214="","",指数列表!B2214)</f>
        <v/>
      </c>
      <c r="D2217" s="35" t="str">
        <f>IF(C2217="","",[1]!s_info_name(C2217))</f>
        <v/>
      </c>
      <c r="E2217" s="24" t="str">
        <f>IF(C2217="","",[1]!s_dq_close(C2217,$N$1))</f>
        <v/>
      </c>
      <c r="F2217" s="28" t="str">
        <f>IF($C2217=""," ",[1]!i_pq_pctchange($C2217,F$6,$N$1))</f>
        <v xml:space="preserve"> </v>
      </c>
      <c r="G2217" s="28" t="str">
        <f>IF($C2217=""," ",[1]!i_pq_pctchange($C2217,G$6,$N$1))</f>
        <v xml:space="preserve"> </v>
      </c>
      <c r="H2217" s="28" t="str">
        <f>IF($C2217=""," ",[1]!i_pq_pctchange($C2217,H$6,$N$1))</f>
        <v xml:space="preserve"> </v>
      </c>
      <c r="I2217" s="28" t="str">
        <f>IF($C2217=""," ",[1]!i_pq_pctchange($C2217,I$6,$N$1))</f>
        <v xml:space="preserve"> </v>
      </c>
      <c r="J2217" s="28" t="str">
        <f>IF($C2217=""," ",[1]!i_pq_pctchange($C2217,J$6,$N$1))</f>
        <v xml:space="preserve"> </v>
      </c>
      <c r="K2217" s="28" t="str">
        <f>IF($C2217=""," ",[1]!i_pq_pctchange($C2217,K$6,$N$1))</f>
        <v xml:space="preserve"> </v>
      </c>
      <c r="L2217" s="28" t="str">
        <f>IF(C2217=""," ",[1]!s_wq_pctchange($C2217,$N$1))</f>
        <v xml:space="preserve"> </v>
      </c>
      <c r="M2217" s="28" t="str">
        <f>IF(C2217=""," ",[1]!s_mq_pctchange($C2217,$N$1))</f>
        <v xml:space="preserve"> </v>
      </c>
      <c r="N2217" s="28" t="str">
        <f>IF(C2217=""," ",[1]!s_yq_pctchange($C2217,$N$1))</f>
        <v xml:space="preserve"> </v>
      </c>
      <c r="O2217" s="11"/>
      <c r="P2217" s="7"/>
    </row>
    <row r="2218" spans="1:16" x14ac:dyDescent="0.35">
      <c r="A2218" s="7"/>
      <c r="C2218" s="31" t="str">
        <f>IF(指数列表!B2215="","",指数列表!B2215)</f>
        <v/>
      </c>
      <c r="D2218" s="36" t="str">
        <f>IF(C2218="","",[1]!s_info_name(C2218))</f>
        <v/>
      </c>
      <c r="E2218" s="25" t="str">
        <f>IF(C2218="","",[1]!s_dq_close(C2218,$N$1))</f>
        <v/>
      </c>
      <c r="F2218" s="28" t="str">
        <f>IF($C2218=""," ",[1]!i_pq_pctchange($C2218,F$6,$N$1))</f>
        <v xml:space="preserve"> </v>
      </c>
      <c r="G2218" s="28" t="str">
        <f>IF($C2218=""," ",[1]!i_pq_pctchange($C2218,G$6,$N$1))</f>
        <v xml:space="preserve"> </v>
      </c>
      <c r="H2218" s="28" t="str">
        <f>IF($C2218=""," ",[1]!i_pq_pctchange($C2218,H$6,$N$1))</f>
        <v xml:space="preserve"> </v>
      </c>
      <c r="I2218" s="28" t="str">
        <f>IF($C2218=""," ",[1]!i_pq_pctchange($C2218,I$6,$N$1))</f>
        <v xml:space="preserve"> </v>
      </c>
      <c r="J2218" s="28" t="str">
        <f>IF($C2218=""," ",[1]!i_pq_pctchange($C2218,J$6,$N$1))</f>
        <v xml:space="preserve"> </v>
      </c>
      <c r="K2218" s="28" t="str">
        <f>IF($C2218=""," ",[1]!i_pq_pctchange($C2218,K$6,$N$1))</f>
        <v xml:space="preserve"> </v>
      </c>
      <c r="L2218" s="28" t="str">
        <f>IF(C2218=""," ",[1]!s_wq_pctchange($C2218,$N$1))</f>
        <v xml:space="preserve"> </v>
      </c>
      <c r="M2218" s="28" t="str">
        <f>IF(C2218=""," ",[1]!s_mq_pctchange($C2218,$N$1))</f>
        <v xml:space="preserve"> </v>
      </c>
      <c r="N2218" s="28" t="str">
        <f>IF(C2218=""," ",[1]!s_yq_pctchange($C2218,$N$1))</f>
        <v xml:space="preserve"> </v>
      </c>
      <c r="O2218" s="11"/>
      <c r="P2218" s="7"/>
    </row>
    <row r="2219" spans="1:16" x14ac:dyDescent="0.35">
      <c r="A2219" s="7"/>
      <c r="C2219" s="30" t="str">
        <f>IF(指数列表!B2216="","",指数列表!B2216)</f>
        <v/>
      </c>
      <c r="D2219" s="35" t="str">
        <f>IF(C2219="","",[1]!s_info_name(C2219))</f>
        <v/>
      </c>
      <c r="E2219" s="24" t="str">
        <f>IF(C2219="","",[1]!s_dq_close(C2219,$N$1))</f>
        <v/>
      </c>
      <c r="F2219" s="28" t="str">
        <f>IF($C2219=""," ",[1]!i_pq_pctchange($C2219,F$6,$N$1))</f>
        <v xml:space="preserve"> </v>
      </c>
      <c r="G2219" s="28" t="str">
        <f>IF($C2219=""," ",[1]!i_pq_pctchange($C2219,G$6,$N$1))</f>
        <v xml:space="preserve"> </v>
      </c>
      <c r="H2219" s="28" t="str">
        <f>IF($C2219=""," ",[1]!i_pq_pctchange($C2219,H$6,$N$1))</f>
        <v xml:space="preserve"> </v>
      </c>
      <c r="I2219" s="28" t="str">
        <f>IF($C2219=""," ",[1]!i_pq_pctchange($C2219,I$6,$N$1))</f>
        <v xml:space="preserve"> </v>
      </c>
      <c r="J2219" s="28" t="str">
        <f>IF($C2219=""," ",[1]!i_pq_pctchange($C2219,J$6,$N$1))</f>
        <v xml:space="preserve"> </v>
      </c>
      <c r="K2219" s="28" t="str">
        <f>IF($C2219=""," ",[1]!i_pq_pctchange($C2219,K$6,$N$1))</f>
        <v xml:space="preserve"> </v>
      </c>
      <c r="L2219" s="28" t="str">
        <f>IF(C2219=""," ",[1]!s_wq_pctchange($C2219,$N$1))</f>
        <v xml:space="preserve"> </v>
      </c>
      <c r="M2219" s="28" t="str">
        <f>IF(C2219=""," ",[1]!s_mq_pctchange($C2219,$N$1))</f>
        <v xml:space="preserve"> </v>
      </c>
      <c r="N2219" s="28" t="str">
        <f>IF(C2219=""," ",[1]!s_yq_pctchange($C2219,$N$1))</f>
        <v xml:space="preserve"> </v>
      </c>
      <c r="O2219" s="11"/>
      <c r="P2219" s="7"/>
    </row>
    <row r="2220" spans="1:16" x14ac:dyDescent="0.35">
      <c r="A2220" s="7"/>
      <c r="C2220" s="31" t="str">
        <f>IF(指数列表!B2217="","",指数列表!B2217)</f>
        <v/>
      </c>
      <c r="D2220" s="36" t="str">
        <f>IF(C2220="","",[1]!s_info_name(C2220))</f>
        <v/>
      </c>
      <c r="E2220" s="25" t="str">
        <f>IF(C2220="","",[1]!s_dq_close(C2220,$N$1))</f>
        <v/>
      </c>
      <c r="F2220" s="28" t="str">
        <f>IF($C2220=""," ",[1]!i_pq_pctchange($C2220,F$6,$N$1))</f>
        <v xml:space="preserve"> </v>
      </c>
      <c r="G2220" s="28" t="str">
        <f>IF($C2220=""," ",[1]!i_pq_pctchange($C2220,G$6,$N$1))</f>
        <v xml:space="preserve"> </v>
      </c>
      <c r="H2220" s="28" t="str">
        <f>IF($C2220=""," ",[1]!i_pq_pctchange($C2220,H$6,$N$1))</f>
        <v xml:space="preserve"> </v>
      </c>
      <c r="I2220" s="28" t="str">
        <f>IF($C2220=""," ",[1]!i_pq_pctchange($C2220,I$6,$N$1))</f>
        <v xml:space="preserve"> </v>
      </c>
      <c r="J2220" s="28" t="str">
        <f>IF($C2220=""," ",[1]!i_pq_pctchange($C2220,J$6,$N$1))</f>
        <v xml:space="preserve"> </v>
      </c>
      <c r="K2220" s="28" t="str">
        <f>IF($C2220=""," ",[1]!i_pq_pctchange($C2220,K$6,$N$1))</f>
        <v xml:space="preserve"> </v>
      </c>
      <c r="L2220" s="28" t="str">
        <f>IF(C2220=""," ",[1]!s_wq_pctchange($C2220,$N$1))</f>
        <v xml:space="preserve"> </v>
      </c>
      <c r="M2220" s="28" t="str">
        <f>IF(C2220=""," ",[1]!s_mq_pctchange($C2220,$N$1))</f>
        <v xml:space="preserve"> </v>
      </c>
      <c r="N2220" s="28" t="str">
        <f>IF(C2220=""," ",[1]!s_yq_pctchange($C2220,$N$1))</f>
        <v xml:space="preserve"> </v>
      </c>
      <c r="O2220" s="11"/>
      <c r="P2220" s="7"/>
    </row>
    <row r="2221" spans="1:16" x14ac:dyDescent="0.35">
      <c r="A2221" s="7"/>
      <c r="C2221" s="30" t="str">
        <f>IF(指数列表!B2218="","",指数列表!B2218)</f>
        <v/>
      </c>
      <c r="D2221" s="35" t="str">
        <f>IF(C2221="","",[1]!s_info_name(C2221))</f>
        <v/>
      </c>
      <c r="E2221" s="24" t="str">
        <f>IF(C2221="","",[1]!s_dq_close(C2221,$N$1))</f>
        <v/>
      </c>
      <c r="F2221" s="28" t="str">
        <f>IF($C2221=""," ",[1]!i_pq_pctchange($C2221,F$6,$N$1))</f>
        <v xml:space="preserve"> </v>
      </c>
      <c r="G2221" s="28" t="str">
        <f>IF($C2221=""," ",[1]!i_pq_pctchange($C2221,G$6,$N$1))</f>
        <v xml:space="preserve"> </v>
      </c>
      <c r="H2221" s="28" t="str">
        <f>IF($C2221=""," ",[1]!i_pq_pctchange($C2221,H$6,$N$1))</f>
        <v xml:space="preserve"> </v>
      </c>
      <c r="I2221" s="28" t="str">
        <f>IF($C2221=""," ",[1]!i_pq_pctchange($C2221,I$6,$N$1))</f>
        <v xml:space="preserve"> </v>
      </c>
      <c r="J2221" s="28" t="str">
        <f>IF($C2221=""," ",[1]!i_pq_pctchange($C2221,J$6,$N$1))</f>
        <v xml:space="preserve"> </v>
      </c>
      <c r="K2221" s="28" t="str">
        <f>IF($C2221=""," ",[1]!i_pq_pctchange($C2221,K$6,$N$1))</f>
        <v xml:space="preserve"> </v>
      </c>
      <c r="L2221" s="28" t="str">
        <f>IF(C2221=""," ",[1]!s_wq_pctchange($C2221,$N$1))</f>
        <v xml:space="preserve"> </v>
      </c>
      <c r="M2221" s="28" t="str">
        <f>IF(C2221=""," ",[1]!s_mq_pctchange($C2221,$N$1))</f>
        <v xml:space="preserve"> </v>
      </c>
      <c r="N2221" s="28" t="str">
        <f>IF(C2221=""," ",[1]!s_yq_pctchange($C2221,$N$1))</f>
        <v xml:space="preserve"> </v>
      </c>
      <c r="O2221" s="11"/>
      <c r="P2221" s="7"/>
    </row>
    <row r="2222" spans="1:16" x14ac:dyDescent="0.35">
      <c r="A2222" s="7"/>
      <c r="C2222" s="31" t="str">
        <f>IF(指数列表!B2219="","",指数列表!B2219)</f>
        <v/>
      </c>
      <c r="D2222" s="36" t="str">
        <f>IF(C2222="","",[1]!s_info_name(C2222))</f>
        <v/>
      </c>
      <c r="E2222" s="25" t="str">
        <f>IF(C2222="","",[1]!s_dq_close(C2222,$N$1))</f>
        <v/>
      </c>
      <c r="F2222" s="28" t="str">
        <f>IF($C2222=""," ",[1]!i_pq_pctchange($C2222,F$6,$N$1))</f>
        <v xml:space="preserve"> </v>
      </c>
      <c r="G2222" s="28" t="str">
        <f>IF($C2222=""," ",[1]!i_pq_pctchange($C2222,G$6,$N$1))</f>
        <v xml:space="preserve"> </v>
      </c>
      <c r="H2222" s="28" t="str">
        <f>IF($C2222=""," ",[1]!i_pq_pctchange($C2222,H$6,$N$1))</f>
        <v xml:space="preserve"> </v>
      </c>
      <c r="I2222" s="28" t="str">
        <f>IF($C2222=""," ",[1]!i_pq_pctchange($C2222,I$6,$N$1))</f>
        <v xml:space="preserve"> </v>
      </c>
      <c r="J2222" s="28" t="str">
        <f>IF($C2222=""," ",[1]!i_pq_pctchange($C2222,J$6,$N$1))</f>
        <v xml:space="preserve"> </v>
      </c>
      <c r="K2222" s="28" t="str">
        <f>IF($C2222=""," ",[1]!i_pq_pctchange($C2222,K$6,$N$1))</f>
        <v xml:space="preserve"> </v>
      </c>
      <c r="L2222" s="28" t="str">
        <f>IF(C2222=""," ",[1]!s_wq_pctchange($C2222,$N$1))</f>
        <v xml:space="preserve"> </v>
      </c>
      <c r="M2222" s="28" t="str">
        <f>IF(C2222=""," ",[1]!s_mq_pctchange($C2222,$N$1))</f>
        <v xml:space="preserve"> </v>
      </c>
      <c r="N2222" s="28" t="str">
        <f>IF(C2222=""," ",[1]!s_yq_pctchange($C2222,$N$1))</f>
        <v xml:space="preserve"> </v>
      </c>
      <c r="O2222" s="11"/>
      <c r="P2222" s="7"/>
    </row>
    <row r="2223" spans="1:16" x14ac:dyDescent="0.35">
      <c r="A2223" s="7"/>
      <c r="C2223" s="30" t="str">
        <f>IF(指数列表!B2220="","",指数列表!B2220)</f>
        <v/>
      </c>
      <c r="D2223" s="35" t="str">
        <f>IF(C2223="","",[1]!s_info_name(C2223))</f>
        <v/>
      </c>
      <c r="E2223" s="24" t="str">
        <f>IF(C2223="","",[1]!s_dq_close(C2223,$N$1))</f>
        <v/>
      </c>
      <c r="F2223" s="28" t="str">
        <f>IF($C2223=""," ",[1]!i_pq_pctchange($C2223,F$6,$N$1))</f>
        <v xml:space="preserve"> </v>
      </c>
      <c r="G2223" s="28" t="str">
        <f>IF($C2223=""," ",[1]!i_pq_pctchange($C2223,G$6,$N$1))</f>
        <v xml:space="preserve"> </v>
      </c>
      <c r="H2223" s="28" t="str">
        <f>IF($C2223=""," ",[1]!i_pq_pctchange($C2223,H$6,$N$1))</f>
        <v xml:space="preserve"> </v>
      </c>
      <c r="I2223" s="28" t="str">
        <f>IF($C2223=""," ",[1]!i_pq_pctchange($C2223,I$6,$N$1))</f>
        <v xml:space="preserve"> </v>
      </c>
      <c r="J2223" s="28" t="str">
        <f>IF($C2223=""," ",[1]!i_pq_pctchange($C2223,J$6,$N$1))</f>
        <v xml:space="preserve"> </v>
      </c>
      <c r="K2223" s="28" t="str">
        <f>IF($C2223=""," ",[1]!i_pq_pctchange($C2223,K$6,$N$1))</f>
        <v xml:space="preserve"> </v>
      </c>
      <c r="L2223" s="28" t="str">
        <f>IF(C2223=""," ",[1]!s_wq_pctchange($C2223,$N$1))</f>
        <v xml:space="preserve"> </v>
      </c>
      <c r="M2223" s="28" t="str">
        <f>IF(C2223=""," ",[1]!s_mq_pctchange($C2223,$N$1))</f>
        <v xml:space="preserve"> </v>
      </c>
      <c r="N2223" s="28" t="str">
        <f>IF(C2223=""," ",[1]!s_yq_pctchange($C2223,$N$1))</f>
        <v xml:space="preserve"> </v>
      </c>
      <c r="O2223" s="11"/>
      <c r="P2223" s="7"/>
    </row>
    <row r="2224" spans="1:16" x14ac:dyDescent="0.35">
      <c r="A2224" s="7"/>
      <c r="C2224" s="31" t="str">
        <f>IF(指数列表!B2221="","",指数列表!B2221)</f>
        <v/>
      </c>
      <c r="D2224" s="36" t="str">
        <f>IF(C2224="","",[1]!s_info_name(C2224))</f>
        <v/>
      </c>
      <c r="E2224" s="25" t="str">
        <f>IF(C2224="","",[1]!s_dq_close(C2224,$N$1))</f>
        <v/>
      </c>
      <c r="F2224" s="28" t="str">
        <f>IF($C2224=""," ",[1]!i_pq_pctchange($C2224,F$6,$N$1))</f>
        <v xml:space="preserve"> </v>
      </c>
      <c r="G2224" s="28" t="str">
        <f>IF($C2224=""," ",[1]!i_pq_pctchange($C2224,G$6,$N$1))</f>
        <v xml:space="preserve"> </v>
      </c>
      <c r="H2224" s="28" t="str">
        <f>IF($C2224=""," ",[1]!i_pq_pctchange($C2224,H$6,$N$1))</f>
        <v xml:space="preserve"> </v>
      </c>
      <c r="I2224" s="28" t="str">
        <f>IF($C2224=""," ",[1]!i_pq_pctchange($C2224,I$6,$N$1))</f>
        <v xml:space="preserve"> </v>
      </c>
      <c r="J2224" s="28" t="str">
        <f>IF($C2224=""," ",[1]!i_pq_pctchange($C2224,J$6,$N$1))</f>
        <v xml:space="preserve"> </v>
      </c>
      <c r="K2224" s="28" t="str">
        <f>IF($C2224=""," ",[1]!i_pq_pctchange($C2224,K$6,$N$1))</f>
        <v xml:space="preserve"> </v>
      </c>
      <c r="L2224" s="28" t="str">
        <f>IF(C2224=""," ",[1]!s_wq_pctchange($C2224,$N$1))</f>
        <v xml:space="preserve"> </v>
      </c>
      <c r="M2224" s="28" t="str">
        <f>IF(C2224=""," ",[1]!s_mq_pctchange($C2224,$N$1))</f>
        <v xml:space="preserve"> </v>
      </c>
      <c r="N2224" s="28" t="str">
        <f>IF(C2224=""," ",[1]!s_yq_pctchange($C2224,$N$1))</f>
        <v xml:space="preserve"> </v>
      </c>
      <c r="O2224" s="11"/>
      <c r="P2224" s="7"/>
    </row>
    <row r="2225" spans="1:16" x14ac:dyDescent="0.35">
      <c r="A2225" s="7"/>
      <c r="C2225" s="30" t="str">
        <f>IF(指数列表!B2222="","",指数列表!B2222)</f>
        <v/>
      </c>
      <c r="D2225" s="35" t="str">
        <f>IF(C2225="","",[1]!s_info_name(C2225))</f>
        <v/>
      </c>
      <c r="E2225" s="24" t="str">
        <f>IF(C2225="","",[1]!s_dq_close(C2225,$N$1))</f>
        <v/>
      </c>
      <c r="F2225" s="28" t="str">
        <f>IF($C2225=""," ",[1]!i_pq_pctchange($C2225,F$6,$N$1))</f>
        <v xml:space="preserve"> </v>
      </c>
      <c r="G2225" s="28" t="str">
        <f>IF($C2225=""," ",[1]!i_pq_pctchange($C2225,G$6,$N$1))</f>
        <v xml:space="preserve"> </v>
      </c>
      <c r="H2225" s="28" t="str">
        <f>IF($C2225=""," ",[1]!i_pq_pctchange($C2225,H$6,$N$1))</f>
        <v xml:space="preserve"> </v>
      </c>
      <c r="I2225" s="28" t="str">
        <f>IF($C2225=""," ",[1]!i_pq_pctchange($C2225,I$6,$N$1))</f>
        <v xml:space="preserve"> </v>
      </c>
      <c r="J2225" s="28" t="str">
        <f>IF($C2225=""," ",[1]!i_pq_pctchange($C2225,J$6,$N$1))</f>
        <v xml:space="preserve"> </v>
      </c>
      <c r="K2225" s="28" t="str">
        <f>IF($C2225=""," ",[1]!i_pq_pctchange($C2225,K$6,$N$1))</f>
        <v xml:space="preserve"> </v>
      </c>
      <c r="L2225" s="28" t="str">
        <f>IF(C2225=""," ",[1]!s_wq_pctchange($C2225,$N$1))</f>
        <v xml:space="preserve"> </v>
      </c>
      <c r="M2225" s="28" t="str">
        <f>IF(C2225=""," ",[1]!s_mq_pctchange($C2225,$N$1))</f>
        <v xml:space="preserve"> </v>
      </c>
      <c r="N2225" s="28" t="str">
        <f>IF(C2225=""," ",[1]!s_yq_pctchange($C2225,$N$1))</f>
        <v xml:space="preserve"> </v>
      </c>
      <c r="O2225" s="11"/>
      <c r="P2225" s="7"/>
    </row>
    <row r="2226" spans="1:16" x14ac:dyDescent="0.35">
      <c r="A2226" s="7"/>
      <c r="C2226" s="31" t="str">
        <f>IF(指数列表!B2223="","",指数列表!B2223)</f>
        <v/>
      </c>
      <c r="D2226" s="36" t="str">
        <f>IF(C2226="","",[1]!s_info_name(C2226))</f>
        <v/>
      </c>
      <c r="E2226" s="25" t="str">
        <f>IF(C2226="","",[1]!s_dq_close(C2226,$N$1))</f>
        <v/>
      </c>
      <c r="F2226" s="28" t="str">
        <f>IF($C2226=""," ",[1]!i_pq_pctchange($C2226,F$6,$N$1))</f>
        <v xml:space="preserve"> </v>
      </c>
      <c r="G2226" s="28" t="str">
        <f>IF($C2226=""," ",[1]!i_pq_pctchange($C2226,G$6,$N$1))</f>
        <v xml:space="preserve"> </v>
      </c>
      <c r="H2226" s="28" t="str">
        <f>IF($C2226=""," ",[1]!i_pq_pctchange($C2226,H$6,$N$1))</f>
        <v xml:space="preserve"> </v>
      </c>
      <c r="I2226" s="28" t="str">
        <f>IF($C2226=""," ",[1]!i_pq_pctchange($C2226,I$6,$N$1))</f>
        <v xml:space="preserve"> </v>
      </c>
      <c r="J2226" s="28" t="str">
        <f>IF($C2226=""," ",[1]!i_pq_pctchange($C2226,J$6,$N$1))</f>
        <v xml:space="preserve"> </v>
      </c>
      <c r="K2226" s="28" t="str">
        <f>IF($C2226=""," ",[1]!i_pq_pctchange($C2226,K$6,$N$1))</f>
        <v xml:space="preserve"> </v>
      </c>
      <c r="L2226" s="28" t="str">
        <f>IF(C2226=""," ",[1]!s_wq_pctchange($C2226,$N$1))</f>
        <v xml:space="preserve"> </v>
      </c>
      <c r="M2226" s="28" t="str">
        <f>IF(C2226=""," ",[1]!s_mq_pctchange($C2226,$N$1))</f>
        <v xml:space="preserve"> </v>
      </c>
      <c r="N2226" s="28" t="str">
        <f>IF(C2226=""," ",[1]!s_yq_pctchange($C2226,$N$1))</f>
        <v xml:space="preserve"> </v>
      </c>
      <c r="O2226" s="11"/>
      <c r="P2226" s="7"/>
    </row>
    <row r="2227" spans="1:16" x14ac:dyDescent="0.35">
      <c r="A2227" s="7"/>
      <c r="C2227" s="30" t="str">
        <f>IF(指数列表!B2224="","",指数列表!B2224)</f>
        <v/>
      </c>
      <c r="D2227" s="35" t="str">
        <f>IF(C2227="","",[1]!s_info_name(C2227))</f>
        <v/>
      </c>
      <c r="E2227" s="24" t="str">
        <f>IF(C2227="","",[1]!s_dq_close(C2227,$N$1))</f>
        <v/>
      </c>
      <c r="F2227" s="28" t="str">
        <f>IF($C2227=""," ",[1]!i_pq_pctchange($C2227,F$6,$N$1))</f>
        <v xml:space="preserve"> </v>
      </c>
      <c r="G2227" s="28" t="str">
        <f>IF($C2227=""," ",[1]!i_pq_pctchange($C2227,G$6,$N$1))</f>
        <v xml:space="preserve"> </v>
      </c>
      <c r="H2227" s="28" t="str">
        <f>IF($C2227=""," ",[1]!i_pq_pctchange($C2227,H$6,$N$1))</f>
        <v xml:space="preserve"> </v>
      </c>
      <c r="I2227" s="28" t="str">
        <f>IF($C2227=""," ",[1]!i_pq_pctchange($C2227,I$6,$N$1))</f>
        <v xml:space="preserve"> </v>
      </c>
      <c r="J2227" s="28" t="str">
        <f>IF($C2227=""," ",[1]!i_pq_pctchange($C2227,J$6,$N$1))</f>
        <v xml:space="preserve"> </v>
      </c>
      <c r="K2227" s="28" t="str">
        <f>IF($C2227=""," ",[1]!i_pq_pctchange($C2227,K$6,$N$1))</f>
        <v xml:space="preserve"> </v>
      </c>
      <c r="L2227" s="28" t="str">
        <f>IF(C2227=""," ",[1]!s_wq_pctchange($C2227,$N$1))</f>
        <v xml:space="preserve"> </v>
      </c>
      <c r="M2227" s="28" t="str">
        <f>IF(C2227=""," ",[1]!s_mq_pctchange($C2227,$N$1))</f>
        <v xml:space="preserve"> </v>
      </c>
      <c r="N2227" s="28" t="str">
        <f>IF(C2227=""," ",[1]!s_yq_pctchange($C2227,$N$1))</f>
        <v xml:space="preserve"> </v>
      </c>
      <c r="O2227" s="11"/>
      <c r="P2227" s="7"/>
    </row>
    <row r="2228" spans="1:16" x14ac:dyDescent="0.35">
      <c r="A2228" s="7"/>
      <c r="C2228" s="31" t="str">
        <f>IF(指数列表!B2225="","",指数列表!B2225)</f>
        <v/>
      </c>
      <c r="D2228" s="36" t="str">
        <f>IF(C2228="","",[1]!s_info_name(C2228))</f>
        <v/>
      </c>
      <c r="E2228" s="25" t="str">
        <f>IF(C2228="","",[1]!s_dq_close(C2228,$N$1))</f>
        <v/>
      </c>
      <c r="F2228" s="28" t="str">
        <f>IF($C2228=""," ",[1]!i_pq_pctchange($C2228,F$6,$N$1))</f>
        <v xml:space="preserve"> </v>
      </c>
      <c r="G2228" s="28" t="str">
        <f>IF($C2228=""," ",[1]!i_pq_pctchange($C2228,G$6,$N$1))</f>
        <v xml:space="preserve"> </v>
      </c>
      <c r="H2228" s="28" t="str">
        <f>IF($C2228=""," ",[1]!i_pq_pctchange($C2228,H$6,$N$1))</f>
        <v xml:space="preserve"> </v>
      </c>
      <c r="I2228" s="28" t="str">
        <f>IF($C2228=""," ",[1]!i_pq_pctchange($C2228,I$6,$N$1))</f>
        <v xml:space="preserve"> </v>
      </c>
      <c r="J2228" s="28" t="str">
        <f>IF($C2228=""," ",[1]!i_pq_pctchange($C2228,J$6,$N$1))</f>
        <v xml:space="preserve"> </v>
      </c>
      <c r="K2228" s="28" t="str">
        <f>IF($C2228=""," ",[1]!i_pq_pctchange($C2228,K$6,$N$1))</f>
        <v xml:space="preserve"> </v>
      </c>
      <c r="L2228" s="28" t="str">
        <f>IF(C2228=""," ",[1]!s_wq_pctchange($C2228,$N$1))</f>
        <v xml:space="preserve"> </v>
      </c>
      <c r="M2228" s="28" t="str">
        <f>IF(C2228=""," ",[1]!s_mq_pctchange($C2228,$N$1))</f>
        <v xml:space="preserve"> </v>
      </c>
      <c r="N2228" s="28" t="str">
        <f>IF(C2228=""," ",[1]!s_yq_pctchange($C2228,$N$1))</f>
        <v xml:space="preserve"> </v>
      </c>
      <c r="O2228" s="11"/>
      <c r="P2228" s="7"/>
    </row>
    <row r="2229" spans="1:16" x14ac:dyDescent="0.35">
      <c r="A2229" s="7"/>
      <c r="C2229" s="30" t="str">
        <f>IF(指数列表!B2226="","",指数列表!B2226)</f>
        <v/>
      </c>
      <c r="D2229" s="35" t="str">
        <f>IF(C2229="","",[1]!s_info_name(C2229))</f>
        <v/>
      </c>
      <c r="E2229" s="24" t="str">
        <f>IF(C2229="","",[1]!s_dq_close(C2229,$N$1))</f>
        <v/>
      </c>
      <c r="F2229" s="28" t="str">
        <f>IF($C2229=""," ",[1]!i_pq_pctchange($C2229,F$6,$N$1))</f>
        <v xml:space="preserve"> </v>
      </c>
      <c r="G2229" s="28" t="str">
        <f>IF($C2229=""," ",[1]!i_pq_pctchange($C2229,G$6,$N$1))</f>
        <v xml:space="preserve"> </v>
      </c>
      <c r="H2229" s="28" t="str">
        <f>IF($C2229=""," ",[1]!i_pq_pctchange($C2229,H$6,$N$1))</f>
        <v xml:space="preserve"> </v>
      </c>
      <c r="I2229" s="28" t="str">
        <f>IF($C2229=""," ",[1]!i_pq_pctchange($C2229,I$6,$N$1))</f>
        <v xml:space="preserve"> </v>
      </c>
      <c r="J2229" s="28" t="str">
        <f>IF($C2229=""," ",[1]!i_pq_pctchange($C2229,J$6,$N$1))</f>
        <v xml:space="preserve"> </v>
      </c>
      <c r="K2229" s="28" t="str">
        <f>IF($C2229=""," ",[1]!i_pq_pctchange($C2229,K$6,$N$1))</f>
        <v xml:space="preserve"> </v>
      </c>
      <c r="L2229" s="28" t="str">
        <f>IF(C2229=""," ",[1]!s_wq_pctchange($C2229,$N$1))</f>
        <v xml:space="preserve"> </v>
      </c>
      <c r="M2229" s="28" t="str">
        <f>IF(C2229=""," ",[1]!s_mq_pctchange($C2229,$N$1))</f>
        <v xml:space="preserve"> </v>
      </c>
      <c r="N2229" s="28" t="str">
        <f>IF(C2229=""," ",[1]!s_yq_pctchange($C2229,$N$1))</f>
        <v xml:space="preserve"> </v>
      </c>
      <c r="O2229" s="11"/>
      <c r="P2229" s="7"/>
    </row>
    <row r="2230" spans="1:16" x14ac:dyDescent="0.35">
      <c r="A2230" s="7"/>
      <c r="C2230" s="31" t="str">
        <f>IF(指数列表!B2227="","",指数列表!B2227)</f>
        <v/>
      </c>
      <c r="D2230" s="36" t="str">
        <f>IF(C2230="","",[1]!s_info_name(C2230))</f>
        <v/>
      </c>
      <c r="E2230" s="25" t="str">
        <f>IF(C2230="","",[1]!s_dq_close(C2230,$N$1))</f>
        <v/>
      </c>
      <c r="F2230" s="28" t="str">
        <f>IF($C2230=""," ",[1]!i_pq_pctchange($C2230,F$6,$N$1))</f>
        <v xml:space="preserve"> </v>
      </c>
      <c r="G2230" s="28" t="str">
        <f>IF($C2230=""," ",[1]!i_pq_pctchange($C2230,G$6,$N$1))</f>
        <v xml:space="preserve"> </v>
      </c>
      <c r="H2230" s="28" t="str">
        <f>IF($C2230=""," ",[1]!i_pq_pctchange($C2230,H$6,$N$1))</f>
        <v xml:space="preserve"> </v>
      </c>
      <c r="I2230" s="28" t="str">
        <f>IF($C2230=""," ",[1]!i_pq_pctchange($C2230,I$6,$N$1))</f>
        <v xml:space="preserve"> </v>
      </c>
      <c r="J2230" s="28" t="str">
        <f>IF($C2230=""," ",[1]!i_pq_pctchange($C2230,J$6,$N$1))</f>
        <v xml:space="preserve"> </v>
      </c>
      <c r="K2230" s="28" t="str">
        <f>IF($C2230=""," ",[1]!i_pq_pctchange($C2230,K$6,$N$1))</f>
        <v xml:space="preserve"> </v>
      </c>
      <c r="L2230" s="28" t="str">
        <f>IF(C2230=""," ",[1]!s_wq_pctchange($C2230,$N$1))</f>
        <v xml:space="preserve"> </v>
      </c>
      <c r="M2230" s="28" t="str">
        <f>IF(C2230=""," ",[1]!s_mq_pctchange($C2230,$N$1))</f>
        <v xml:space="preserve"> </v>
      </c>
      <c r="N2230" s="28" t="str">
        <f>IF(C2230=""," ",[1]!s_yq_pctchange($C2230,$N$1))</f>
        <v xml:space="preserve"> </v>
      </c>
      <c r="O2230" s="11"/>
      <c r="P2230" s="7"/>
    </row>
    <row r="2231" spans="1:16" x14ac:dyDescent="0.35">
      <c r="A2231" s="7"/>
      <c r="C2231" s="30" t="str">
        <f>IF(指数列表!B2228="","",指数列表!B2228)</f>
        <v/>
      </c>
      <c r="D2231" s="35" t="str">
        <f>IF(C2231="","",[1]!s_info_name(C2231))</f>
        <v/>
      </c>
      <c r="E2231" s="24" t="str">
        <f>IF(C2231="","",[1]!s_dq_close(C2231,$N$1))</f>
        <v/>
      </c>
      <c r="F2231" s="28" t="str">
        <f>IF($C2231=""," ",[1]!i_pq_pctchange($C2231,F$6,$N$1))</f>
        <v xml:space="preserve"> </v>
      </c>
      <c r="G2231" s="28" t="str">
        <f>IF($C2231=""," ",[1]!i_pq_pctchange($C2231,G$6,$N$1))</f>
        <v xml:space="preserve"> </v>
      </c>
      <c r="H2231" s="28" t="str">
        <f>IF($C2231=""," ",[1]!i_pq_pctchange($C2231,H$6,$N$1))</f>
        <v xml:space="preserve"> </v>
      </c>
      <c r="I2231" s="28" t="str">
        <f>IF($C2231=""," ",[1]!i_pq_pctchange($C2231,I$6,$N$1))</f>
        <v xml:space="preserve"> </v>
      </c>
      <c r="J2231" s="28" t="str">
        <f>IF($C2231=""," ",[1]!i_pq_pctchange($C2231,J$6,$N$1))</f>
        <v xml:space="preserve"> </v>
      </c>
      <c r="K2231" s="28" t="str">
        <f>IF($C2231=""," ",[1]!i_pq_pctchange($C2231,K$6,$N$1))</f>
        <v xml:space="preserve"> </v>
      </c>
      <c r="L2231" s="28" t="str">
        <f>IF(C2231=""," ",[1]!s_wq_pctchange($C2231,$N$1))</f>
        <v xml:space="preserve"> </v>
      </c>
      <c r="M2231" s="28" t="str">
        <f>IF(C2231=""," ",[1]!s_mq_pctchange($C2231,$N$1))</f>
        <v xml:space="preserve"> </v>
      </c>
      <c r="N2231" s="28" t="str">
        <f>IF(C2231=""," ",[1]!s_yq_pctchange($C2231,$N$1))</f>
        <v xml:space="preserve"> </v>
      </c>
      <c r="O2231" s="11"/>
      <c r="P2231" s="7"/>
    </row>
    <row r="2232" spans="1:16" x14ac:dyDescent="0.35">
      <c r="A2232" s="7"/>
      <c r="C2232" s="31" t="str">
        <f>IF(指数列表!B2229="","",指数列表!B2229)</f>
        <v/>
      </c>
      <c r="D2232" s="36" t="str">
        <f>IF(C2232="","",[1]!s_info_name(C2232))</f>
        <v/>
      </c>
      <c r="E2232" s="25" t="str">
        <f>IF(C2232="","",[1]!s_dq_close(C2232,$N$1))</f>
        <v/>
      </c>
      <c r="F2232" s="28" t="str">
        <f>IF($C2232=""," ",[1]!i_pq_pctchange($C2232,F$6,$N$1))</f>
        <v xml:space="preserve"> </v>
      </c>
      <c r="G2232" s="28" t="str">
        <f>IF($C2232=""," ",[1]!i_pq_pctchange($C2232,G$6,$N$1))</f>
        <v xml:space="preserve"> </v>
      </c>
      <c r="H2232" s="28" t="str">
        <f>IF($C2232=""," ",[1]!i_pq_pctchange($C2232,H$6,$N$1))</f>
        <v xml:space="preserve"> </v>
      </c>
      <c r="I2232" s="28" t="str">
        <f>IF($C2232=""," ",[1]!i_pq_pctchange($C2232,I$6,$N$1))</f>
        <v xml:space="preserve"> </v>
      </c>
      <c r="J2232" s="28" t="str">
        <f>IF($C2232=""," ",[1]!i_pq_pctchange($C2232,J$6,$N$1))</f>
        <v xml:space="preserve"> </v>
      </c>
      <c r="K2232" s="28" t="str">
        <f>IF($C2232=""," ",[1]!i_pq_pctchange($C2232,K$6,$N$1))</f>
        <v xml:space="preserve"> </v>
      </c>
      <c r="L2232" s="28" t="str">
        <f>IF(C2232=""," ",[1]!s_wq_pctchange($C2232,$N$1))</f>
        <v xml:space="preserve"> </v>
      </c>
      <c r="M2232" s="28" t="str">
        <f>IF(C2232=""," ",[1]!s_mq_pctchange($C2232,$N$1))</f>
        <v xml:space="preserve"> </v>
      </c>
      <c r="N2232" s="28" t="str">
        <f>IF(C2232=""," ",[1]!s_yq_pctchange($C2232,$N$1))</f>
        <v xml:space="preserve"> </v>
      </c>
      <c r="O2232" s="11"/>
      <c r="P2232" s="7"/>
    </row>
    <row r="2233" spans="1:16" x14ac:dyDescent="0.35">
      <c r="A2233" s="7"/>
      <c r="C2233" s="30" t="str">
        <f>IF(指数列表!B2230="","",指数列表!B2230)</f>
        <v/>
      </c>
      <c r="D2233" s="35" t="str">
        <f>IF(C2233="","",[1]!s_info_name(C2233))</f>
        <v/>
      </c>
      <c r="E2233" s="24" t="str">
        <f>IF(C2233="","",[1]!s_dq_close(C2233,$N$1))</f>
        <v/>
      </c>
      <c r="F2233" s="28" t="str">
        <f>IF($C2233=""," ",[1]!i_pq_pctchange($C2233,F$6,$N$1))</f>
        <v xml:space="preserve"> </v>
      </c>
      <c r="G2233" s="28" t="str">
        <f>IF($C2233=""," ",[1]!i_pq_pctchange($C2233,G$6,$N$1))</f>
        <v xml:space="preserve"> </v>
      </c>
      <c r="H2233" s="28" t="str">
        <f>IF($C2233=""," ",[1]!i_pq_pctchange($C2233,H$6,$N$1))</f>
        <v xml:space="preserve"> </v>
      </c>
      <c r="I2233" s="28" t="str">
        <f>IF($C2233=""," ",[1]!i_pq_pctchange($C2233,I$6,$N$1))</f>
        <v xml:space="preserve"> </v>
      </c>
      <c r="J2233" s="28" t="str">
        <f>IF($C2233=""," ",[1]!i_pq_pctchange($C2233,J$6,$N$1))</f>
        <v xml:space="preserve"> </v>
      </c>
      <c r="K2233" s="28" t="str">
        <f>IF($C2233=""," ",[1]!i_pq_pctchange($C2233,K$6,$N$1))</f>
        <v xml:space="preserve"> </v>
      </c>
      <c r="L2233" s="28" t="str">
        <f>IF(C2233=""," ",[1]!s_wq_pctchange($C2233,$N$1))</f>
        <v xml:space="preserve"> </v>
      </c>
      <c r="M2233" s="28" t="str">
        <f>IF(C2233=""," ",[1]!s_mq_pctchange($C2233,$N$1))</f>
        <v xml:space="preserve"> </v>
      </c>
      <c r="N2233" s="28" t="str">
        <f>IF(C2233=""," ",[1]!s_yq_pctchange($C2233,$N$1))</f>
        <v xml:space="preserve"> </v>
      </c>
      <c r="O2233" s="11"/>
      <c r="P2233" s="7"/>
    </row>
    <row r="2234" spans="1:16" x14ac:dyDescent="0.35">
      <c r="A2234" s="7"/>
      <c r="C2234" s="31" t="str">
        <f>IF(指数列表!B2231="","",指数列表!B2231)</f>
        <v/>
      </c>
      <c r="D2234" s="36" t="str">
        <f>IF(C2234="","",[1]!s_info_name(C2234))</f>
        <v/>
      </c>
      <c r="E2234" s="25" t="str">
        <f>IF(C2234="","",[1]!s_dq_close(C2234,$N$1))</f>
        <v/>
      </c>
      <c r="F2234" s="28" t="str">
        <f>IF($C2234=""," ",[1]!i_pq_pctchange($C2234,F$6,$N$1))</f>
        <v xml:space="preserve"> </v>
      </c>
      <c r="G2234" s="28" t="str">
        <f>IF($C2234=""," ",[1]!i_pq_pctchange($C2234,G$6,$N$1))</f>
        <v xml:space="preserve"> </v>
      </c>
      <c r="H2234" s="28" t="str">
        <f>IF($C2234=""," ",[1]!i_pq_pctchange($C2234,H$6,$N$1))</f>
        <v xml:space="preserve"> </v>
      </c>
      <c r="I2234" s="28" t="str">
        <f>IF($C2234=""," ",[1]!i_pq_pctchange($C2234,I$6,$N$1))</f>
        <v xml:space="preserve"> </v>
      </c>
      <c r="J2234" s="28" t="str">
        <f>IF($C2234=""," ",[1]!i_pq_pctchange($C2234,J$6,$N$1))</f>
        <v xml:space="preserve"> </v>
      </c>
      <c r="K2234" s="28" t="str">
        <f>IF($C2234=""," ",[1]!i_pq_pctchange($C2234,K$6,$N$1))</f>
        <v xml:space="preserve"> </v>
      </c>
      <c r="L2234" s="28" t="str">
        <f>IF(C2234=""," ",[1]!s_wq_pctchange($C2234,$N$1))</f>
        <v xml:space="preserve"> </v>
      </c>
      <c r="M2234" s="28" t="str">
        <f>IF(C2234=""," ",[1]!s_mq_pctchange($C2234,$N$1))</f>
        <v xml:space="preserve"> </v>
      </c>
      <c r="N2234" s="28" t="str">
        <f>IF(C2234=""," ",[1]!s_yq_pctchange($C2234,$N$1))</f>
        <v xml:space="preserve"> </v>
      </c>
      <c r="O2234" s="11"/>
      <c r="P2234" s="7"/>
    </row>
    <row r="2235" spans="1:16" x14ac:dyDescent="0.35">
      <c r="A2235" s="7"/>
      <c r="C2235" s="30" t="str">
        <f>IF(指数列表!B2232="","",指数列表!B2232)</f>
        <v/>
      </c>
      <c r="D2235" s="35" t="str">
        <f>IF(C2235="","",[1]!s_info_name(C2235))</f>
        <v/>
      </c>
      <c r="E2235" s="24" t="str">
        <f>IF(C2235="","",[1]!s_dq_close(C2235,$N$1))</f>
        <v/>
      </c>
      <c r="F2235" s="28" t="str">
        <f>IF($C2235=""," ",[1]!i_pq_pctchange($C2235,F$6,$N$1))</f>
        <v xml:space="preserve"> </v>
      </c>
      <c r="G2235" s="28" t="str">
        <f>IF($C2235=""," ",[1]!i_pq_pctchange($C2235,G$6,$N$1))</f>
        <v xml:space="preserve"> </v>
      </c>
      <c r="H2235" s="28" t="str">
        <f>IF($C2235=""," ",[1]!i_pq_pctchange($C2235,H$6,$N$1))</f>
        <v xml:space="preserve"> </v>
      </c>
      <c r="I2235" s="28" t="str">
        <f>IF($C2235=""," ",[1]!i_pq_pctchange($C2235,I$6,$N$1))</f>
        <v xml:space="preserve"> </v>
      </c>
      <c r="J2235" s="28" t="str">
        <f>IF($C2235=""," ",[1]!i_pq_pctchange($C2235,J$6,$N$1))</f>
        <v xml:space="preserve"> </v>
      </c>
      <c r="K2235" s="28" t="str">
        <f>IF($C2235=""," ",[1]!i_pq_pctchange($C2235,K$6,$N$1))</f>
        <v xml:space="preserve"> </v>
      </c>
      <c r="L2235" s="28" t="str">
        <f>IF(C2235=""," ",[1]!s_wq_pctchange($C2235,$N$1))</f>
        <v xml:space="preserve"> </v>
      </c>
      <c r="M2235" s="28" t="str">
        <f>IF(C2235=""," ",[1]!s_mq_pctchange($C2235,$N$1))</f>
        <v xml:space="preserve"> </v>
      </c>
      <c r="N2235" s="28" t="str">
        <f>IF(C2235=""," ",[1]!s_yq_pctchange($C2235,$N$1))</f>
        <v xml:space="preserve"> </v>
      </c>
      <c r="O2235" s="11"/>
      <c r="P2235" s="7"/>
    </row>
    <row r="2236" spans="1:16" x14ac:dyDescent="0.35">
      <c r="A2236" s="7"/>
      <c r="C2236" s="31" t="str">
        <f>IF(指数列表!B2233="","",指数列表!B2233)</f>
        <v/>
      </c>
      <c r="D2236" s="36" t="str">
        <f>IF(C2236="","",[1]!s_info_name(C2236))</f>
        <v/>
      </c>
      <c r="E2236" s="25" t="str">
        <f>IF(C2236="","",[1]!s_dq_close(C2236,$N$1))</f>
        <v/>
      </c>
      <c r="F2236" s="28" t="str">
        <f>IF($C2236=""," ",[1]!i_pq_pctchange($C2236,F$6,$N$1))</f>
        <v xml:space="preserve"> </v>
      </c>
      <c r="G2236" s="28" t="str">
        <f>IF($C2236=""," ",[1]!i_pq_pctchange($C2236,G$6,$N$1))</f>
        <v xml:space="preserve"> </v>
      </c>
      <c r="H2236" s="28" t="str">
        <f>IF($C2236=""," ",[1]!i_pq_pctchange($C2236,H$6,$N$1))</f>
        <v xml:space="preserve"> </v>
      </c>
      <c r="I2236" s="28" t="str">
        <f>IF($C2236=""," ",[1]!i_pq_pctchange($C2236,I$6,$N$1))</f>
        <v xml:space="preserve"> </v>
      </c>
      <c r="J2236" s="28" t="str">
        <f>IF($C2236=""," ",[1]!i_pq_pctchange($C2236,J$6,$N$1))</f>
        <v xml:space="preserve"> </v>
      </c>
      <c r="K2236" s="28" t="str">
        <f>IF($C2236=""," ",[1]!i_pq_pctchange($C2236,K$6,$N$1))</f>
        <v xml:space="preserve"> </v>
      </c>
      <c r="L2236" s="28" t="str">
        <f>IF(C2236=""," ",[1]!s_wq_pctchange($C2236,$N$1))</f>
        <v xml:space="preserve"> </v>
      </c>
      <c r="M2236" s="28" t="str">
        <f>IF(C2236=""," ",[1]!s_mq_pctchange($C2236,$N$1))</f>
        <v xml:space="preserve"> </v>
      </c>
      <c r="N2236" s="28" t="str">
        <f>IF(C2236=""," ",[1]!s_yq_pctchange($C2236,$N$1))</f>
        <v xml:space="preserve"> </v>
      </c>
      <c r="O2236" s="11"/>
      <c r="P2236" s="7"/>
    </row>
    <row r="2237" spans="1:16" x14ac:dyDescent="0.35">
      <c r="A2237" s="7"/>
      <c r="C2237" s="30" t="str">
        <f>IF(指数列表!B2234="","",指数列表!B2234)</f>
        <v/>
      </c>
      <c r="D2237" s="35" t="str">
        <f>IF(C2237="","",[1]!s_info_name(C2237))</f>
        <v/>
      </c>
      <c r="E2237" s="24" t="str">
        <f>IF(C2237="","",[1]!s_dq_close(C2237,$N$1))</f>
        <v/>
      </c>
      <c r="F2237" s="28" t="str">
        <f>IF($C2237=""," ",[1]!i_pq_pctchange($C2237,F$6,$N$1))</f>
        <v xml:space="preserve"> </v>
      </c>
      <c r="G2237" s="28" t="str">
        <f>IF($C2237=""," ",[1]!i_pq_pctchange($C2237,G$6,$N$1))</f>
        <v xml:space="preserve"> </v>
      </c>
      <c r="H2237" s="28" t="str">
        <f>IF($C2237=""," ",[1]!i_pq_pctchange($C2237,H$6,$N$1))</f>
        <v xml:space="preserve"> </v>
      </c>
      <c r="I2237" s="28" t="str">
        <f>IF($C2237=""," ",[1]!i_pq_pctchange($C2237,I$6,$N$1))</f>
        <v xml:space="preserve"> </v>
      </c>
      <c r="J2237" s="28" t="str">
        <f>IF($C2237=""," ",[1]!i_pq_pctchange($C2237,J$6,$N$1))</f>
        <v xml:space="preserve"> </v>
      </c>
      <c r="K2237" s="28" t="str">
        <f>IF($C2237=""," ",[1]!i_pq_pctchange($C2237,K$6,$N$1))</f>
        <v xml:space="preserve"> </v>
      </c>
      <c r="L2237" s="28" t="str">
        <f>IF(C2237=""," ",[1]!s_wq_pctchange($C2237,$N$1))</f>
        <v xml:space="preserve"> </v>
      </c>
      <c r="M2237" s="28" t="str">
        <f>IF(C2237=""," ",[1]!s_mq_pctchange($C2237,$N$1))</f>
        <v xml:space="preserve"> </v>
      </c>
      <c r="N2237" s="28" t="str">
        <f>IF(C2237=""," ",[1]!s_yq_pctchange($C2237,$N$1))</f>
        <v xml:space="preserve"> </v>
      </c>
      <c r="O2237" s="11"/>
      <c r="P2237" s="7"/>
    </row>
    <row r="2238" spans="1:16" x14ac:dyDescent="0.35">
      <c r="A2238" s="7"/>
      <c r="C2238" s="31" t="str">
        <f>IF(指数列表!B2235="","",指数列表!B2235)</f>
        <v/>
      </c>
      <c r="D2238" s="36" t="str">
        <f>IF(C2238="","",[1]!s_info_name(C2238))</f>
        <v/>
      </c>
      <c r="E2238" s="25" t="str">
        <f>IF(C2238="","",[1]!s_dq_close(C2238,$N$1))</f>
        <v/>
      </c>
      <c r="F2238" s="28" t="str">
        <f>IF($C2238=""," ",[1]!i_pq_pctchange($C2238,F$6,$N$1))</f>
        <v xml:space="preserve"> </v>
      </c>
      <c r="G2238" s="28" t="str">
        <f>IF($C2238=""," ",[1]!i_pq_pctchange($C2238,G$6,$N$1))</f>
        <v xml:space="preserve"> </v>
      </c>
      <c r="H2238" s="28" t="str">
        <f>IF($C2238=""," ",[1]!i_pq_pctchange($C2238,H$6,$N$1))</f>
        <v xml:space="preserve"> </v>
      </c>
      <c r="I2238" s="28" t="str">
        <f>IF($C2238=""," ",[1]!i_pq_pctchange($C2238,I$6,$N$1))</f>
        <v xml:space="preserve"> </v>
      </c>
      <c r="J2238" s="28" t="str">
        <f>IF($C2238=""," ",[1]!i_pq_pctchange($C2238,J$6,$N$1))</f>
        <v xml:space="preserve"> </v>
      </c>
      <c r="K2238" s="28" t="str">
        <f>IF($C2238=""," ",[1]!i_pq_pctchange($C2238,K$6,$N$1))</f>
        <v xml:space="preserve"> </v>
      </c>
      <c r="L2238" s="28" t="str">
        <f>IF(C2238=""," ",[1]!s_wq_pctchange($C2238,$N$1))</f>
        <v xml:space="preserve"> </v>
      </c>
      <c r="M2238" s="28" t="str">
        <f>IF(C2238=""," ",[1]!s_mq_pctchange($C2238,$N$1))</f>
        <v xml:space="preserve"> </v>
      </c>
      <c r="N2238" s="28" t="str">
        <f>IF(C2238=""," ",[1]!s_yq_pctchange($C2238,$N$1))</f>
        <v xml:space="preserve"> </v>
      </c>
      <c r="O2238" s="11"/>
      <c r="P2238" s="7"/>
    </row>
    <row r="2239" spans="1:16" x14ac:dyDescent="0.35">
      <c r="A2239" s="7"/>
      <c r="C2239" s="30" t="str">
        <f>IF(指数列表!B2236="","",指数列表!B2236)</f>
        <v/>
      </c>
      <c r="D2239" s="35" t="str">
        <f>IF(C2239="","",[1]!s_info_name(C2239))</f>
        <v/>
      </c>
      <c r="E2239" s="24" t="str">
        <f>IF(C2239="","",[1]!s_dq_close(C2239,$N$1))</f>
        <v/>
      </c>
      <c r="F2239" s="28" t="str">
        <f>IF($C2239=""," ",[1]!i_pq_pctchange($C2239,F$6,$N$1))</f>
        <v xml:space="preserve"> </v>
      </c>
      <c r="G2239" s="28" t="str">
        <f>IF($C2239=""," ",[1]!i_pq_pctchange($C2239,G$6,$N$1))</f>
        <v xml:space="preserve"> </v>
      </c>
      <c r="H2239" s="28" t="str">
        <f>IF($C2239=""," ",[1]!i_pq_pctchange($C2239,H$6,$N$1))</f>
        <v xml:space="preserve"> </v>
      </c>
      <c r="I2239" s="28" t="str">
        <f>IF($C2239=""," ",[1]!i_pq_pctchange($C2239,I$6,$N$1))</f>
        <v xml:space="preserve"> </v>
      </c>
      <c r="J2239" s="28" t="str">
        <f>IF($C2239=""," ",[1]!i_pq_pctchange($C2239,J$6,$N$1))</f>
        <v xml:space="preserve"> </v>
      </c>
      <c r="K2239" s="28" t="str">
        <f>IF($C2239=""," ",[1]!i_pq_pctchange($C2239,K$6,$N$1))</f>
        <v xml:space="preserve"> </v>
      </c>
      <c r="L2239" s="28" t="str">
        <f>IF(C2239=""," ",[1]!s_wq_pctchange($C2239,$N$1))</f>
        <v xml:space="preserve"> </v>
      </c>
      <c r="M2239" s="28" t="str">
        <f>IF(C2239=""," ",[1]!s_mq_pctchange($C2239,$N$1))</f>
        <v xml:space="preserve"> </v>
      </c>
      <c r="N2239" s="28" t="str">
        <f>IF(C2239=""," ",[1]!s_yq_pctchange($C2239,$N$1))</f>
        <v xml:space="preserve"> </v>
      </c>
      <c r="O2239" s="11"/>
      <c r="P2239" s="7"/>
    </row>
    <row r="2240" spans="1:16" x14ac:dyDescent="0.35">
      <c r="A2240" s="7"/>
      <c r="C2240" s="31" t="str">
        <f>IF(指数列表!B2237="","",指数列表!B2237)</f>
        <v/>
      </c>
      <c r="D2240" s="36" t="str">
        <f>IF(C2240="","",[1]!s_info_name(C2240))</f>
        <v/>
      </c>
      <c r="E2240" s="25" t="str">
        <f>IF(C2240="","",[1]!s_dq_close(C2240,$N$1))</f>
        <v/>
      </c>
      <c r="F2240" s="28" t="str">
        <f>IF($C2240=""," ",[1]!i_pq_pctchange($C2240,F$6,$N$1))</f>
        <v xml:space="preserve"> </v>
      </c>
      <c r="G2240" s="28" t="str">
        <f>IF($C2240=""," ",[1]!i_pq_pctchange($C2240,G$6,$N$1))</f>
        <v xml:space="preserve"> </v>
      </c>
      <c r="H2240" s="28" t="str">
        <f>IF($C2240=""," ",[1]!i_pq_pctchange($C2240,H$6,$N$1))</f>
        <v xml:space="preserve"> </v>
      </c>
      <c r="I2240" s="28" t="str">
        <f>IF($C2240=""," ",[1]!i_pq_pctchange($C2240,I$6,$N$1))</f>
        <v xml:space="preserve"> </v>
      </c>
      <c r="J2240" s="28" t="str">
        <f>IF($C2240=""," ",[1]!i_pq_pctchange($C2240,J$6,$N$1))</f>
        <v xml:space="preserve"> </v>
      </c>
      <c r="K2240" s="28" t="str">
        <f>IF($C2240=""," ",[1]!i_pq_pctchange($C2240,K$6,$N$1))</f>
        <v xml:space="preserve"> </v>
      </c>
      <c r="L2240" s="28" t="str">
        <f>IF(C2240=""," ",[1]!s_wq_pctchange($C2240,$N$1))</f>
        <v xml:space="preserve"> </v>
      </c>
      <c r="M2240" s="28" t="str">
        <f>IF(C2240=""," ",[1]!s_mq_pctchange($C2240,$N$1))</f>
        <v xml:space="preserve"> </v>
      </c>
      <c r="N2240" s="28" t="str">
        <f>IF(C2240=""," ",[1]!s_yq_pctchange($C2240,$N$1))</f>
        <v xml:space="preserve"> </v>
      </c>
      <c r="O2240" s="11"/>
      <c r="P2240" s="7"/>
    </row>
    <row r="2241" spans="1:16" x14ac:dyDescent="0.35">
      <c r="A2241" s="7"/>
      <c r="C2241" s="30" t="str">
        <f>IF(指数列表!B2238="","",指数列表!B2238)</f>
        <v/>
      </c>
      <c r="D2241" s="35" t="str">
        <f>IF(C2241="","",[1]!s_info_name(C2241))</f>
        <v/>
      </c>
      <c r="E2241" s="24" t="str">
        <f>IF(C2241="","",[1]!s_dq_close(C2241,$N$1))</f>
        <v/>
      </c>
      <c r="F2241" s="28" t="str">
        <f>IF($C2241=""," ",[1]!i_pq_pctchange($C2241,F$6,$N$1))</f>
        <v xml:space="preserve"> </v>
      </c>
      <c r="G2241" s="28" t="str">
        <f>IF($C2241=""," ",[1]!i_pq_pctchange($C2241,G$6,$N$1))</f>
        <v xml:space="preserve"> </v>
      </c>
      <c r="H2241" s="28" t="str">
        <f>IF($C2241=""," ",[1]!i_pq_pctchange($C2241,H$6,$N$1))</f>
        <v xml:space="preserve"> </v>
      </c>
      <c r="I2241" s="28" t="str">
        <f>IF($C2241=""," ",[1]!i_pq_pctchange($C2241,I$6,$N$1))</f>
        <v xml:space="preserve"> </v>
      </c>
      <c r="J2241" s="28" t="str">
        <f>IF($C2241=""," ",[1]!i_pq_pctchange($C2241,J$6,$N$1))</f>
        <v xml:space="preserve"> </v>
      </c>
      <c r="K2241" s="28" t="str">
        <f>IF($C2241=""," ",[1]!i_pq_pctchange($C2241,K$6,$N$1))</f>
        <v xml:space="preserve"> </v>
      </c>
      <c r="L2241" s="28" t="str">
        <f>IF(C2241=""," ",[1]!s_wq_pctchange($C2241,$N$1))</f>
        <v xml:space="preserve"> </v>
      </c>
      <c r="M2241" s="28" t="str">
        <f>IF(C2241=""," ",[1]!s_mq_pctchange($C2241,$N$1))</f>
        <v xml:space="preserve"> </v>
      </c>
      <c r="N2241" s="28" t="str">
        <f>IF(C2241=""," ",[1]!s_yq_pctchange($C2241,$N$1))</f>
        <v xml:space="preserve"> </v>
      </c>
      <c r="O2241" s="11"/>
      <c r="P2241" s="7"/>
    </row>
    <row r="2242" spans="1:16" x14ac:dyDescent="0.35">
      <c r="A2242" s="7"/>
      <c r="C2242" s="31" t="str">
        <f>IF(指数列表!B2239="","",指数列表!B2239)</f>
        <v/>
      </c>
      <c r="D2242" s="36" t="str">
        <f>IF(C2242="","",[1]!s_info_name(C2242))</f>
        <v/>
      </c>
      <c r="E2242" s="25" t="str">
        <f>IF(C2242="","",[1]!s_dq_close(C2242,$N$1))</f>
        <v/>
      </c>
      <c r="F2242" s="28" t="str">
        <f>IF($C2242=""," ",[1]!i_pq_pctchange($C2242,F$6,$N$1))</f>
        <v xml:space="preserve"> </v>
      </c>
      <c r="G2242" s="28" t="str">
        <f>IF($C2242=""," ",[1]!i_pq_pctchange($C2242,G$6,$N$1))</f>
        <v xml:space="preserve"> </v>
      </c>
      <c r="H2242" s="28" t="str">
        <f>IF($C2242=""," ",[1]!i_pq_pctchange($C2242,H$6,$N$1))</f>
        <v xml:space="preserve"> </v>
      </c>
      <c r="I2242" s="28" t="str">
        <f>IF($C2242=""," ",[1]!i_pq_pctchange($C2242,I$6,$N$1))</f>
        <v xml:space="preserve"> </v>
      </c>
      <c r="J2242" s="28" t="str">
        <f>IF($C2242=""," ",[1]!i_pq_pctchange($C2242,J$6,$N$1))</f>
        <v xml:space="preserve"> </v>
      </c>
      <c r="K2242" s="28" t="str">
        <f>IF($C2242=""," ",[1]!i_pq_pctchange($C2242,K$6,$N$1))</f>
        <v xml:space="preserve"> </v>
      </c>
      <c r="L2242" s="28" t="str">
        <f>IF(C2242=""," ",[1]!s_wq_pctchange($C2242,$N$1))</f>
        <v xml:space="preserve"> </v>
      </c>
      <c r="M2242" s="28" t="str">
        <f>IF(C2242=""," ",[1]!s_mq_pctchange($C2242,$N$1))</f>
        <v xml:space="preserve"> </v>
      </c>
      <c r="N2242" s="28" t="str">
        <f>IF(C2242=""," ",[1]!s_yq_pctchange($C2242,$N$1))</f>
        <v xml:space="preserve"> </v>
      </c>
      <c r="O2242" s="11"/>
      <c r="P2242" s="7"/>
    </row>
    <row r="2243" spans="1:16" x14ac:dyDescent="0.35">
      <c r="A2243" s="7"/>
      <c r="C2243" s="30" t="str">
        <f>IF(指数列表!B2240="","",指数列表!B2240)</f>
        <v/>
      </c>
      <c r="D2243" s="35" t="str">
        <f>IF(C2243="","",[1]!s_info_name(C2243))</f>
        <v/>
      </c>
      <c r="E2243" s="24" t="str">
        <f>IF(C2243="","",[1]!s_dq_close(C2243,$N$1))</f>
        <v/>
      </c>
      <c r="F2243" s="28" t="str">
        <f>IF($C2243=""," ",[1]!i_pq_pctchange($C2243,F$6,$N$1))</f>
        <v xml:space="preserve"> </v>
      </c>
      <c r="G2243" s="28" t="str">
        <f>IF($C2243=""," ",[1]!i_pq_pctchange($C2243,G$6,$N$1))</f>
        <v xml:space="preserve"> </v>
      </c>
      <c r="H2243" s="28" t="str">
        <f>IF($C2243=""," ",[1]!i_pq_pctchange($C2243,H$6,$N$1))</f>
        <v xml:space="preserve"> </v>
      </c>
      <c r="I2243" s="28" t="str">
        <f>IF($C2243=""," ",[1]!i_pq_pctchange($C2243,I$6,$N$1))</f>
        <v xml:space="preserve"> </v>
      </c>
      <c r="J2243" s="28" t="str">
        <f>IF($C2243=""," ",[1]!i_pq_pctchange($C2243,J$6,$N$1))</f>
        <v xml:space="preserve"> </v>
      </c>
      <c r="K2243" s="28" t="str">
        <f>IF($C2243=""," ",[1]!i_pq_pctchange($C2243,K$6,$N$1))</f>
        <v xml:space="preserve"> </v>
      </c>
      <c r="L2243" s="28" t="str">
        <f>IF(C2243=""," ",[1]!s_wq_pctchange($C2243,$N$1))</f>
        <v xml:space="preserve"> </v>
      </c>
      <c r="M2243" s="28" t="str">
        <f>IF(C2243=""," ",[1]!s_mq_pctchange($C2243,$N$1))</f>
        <v xml:space="preserve"> </v>
      </c>
      <c r="N2243" s="28" t="str">
        <f>IF(C2243=""," ",[1]!s_yq_pctchange($C2243,$N$1))</f>
        <v xml:space="preserve"> </v>
      </c>
      <c r="O2243" s="11"/>
      <c r="P2243" s="7"/>
    </row>
    <row r="2244" spans="1:16" x14ac:dyDescent="0.35">
      <c r="A2244" s="7"/>
      <c r="C2244" s="31" t="str">
        <f>IF(指数列表!B2241="","",指数列表!B2241)</f>
        <v/>
      </c>
      <c r="D2244" s="36" t="str">
        <f>IF(C2244="","",[1]!s_info_name(C2244))</f>
        <v/>
      </c>
      <c r="E2244" s="25" t="str">
        <f>IF(C2244="","",[1]!s_dq_close(C2244,$N$1))</f>
        <v/>
      </c>
      <c r="F2244" s="28" t="str">
        <f>IF($C2244=""," ",[1]!i_pq_pctchange($C2244,F$6,$N$1))</f>
        <v xml:space="preserve"> </v>
      </c>
      <c r="G2244" s="28" t="str">
        <f>IF($C2244=""," ",[1]!i_pq_pctchange($C2244,G$6,$N$1))</f>
        <v xml:space="preserve"> </v>
      </c>
      <c r="H2244" s="28" t="str">
        <f>IF($C2244=""," ",[1]!i_pq_pctchange($C2244,H$6,$N$1))</f>
        <v xml:space="preserve"> </v>
      </c>
      <c r="I2244" s="28" t="str">
        <f>IF($C2244=""," ",[1]!i_pq_pctchange($C2244,I$6,$N$1))</f>
        <v xml:space="preserve"> </v>
      </c>
      <c r="J2244" s="28" t="str">
        <f>IF($C2244=""," ",[1]!i_pq_pctchange($C2244,J$6,$N$1))</f>
        <v xml:space="preserve"> </v>
      </c>
      <c r="K2244" s="28" t="str">
        <f>IF($C2244=""," ",[1]!i_pq_pctchange($C2244,K$6,$N$1))</f>
        <v xml:space="preserve"> </v>
      </c>
      <c r="L2244" s="28" t="str">
        <f>IF(C2244=""," ",[1]!s_wq_pctchange($C2244,$N$1))</f>
        <v xml:space="preserve"> </v>
      </c>
      <c r="M2244" s="28" t="str">
        <f>IF(C2244=""," ",[1]!s_mq_pctchange($C2244,$N$1))</f>
        <v xml:space="preserve"> </v>
      </c>
      <c r="N2244" s="28" t="str">
        <f>IF(C2244=""," ",[1]!s_yq_pctchange($C2244,$N$1))</f>
        <v xml:space="preserve"> </v>
      </c>
      <c r="O2244" s="11"/>
      <c r="P2244" s="7"/>
    </row>
    <row r="2245" spans="1:16" x14ac:dyDescent="0.35">
      <c r="A2245" s="7"/>
      <c r="C2245" s="30" t="str">
        <f>IF(指数列表!B2242="","",指数列表!B2242)</f>
        <v/>
      </c>
      <c r="D2245" s="35" t="str">
        <f>IF(C2245="","",[1]!s_info_name(C2245))</f>
        <v/>
      </c>
      <c r="E2245" s="24" t="str">
        <f>IF(C2245="","",[1]!s_dq_close(C2245,$N$1))</f>
        <v/>
      </c>
      <c r="F2245" s="28" t="str">
        <f>IF($C2245=""," ",[1]!i_pq_pctchange($C2245,F$6,$N$1))</f>
        <v xml:space="preserve"> </v>
      </c>
      <c r="G2245" s="28" t="str">
        <f>IF($C2245=""," ",[1]!i_pq_pctchange($C2245,G$6,$N$1))</f>
        <v xml:space="preserve"> </v>
      </c>
      <c r="H2245" s="28" t="str">
        <f>IF($C2245=""," ",[1]!i_pq_pctchange($C2245,H$6,$N$1))</f>
        <v xml:space="preserve"> </v>
      </c>
      <c r="I2245" s="28" t="str">
        <f>IF($C2245=""," ",[1]!i_pq_pctchange($C2245,I$6,$N$1))</f>
        <v xml:space="preserve"> </v>
      </c>
      <c r="J2245" s="28" t="str">
        <f>IF($C2245=""," ",[1]!i_pq_pctchange($C2245,J$6,$N$1))</f>
        <v xml:space="preserve"> </v>
      </c>
      <c r="K2245" s="28" t="str">
        <f>IF($C2245=""," ",[1]!i_pq_pctchange($C2245,K$6,$N$1))</f>
        <v xml:space="preserve"> </v>
      </c>
      <c r="L2245" s="28" t="str">
        <f>IF(C2245=""," ",[1]!s_wq_pctchange($C2245,$N$1))</f>
        <v xml:space="preserve"> </v>
      </c>
      <c r="M2245" s="28" t="str">
        <f>IF(C2245=""," ",[1]!s_mq_pctchange($C2245,$N$1))</f>
        <v xml:space="preserve"> </v>
      </c>
      <c r="N2245" s="28" t="str">
        <f>IF(C2245=""," ",[1]!s_yq_pctchange($C2245,$N$1))</f>
        <v xml:space="preserve"> </v>
      </c>
      <c r="O2245" s="11"/>
      <c r="P2245" s="7"/>
    </row>
    <row r="2246" spans="1:16" x14ac:dyDescent="0.35">
      <c r="A2246" s="7"/>
      <c r="C2246" s="31" t="str">
        <f>IF(指数列表!B2243="","",指数列表!B2243)</f>
        <v/>
      </c>
      <c r="D2246" s="36" t="str">
        <f>IF(C2246="","",[1]!s_info_name(C2246))</f>
        <v/>
      </c>
      <c r="E2246" s="25" t="str">
        <f>IF(C2246="","",[1]!s_dq_close(C2246,$N$1))</f>
        <v/>
      </c>
      <c r="F2246" s="28" t="str">
        <f>IF($C2246=""," ",[1]!i_pq_pctchange($C2246,F$6,$N$1))</f>
        <v xml:space="preserve"> </v>
      </c>
      <c r="G2246" s="28" t="str">
        <f>IF($C2246=""," ",[1]!i_pq_pctchange($C2246,G$6,$N$1))</f>
        <v xml:space="preserve"> </v>
      </c>
      <c r="H2246" s="28" t="str">
        <f>IF($C2246=""," ",[1]!i_pq_pctchange($C2246,H$6,$N$1))</f>
        <v xml:space="preserve"> </v>
      </c>
      <c r="I2246" s="28" t="str">
        <f>IF($C2246=""," ",[1]!i_pq_pctchange($C2246,I$6,$N$1))</f>
        <v xml:space="preserve"> </v>
      </c>
      <c r="J2246" s="28" t="str">
        <f>IF($C2246=""," ",[1]!i_pq_pctchange($C2246,J$6,$N$1))</f>
        <v xml:space="preserve"> </v>
      </c>
      <c r="K2246" s="28" t="str">
        <f>IF($C2246=""," ",[1]!i_pq_pctchange($C2246,K$6,$N$1))</f>
        <v xml:space="preserve"> </v>
      </c>
      <c r="L2246" s="28" t="str">
        <f>IF(C2246=""," ",[1]!s_wq_pctchange($C2246,$N$1))</f>
        <v xml:space="preserve"> </v>
      </c>
      <c r="M2246" s="28" t="str">
        <f>IF(C2246=""," ",[1]!s_mq_pctchange($C2246,$N$1))</f>
        <v xml:space="preserve"> </v>
      </c>
      <c r="N2246" s="28" t="str">
        <f>IF(C2246=""," ",[1]!s_yq_pctchange($C2246,$N$1))</f>
        <v xml:space="preserve"> </v>
      </c>
      <c r="O2246" s="11"/>
      <c r="P2246" s="7"/>
    </row>
    <row r="2247" spans="1:16" x14ac:dyDescent="0.35">
      <c r="A2247" s="7"/>
      <c r="C2247" s="30" t="str">
        <f>IF(指数列表!B2244="","",指数列表!B2244)</f>
        <v/>
      </c>
      <c r="D2247" s="35" t="str">
        <f>IF(C2247="","",[1]!s_info_name(C2247))</f>
        <v/>
      </c>
      <c r="E2247" s="24" t="str">
        <f>IF(C2247="","",[1]!s_dq_close(C2247,$N$1))</f>
        <v/>
      </c>
      <c r="F2247" s="28" t="str">
        <f>IF($C2247=""," ",[1]!i_pq_pctchange($C2247,F$6,$N$1))</f>
        <v xml:space="preserve"> </v>
      </c>
      <c r="G2247" s="28" t="str">
        <f>IF($C2247=""," ",[1]!i_pq_pctchange($C2247,G$6,$N$1))</f>
        <v xml:space="preserve"> </v>
      </c>
      <c r="H2247" s="28" t="str">
        <f>IF($C2247=""," ",[1]!i_pq_pctchange($C2247,H$6,$N$1))</f>
        <v xml:space="preserve"> </v>
      </c>
      <c r="I2247" s="28" t="str">
        <f>IF($C2247=""," ",[1]!i_pq_pctchange($C2247,I$6,$N$1))</f>
        <v xml:space="preserve"> </v>
      </c>
      <c r="J2247" s="28" t="str">
        <f>IF($C2247=""," ",[1]!i_pq_pctchange($C2247,J$6,$N$1))</f>
        <v xml:space="preserve"> </v>
      </c>
      <c r="K2247" s="28" t="str">
        <f>IF($C2247=""," ",[1]!i_pq_pctchange($C2247,K$6,$N$1))</f>
        <v xml:space="preserve"> </v>
      </c>
      <c r="L2247" s="28" t="str">
        <f>IF(C2247=""," ",[1]!s_wq_pctchange($C2247,$N$1))</f>
        <v xml:space="preserve"> </v>
      </c>
      <c r="M2247" s="28" t="str">
        <f>IF(C2247=""," ",[1]!s_mq_pctchange($C2247,$N$1))</f>
        <v xml:space="preserve"> </v>
      </c>
      <c r="N2247" s="28" t="str">
        <f>IF(C2247=""," ",[1]!s_yq_pctchange($C2247,$N$1))</f>
        <v xml:space="preserve"> </v>
      </c>
      <c r="O2247" s="11"/>
      <c r="P2247" s="7"/>
    </row>
    <row r="2248" spans="1:16" x14ac:dyDescent="0.35">
      <c r="A2248" s="7"/>
      <c r="C2248" s="31" t="str">
        <f>IF(指数列表!B2245="","",指数列表!B2245)</f>
        <v/>
      </c>
      <c r="D2248" s="36" t="str">
        <f>IF(C2248="","",[1]!s_info_name(C2248))</f>
        <v/>
      </c>
      <c r="E2248" s="25" t="str">
        <f>IF(C2248="","",[1]!s_dq_close(C2248,$N$1))</f>
        <v/>
      </c>
      <c r="F2248" s="28" t="str">
        <f>IF($C2248=""," ",[1]!i_pq_pctchange($C2248,F$6,$N$1))</f>
        <v xml:space="preserve"> </v>
      </c>
      <c r="G2248" s="28" t="str">
        <f>IF($C2248=""," ",[1]!i_pq_pctchange($C2248,G$6,$N$1))</f>
        <v xml:space="preserve"> </v>
      </c>
      <c r="H2248" s="28" t="str">
        <f>IF($C2248=""," ",[1]!i_pq_pctchange($C2248,H$6,$N$1))</f>
        <v xml:space="preserve"> </v>
      </c>
      <c r="I2248" s="28" t="str">
        <f>IF($C2248=""," ",[1]!i_pq_pctchange($C2248,I$6,$N$1))</f>
        <v xml:space="preserve"> </v>
      </c>
      <c r="J2248" s="28" t="str">
        <f>IF($C2248=""," ",[1]!i_pq_pctchange($C2248,J$6,$N$1))</f>
        <v xml:space="preserve"> </v>
      </c>
      <c r="K2248" s="28" t="str">
        <f>IF($C2248=""," ",[1]!i_pq_pctchange($C2248,K$6,$N$1))</f>
        <v xml:space="preserve"> </v>
      </c>
      <c r="L2248" s="28" t="str">
        <f>IF(C2248=""," ",[1]!s_wq_pctchange($C2248,$N$1))</f>
        <v xml:space="preserve"> </v>
      </c>
      <c r="M2248" s="28" t="str">
        <f>IF(C2248=""," ",[1]!s_mq_pctchange($C2248,$N$1))</f>
        <v xml:space="preserve"> </v>
      </c>
      <c r="N2248" s="28" t="str">
        <f>IF(C2248=""," ",[1]!s_yq_pctchange($C2248,$N$1))</f>
        <v xml:space="preserve"> </v>
      </c>
      <c r="O2248" s="11"/>
      <c r="P2248" s="7"/>
    </row>
    <row r="2249" spans="1:16" x14ac:dyDescent="0.35">
      <c r="A2249" s="7"/>
      <c r="C2249" s="30" t="str">
        <f>IF(指数列表!B2246="","",指数列表!B2246)</f>
        <v/>
      </c>
      <c r="D2249" s="35" t="str">
        <f>IF(C2249="","",[1]!s_info_name(C2249))</f>
        <v/>
      </c>
      <c r="E2249" s="24" t="str">
        <f>IF(C2249="","",[1]!s_dq_close(C2249,$N$1))</f>
        <v/>
      </c>
      <c r="F2249" s="28" t="str">
        <f>IF($C2249=""," ",[1]!i_pq_pctchange($C2249,F$6,$N$1))</f>
        <v xml:space="preserve"> </v>
      </c>
      <c r="G2249" s="28" t="str">
        <f>IF($C2249=""," ",[1]!i_pq_pctchange($C2249,G$6,$N$1))</f>
        <v xml:space="preserve"> </v>
      </c>
      <c r="H2249" s="28" t="str">
        <f>IF($C2249=""," ",[1]!i_pq_pctchange($C2249,H$6,$N$1))</f>
        <v xml:space="preserve"> </v>
      </c>
      <c r="I2249" s="28" t="str">
        <f>IF($C2249=""," ",[1]!i_pq_pctchange($C2249,I$6,$N$1))</f>
        <v xml:space="preserve"> </v>
      </c>
      <c r="J2249" s="28" t="str">
        <f>IF($C2249=""," ",[1]!i_pq_pctchange($C2249,J$6,$N$1))</f>
        <v xml:space="preserve"> </v>
      </c>
      <c r="K2249" s="28" t="str">
        <f>IF($C2249=""," ",[1]!i_pq_pctchange($C2249,K$6,$N$1))</f>
        <v xml:space="preserve"> </v>
      </c>
      <c r="L2249" s="28" t="str">
        <f>IF(C2249=""," ",[1]!s_wq_pctchange($C2249,$N$1))</f>
        <v xml:space="preserve"> </v>
      </c>
      <c r="M2249" s="28" t="str">
        <f>IF(C2249=""," ",[1]!s_mq_pctchange($C2249,$N$1))</f>
        <v xml:space="preserve"> </v>
      </c>
      <c r="N2249" s="28" t="str">
        <f>IF(C2249=""," ",[1]!s_yq_pctchange($C2249,$N$1))</f>
        <v xml:space="preserve"> </v>
      </c>
      <c r="O2249" s="11"/>
      <c r="P2249" s="7"/>
    </row>
    <row r="2250" spans="1:16" x14ac:dyDescent="0.35">
      <c r="A2250" s="7"/>
      <c r="C2250" s="31" t="str">
        <f>IF(指数列表!B2247="","",指数列表!B2247)</f>
        <v/>
      </c>
      <c r="D2250" s="36" t="str">
        <f>IF(C2250="","",[1]!s_info_name(C2250))</f>
        <v/>
      </c>
      <c r="E2250" s="25" t="str">
        <f>IF(C2250="","",[1]!s_dq_close(C2250,$N$1))</f>
        <v/>
      </c>
      <c r="F2250" s="28" t="str">
        <f>IF($C2250=""," ",[1]!i_pq_pctchange($C2250,F$6,$N$1))</f>
        <v xml:space="preserve"> </v>
      </c>
      <c r="G2250" s="28" t="str">
        <f>IF($C2250=""," ",[1]!i_pq_pctchange($C2250,G$6,$N$1))</f>
        <v xml:space="preserve"> </v>
      </c>
      <c r="H2250" s="28" t="str">
        <f>IF($C2250=""," ",[1]!i_pq_pctchange($C2250,H$6,$N$1))</f>
        <v xml:space="preserve"> </v>
      </c>
      <c r="I2250" s="28" t="str">
        <f>IF($C2250=""," ",[1]!i_pq_pctchange($C2250,I$6,$N$1))</f>
        <v xml:space="preserve"> </v>
      </c>
      <c r="J2250" s="28" t="str">
        <f>IF($C2250=""," ",[1]!i_pq_pctchange($C2250,J$6,$N$1))</f>
        <v xml:space="preserve"> </v>
      </c>
      <c r="K2250" s="28" t="str">
        <f>IF($C2250=""," ",[1]!i_pq_pctchange($C2250,K$6,$N$1))</f>
        <v xml:space="preserve"> </v>
      </c>
      <c r="L2250" s="28" t="str">
        <f>IF(C2250=""," ",[1]!s_wq_pctchange($C2250,$N$1))</f>
        <v xml:space="preserve"> </v>
      </c>
      <c r="M2250" s="28" t="str">
        <f>IF(C2250=""," ",[1]!s_mq_pctchange($C2250,$N$1))</f>
        <v xml:space="preserve"> </v>
      </c>
      <c r="N2250" s="28" t="str">
        <f>IF(C2250=""," ",[1]!s_yq_pctchange($C2250,$N$1))</f>
        <v xml:space="preserve"> </v>
      </c>
      <c r="O2250" s="11"/>
      <c r="P2250" s="7"/>
    </row>
    <row r="2251" spans="1:16" x14ac:dyDescent="0.35">
      <c r="A2251" s="7"/>
      <c r="C2251" s="30" t="str">
        <f>IF(指数列表!B2248="","",指数列表!B2248)</f>
        <v/>
      </c>
      <c r="D2251" s="35" t="str">
        <f>IF(C2251="","",[1]!s_info_name(C2251))</f>
        <v/>
      </c>
      <c r="E2251" s="24" t="str">
        <f>IF(C2251="","",[1]!s_dq_close(C2251,$N$1))</f>
        <v/>
      </c>
      <c r="F2251" s="28" t="str">
        <f>IF($C2251=""," ",[1]!i_pq_pctchange($C2251,F$6,$N$1))</f>
        <v xml:space="preserve"> </v>
      </c>
      <c r="G2251" s="28" t="str">
        <f>IF($C2251=""," ",[1]!i_pq_pctchange($C2251,G$6,$N$1))</f>
        <v xml:space="preserve"> </v>
      </c>
      <c r="H2251" s="28" t="str">
        <f>IF($C2251=""," ",[1]!i_pq_pctchange($C2251,H$6,$N$1))</f>
        <v xml:space="preserve"> </v>
      </c>
      <c r="I2251" s="28" t="str">
        <f>IF($C2251=""," ",[1]!i_pq_pctchange($C2251,I$6,$N$1))</f>
        <v xml:space="preserve"> </v>
      </c>
      <c r="J2251" s="28" t="str">
        <f>IF($C2251=""," ",[1]!i_pq_pctchange($C2251,J$6,$N$1))</f>
        <v xml:space="preserve"> </v>
      </c>
      <c r="K2251" s="28" t="str">
        <f>IF($C2251=""," ",[1]!i_pq_pctchange($C2251,K$6,$N$1))</f>
        <v xml:space="preserve"> </v>
      </c>
      <c r="L2251" s="28" t="str">
        <f>IF(C2251=""," ",[1]!s_wq_pctchange($C2251,$N$1))</f>
        <v xml:space="preserve"> </v>
      </c>
      <c r="M2251" s="28" t="str">
        <f>IF(C2251=""," ",[1]!s_mq_pctchange($C2251,$N$1))</f>
        <v xml:space="preserve"> </v>
      </c>
      <c r="N2251" s="28" t="str">
        <f>IF(C2251=""," ",[1]!s_yq_pctchange($C2251,$N$1))</f>
        <v xml:space="preserve"> </v>
      </c>
      <c r="O2251" s="11"/>
      <c r="P2251" s="7"/>
    </row>
    <row r="2252" spans="1:16" x14ac:dyDescent="0.35">
      <c r="A2252" s="7"/>
      <c r="C2252" s="31" t="str">
        <f>IF(指数列表!B2249="","",指数列表!B2249)</f>
        <v/>
      </c>
      <c r="D2252" s="36" t="str">
        <f>IF(C2252="","",[1]!s_info_name(C2252))</f>
        <v/>
      </c>
      <c r="E2252" s="25" t="str">
        <f>IF(C2252="","",[1]!s_dq_close(C2252,$N$1))</f>
        <v/>
      </c>
      <c r="F2252" s="28" t="str">
        <f>IF($C2252=""," ",[1]!i_pq_pctchange($C2252,F$6,$N$1))</f>
        <v xml:space="preserve"> </v>
      </c>
      <c r="G2252" s="28" t="str">
        <f>IF($C2252=""," ",[1]!i_pq_pctchange($C2252,G$6,$N$1))</f>
        <v xml:space="preserve"> </v>
      </c>
      <c r="H2252" s="28" t="str">
        <f>IF($C2252=""," ",[1]!i_pq_pctchange($C2252,H$6,$N$1))</f>
        <v xml:space="preserve"> </v>
      </c>
      <c r="I2252" s="28" t="str">
        <f>IF($C2252=""," ",[1]!i_pq_pctchange($C2252,I$6,$N$1))</f>
        <v xml:space="preserve"> </v>
      </c>
      <c r="J2252" s="28" t="str">
        <f>IF($C2252=""," ",[1]!i_pq_pctchange($C2252,J$6,$N$1))</f>
        <v xml:space="preserve"> </v>
      </c>
      <c r="K2252" s="28" t="str">
        <f>IF($C2252=""," ",[1]!i_pq_pctchange($C2252,K$6,$N$1))</f>
        <v xml:space="preserve"> </v>
      </c>
      <c r="L2252" s="28" t="str">
        <f>IF(C2252=""," ",[1]!s_wq_pctchange($C2252,$N$1))</f>
        <v xml:space="preserve"> </v>
      </c>
      <c r="M2252" s="28" t="str">
        <f>IF(C2252=""," ",[1]!s_mq_pctchange($C2252,$N$1))</f>
        <v xml:space="preserve"> </v>
      </c>
      <c r="N2252" s="28" t="str">
        <f>IF(C2252=""," ",[1]!s_yq_pctchange($C2252,$N$1))</f>
        <v xml:space="preserve"> </v>
      </c>
      <c r="O2252" s="11"/>
      <c r="P2252" s="7"/>
    </row>
    <row r="2253" spans="1:16" x14ac:dyDescent="0.35">
      <c r="A2253" s="7"/>
      <c r="C2253" s="30" t="str">
        <f>IF(指数列表!B2250="","",指数列表!B2250)</f>
        <v/>
      </c>
      <c r="D2253" s="35" t="str">
        <f>IF(C2253="","",[1]!s_info_name(C2253))</f>
        <v/>
      </c>
      <c r="E2253" s="24" t="str">
        <f>IF(C2253="","",[1]!s_dq_close(C2253,$N$1))</f>
        <v/>
      </c>
      <c r="F2253" s="28" t="str">
        <f>IF($C2253=""," ",[1]!i_pq_pctchange($C2253,F$6,$N$1))</f>
        <v xml:space="preserve"> </v>
      </c>
      <c r="G2253" s="28" t="str">
        <f>IF($C2253=""," ",[1]!i_pq_pctchange($C2253,G$6,$N$1))</f>
        <v xml:space="preserve"> </v>
      </c>
      <c r="H2253" s="28" t="str">
        <f>IF($C2253=""," ",[1]!i_pq_pctchange($C2253,H$6,$N$1))</f>
        <v xml:space="preserve"> </v>
      </c>
      <c r="I2253" s="28" t="str">
        <f>IF($C2253=""," ",[1]!i_pq_pctchange($C2253,I$6,$N$1))</f>
        <v xml:space="preserve"> </v>
      </c>
      <c r="J2253" s="28" t="str">
        <f>IF($C2253=""," ",[1]!i_pq_pctchange($C2253,J$6,$N$1))</f>
        <v xml:space="preserve"> </v>
      </c>
      <c r="K2253" s="28" t="str">
        <f>IF($C2253=""," ",[1]!i_pq_pctchange($C2253,K$6,$N$1))</f>
        <v xml:space="preserve"> </v>
      </c>
      <c r="L2253" s="28" t="str">
        <f>IF(C2253=""," ",[1]!s_wq_pctchange($C2253,$N$1))</f>
        <v xml:space="preserve"> </v>
      </c>
      <c r="M2253" s="28" t="str">
        <f>IF(C2253=""," ",[1]!s_mq_pctchange($C2253,$N$1))</f>
        <v xml:space="preserve"> </v>
      </c>
      <c r="N2253" s="28" t="str">
        <f>IF(C2253=""," ",[1]!s_yq_pctchange($C2253,$N$1))</f>
        <v xml:space="preserve"> </v>
      </c>
      <c r="O2253" s="11"/>
      <c r="P2253" s="7"/>
    </row>
    <row r="2254" spans="1:16" x14ac:dyDescent="0.35">
      <c r="A2254" s="7"/>
      <c r="C2254" s="31" t="str">
        <f>IF(指数列表!B2251="","",指数列表!B2251)</f>
        <v/>
      </c>
      <c r="D2254" s="36" t="str">
        <f>IF(C2254="","",[1]!s_info_name(C2254))</f>
        <v/>
      </c>
      <c r="E2254" s="25" t="str">
        <f>IF(C2254="","",[1]!s_dq_close(C2254,$N$1))</f>
        <v/>
      </c>
      <c r="F2254" s="28" t="str">
        <f>IF($C2254=""," ",[1]!i_pq_pctchange($C2254,F$6,$N$1))</f>
        <v xml:space="preserve"> </v>
      </c>
      <c r="G2254" s="28" t="str">
        <f>IF($C2254=""," ",[1]!i_pq_pctchange($C2254,G$6,$N$1))</f>
        <v xml:space="preserve"> </v>
      </c>
      <c r="H2254" s="28" t="str">
        <f>IF($C2254=""," ",[1]!i_pq_pctchange($C2254,H$6,$N$1))</f>
        <v xml:space="preserve"> </v>
      </c>
      <c r="I2254" s="28" t="str">
        <f>IF($C2254=""," ",[1]!i_pq_pctchange($C2254,I$6,$N$1))</f>
        <v xml:space="preserve"> </v>
      </c>
      <c r="J2254" s="28" t="str">
        <f>IF($C2254=""," ",[1]!i_pq_pctchange($C2254,J$6,$N$1))</f>
        <v xml:space="preserve"> </v>
      </c>
      <c r="K2254" s="28" t="str">
        <f>IF($C2254=""," ",[1]!i_pq_pctchange($C2254,K$6,$N$1))</f>
        <v xml:space="preserve"> </v>
      </c>
      <c r="L2254" s="28" t="str">
        <f>IF(C2254=""," ",[1]!s_wq_pctchange($C2254,$N$1))</f>
        <v xml:space="preserve"> </v>
      </c>
      <c r="M2254" s="28" t="str">
        <f>IF(C2254=""," ",[1]!s_mq_pctchange($C2254,$N$1))</f>
        <v xml:space="preserve"> </v>
      </c>
      <c r="N2254" s="28" t="str">
        <f>IF(C2254=""," ",[1]!s_yq_pctchange($C2254,$N$1))</f>
        <v xml:space="preserve"> </v>
      </c>
      <c r="O2254" s="11"/>
      <c r="P2254" s="7"/>
    </row>
    <row r="2255" spans="1:16" x14ac:dyDescent="0.35">
      <c r="A2255" s="7"/>
      <c r="C2255" s="30" t="str">
        <f>IF(指数列表!B2252="","",指数列表!B2252)</f>
        <v/>
      </c>
      <c r="D2255" s="35" t="str">
        <f>IF(C2255="","",[1]!s_info_name(C2255))</f>
        <v/>
      </c>
      <c r="E2255" s="24" t="str">
        <f>IF(C2255="","",[1]!s_dq_close(C2255,$N$1))</f>
        <v/>
      </c>
      <c r="F2255" s="28" t="str">
        <f>IF($C2255=""," ",[1]!i_pq_pctchange($C2255,F$6,$N$1))</f>
        <v xml:space="preserve"> </v>
      </c>
      <c r="G2255" s="28" t="str">
        <f>IF($C2255=""," ",[1]!i_pq_pctchange($C2255,G$6,$N$1))</f>
        <v xml:space="preserve"> </v>
      </c>
      <c r="H2255" s="28" t="str">
        <f>IF($C2255=""," ",[1]!i_pq_pctchange($C2255,H$6,$N$1))</f>
        <v xml:space="preserve"> </v>
      </c>
      <c r="I2255" s="28" t="str">
        <f>IF($C2255=""," ",[1]!i_pq_pctchange($C2255,I$6,$N$1))</f>
        <v xml:space="preserve"> </v>
      </c>
      <c r="J2255" s="28" t="str">
        <f>IF($C2255=""," ",[1]!i_pq_pctchange($C2255,J$6,$N$1))</f>
        <v xml:space="preserve"> </v>
      </c>
      <c r="K2255" s="28" t="str">
        <f>IF($C2255=""," ",[1]!i_pq_pctchange($C2255,K$6,$N$1))</f>
        <v xml:space="preserve"> </v>
      </c>
      <c r="L2255" s="28" t="str">
        <f>IF(C2255=""," ",[1]!s_wq_pctchange($C2255,$N$1))</f>
        <v xml:space="preserve"> </v>
      </c>
      <c r="M2255" s="28" t="str">
        <f>IF(C2255=""," ",[1]!s_mq_pctchange($C2255,$N$1))</f>
        <v xml:space="preserve"> </v>
      </c>
      <c r="N2255" s="28" t="str">
        <f>IF(C2255=""," ",[1]!s_yq_pctchange($C2255,$N$1))</f>
        <v xml:space="preserve"> </v>
      </c>
      <c r="O2255" s="11"/>
      <c r="P2255" s="7"/>
    </row>
    <row r="2256" spans="1:16" x14ac:dyDescent="0.35">
      <c r="A2256" s="7"/>
      <c r="C2256" s="31" t="str">
        <f>IF(指数列表!B2253="","",指数列表!B2253)</f>
        <v/>
      </c>
      <c r="D2256" s="36" t="str">
        <f>IF(C2256="","",[1]!s_info_name(C2256))</f>
        <v/>
      </c>
      <c r="E2256" s="25" t="str">
        <f>IF(C2256="","",[1]!s_dq_close(C2256,$N$1))</f>
        <v/>
      </c>
      <c r="F2256" s="28" t="str">
        <f>IF($C2256=""," ",[1]!i_pq_pctchange($C2256,F$6,$N$1))</f>
        <v xml:space="preserve"> </v>
      </c>
      <c r="G2256" s="28" t="str">
        <f>IF($C2256=""," ",[1]!i_pq_pctchange($C2256,G$6,$N$1))</f>
        <v xml:space="preserve"> </v>
      </c>
      <c r="H2256" s="28" t="str">
        <f>IF($C2256=""," ",[1]!i_pq_pctchange($C2256,H$6,$N$1))</f>
        <v xml:space="preserve"> </v>
      </c>
      <c r="I2256" s="28" t="str">
        <f>IF($C2256=""," ",[1]!i_pq_pctchange($C2256,I$6,$N$1))</f>
        <v xml:space="preserve"> </v>
      </c>
      <c r="J2256" s="28" t="str">
        <f>IF($C2256=""," ",[1]!i_pq_pctchange($C2256,J$6,$N$1))</f>
        <v xml:space="preserve"> </v>
      </c>
      <c r="K2256" s="28" t="str">
        <f>IF($C2256=""," ",[1]!i_pq_pctchange($C2256,K$6,$N$1))</f>
        <v xml:space="preserve"> </v>
      </c>
      <c r="L2256" s="28" t="str">
        <f>IF(C2256=""," ",[1]!s_wq_pctchange($C2256,$N$1))</f>
        <v xml:space="preserve"> </v>
      </c>
      <c r="M2256" s="28" t="str">
        <f>IF(C2256=""," ",[1]!s_mq_pctchange($C2256,$N$1))</f>
        <v xml:space="preserve"> </v>
      </c>
      <c r="N2256" s="28" t="str">
        <f>IF(C2256=""," ",[1]!s_yq_pctchange($C2256,$N$1))</f>
        <v xml:space="preserve"> </v>
      </c>
      <c r="O2256" s="11"/>
      <c r="P2256" s="7"/>
    </row>
    <row r="2257" spans="1:16" x14ac:dyDescent="0.35">
      <c r="A2257" s="7"/>
      <c r="C2257" s="30" t="str">
        <f>IF(指数列表!B2254="","",指数列表!B2254)</f>
        <v/>
      </c>
      <c r="D2257" s="35" t="str">
        <f>IF(C2257="","",[1]!s_info_name(C2257))</f>
        <v/>
      </c>
      <c r="E2257" s="24" t="str">
        <f>IF(C2257="","",[1]!s_dq_close(C2257,$N$1))</f>
        <v/>
      </c>
      <c r="F2257" s="28" t="str">
        <f>IF($C2257=""," ",[1]!i_pq_pctchange($C2257,F$6,$N$1))</f>
        <v xml:space="preserve"> </v>
      </c>
      <c r="G2257" s="28" t="str">
        <f>IF($C2257=""," ",[1]!i_pq_pctchange($C2257,G$6,$N$1))</f>
        <v xml:space="preserve"> </v>
      </c>
      <c r="H2257" s="28" t="str">
        <f>IF($C2257=""," ",[1]!i_pq_pctchange($C2257,H$6,$N$1))</f>
        <v xml:space="preserve"> </v>
      </c>
      <c r="I2257" s="28" t="str">
        <f>IF($C2257=""," ",[1]!i_pq_pctchange($C2257,I$6,$N$1))</f>
        <v xml:space="preserve"> </v>
      </c>
      <c r="J2257" s="28" t="str">
        <f>IF($C2257=""," ",[1]!i_pq_pctchange($C2257,J$6,$N$1))</f>
        <v xml:space="preserve"> </v>
      </c>
      <c r="K2257" s="28" t="str">
        <f>IF($C2257=""," ",[1]!i_pq_pctchange($C2257,K$6,$N$1))</f>
        <v xml:space="preserve"> </v>
      </c>
      <c r="L2257" s="28" t="str">
        <f>IF(C2257=""," ",[1]!s_wq_pctchange($C2257,$N$1))</f>
        <v xml:space="preserve"> </v>
      </c>
      <c r="M2257" s="28" t="str">
        <f>IF(C2257=""," ",[1]!s_mq_pctchange($C2257,$N$1))</f>
        <v xml:space="preserve"> </v>
      </c>
      <c r="N2257" s="28" t="str">
        <f>IF(C2257=""," ",[1]!s_yq_pctchange($C2257,$N$1))</f>
        <v xml:space="preserve"> </v>
      </c>
      <c r="O2257" s="11"/>
      <c r="P2257" s="7"/>
    </row>
    <row r="2258" spans="1:16" x14ac:dyDescent="0.35">
      <c r="A2258" s="7"/>
      <c r="C2258" s="31" t="str">
        <f>IF(指数列表!B2255="","",指数列表!B2255)</f>
        <v/>
      </c>
      <c r="D2258" s="36" t="str">
        <f>IF(C2258="","",[1]!s_info_name(C2258))</f>
        <v/>
      </c>
      <c r="E2258" s="25" t="str">
        <f>IF(C2258="","",[1]!s_dq_close(C2258,$N$1))</f>
        <v/>
      </c>
      <c r="F2258" s="28" t="str">
        <f>IF($C2258=""," ",[1]!i_pq_pctchange($C2258,F$6,$N$1))</f>
        <v xml:space="preserve"> </v>
      </c>
      <c r="G2258" s="28" t="str">
        <f>IF($C2258=""," ",[1]!i_pq_pctchange($C2258,G$6,$N$1))</f>
        <v xml:space="preserve"> </v>
      </c>
      <c r="H2258" s="28" t="str">
        <f>IF($C2258=""," ",[1]!i_pq_pctchange($C2258,H$6,$N$1))</f>
        <v xml:space="preserve"> </v>
      </c>
      <c r="I2258" s="28" t="str">
        <f>IF($C2258=""," ",[1]!i_pq_pctchange($C2258,I$6,$N$1))</f>
        <v xml:space="preserve"> </v>
      </c>
      <c r="J2258" s="28" t="str">
        <f>IF($C2258=""," ",[1]!i_pq_pctchange($C2258,J$6,$N$1))</f>
        <v xml:space="preserve"> </v>
      </c>
      <c r="K2258" s="28" t="str">
        <f>IF($C2258=""," ",[1]!i_pq_pctchange($C2258,K$6,$N$1))</f>
        <v xml:space="preserve"> </v>
      </c>
      <c r="L2258" s="28" t="str">
        <f>IF(C2258=""," ",[1]!s_wq_pctchange($C2258,$N$1))</f>
        <v xml:space="preserve"> </v>
      </c>
      <c r="M2258" s="28" t="str">
        <f>IF(C2258=""," ",[1]!s_mq_pctchange($C2258,$N$1))</f>
        <v xml:space="preserve"> </v>
      </c>
      <c r="N2258" s="28" t="str">
        <f>IF(C2258=""," ",[1]!s_yq_pctchange($C2258,$N$1))</f>
        <v xml:space="preserve"> </v>
      </c>
      <c r="O2258" s="11"/>
      <c r="P2258" s="7"/>
    </row>
    <row r="2259" spans="1:16" x14ac:dyDescent="0.35">
      <c r="A2259" s="7"/>
      <c r="C2259" s="30" t="str">
        <f>IF(指数列表!B2256="","",指数列表!B2256)</f>
        <v/>
      </c>
      <c r="D2259" s="35" t="str">
        <f>IF(C2259="","",[1]!s_info_name(C2259))</f>
        <v/>
      </c>
      <c r="E2259" s="24" t="str">
        <f>IF(C2259="","",[1]!s_dq_close(C2259,$N$1))</f>
        <v/>
      </c>
      <c r="F2259" s="28" t="str">
        <f>IF($C2259=""," ",[1]!i_pq_pctchange($C2259,F$6,$N$1))</f>
        <v xml:space="preserve"> </v>
      </c>
      <c r="G2259" s="28" t="str">
        <f>IF($C2259=""," ",[1]!i_pq_pctchange($C2259,G$6,$N$1))</f>
        <v xml:space="preserve"> </v>
      </c>
      <c r="H2259" s="28" t="str">
        <f>IF($C2259=""," ",[1]!i_pq_pctchange($C2259,H$6,$N$1))</f>
        <v xml:space="preserve"> </v>
      </c>
      <c r="I2259" s="28" t="str">
        <f>IF($C2259=""," ",[1]!i_pq_pctchange($C2259,I$6,$N$1))</f>
        <v xml:space="preserve"> </v>
      </c>
      <c r="J2259" s="28" t="str">
        <f>IF($C2259=""," ",[1]!i_pq_pctchange($C2259,J$6,$N$1))</f>
        <v xml:space="preserve"> </v>
      </c>
      <c r="K2259" s="28" t="str">
        <f>IF($C2259=""," ",[1]!i_pq_pctchange($C2259,K$6,$N$1))</f>
        <v xml:space="preserve"> </v>
      </c>
      <c r="L2259" s="28" t="str">
        <f>IF(C2259=""," ",[1]!s_wq_pctchange($C2259,$N$1))</f>
        <v xml:space="preserve"> </v>
      </c>
      <c r="M2259" s="28" t="str">
        <f>IF(C2259=""," ",[1]!s_mq_pctchange($C2259,$N$1))</f>
        <v xml:space="preserve"> </v>
      </c>
      <c r="N2259" s="28" t="str">
        <f>IF(C2259=""," ",[1]!s_yq_pctchange($C2259,$N$1))</f>
        <v xml:space="preserve"> </v>
      </c>
      <c r="O2259" s="11"/>
      <c r="P2259" s="7"/>
    </row>
    <row r="2260" spans="1:16" x14ac:dyDescent="0.35">
      <c r="A2260" s="7"/>
      <c r="C2260" s="31" t="str">
        <f>IF(指数列表!B2257="","",指数列表!B2257)</f>
        <v/>
      </c>
      <c r="D2260" s="36" t="str">
        <f>IF(C2260="","",[1]!s_info_name(C2260))</f>
        <v/>
      </c>
      <c r="E2260" s="25" t="str">
        <f>IF(C2260="","",[1]!s_dq_close(C2260,$N$1))</f>
        <v/>
      </c>
      <c r="F2260" s="28" t="str">
        <f>IF($C2260=""," ",[1]!i_pq_pctchange($C2260,F$6,$N$1))</f>
        <v xml:space="preserve"> </v>
      </c>
      <c r="G2260" s="28" t="str">
        <f>IF($C2260=""," ",[1]!i_pq_pctchange($C2260,G$6,$N$1))</f>
        <v xml:space="preserve"> </v>
      </c>
      <c r="H2260" s="28" t="str">
        <f>IF($C2260=""," ",[1]!i_pq_pctchange($C2260,H$6,$N$1))</f>
        <v xml:space="preserve"> </v>
      </c>
      <c r="I2260" s="28" t="str">
        <f>IF($C2260=""," ",[1]!i_pq_pctchange($C2260,I$6,$N$1))</f>
        <v xml:space="preserve"> </v>
      </c>
      <c r="J2260" s="28" t="str">
        <f>IF($C2260=""," ",[1]!i_pq_pctchange($C2260,J$6,$N$1))</f>
        <v xml:space="preserve"> </v>
      </c>
      <c r="K2260" s="28" t="str">
        <f>IF($C2260=""," ",[1]!i_pq_pctchange($C2260,K$6,$N$1))</f>
        <v xml:space="preserve"> </v>
      </c>
      <c r="L2260" s="28" t="str">
        <f>IF(C2260=""," ",[1]!s_wq_pctchange($C2260,$N$1))</f>
        <v xml:space="preserve"> </v>
      </c>
      <c r="M2260" s="28" t="str">
        <f>IF(C2260=""," ",[1]!s_mq_pctchange($C2260,$N$1))</f>
        <v xml:space="preserve"> </v>
      </c>
      <c r="N2260" s="28" t="str">
        <f>IF(C2260=""," ",[1]!s_yq_pctchange($C2260,$N$1))</f>
        <v xml:space="preserve"> </v>
      </c>
      <c r="O2260" s="11"/>
      <c r="P2260" s="7"/>
    </row>
    <row r="2261" spans="1:16" x14ac:dyDescent="0.35">
      <c r="A2261" s="7"/>
      <c r="C2261" s="30" t="str">
        <f>IF(指数列表!B2258="","",指数列表!B2258)</f>
        <v/>
      </c>
      <c r="D2261" s="35" t="str">
        <f>IF(C2261="","",[1]!s_info_name(C2261))</f>
        <v/>
      </c>
      <c r="E2261" s="24" t="str">
        <f>IF(C2261="","",[1]!s_dq_close(C2261,$N$1))</f>
        <v/>
      </c>
      <c r="F2261" s="28" t="str">
        <f>IF($C2261=""," ",[1]!i_pq_pctchange($C2261,F$6,$N$1))</f>
        <v xml:space="preserve"> </v>
      </c>
      <c r="G2261" s="28" t="str">
        <f>IF($C2261=""," ",[1]!i_pq_pctchange($C2261,G$6,$N$1))</f>
        <v xml:space="preserve"> </v>
      </c>
      <c r="H2261" s="28" t="str">
        <f>IF($C2261=""," ",[1]!i_pq_pctchange($C2261,H$6,$N$1))</f>
        <v xml:space="preserve"> </v>
      </c>
      <c r="I2261" s="28" t="str">
        <f>IF($C2261=""," ",[1]!i_pq_pctchange($C2261,I$6,$N$1))</f>
        <v xml:space="preserve"> </v>
      </c>
      <c r="J2261" s="28" t="str">
        <f>IF($C2261=""," ",[1]!i_pq_pctchange($C2261,J$6,$N$1))</f>
        <v xml:space="preserve"> </v>
      </c>
      <c r="K2261" s="28" t="str">
        <f>IF($C2261=""," ",[1]!i_pq_pctchange($C2261,K$6,$N$1))</f>
        <v xml:space="preserve"> </v>
      </c>
      <c r="L2261" s="28" t="str">
        <f>IF(C2261=""," ",[1]!s_wq_pctchange($C2261,$N$1))</f>
        <v xml:space="preserve"> </v>
      </c>
      <c r="M2261" s="28" t="str">
        <f>IF(C2261=""," ",[1]!s_mq_pctchange($C2261,$N$1))</f>
        <v xml:space="preserve"> </v>
      </c>
      <c r="N2261" s="28" t="str">
        <f>IF(C2261=""," ",[1]!s_yq_pctchange($C2261,$N$1))</f>
        <v xml:space="preserve"> </v>
      </c>
      <c r="O2261" s="11"/>
      <c r="P2261" s="7"/>
    </row>
    <row r="2262" spans="1:16" x14ac:dyDescent="0.35">
      <c r="A2262" s="7"/>
      <c r="C2262" s="31" t="str">
        <f>IF(指数列表!B2259="","",指数列表!B2259)</f>
        <v/>
      </c>
      <c r="D2262" s="36" t="str">
        <f>IF(C2262="","",[1]!s_info_name(C2262))</f>
        <v/>
      </c>
      <c r="E2262" s="25" t="str">
        <f>IF(C2262="","",[1]!s_dq_close(C2262,$N$1))</f>
        <v/>
      </c>
      <c r="F2262" s="28" t="str">
        <f>IF($C2262=""," ",[1]!i_pq_pctchange($C2262,F$6,$N$1))</f>
        <v xml:space="preserve"> </v>
      </c>
      <c r="G2262" s="28" t="str">
        <f>IF($C2262=""," ",[1]!i_pq_pctchange($C2262,G$6,$N$1))</f>
        <v xml:space="preserve"> </v>
      </c>
      <c r="H2262" s="28" t="str">
        <f>IF($C2262=""," ",[1]!i_pq_pctchange($C2262,H$6,$N$1))</f>
        <v xml:space="preserve"> </v>
      </c>
      <c r="I2262" s="28" t="str">
        <f>IF($C2262=""," ",[1]!i_pq_pctchange($C2262,I$6,$N$1))</f>
        <v xml:space="preserve"> </v>
      </c>
      <c r="J2262" s="28" t="str">
        <f>IF($C2262=""," ",[1]!i_pq_pctchange($C2262,J$6,$N$1))</f>
        <v xml:space="preserve"> </v>
      </c>
      <c r="K2262" s="28" t="str">
        <f>IF($C2262=""," ",[1]!i_pq_pctchange($C2262,K$6,$N$1))</f>
        <v xml:space="preserve"> </v>
      </c>
      <c r="L2262" s="28" t="str">
        <f>IF(C2262=""," ",[1]!s_wq_pctchange($C2262,$N$1))</f>
        <v xml:space="preserve"> </v>
      </c>
      <c r="M2262" s="28" t="str">
        <f>IF(C2262=""," ",[1]!s_mq_pctchange($C2262,$N$1))</f>
        <v xml:space="preserve"> </v>
      </c>
      <c r="N2262" s="28" t="str">
        <f>IF(C2262=""," ",[1]!s_yq_pctchange($C2262,$N$1))</f>
        <v xml:space="preserve"> </v>
      </c>
      <c r="O2262" s="11"/>
      <c r="P2262" s="7"/>
    </row>
    <row r="2263" spans="1:16" x14ac:dyDescent="0.35">
      <c r="A2263" s="7"/>
      <c r="C2263" s="30" t="str">
        <f>IF(指数列表!B2260="","",指数列表!B2260)</f>
        <v/>
      </c>
      <c r="D2263" s="35" t="str">
        <f>IF(C2263="","",[1]!s_info_name(C2263))</f>
        <v/>
      </c>
      <c r="E2263" s="24" t="str">
        <f>IF(C2263="","",[1]!s_dq_close(C2263,$N$1))</f>
        <v/>
      </c>
      <c r="F2263" s="28" t="str">
        <f>IF($C2263=""," ",[1]!i_pq_pctchange($C2263,F$6,$N$1))</f>
        <v xml:space="preserve"> </v>
      </c>
      <c r="G2263" s="28" t="str">
        <f>IF($C2263=""," ",[1]!i_pq_pctchange($C2263,G$6,$N$1))</f>
        <v xml:space="preserve"> </v>
      </c>
      <c r="H2263" s="28" t="str">
        <f>IF($C2263=""," ",[1]!i_pq_pctchange($C2263,H$6,$N$1))</f>
        <v xml:space="preserve"> </v>
      </c>
      <c r="I2263" s="28" t="str">
        <f>IF($C2263=""," ",[1]!i_pq_pctchange($C2263,I$6,$N$1))</f>
        <v xml:space="preserve"> </v>
      </c>
      <c r="J2263" s="28" t="str">
        <f>IF($C2263=""," ",[1]!i_pq_pctchange($C2263,J$6,$N$1))</f>
        <v xml:space="preserve"> </v>
      </c>
      <c r="K2263" s="28" t="str">
        <f>IF($C2263=""," ",[1]!i_pq_pctchange($C2263,K$6,$N$1))</f>
        <v xml:space="preserve"> </v>
      </c>
      <c r="L2263" s="28" t="str">
        <f>IF(C2263=""," ",[1]!s_wq_pctchange($C2263,$N$1))</f>
        <v xml:space="preserve"> </v>
      </c>
      <c r="M2263" s="28" t="str">
        <f>IF(C2263=""," ",[1]!s_mq_pctchange($C2263,$N$1))</f>
        <v xml:space="preserve"> </v>
      </c>
      <c r="N2263" s="28" t="str">
        <f>IF(C2263=""," ",[1]!s_yq_pctchange($C2263,$N$1))</f>
        <v xml:space="preserve"> </v>
      </c>
      <c r="O2263" s="11"/>
      <c r="P2263" s="7"/>
    </row>
    <row r="2264" spans="1:16" x14ac:dyDescent="0.35">
      <c r="A2264" s="7"/>
      <c r="C2264" s="31" t="str">
        <f>IF(指数列表!B2261="","",指数列表!B2261)</f>
        <v/>
      </c>
      <c r="D2264" s="36" t="str">
        <f>IF(C2264="","",[1]!s_info_name(C2264))</f>
        <v/>
      </c>
      <c r="E2264" s="25" t="str">
        <f>IF(C2264="","",[1]!s_dq_close(C2264,$N$1))</f>
        <v/>
      </c>
      <c r="F2264" s="28" t="str">
        <f>IF($C2264=""," ",[1]!i_pq_pctchange($C2264,F$6,$N$1))</f>
        <v xml:space="preserve"> </v>
      </c>
      <c r="G2264" s="28" t="str">
        <f>IF($C2264=""," ",[1]!i_pq_pctchange($C2264,G$6,$N$1))</f>
        <v xml:space="preserve"> </v>
      </c>
      <c r="H2264" s="28" t="str">
        <f>IF($C2264=""," ",[1]!i_pq_pctchange($C2264,H$6,$N$1))</f>
        <v xml:space="preserve"> </v>
      </c>
      <c r="I2264" s="28" t="str">
        <f>IF($C2264=""," ",[1]!i_pq_pctchange($C2264,I$6,$N$1))</f>
        <v xml:space="preserve"> </v>
      </c>
      <c r="J2264" s="28" t="str">
        <f>IF($C2264=""," ",[1]!i_pq_pctchange($C2264,J$6,$N$1))</f>
        <v xml:space="preserve"> </v>
      </c>
      <c r="K2264" s="28" t="str">
        <f>IF($C2264=""," ",[1]!i_pq_pctchange($C2264,K$6,$N$1))</f>
        <v xml:space="preserve"> </v>
      </c>
      <c r="L2264" s="28" t="str">
        <f>IF(C2264=""," ",[1]!s_wq_pctchange($C2264,$N$1))</f>
        <v xml:space="preserve"> </v>
      </c>
      <c r="M2264" s="28" t="str">
        <f>IF(C2264=""," ",[1]!s_mq_pctchange($C2264,$N$1))</f>
        <v xml:space="preserve"> </v>
      </c>
      <c r="N2264" s="28" t="str">
        <f>IF(C2264=""," ",[1]!s_yq_pctchange($C2264,$N$1))</f>
        <v xml:space="preserve"> </v>
      </c>
      <c r="O2264" s="11"/>
      <c r="P2264" s="7"/>
    </row>
    <row r="2265" spans="1:16" x14ac:dyDescent="0.35">
      <c r="A2265" s="7"/>
      <c r="C2265" s="30" t="str">
        <f>IF(指数列表!B2262="","",指数列表!B2262)</f>
        <v/>
      </c>
      <c r="D2265" s="35" t="str">
        <f>IF(C2265="","",[1]!s_info_name(C2265))</f>
        <v/>
      </c>
      <c r="E2265" s="24" t="str">
        <f>IF(C2265="","",[1]!s_dq_close(C2265,$N$1))</f>
        <v/>
      </c>
      <c r="F2265" s="28" t="str">
        <f>IF($C2265=""," ",[1]!i_pq_pctchange($C2265,F$6,$N$1))</f>
        <v xml:space="preserve"> </v>
      </c>
      <c r="G2265" s="28" t="str">
        <f>IF($C2265=""," ",[1]!i_pq_pctchange($C2265,G$6,$N$1))</f>
        <v xml:space="preserve"> </v>
      </c>
      <c r="H2265" s="28" t="str">
        <f>IF($C2265=""," ",[1]!i_pq_pctchange($C2265,H$6,$N$1))</f>
        <v xml:space="preserve"> </v>
      </c>
      <c r="I2265" s="28" t="str">
        <f>IF($C2265=""," ",[1]!i_pq_pctchange($C2265,I$6,$N$1))</f>
        <v xml:space="preserve"> </v>
      </c>
      <c r="J2265" s="28" t="str">
        <f>IF($C2265=""," ",[1]!i_pq_pctchange($C2265,J$6,$N$1))</f>
        <v xml:space="preserve"> </v>
      </c>
      <c r="K2265" s="28" t="str">
        <f>IF($C2265=""," ",[1]!i_pq_pctchange($C2265,K$6,$N$1))</f>
        <v xml:space="preserve"> </v>
      </c>
      <c r="L2265" s="28" t="str">
        <f>IF(C2265=""," ",[1]!s_wq_pctchange($C2265,$N$1))</f>
        <v xml:space="preserve"> </v>
      </c>
      <c r="M2265" s="28" t="str">
        <f>IF(C2265=""," ",[1]!s_mq_pctchange($C2265,$N$1))</f>
        <v xml:space="preserve"> </v>
      </c>
      <c r="N2265" s="28" t="str">
        <f>IF(C2265=""," ",[1]!s_yq_pctchange($C2265,$N$1))</f>
        <v xml:space="preserve"> </v>
      </c>
      <c r="O2265" s="11"/>
      <c r="P2265" s="7"/>
    </row>
    <row r="2266" spans="1:16" x14ac:dyDescent="0.35">
      <c r="A2266" s="7"/>
      <c r="C2266" s="31" t="str">
        <f>IF(指数列表!B2263="","",指数列表!B2263)</f>
        <v/>
      </c>
      <c r="D2266" s="36" t="str">
        <f>IF(C2266="","",[1]!s_info_name(C2266))</f>
        <v/>
      </c>
      <c r="E2266" s="25" t="str">
        <f>IF(C2266="","",[1]!s_dq_close(C2266,$N$1))</f>
        <v/>
      </c>
      <c r="F2266" s="28" t="str">
        <f>IF($C2266=""," ",[1]!i_pq_pctchange($C2266,F$6,$N$1))</f>
        <v xml:space="preserve"> </v>
      </c>
      <c r="G2266" s="28" t="str">
        <f>IF($C2266=""," ",[1]!i_pq_pctchange($C2266,G$6,$N$1))</f>
        <v xml:space="preserve"> </v>
      </c>
      <c r="H2266" s="28" t="str">
        <f>IF($C2266=""," ",[1]!i_pq_pctchange($C2266,H$6,$N$1))</f>
        <v xml:space="preserve"> </v>
      </c>
      <c r="I2266" s="28" t="str">
        <f>IF($C2266=""," ",[1]!i_pq_pctchange($C2266,I$6,$N$1))</f>
        <v xml:space="preserve"> </v>
      </c>
      <c r="J2266" s="28" t="str">
        <f>IF($C2266=""," ",[1]!i_pq_pctchange($C2266,J$6,$N$1))</f>
        <v xml:space="preserve"> </v>
      </c>
      <c r="K2266" s="28" t="str">
        <f>IF($C2266=""," ",[1]!i_pq_pctchange($C2266,K$6,$N$1))</f>
        <v xml:space="preserve"> </v>
      </c>
      <c r="L2266" s="28" t="str">
        <f>IF(C2266=""," ",[1]!s_wq_pctchange($C2266,$N$1))</f>
        <v xml:space="preserve"> </v>
      </c>
      <c r="M2266" s="28" t="str">
        <f>IF(C2266=""," ",[1]!s_mq_pctchange($C2266,$N$1))</f>
        <v xml:space="preserve"> </v>
      </c>
      <c r="N2266" s="28" t="str">
        <f>IF(C2266=""," ",[1]!s_yq_pctchange($C2266,$N$1))</f>
        <v xml:space="preserve"> </v>
      </c>
      <c r="O2266" s="11"/>
      <c r="P2266" s="7"/>
    </row>
    <row r="2267" spans="1:16" x14ac:dyDescent="0.35">
      <c r="A2267" s="7"/>
      <c r="C2267" s="30" t="str">
        <f>IF(指数列表!B2264="","",指数列表!B2264)</f>
        <v/>
      </c>
      <c r="D2267" s="35" t="str">
        <f>IF(C2267="","",[1]!s_info_name(C2267))</f>
        <v/>
      </c>
      <c r="E2267" s="24" t="str">
        <f>IF(C2267="","",[1]!s_dq_close(C2267,$N$1))</f>
        <v/>
      </c>
      <c r="F2267" s="28" t="str">
        <f>IF($C2267=""," ",[1]!i_pq_pctchange($C2267,F$6,$N$1))</f>
        <v xml:space="preserve"> </v>
      </c>
      <c r="G2267" s="28" t="str">
        <f>IF($C2267=""," ",[1]!i_pq_pctchange($C2267,G$6,$N$1))</f>
        <v xml:space="preserve"> </v>
      </c>
      <c r="H2267" s="28" t="str">
        <f>IF($C2267=""," ",[1]!i_pq_pctchange($C2267,H$6,$N$1))</f>
        <v xml:space="preserve"> </v>
      </c>
      <c r="I2267" s="28" t="str">
        <f>IF($C2267=""," ",[1]!i_pq_pctchange($C2267,I$6,$N$1))</f>
        <v xml:space="preserve"> </v>
      </c>
      <c r="J2267" s="28" t="str">
        <f>IF($C2267=""," ",[1]!i_pq_pctchange($C2267,J$6,$N$1))</f>
        <v xml:space="preserve"> </v>
      </c>
      <c r="K2267" s="28" t="str">
        <f>IF($C2267=""," ",[1]!i_pq_pctchange($C2267,K$6,$N$1))</f>
        <v xml:space="preserve"> </v>
      </c>
      <c r="L2267" s="28" t="str">
        <f>IF(C2267=""," ",[1]!s_wq_pctchange($C2267,$N$1))</f>
        <v xml:space="preserve"> </v>
      </c>
      <c r="M2267" s="28" t="str">
        <f>IF(C2267=""," ",[1]!s_mq_pctchange($C2267,$N$1))</f>
        <v xml:space="preserve"> </v>
      </c>
      <c r="N2267" s="28" t="str">
        <f>IF(C2267=""," ",[1]!s_yq_pctchange($C2267,$N$1))</f>
        <v xml:space="preserve"> </v>
      </c>
      <c r="O2267" s="11"/>
      <c r="P2267" s="7"/>
    </row>
    <row r="2268" spans="1:16" x14ac:dyDescent="0.35">
      <c r="A2268" s="7"/>
      <c r="C2268" s="31" t="str">
        <f>IF(指数列表!B2265="","",指数列表!B2265)</f>
        <v/>
      </c>
      <c r="D2268" s="36" t="str">
        <f>IF(C2268="","",[1]!s_info_name(C2268))</f>
        <v/>
      </c>
      <c r="E2268" s="25" t="str">
        <f>IF(C2268="","",[1]!s_dq_close(C2268,$N$1))</f>
        <v/>
      </c>
      <c r="F2268" s="28" t="str">
        <f>IF($C2268=""," ",[1]!i_pq_pctchange($C2268,F$6,$N$1))</f>
        <v xml:space="preserve"> </v>
      </c>
      <c r="G2268" s="28" t="str">
        <f>IF($C2268=""," ",[1]!i_pq_pctchange($C2268,G$6,$N$1))</f>
        <v xml:space="preserve"> </v>
      </c>
      <c r="H2268" s="28" t="str">
        <f>IF($C2268=""," ",[1]!i_pq_pctchange($C2268,H$6,$N$1))</f>
        <v xml:space="preserve"> </v>
      </c>
      <c r="I2268" s="28" t="str">
        <f>IF($C2268=""," ",[1]!i_pq_pctchange($C2268,I$6,$N$1))</f>
        <v xml:space="preserve"> </v>
      </c>
      <c r="J2268" s="28" t="str">
        <f>IF($C2268=""," ",[1]!i_pq_pctchange($C2268,J$6,$N$1))</f>
        <v xml:space="preserve"> </v>
      </c>
      <c r="K2268" s="28" t="str">
        <f>IF($C2268=""," ",[1]!i_pq_pctchange($C2268,K$6,$N$1))</f>
        <v xml:space="preserve"> </v>
      </c>
      <c r="L2268" s="28" t="str">
        <f>IF(C2268=""," ",[1]!s_wq_pctchange($C2268,$N$1))</f>
        <v xml:space="preserve"> </v>
      </c>
      <c r="M2268" s="28" t="str">
        <f>IF(C2268=""," ",[1]!s_mq_pctchange($C2268,$N$1))</f>
        <v xml:space="preserve"> </v>
      </c>
      <c r="N2268" s="28" t="str">
        <f>IF(C2268=""," ",[1]!s_yq_pctchange($C2268,$N$1))</f>
        <v xml:space="preserve"> </v>
      </c>
      <c r="O2268" s="11"/>
      <c r="P2268" s="7"/>
    </row>
    <row r="2269" spans="1:16" x14ac:dyDescent="0.35">
      <c r="A2269" s="7"/>
      <c r="C2269" s="30" t="str">
        <f>IF(指数列表!B2266="","",指数列表!B2266)</f>
        <v/>
      </c>
      <c r="D2269" s="35" t="str">
        <f>IF(C2269="","",[1]!s_info_name(C2269))</f>
        <v/>
      </c>
      <c r="E2269" s="24" t="str">
        <f>IF(C2269="","",[1]!s_dq_close(C2269,$N$1))</f>
        <v/>
      </c>
      <c r="F2269" s="28" t="str">
        <f>IF($C2269=""," ",[1]!i_pq_pctchange($C2269,F$6,$N$1))</f>
        <v xml:space="preserve"> </v>
      </c>
      <c r="G2269" s="28" t="str">
        <f>IF($C2269=""," ",[1]!i_pq_pctchange($C2269,G$6,$N$1))</f>
        <v xml:space="preserve"> </v>
      </c>
      <c r="H2269" s="28" t="str">
        <f>IF($C2269=""," ",[1]!i_pq_pctchange($C2269,H$6,$N$1))</f>
        <v xml:space="preserve"> </v>
      </c>
      <c r="I2269" s="28" t="str">
        <f>IF($C2269=""," ",[1]!i_pq_pctchange($C2269,I$6,$N$1))</f>
        <v xml:space="preserve"> </v>
      </c>
      <c r="J2269" s="28" t="str">
        <f>IF($C2269=""," ",[1]!i_pq_pctchange($C2269,J$6,$N$1))</f>
        <v xml:space="preserve"> </v>
      </c>
      <c r="K2269" s="28" t="str">
        <f>IF($C2269=""," ",[1]!i_pq_pctchange($C2269,K$6,$N$1))</f>
        <v xml:space="preserve"> </v>
      </c>
      <c r="L2269" s="28" t="str">
        <f>IF(C2269=""," ",[1]!s_wq_pctchange($C2269,$N$1))</f>
        <v xml:space="preserve"> </v>
      </c>
      <c r="M2269" s="28" t="str">
        <f>IF(C2269=""," ",[1]!s_mq_pctchange($C2269,$N$1))</f>
        <v xml:space="preserve"> </v>
      </c>
      <c r="N2269" s="28" t="str">
        <f>IF(C2269=""," ",[1]!s_yq_pctchange($C2269,$N$1))</f>
        <v xml:space="preserve"> </v>
      </c>
      <c r="O2269" s="11"/>
      <c r="P2269" s="7"/>
    </row>
    <row r="2270" spans="1:16" x14ac:dyDescent="0.35">
      <c r="A2270" s="7"/>
      <c r="C2270" s="31" t="str">
        <f>IF(指数列表!B2267="","",指数列表!B2267)</f>
        <v/>
      </c>
      <c r="D2270" s="36" t="str">
        <f>IF(C2270="","",[1]!s_info_name(C2270))</f>
        <v/>
      </c>
      <c r="E2270" s="25" t="str">
        <f>IF(C2270="","",[1]!s_dq_close(C2270,$N$1))</f>
        <v/>
      </c>
      <c r="F2270" s="28" t="str">
        <f>IF($C2270=""," ",[1]!i_pq_pctchange($C2270,F$6,$N$1))</f>
        <v xml:space="preserve"> </v>
      </c>
      <c r="G2270" s="28" t="str">
        <f>IF($C2270=""," ",[1]!i_pq_pctchange($C2270,G$6,$N$1))</f>
        <v xml:space="preserve"> </v>
      </c>
      <c r="H2270" s="28" t="str">
        <f>IF($C2270=""," ",[1]!i_pq_pctchange($C2270,H$6,$N$1))</f>
        <v xml:space="preserve"> </v>
      </c>
      <c r="I2270" s="28" t="str">
        <f>IF($C2270=""," ",[1]!i_pq_pctchange($C2270,I$6,$N$1))</f>
        <v xml:space="preserve"> </v>
      </c>
      <c r="J2270" s="28" t="str">
        <f>IF($C2270=""," ",[1]!i_pq_pctchange($C2270,J$6,$N$1))</f>
        <v xml:space="preserve"> </v>
      </c>
      <c r="K2270" s="28" t="str">
        <f>IF($C2270=""," ",[1]!i_pq_pctchange($C2270,K$6,$N$1))</f>
        <v xml:space="preserve"> </v>
      </c>
      <c r="L2270" s="28" t="str">
        <f>IF(C2270=""," ",[1]!s_wq_pctchange($C2270,$N$1))</f>
        <v xml:space="preserve"> </v>
      </c>
      <c r="M2270" s="28" t="str">
        <f>IF(C2270=""," ",[1]!s_mq_pctchange($C2270,$N$1))</f>
        <v xml:space="preserve"> </v>
      </c>
      <c r="N2270" s="28" t="str">
        <f>IF(C2270=""," ",[1]!s_yq_pctchange($C2270,$N$1))</f>
        <v xml:space="preserve"> </v>
      </c>
      <c r="O2270" s="11"/>
      <c r="P2270" s="7"/>
    </row>
    <row r="2271" spans="1:16" x14ac:dyDescent="0.35">
      <c r="A2271" s="7"/>
      <c r="C2271" s="30" t="str">
        <f>IF(指数列表!B2268="","",指数列表!B2268)</f>
        <v/>
      </c>
      <c r="D2271" s="35" t="str">
        <f>IF(C2271="","",[1]!s_info_name(C2271))</f>
        <v/>
      </c>
      <c r="E2271" s="24" t="str">
        <f>IF(C2271="","",[1]!s_dq_close(C2271,$N$1))</f>
        <v/>
      </c>
      <c r="F2271" s="28" t="str">
        <f>IF($C2271=""," ",[1]!i_pq_pctchange($C2271,F$6,$N$1))</f>
        <v xml:space="preserve"> </v>
      </c>
      <c r="G2271" s="28" t="str">
        <f>IF($C2271=""," ",[1]!i_pq_pctchange($C2271,G$6,$N$1))</f>
        <v xml:space="preserve"> </v>
      </c>
      <c r="H2271" s="28" t="str">
        <f>IF($C2271=""," ",[1]!i_pq_pctchange($C2271,H$6,$N$1))</f>
        <v xml:space="preserve"> </v>
      </c>
      <c r="I2271" s="28" t="str">
        <f>IF($C2271=""," ",[1]!i_pq_pctchange($C2271,I$6,$N$1))</f>
        <v xml:space="preserve"> </v>
      </c>
      <c r="J2271" s="28" t="str">
        <f>IF($C2271=""," ",[1]!i_pq_pctchange($C2271,J$6,$N$1))</f>
        <v xml:space="preserve"> </v>
      </c>
      <c r="K2271" s="28" t="str">
        <f>IF($C2271=""," ",[1]!i_pq_pctchange($C2271,K$6,$N$1))</f>
        <v xml:space="preserve"> </v>
      </c>
      <c r="L2271" s="28" t="str">
        <f>IF(C2271=""," ",[1]!s_wq_pctchange($C2271,$N$1))</f>
        <v xml:space="preserve"> </v>
      </c>
      <c r="M2271" s="28" t="str">
        <f>IF(C2271=""," ",[1]!s_mq_pctchange($C2271,$N$1))</f>
        <v xml:space="preserve"> </v>
      </c>
      <c r="N2271" s="28" t="str">
        <f>IF(C2271=""," ",[1]!s_yq_pctchange($C2271,$N$1))</f>
        <v xml:space="preserve"> </v>
      </c>
      <c r="O2271" s="11"/>
      <c r="P2271" s="7"/>
    </row>
    <row r="2272" spans="1:16" x14ac:dyDescent="0.35">
      <c r="A2272" s="7"/>
      <c r="C2272" s="31" t="str">
        <f>IF(指数列表!B2269="","",指数列表!B2269)</f>
        <v/>
      </c>
      <c r="D2272" s="36" t="str">
        <f>IF(C2272="","",[1]!s_info_name(C2272))</f>
        <v/>
      </c>
      <c r="E2272" s="25" t="str">
        <f>IF(C2272="","",[1]!s_dq_close(C2272,$N$1))</f>
        <v/>
      </c>
      <c r="F2272" s="28" t="str">
        <f>IF($C2272=""," ",[1]!i_pq_pctchange($C2272,F$6,$N$1))</f>
        <v xml:space="preserve"> </v>
      </c>
      <c r="G2272" s="28" t="str">
        <f>IF($C2272=""," ",[1]!i_pq_pctchange($C2272,G$6,$N$1))</f>
        <v xml:space="preserve"> </v>
      </c>
      <c r="H2272" s="28" t="str">
        <f>IF($C2272=""," ",[1]!i_pq_pctchange($C2272,H$6,$N$1))</f>
        <v xml:space="preserve"> </v>
      </c>
      <c r="I2272" s="28" t="str">
        <f>IF($C2272=""," ",[1]!i_pq_pctchange($C2272,I$6,$N$1))</f>
        <v xml:space="preserve"> </v>
      </c>
      <c r="J2272" s="28" t="str">
        <f>IF($C2272=""," ",[1]!i_pq_pctchange($C2272,J$6,$N$1))</f>
        <v xml:space="preserve"> </v>
      </c>
      <c r="K2272" s="28" t="str">
        <f>IF($C2272=""," ",[1]!i_pq_pctchange($C2272,K$6,$N$1))</f>
        <v xml:space="preserve"> </v>
      </c>
      <c r="L2272" s="28" t="str">
        <f>IF(C2272=""," ",[1]!s_wq_pctchange($C2272,$N$1))</f>
        <v xml:space="preserve"> </v>
      </c>
      <c r="M2272" s="28" t="str">
        <f>IF(C2272=""," ",[1]!s_mq_pctchange($C2272,$N$1))</f>
        <v xml:space="preserve"> </v>
      </c>
      <c r="N2272" s="28" t="str">
        <f>IF(C2272=""," ",[1]!s_yq_pctchange($C2272,$N$1))</f>
        <v xml:space="preserve"> </v>
      </c>
      <c r="O2272" s="11"/>
      <c r="P2272" s="7"/>
    </row>
    <row r="2273" spans="1:16" x14ac:dyDescent="0.35">
      <c r="A2273" s="7"/>
      <c r="C2273" s="30" t="str">
        <f>IF(指数列表!B2270="","",指数列表!B2270)</f>
        <v/>
      </c>
      <c r="D2273" s="35" t="str">
        <f>IF(C2273="","",[1]!s_info_name(C2273))</f>
        <v/>
      </c>
      <c r="E2273" s="24" t="str">
        <f>IF(C2273="","",[1]!s_dq_close(C2273,$N$1))</f>
        <v/>
      </c>
      <c r="F2273" s="28" t="str">
        <f>IF($C2273=""," ",[1]!i_pq_pctchange($C2273,F$6,$N$1))</f>
        <v xml:space="preserve"> </v>
      </c>
      <c r="G2273" s="28" t="str">
        <f>IF($C2273=""," ",[1]!i_pq_pctchange($C2273,G$6,$N$1))</f>
        <v xml:space="preserve"> </v>
      </c>
      <c r="H2273" s="28" t="str">
        <f>IF($C2273=""," ",[1]!i_pq_pctchange($C2273,H$6,$N$1))</f>
        <v xml:space="preserve"> </v>
      </c>
      <c r="I2273" s="28" t="str">
        <f>IF($C2273=""," ",[1]!i_pq_pctchange($C2273,I$6,$N$1))</f>
        <v xml:space="preserve"> </v>
      </c>
      <c r="J2273" s="28" t="str">
        <f>IF($C2273=""," ",[1]!i_pq_pctchange($C2273,J$6,$N$1))</f>
        <v xml:space="preserve"> </v>
      </c>
      <c r="K2273" s="28" t="str">
        <f>IF($C2273=""," ",[1]!i_pq_pctchange($C2273,K$6,$N$1))</f>
        <v xml:space="preserve"> </v>
      </c>
      <c r="L2273" s="28" t="str">
        <f>IF(C2273=""," ",[1]!s_wq_pctchange($C2273,$N$1))</f>
        <v xml:space="preserve"> </v>
      </c>
      <c r="M2273" s="28" t="str">
        <f>IF(C2273=""," ",[1]!s_mq_pctchange($C2273,$N$1))</f>
        <v xml:space="preserve"> </v>
      </c>
      <c r="N2273" s="28" t="str">
        <f>IF(C2273=""," ",[1]!s_yq_pctchange($C2273,$N$1))</f>
        <v xml:space="preserve"> </v>
      </c>
      <c r="O2273" s="11"/>
      <c r="P2273" s="7"/>
    </row>
    <row r="2274" spans="1:16" x14ac:dyDescent="0.35">
      <c r="A2274" s="7"/>
      <c r="C2274" s="31" t="str">
        <f>IF(指数列表!B2271="","",指数列表!B2271)</f>
        <v/>
      </c>
      <c r="D2274" s="36" t="str">
        <f>IF(C2274="","",[1]!s_info_name(C2274))</f>
        <v/>
      </c>
      <c r="E2274" s="25" t="str">
        <f>IF(C2274="","",[1]!s_dq_close(C2274,$N$1))</f>
        <v/>
      </c>
      <c r="F2274" s="28" t="str">
        <f>IF($C2274=""," ",[1]!i_pq_pctchange($C2274,F$6,$N$1))</f>
        <v xml:space="preserve"> </v>
      </c>
      <c r="G2274" s="28" t="str">
        <f>IF($C2274=""," ",[1]!i_pq_pctchange($C2274,G$6,$N$1))</f>
        <v xml:space="preserve"> </v>
      </c>
      <c r="H2274" s="28" t="str">
        <f>IF($C2274=""," ",[1]!i_pq_pctchange($C2274,H$6,$N$1))</f>
        <v xml:space="preserve"> </v>
      </c>
      <c r="I2274" s="28" t="str">
        <f>IF($C2274=""," ",[1]!i_pq_pctchange($C2274,I$6,$N$1))</f>
        <v xml:space="preserve"> </v>
      </c>
      <c r="J2274" s="28" t="str">
        <f>IF($C2274=""," ",[1]!i_pq_pctchange($C2274,J$6,$N$1))</f>
        <v xml:space="preserve"> </v>
      </c>
      <c r="K2274" s="28" t="str">
        <f>IF($C2274=""," ",[1]!i_pq_pctchange($C2274,K$6,$N$1))</f>
        <v xml:space="preserve"> </v>
      </c>
      <c r="L2274" s="28" t="str">
        <f>IF(C2274=""," ",[1]!s_wq_pctchange($C2274,$N$1))</f>
        <v xml:space="preserve"> </v>
      </c>
      <c r="M2274" s="28" t="str">
        <f>IF(C2274=""," ",[1]!s_mq_pctchange($C2274,$N$1))</f>
        <v xml:space="preserve"> </v>
      </c>
      <c r="N2274" s="28" t="str">
        <f>IF(C2274=""," ",[1]!s_yq_pctchange($C2274,$N$1))</f>
        <v xml:space="preserve"> </v>
      </c>
      <c r="O2274" s="11"/>
      <c r="P2274" s="7"/>
    </row>
    <row r="2275" spans="1:16" x14ac:dyDescent="0.35">
      <c r="A2275" s="7"/>
      <c r="C2275" s="30" t="str">
        <f>IF(指数列表!B2272="","",指数列表!B2272)</f>
        <v/>
      </c>
      <c r="D2275" s="35" t="str">
        <f>IF(C2275="","",[1]!s_info_name(C2275))</f>
        <v/>
      </c>
      <c r="E2275" s="24" t="str">
        <f>IF(C2275="","",[1]!s_dq_close(C2275,$N$1))</f>
        <v/>
      </c>
      <c r="F2275" s="28" t="str">
        <f>IF($C2275=""," ",[1]!i_pq_pctchange($C2275,F$6,$N$1))</f>
        <v xml:space="preserve"> </v>
      </c>
      <c r="G2275" s="28" t="str">
        <f>IF($C2275=""," ",[1]!i_pq_pctchange($C2275,G$6,$N$1))</f>
        <v xml:space="preserve"> </v>
      </c>
      <c r="H2275" s="28" t="str">
        <f>IF($C2275=""," ",[1]!i_pq_pctchange($C2275,H$6,$N$1))</f>
        <v xml:space="preserve"> </v>
      </c>
      <c r="I2275" s="28" t="str">
        <f>IF($C2275=""," ",[1]!i_pq_pctchange($C2275,I$6,$N$1))</f>
        <v xml:space="preserve"> </v>
      </c>
      <c r="J2275" s="28" t="str">
        <f>IF($C2275=""," ",[1]!i_pq_pctchange($C2275,J$6,$N$1))</f>
        <v xml:space="preserve"> </v>
      </c>
      <c r="K2275" s="28" t="str">
        <f>IF($C2275=""," ",[1]!i_pq_pctchange($C2275,K$6,$N$1))</f>
        <v xml:space="preserve"> </v>
      </c>
      <c r="L2275" s="28" t="str">
        <f>IF(C2275=""," ",[1]!s_wq_pctchange($C2275,$N$1))</f>
        <v xml:space="preserve"> </v>
      </c>
      <c r="M2275" s="28" t="str">
        <f>IF(C2275=""," ",[1]!s_mq_pctchange($C2275,$N$1))</f>
        <v xml:space="preserve"> </v>
      </c>
      <c r="N2275" s="28" t="str">
        <f>IF(C2275=""," ",[1]!s_yq_pctchange($C2275,$N$1))</f>
        <v xml:space="preserve"> </v>
      </c>
      <c r="O2275" s="11"/>
      <c r="P2275" s="7"/>
    </row>
    <row r="2276" spans="1:16" x14ac:dyDescent="0.35">
      <c r="A2276" s="7"/>
      <c r="C2276" s="31" t="str">
        <f>IF(指数列表!B2273="","",指数列表!B2273)</f>
        <v/>
      </c>
      <c r="D2276" s="36" t="str">
        <f>IF(C2276="","",[1]!s_info_name(C2276))</f>
        <v/>
      </c>
      <c r="E2276" s="25" t="str">
        <f>IF(C2276="","",[1]!s_dq_close(C2276,$N$1))</f>
        <v/>
      </c>
      <c r="F2276" s="28" t="str">
        <f>IF($C2276=""," ",[1]!i_pq_pctchange($C2276,F$6,$N$1))</f>
        <v xml:space="preserve"> </v>
      </c>
      <c r="G2276" s="28" t="str">
        <f>IF($C2276=""," ",[1]!i_pq_pctchange($C2276,G$6,$N$1))</f>
        <v xml:space="preserve"> </v>
      </c>
      <c r="H2276" s="28" t="str">
        <f>IF($C2276=""," ",[1]!i_pq_pctchange($C2276,H$6,$N$1))</f>
        <v xml:space="preserve"> </v>
      </c>
      <c r="I2276" s="28" t="str">
        <f>IF($C2276=""," ",[1]!i_pq_pctchange($C2276,I$6,$N$1))</f>
        <v xml:space="preserve"> </v>
      </c>
      <c r="J2276" s="28" t="str">
        <f>IF($C2276=""," ",[1]!i_pq_pctchange($C2276,J$6,$N$1))</f>
        <v xml:space="preserve"> </v>
      </c>
      <c r="K2276" s="28" t="str">
        <f>IF($C2276=""," ",[1]!i_pq_pctchange($C2276,K$6,$N$1))</f>
        <v xml:space="preserve"> </v>
      </c>
      <c r="L2276" s="28" t="str">
        <f>IF(C2276=""," ",[1]!s_wq_pctchange($C2276,$N$1))</f>
        <v xml:space="preserve"> </v>
      </c>
      <c r="M2276" s="28" t="str">
        <f>IF(C2276=""," ",[1]!s_mq_pctchange($C2276,$N$1))</f>
        <v xml:space="preserve"> </v>
      </c>
      <c r="N2276" s="28" t="str">
        <f>IF(C2276=""," ",[1]!s_yq_pctchange($C2276,$N$1))</f>
        <v xml:space="preserve"> </v>
      </c>
      <c r="O2276" s="11"/>
      <c r="P2276" s="7"/>
    </row>
    <row r="2277" spans="1:16" x14ac:dyDescent="0.35">
      <c r="A2277" s="7"/>
      <c r="C2277" s="30" t="str">
        <f>IF(指数列表!B2274="","",指数列表!B2274)</f>
        <v/>
      </c>
      <c r="D2277" s="35" t="str">
        <f>IF(C2277="","",[1]!s_info_name(C2277))</f>
        <v/>
      </c>
      <c r="E2277" s="24" t="str">
        <f>IF(C2277="","",[1]!s_dq_close(C2277,$N$1))</f>
        <v/>
      </c>
      <c r="F2277" s="28" t="str">
        <f>IF($C2277=""," ",[1]!i_pq_pctchange($C2277,F$6,$N$1))</f>
        <v xml:space="preserve"> </v>
      </c>
      <c r="G2277" s="28" t="str">
        <f>IF($C2277=""," ",[1]!i_pq_pctchange($C2277,G$6,$N$1))</f>
        <v xml:space="preserve"> </v>
      </c>
      <c r="H2277" s="28" t="str">
        <f>IF($C2277=""," ",[1]!i_pq_pctchange($C2277,H$6,$N$1))</f>
        <v xml:space="preserve"> </v>
      </c>
      <c r="I2277" s="28" t="str">
        <f>IF($C2277=""," ",[1]!i_pq_pctchange($C2277,I$6,$N$1))</f>
        <v xml:space="preserve"> </v>
      </c>
      <c r="J2277" s="28" t="str">
        <f>IF($C2277=""," ",[1]!i_pq_pctchange($C2277,J$6,$N$1))</f>
        <v xml:space="preserve"> </v>
      </c>
      <c r="K2277" s="28" t="str">
        <f>IF($C2277=""," ",[1]!i_pq_pctchange($C2277,K$6,$N$1))</f>
        <v xml:space="preserve"> </v>
      </c>
      <c r="L2277" s="28" t="str">
        <f>IF(C2277=""," ",[1]!s_wq_pctchange($C2277,$N$1))</f>
        <v xml:space="preserve"> </v>
      </c>
      <c r="M2277" s="28" t="str">
        <f>IF(C2277=""," ",[1]!s_mq_pctchange($C2277,$N$1))</f>
        <v xml:space="preserve"> </v>
      </c>
      <c r="N2277" s="28" t="str">
        <f>IF(C2277=""," ",[1]!s_yq_pctchange($C2277,$N$1))</f>
        <v xml:space="preserve"> </v>
      </c>
      <c r="O2277" s="11"/>
      <c r="P2277" s="7"/>
    </row>
    <row r="2278" spans="1:16" x14ac:dyDescent="0.35">
      <c r="A2278" s="7"/>
      <c r="C2278" s="31" t="str">
        <f>IF(指数列表!B2275="","",指数列表!B2275)</f>
        <v/>
      </c>
      <c r="D2278" s="36" t="str">
        <f>IF(C2278="","",[1]!s_info_name(C2278))</f>
        <v/>
      </c>
      <c r="E2278" s="25" t="str">
        <f>IF(C2278="","",[1]!s_dq_close(C2278,$N$1))</f>
        <v/>
      </c>
      <c r="F2278" s="28" t="str">
        <f>IF($C2278=""," ",[1]!i_pq_pctchange($C2278,F$6,$N$1))</f>
        <v xml:space="preserve"> </v>
      </c>
      <c r="G2278" s="28" t="str">
        <f>IF($C2278=""," ",[1]!i_pq_pctchange($C2278,G$6,$N$1))</f>
        <v xml:space="preserve"> </v>
      </c>
      <c r="H2278" s="28" t="str">
        <f>IF($C2278=""," ",[1]!i_pq_pctchange($C2278,H$6,$N$1))</f>
        <v xml:space="preserve"> </v>
      </c>
      <c r="I2278" s="28" t="str">
        <f>IF($C2278=""," ",[1]!i_pq_pctchange($C2278,I$6,$N$1))</f>
        <v xml:space="preserve"> </v>
      </c>
      <c r="J2278" s="28" t="str">
        <f>IF($C2278=""," ",[1]!i_pq_pctchange($C2278,J$6,$N$1))</f>
        <v xml:space="preserve"> </v>
      </c>
      <c r="K2278" s="28" t="str">
        <f>IF($C2278=""," ",[1]!i_pq_pctchange($C2278,K$6,$N$1))</f>
        <v xml:space="preserve"> </v>
      </c>
      <c r="L2278" s="28" t="str">
        <f>IF(C2278=""," ",[1]!s_wq_pctchange($C2278,$N$1))</f>
        <v xml:space="preserve"> </v>
      </c>
      <c r="M2278" s="28" t="str">
        <f>IF(C2278=""," ",[1]!s_mq_pctchange($C2278,$N$1))</f>
        <v xml:space="preserve"> </v>
      </c>
      <c r="N2278" s="28" t="str">
        <f>IF(C2278=""," ",[1]!s_yq_pctchange($C2278,$N$1))</f>
        <v xml:space="preserve"> </v>
      </c>
      <c r="O2278" s="11"/>
      <c r="P2278" s="7"/>
    </row>
    <row r="2279" spans="1:16" x14ac:dyDescent="0.35">
      <c r="A2279" s="7"/>
      <c r="C2279" s="30" t="str">
        <f>IF(指数列表!B2276="","",指数列表!B2276)</f>
        <v/>
      </c>
      <c r="D2279" s="35" t="str">
        <f>IF(C2279="","",[1]!s_info_name(C2279))</f>
        <v/>
      </c>
      <c r="E2279" s="24" t="str">
        <f>IF(C2279="","",[1]!s_dq_close(C2279,$N$1))</f>
        <v/>
      </c>
      <c r="F2279" s="28" t="str">
        <f>IF($C2279=""," ",[1]!i_pq_pctchange($C2279,F$6,$N$1))</f>
        <v xml:space="preserve"> </v>
      </c>
      <c r="G2279" s="28" t="str">
        <f>IF($C2279=""," ",[1]!i_pq_pctchange($C2279,G$6,$N$1))</f>
        <v xml:space="preserve"> </v>
      </c>
      <c r="H2279" s="28" t="str">
        <f>IF($C2279=""," ",[1]!i_pq_pctchange($C2279,H$6,$N$1))</f>
        <v xml:space="preserve"> </v>
      </c>
      <c r="I2279" s="28" t="str">
        <f>IF($C2279=""," ",[1]!i_pq_pctchange($C2279,I$6,$N$1))</f>
        <v xml:space="preserve"> </v>
      </c>
      <c r="J2279" s="28" t="str">
        <f>IF($C2279=""," ",[1]!i_pq_pctchange($C2279,J$6,$N$1))</f>
        <v xml:space="preserve"> </v>
      </c>
      <c r="K2279" s="28" t="str">
        <f>IF($C2279=""," ",[1]!i_pq_pctchange($C2279,K$6,$N$1))</f>
        <v xml:space="preserve"> </v>
      </c>
      <c r="L2279" s="28" t="str">
        <f>IF(C2279=""," ",[1]!s_wq_pctchange($C2279,$N$1))</f>
        <v xml:space="preserve"> </v>
      </c>
      <c r="M2279" s="28" t="str">
        <f>IF(C2279=""," ",[1]!s_mq_pctchange($C2279,$N$1))</f>
        <v xml:space="preserve"> </v>
      </c>
      <c r="N2279" s="28" t="str">
        <f>IF(C2279=""," ",[1]!s_yq_pctchange($C2279,$N$1))</f>
        <v xml:space="preserve"> </v>
      </c>
      <c r="O2279" s="11"/>
      <c r="P2279" s="7"/>
    </row>
    <row r="2280" spans="1:16" x14ac:dyDescent="0.35">
      <c r="A2280" s="7"/>
      <c r="C2280" s="31" t="str">
        <f>IF(指数列表!B2277="","",指数列表!B2277)</f>
        <v/>
      </c>
      <c r="D2280" s="36" t="str">
        <f>IF(C2280="","",[1]!s_info_name(C2280))</f>
        <v/>
      </c>
      <c r="E2280" s="25" t="str">
        <f>IF(C2280="","",[1]!s_dq_close(C2280,$N$1))</f>
        <v/>
      </c>
      <c r="F2280" s="28" t="str">
        <f>IF($C2280=""," ",[1]!i_pq_pctchange($C2280,F$6,$N$1))</f>
        <v xml:space="preserve"> </v>
      </c>
      <c r="G2280" s="28" t="str">
        <f>IF($C2280=""," ",[1]!i_pq_pctchange($C2280,G$6,$N$1))</f>
        <v xml:space="preserve"> </v>
      </c>
      <c r="H2280" s="28" t="str">
        <f>IF($C2280=""," ",[1]!i_pq_pctchange($C2280,H$6,$N$1))</f>
        <v xml:space="preserve"> </v>
      </c>
      <c r="I2280" s="28" t="str">
        <f>IF($C2280=""," ",[1]!i_pq_pctchange($C2280,I$6,$N$1))</f>
        <v xml:space="preserve"> </v>
      </c>
      <c r="J2280" s="28" t="str">
        <f>IF($C2280=""," ",[1]!i_pq_pctchange($C2280,J$6,$N$1))</f>
        <v xml:space="preserve"> </v>
      </c>
      <c r="K2280" s="28" t="str">
        <f>IF($C2280=""," ",[1]!i_pq_pctchange($C2280,K$6,$N$1))</f>
        <v xml:space="preserve"> </v>
      </c>
      <c r="L2280" s="28" t="str">
        <f>IF(C2280=""," ",[1]!s_wq_pctchange($C2280,$N$1))</f>
        <v xml:space="preserve"> </v>
      </c>
      <c r="M2280" s="28" t="str">
        <f>IF(C2280=""," ",[1]!s_mq_pctchange($C2280,$N$1))</f>
        <v xml:space="preserve"> </v>
      </c>
      <c r="N2280" s="28" t="str">
        <f>IF(C2280=""," ",[1]!s_yq_pctchange($C2280,$N$1))</f>
        <v xml:space="preserve"> </v>
      </c>
      <c r="O2280" s="11"/>
      <c r="P2280" s="7"/>
    </row>
    <row r="2281" spans="1:16" x14ac:dyDescent="0.35">
      <c r="A2281" s="7"/>
      <c r="C2281" s="30" t="str">
        <f>IF(指数列表!B2278="","",指数列表!B2278)</f>
        <v/>
      </c>
      <c r="D2281" s="35" t="str">
        <f>IF(C2281="","",[1]!s_info_name(C2281))</f>
        <v/>
      </c>
      <c r="E2281" s="24" t="str">
        <f>IF(C2281="","",[1]!s_dq_close(C2281,$N$1))</f>
        <v/>
      </c>
      <c r="F2281" s="28" t="str">
        <f>IF($C2281=""," ",[1]!i_pq_pctchange($C2281,F$6,$N$1))</f>
        <v xml:space="preserve"> </v>
      </c>
      <c r="G2281" s="28" t="str">
        <f>IF($C2281=""," ",[1]!i_pq_pctchange($C2281,G$6,$N$1))</f>
        <v xml:space="preserve"> </v>
      </c>
      <c r="H2281" s="28" t="str">
        <f>IF($C2281=""," ",[1]!i_pq_pctchange($C2281,H$6,$N$1))</f>
        <v xml:space="preserve"> </v>
      </c>
      <c r="I2281" s="28" t="str">
        <f>IF($C2281=""," ",[1]!i_pq_pctchange($C2281,I$6,$N$1))</f>
        <v xml:space="preserve"> </v>
      </c>
      <c r="J2281" s="28" t="str">
        <f>IF($C2281=""," ",[1]!i_pq_pctchange($C2281,J$6,$N$1))</f>
        <v xml:space="preserve"> </v>
      </c>
      <c r="K2281" s="28" t="str">
        <f>IF($C2281=""," ",[1]!i_pq_pctchange($C2281,K$6,$N$1))</f>
        <v xml:space="preserve"> </v>
      </c>
      <c r="L2281" s="28" t="str">
        <f>IF(C2281=""," ",[1]!s_wq_pctchange($C2281,$N$1))</f>
        <v xml:space="preserve"> </v>
      </c>
      <c r="M2281" s="28" t="str">
        <f>IF(C2281=""," ",[1]!s_mq_pctchange($C2281,$N$1))</f>
        <v xml:space="preserve"> </v>
      </c>
      <c r="N2281" s="28" t="str">
        <f>IF(C2281=""," ",[1]!s_yq_pctchange($C2281,$N$1))</f>
        <v xml:space="preserve"> </v>
      </c>
      <c r="O2281" s="11"/>
      <c r="P2281" s="7"/>
    </row>
    <row r="2282" spans="1:16" x14ac:dyDescent="0.35">
      <c r="A2282" s="7"/>
      <c r="C2282" s="31" t="str">
        <f>IF(指数列表!B2279="","",指数列表!B2279)</f>
        <v/>
      </c>
      <c r="D2282" s="36" t="str">
        <f>IF(C2282="","",[1]!s_info_name(C2282))</f>
        <v/>
      </c>
      <c r="E2282" s="25" t="str">
        <f>IF(C2282="","",[1]!s_dq_close(C2282,$N$1))</f>
        <v/>
      </c>
      <c r="F2282" s="28" t="str">
        <f>IF($C2282=""," ",[1]!i_pq_pctchange($C2282,F$6,$N$1))</f>
        <v xml:space="preserve"> </v>
      </c>
      <c r="G2282" s="28" t="str">
        <f>IF($C2282=""," ",[1]!i_pq_pctchange($C2282,G$6,$N$1))</f>
        <v xml:space="preserve"> </v>
      </c>
      <c r="H2282" s="28" t="str">
        <f>IF($C2282=""," ",[1]!i_pq_pctchange($C2282,H$6,$N$1))</f>
        <v xml:space="preserve"> </v>
      </c>
      <c r="I2282" s="28" t="str">
        <f>IF($C2282=""," ",[1]!i_pq_pctchange($C2282,I$6,$N$1))</f>
        <v xml:space="preserve"> </v>
      </c>
      <c r="J2282" s="28" t="str">
        <f>IF($C2282=""," ",[1]!i_pq_pctchange($C2282,J$6,$N$1))</f>
        <v xml:space="preserve"> </v>
      </c>
      <c r="K2282" s="28" t="str">
        <f>IF($C2282=""," ",[1]!i_pq_pctchange($C2282,K$6,$N$1))</f>
        <v xml:space="preserve"> </v>
      </c>
      <c r="L2282" s="28" t="str">
        <f>IF(C2282=""," ",[1]!s_wq_pctchange($C2282,$N$1))</f>
        <v xml:space="preserve"> </v>
      </c>
      <c r="M2282" s="28" t="str">
        <f>IF(C2282=""," ",[1]!s_mq_pctchange($C2282,$N$1))</f>
        <v xml:space="preserve"> </v>
      </c>
      <c r="N2282" s="28" t="str">
        <f>IF(C2282=""," ",[1]!s_yq_pctchange($C2282,$N$1))</f>
        <v xml:space="preserve"> </v>
      </c>
      <c r="O2282" s="11"/>
      <c r="P2282" s="7"/>
    </row>
    <row r="2283" spans="1:16" x14ac:dyDescent="0.35">
      <c r="A2283" s="7"/>
      <c r="C2283" s="30" t="str">
        <f>IF(指数列表!B2280="","",指数列表!B2280)</f>
        <v/>
      </c>
      <c r="D2283" s="35" t="str">
        <f>IF(C2283="","",[1]!s_info_name(C2283))</f>
        <v/>
      </c>
      <c r="E2283" s="24" t="str">
        <f>IF(C2283="","",[1]!s_dq_close(C2283,$N$1))</f>
        <v/>
      </c>
      <c r="F2283" s="28" t="str">
        <f>IF($C2283=""," ",[1]!i_pq_pctchange($C2283,F$6,$N$1))</f>
        <v xml:space="preserve"> </v>
      </c>
      <c r="G2283" s="28" t="str">
        <f>IF($C2283=""," ",[1]!i_pq_pctchange($C2283,G$6,$N$1))</f>
        <v xml:space="preserve"> </v>
      </c>
      <c r="H2283" s="28" t="str">
        <f>IF($C2283=""," ",[1]!i_pq_pctchange($C2283,H$6,$N$1))</f>
        <v xml:space="preserve"> </v>
      </c>
      <c r="I2283" s="28" t="str">
        <f>IF($C2283=""," ",[1]!i_pq_pctchange($C2283,I$6,$N$1))</f>
        <v xml:space="preserve"> </v>
      </c>
      <c r="J2283" s="28" t="str">
        <f>IF($C2283=""," ",[1]!i_pq_pctchange($C2283,J$6,$N$1))</f>
        <v xml:space="preserve"> </v>
      </c>
      <c r="K2283" s="28" t="str">
        <f>IF($C2283=""," ",[1]!i_pq_pctchange($C2283,K$6,$N$1))</f>
        <v xml:space="preserve"> </v>
      </c>
      <c r="L2283" s="28" t="str">
        <f>IF(C2283=""," ",[1]!s_wq_pctchange($C2283,$N$1))</f>
        <v xml:space="preserve"> </v>
      </c>
      <c r="M2283" s="28" t="str">
        <f>IF(C2283=""," ",[1]!s_mq_pctchange($C2283,$N$1))</f>
        <v xml:space="preserve"> </v>
      </c>
      <c r="N2283" s="28" t="str">
        <f>IF(C2283=""," ",[1]!s_yq_pctchange($C2283,$N$1))</f>
        <v xml:space="preserve"> </v>
      </c>
      <c r="O2283" s="11"/>
      <c r="P2283" s="7"/>
    </row>
    <row r="2284" spans="1:16" x14ac:dyDescent="0.35">
      <c r="A2284" s="7"/>
      <c r="C2284" s="31" t="str">
        <f>IF(指数列表!B2281="","",指数列表!B2281)</f>
        <v/>
      </c>
      <c r="D2284" s="36" t="str">
        <f>IF(C2284="","",[1]!s_info_name(C2284))</f>
        <v/>
      </c>
      <c r="E2284" s="25" t="str">
        <f>IF(C2284="","",[1]!s_dq_close(C2284,$N$1))</f>
        <v/>
      </c>
      <c r="F2284" s="28" t="str">
        <f>IF($C2284=""," ",[1]!i_pq_pctchange($C2284,F$6,$N$1))</f>
        <v xml:space="preserve"> </v>
      </c>
      <c r="G2284" s="28" t="str">
        <f>IF($C2284=""," ",[1]!i_pq_pctchange($C2284,G$6,$N$1))</f>
        <v xml:space="preserve"> </v>
      </c>
      <c r="H2284" s="28" t="str">
        <f>IF($C2284=""," ",[1]!i_pq_pctchange($C2284,H$6,$N$1))</f>
        <v xml:space="preserve"> </v>
      </c>
      <c r="I2284" s="28" t="str">
        <f>IF($C2284=""," ",[1]!i_pq_pctchange($C2284,I$6,$N$1))</f>
        <v xml:space="preserve"> </v>
      </c>
      <c r="J2284" s="28" t="str">
        <f>IF($C2284=""," ",[1]!i_pq_pctchange($C2284,J$6,$N$1))</f>
        <v xml:space="preserve"> </v>
      </c>
      <c r="K2284" s="28" t="str">
        <f>IF($C2284=""," ",[1]!i_pq_pctchange($C2284,K$6,$N$1))</f>
        <v xml:space="preserve"> </v>
      </c>
      <c r="L2284" s="28" t="str">
        <f>IF(C2284=""," ",[1]!s_wq_pctchange($C2284,$N$1))</f>
        <v xml:space="preserve"> </v>
      </c>
      <c r="M2284" s="28" t="str">
        <f>IF(C2284=""," ",[1]!s_mq_pctchange($C2284,$N$1))</f>
        <v xml:space="preserve"> </v>
      </c>
      <c r="N2284" s="28" t="str">
        <f>IF(C2284=""," ",[1]!s_yq_pctchange($C2284,$N$1))</f>
        <v xml:space="preserve"> </v>
      </c>
      <c r="O2284" s="11"/>
      <c r="P2284" s="7"/>
    </row>
    <row r="2285" spans="1:16" x14ac:dyDescent="0.35">
      <c r="A2285" s="7"/>
      <c r="C2285" s="30" t="str">
        <f>IF(指数列表!B2282="","",指数列表!B2282)</f>
        <v/>
      </c>
      <c r="D2285" s="35" t="str">
        <f>IF(C2285="","",[1]!s_info_name(C2285))</f>
        <v/>
      </c>
      <c r="E2285" s="24" t="str">
        <f>IF(C2285="","",[1]!s_dq_close(C2285,$N$1))</f>
        <v/>
      </c>
      <c r="F2285" s="28" t="str">
        <f>IF($C2285=""," ",[1]!i_pq_pctchange($C2285,F$6,$N$1))</f>
        <v xml:space="preserve"> </v>
      </c>
      <c r="G2285" s="28" t="str">
        <f>IF($C2285=""," ",[1]!i_pq_pctchange($C2285,G$6,$N$1))</f>
        <v xml:space="preserve"> </v>
      </c>
      <c r="H2285" s="28" t="str">
        <f>IF($C2285=""," ",[1]!i_pq_pctchange($C2285,H$6,$N$1))</f>
        <v xml:space="preserve"> </v>
      </c>
      <c r="I2285" s="28" t="str">
        <f>IF($C2285=""," ",[1]!i_pq_pctchange($C2285,I$6,$N$1))</f>
        <v xml:space="preserve"> </v>
      </c>
      <c r="J2285" s="28" t="str">
        <f>IF($C2285=""," ",[1]!i_pq_pctchange($C2285,J$6,$N$1))</f>
        <v xml:space="preserve"> </v>
      </c>
      <c r="K2285" s="28" t="str">
        <f>IF($C2285=""," ",[1]!i_pq_pctchange($C2285,K$6,$N$1))</f>
        <v xml:space="preserve"> </v>
      </c>
      <c r="L2285" s="28" t="str">
        <f>IF(C2285=""," ",[1]!s_wq_pctchange($C2285,$N$1))</f>
        <v xml:space="preserve"> </v>
      </c>
      <c r="M2285" s="28" t="str">
        <f>IF(C2285=""," ",[1]!s_mq_pctchange($C2285,$N$1))</f>
        <v xml:space="preserve"> </v>
      </c>
      <c r="N2285" s="28" t="str">
        <f>IF(C2285=""," ",[1]!s_yq_pctchange($C2285,$N$1))</f>
        <v xml:space="preserve"> </v>
      </c>
      <c r="O2285" s="11"/>
      <c r="P2285" s="7"/>
    </row>
    <row r="2286" spans="1:16" x14ac:dyDescent="0.35">
      <c r="A2286" s="7"/>
      <c r="C2286" s="31" t="str">
        <f>IF(指数列表!B2283="","",指数列表!B2283)</f>
        <v/>
      </c>
      <c r="D2286" s="36" t="str">
        <f>IF(C2286="","",[1]!s_info_name(C2286))</f>
        <v/>
      </c>
      <c r="E2286" s="25" t="str">
        <f>IF(C2286="","",[1]!s_dq_close(C2286,$N$1))</f>
        <v/>
      </c>
      <c r="F2286" s="28" t="str">
        <f>IF($C2286=""," ",[1]!i_pq_pctchange($C2286,F$6,$N$1))</f>
        <v xml:space="preserve"> </v>
      </c>
      <c r="G2286" s="28" t="str">
        <f>IF($C2286=""," ",[1]!i_pq_pctchange($C2286,G$6,$N$1))</f>
        <v xml:space="preserve"> </v>
      </c>
      <c r="H2286" s="28" t="str">
        <f>IF($C2286=""," ",[1]!i_pq_pctchange($C2286,H$6,$N$1))</f>
        <v xml:space="preserve"> </v>
      </c>
      <c r="I2286" s="28" t="str">
        <f>IF($C2286=""," ",[1]!i_pq_pctchange($C2286,I$6,$N$1))</f>
        <v xml:space="preserve"> </v>
      </c>
      <c r="J2286" s="28" t="str">
        <f>IF($C2286=""," ",[1]!i_pq_pctchange($C2286,J$6,$N$1))</f>
        <v xml:space="preserve"> </v>
      </c>
      <c r="K2286" s="28" t="str">
        <f>IF($C2286=""," ",[1]!i_pq_pctchange($C2286,K$6,$N$1))</f>
        <v xml:space="preserve"> </v>
      </c>
      <c r="L2286" s="28" t="str">
        <f>IF(C2286=""," ",[1]!s_wq_pctchange($C2286,$N$1))</f>
        <v xml:space="preserve"> </v>
      </c>
      <c r="M2286" s="28" t="str">
        <f>IF(C2286=""," ",[1]!s_mq_pctchange($C2286,$N$1))</f>
        <v xml:space="preserve"> </v>
      </c>
      <c r="N2286" s="28" t="str">
        <f>IF(C2286=""," ",[1]!s_yq_pctchange($C2286,$N$1))</f>
        <v xml:space="preserve"> </v>
      </c>
      <c r="O2286" s="11"/>
      <c r="P2286" s="7"/>
    </row>
    <row r="2287" spans="1:16" x14ac:dyDescent="0.35">
      <c r="A2287" s="7"/>
      <c r="C2287" s="30" t="str">
        <f>IF(指数列表!B2284="","",指数列表!B2284)</f>
        <v/>
      </c>
      <c r="D2287" s="35" t="str">
        <f>IF(C2287="","",[1]!s_info_name(C2287))</f>
        <v/>
      </c>
      <c r="E2287" s="24" t="str">
        <f>IF(C2287="","",[1]!s_dq_close(C2287,$N$1))</f>
        <v/>
      </c>
      <c r="F2287" s="28" t="str">
        <f>IF($C2287=""," ",[1]!i_pq_pctchange($C2287,F$6,$N$1))</f>
        <v xml:space="preserve"> </v>
      </c>
      <c r="G2287" s="28" t="str">
        <f>IF($C2287=""," ",[1]!i_pq_pctchange($C2287,G$6,$N$1))</f>
        <v xml:space="preserve"> </v>
      </c>
      <c r="H2287" s="28" t="str">
        <f>IF($C2287=""," ",[1]!i_pq_pctchange($C2287,H$6,$N$1))</f>
        <v xml:space="preserve"> </v>
      </c>
      <c r="I2287" s="28" t="str">
        <f>IF($C2287=""," ",[1]!i_pq_pctchange($C2287,I$6,$N$1))</f>
        <v xml:space="preserve"> </v>
      </c>
      <c r="J2287" s="28" t="str">
        <f>IF($C2287=""," ",[1]!i_pq_pctchange($C2287,J$6,$N$1))</f>
        <v xml:space="preserve"> </v>
      </c>
      <c r="K2287" s="28" t="str">
        <f>IF($C2287=""," ",[1]!i_pq_pctchange($C2287,K$6,$N$1))</f>
        <v xml:space="preserve"> </v>
      </c>
      <c r="L2287" s="28" t="str">
        <f>IF(C2287=""," ",[1]!s_wq_pctchange($C2287,$N$1))</f>
        <v xml:space="preserve"> </v>
      </c>
      <c r="M2287" s="28" t="str">
        <f>IF(C2287=""," ",[1]!s_mq_pctchange($C2287,$N$1))</f>
        <v xml:space="preserve"> </v>
      </c>
      <c r="N2287" s="28" t="str">
        <f>IF(C2287=""," ",[1]!s_yq_pctchange($C2287,$N$1))</f>
        <v xml:space="preserve"> </v>
      </c>
      <c r="O2287" s="11"/>
      <c r="P2287" s="7"/>
    </row>
    <row r="2288" spans="1:16" x14ac:dyDescent="0.35">
      <c r="A2288" s="7"/>
      <c r="C2288" s="31" t="str">
        <f>IF(指数列表!B2285="","",指数列表!B2285)</f>
        <v/>
      </c>
      <c r="D2288" s="36" t="str">
        <f>IF(C2288="","",[1]!s_info_name(C2288))</f>
        <v/>
      </c>
      <c r="E2288" s="25" t="str">
        <f>IF(C2288="","",[1]!s_dq_close(C2288,$N$1))</f>
        <v/>
      </c>
      <c r="F2288" s="28" t="str">
        <f>IF($C2288=""," ",[1]!i_pq_pctchange($C2288,F$6,$N$1))</f>
        <v xml:space="preserve"> </v>
      </c>
      <c r="G2288" s="28" t="str">
        <f>IF($C2288=""," ",[1]!i_pq_pctchange($C2288,G$6,$N$1))</f>
        <v xml:space="preserve"> </v>
      </c>
      <c r="H2288" s="28" t="str">
        <f>IF($C2288=""," ",[1]!i_pq_pctchange($C2288,H$6,$N$1))</f>
        <v xml:space="preserve"> </v>
      </c>
      <c r="I2288" s="28" t="str">
        <f>IF($C2288=""," ",[1]!i_pq_pctchange($C2288,I$6,$N$1))</f>
        <v xml:space="preserve"> </v>
      </c>
      <c r="J2288" s="28" t="str">
        <f>IF($C2288=""," ",[1]!i_pq_pctchange($C2288,J$6,$N$1))</f>
        <v xml:space="preserve"> </v>
      </c>
      <c r="K2288" s="28" t="str">
        <f>IF($C2288=""," ",[1]!i_pq_pctchange($C2288,K$6,$N$1))</f>
        <v xml:space="preserve"> </v>
      </c>
      <c r="L2288" s="28" t="str">
        <f>IF(C2288=""," ",[1]!s_wq_pctchange($C2288,$N$1))</f>
        <v xml:space="preserve"> </v>
      </c>
      <c r="M2288" s="28" t="str">
        <f>IF(C2288=""," ",[1]!s_mq_pctchange($C2288,$N$1))</f>
        <v xml:space="preserve"> </v>
      </c>
      <c r="N2288" s="28" t="str">
        <f>IF(C2288=""," ",[1]!s_yq_pctchange($C2288,$N$1))</f>
        <v xml:space="preserve"> </v>
      </c>
      <c r="O2288" s="11"/>
      <c r="P2288" s="7"/>
    </row>
    <row r="2289" spans="1:16" x14ac:dyDescent="0.35">
      <c r="A2289" s="7"/>
      <c r="C2289" s="30" t="str">
        <f>IF(指数列表!B2286="","",指数列表!B2286)</f>
        <v/>
      </c>
      <c r="D2289" s="35" t="str">
        <f>IF(C2289="","",[1]!s_info_name(C2289))</f>
        <v/>
      </c>
      <c r="E2289" s="24" t="str">
        <f>IF(C2289="","",[1]!s_dq_close(C2289,$N$1))</f>
        <v/>
      </c>
      <c r="F2289" s="28" t="str">
        <f>IF($C2289=""," ",[1]!i_pq_pctchange($C2289,F$6,$N$1))</f>
        <v xml:space="preserve"> </v>
      </c>
      <c r="G2289" s="28" t="str">
        <f>IF($C2289=""," ",[1]!i_pq_pctchange($C2289,G$6,$N$1))</f>
        <v xml:space="preserve"> </v>
      </c>
      <c r="H2289" s="28" t="str">
        <f>IF($C2289=""," ",[1]!i_pq_pctchange($C2289,H$6,$N$1))</f>
        <v xml:space="preserve"> </v>
      </c>
      <c r="I2289" s="28" t="str">
        <f>IF($C2289=""," ",[1]!i_pq_pctchange($C2289,I$6,$N$1))</f>
        <v xml:space="preserve"> </v>
      </c>
      <c r="J2289" s="28" t="str">
        <f>IF($C2289=""," ",[1]!i_pq_pctchange($C2289,J$6,$N$1))</f>
        <v xml:space="preserve"> </v>
      </c>
      <c r="K2289" s="28" t="str">
        <f>IF($C2289=""," ",[1]!i_pq_pctchange($C2289,K$6,$N$1))</f>
        <v xml:space="preserve"> </v>
      </c>
      <c r="L2289" s="28" t="str">
        <f>IF(C2289=""," ",[1]!s_wq_pctchange($C2289,$N$1))</f>
        <v xml:space="preserve"> </v>
      </c>
      <c r="M2289" s="28" t="str">
        <f>IF(C2289=""," ",[1]!s_mq_pctchange($C2289,$N$1))</f>
        <v xml:space="preserve"> </v>
      </c>
      <c r="N2289" s="28" t="str">
        <f>IF(C2289=""," ",[1]!s_yq_pctchange($C2289,$N$1))</f>
        <v xml:space="preserve"> </v>
      </c>
      <c r="O2289" s="11"/>
      <c r="P2289" s="7"/>
    </row>
    <row r="2290" spans="1:16" x14ac:dyDescent="0.35">
      <c r="A2290" s="7"/>
      <c r="C2290" s="31" t="str">
        <f>IF(指数列表!B2287="","",指数列表!B2287)</f>
        <v/>
      </c>
      <c r="D2290" s="36" t="str">
        <f>IF(C2290="","",[1]!s_info_name(C2290))</f>
        <v/>
      </c>
      <c r="E2290" s="25" t="str">
        <f>IF(C2290="","",[1]!s_dq_close(C2290,$N$1))</f>
        <v/>
      </c>
      <c r="F2290" s="28" t="str">
        <f>IF($C2290=""," ",[1]!i_pq_pctchange($C2290,F$6,$N$1))</f>
        <v xml:space="preserve"> </v>
      </c>
      <c r="G2290" s="28" t="str">
        <f>IF($C2290=""," ",[1]!i_pq_pctchange($C2290,G$6,$N$1))</f>
        <v xml:space="preserve"> </v>
      </c>
      <c r="H2290" s="28" t="str">
        <f>IF($C2290=""," ",[1]!i_pq_pctchange($C2290,H$6,$N$1))</f>
        <v xml:space="preserve"> </v>
      </c>
      <c r="I2290" s="28" t="str">
        <f>IF($C2290=""," ",[1]!i_pq_pctchange($C2290,I$6,$N$1))</f>
        <v xml:space="preserve"> </v>
      </c>
      <c r="J2290" s="28" t="str">
        <f>IF($C2290=""," ",[1]!i_pq_pctchange($C2290,J$6,$N$1))</f>
        <v xml:space="preserve"> </v>
      </c>
      <c r="K2290" s="28" t="str">
        <f>IF($C2290=""," ",[1]!i_pq_pctchange($C2290,K$6,$N$1))</f>
        <v xml:space="preserve"> </v>
      </c>
      <c r="L2290" s="28" t="str">
        <f>IF(C2290=""," ",[1]!s_wq_pctchange($C2290,$N$1))</f>
        <v xml:space="preserve"> </v>
      </c>
      <c r="M2290" s="28" t="str">
        <f>IF(C2290=""," ",[1]!s_mq_pctchange($C2290,$N$1))</f>
        <v xml:space="preserve"> </v>
      </c>
      <c r="N2290" s="28" t="str">
        <f>IF(C2290=""," ",[1]!s_yq_pctchange($C2290,$N$1))</f>
        <v xml:space="preserve"> </v>
      </c>
      <c r="O2290" s="11"/>
      <c r="P2290" s="7"/>
    </row>
    <row r="2291" spans="1:16" x14ac:dyDescent="0.35">
      <c r="A2291" s="7"/>
      <c r="C2291" s="30" t="str">
        <f>IF(指数列表!B2288="","",指数列表!B2288)</f>
        <v/>
      </c>
      <c r="D2291" s="35" t="str">
        <f>IF(C2291="","",[1]!s_info_name(C2291))</f>
        <v/>
      </c>
      <c r="E2291" s="24" t="str">
        <f>IF(C2291="","",[1]!s_dq_close(C2291,$N$1))</f>
        <v/>
      </c>
      <c r="F2291" s="28" t="str">
        <f>IF($C2291=""," ",[1]!i_pq_pctchange($C2291,F$6,$N$1))</f>
        <v xml:space="preserve"> </v>
      </c>
      <c r="G2291" s="28" t="str">
        <f>IF($C2291=""," ",[1]!i_pq_pctchange($C2291,G$6,$N$1))</f>
        <v xml:space="preserve"> </v>
      </c>
      <c r="H2291" s="28" t="str">
        <f>IF($C2291=""," ",[1]!i_pq_pctchange($C2291,H$6,$N$1))</f>
        <v xml:space="preserve"> </v>
      </c>
      <c r="I2291" s="28" t="str">
        <f>IF($C2291=""," ",[1]!i_pq_pctchange($C2291,I$6,$N$1))</f>
        <v xml:space="preserve"> </v>
      </c>
      <c r="J2291" s="28" t="str">
        <f>IF($C2291=""," ",[1]!i_pq_pctchange($C2291,J$6,$N$1))</f>
        <v xml:space="preserve"> </v>
      </c>
      <c r="K2291" s="28" t="str">
        <f>IF($C2291=""," ",[1]!i_pq_pctchange($C2291,K$6,$N$1))</f>
        <v xml:space="preserve"> </v>
      </c>
      <c r="L2291" s="28" t="str">
        <f>IF(C2291=""," ",[1]!s_wq_pctchange($C2291,$N$1))</f>
        <v xml:space="preserve"> </v>
      </c>
      <c r="M2291" s="28" t="str">
        <f>IF(C2291=""," ",[1]!s_mq_pctchange($C2291,$N$1))</f>
        <v xml:space="preserve"> </v>
      </c>
      <c r="N2291" s="28" t="str">
        <f>IF(C2291=""," ",[1]!s_yq_pctchange($C2291,$N$1))</f>
        <v xml:space="preserve"> </v>
      </c>
      <c r="O2291" s="11"/>
      <c r="P2291" s="7"/>
    </row>
    <row r="2292" spans="1:16" x14ac:dyDescent="0.35">
      <c r="A2292" s="7"/>
      <c r="C2292" s="31" t="str">
        <f>IF(指数列表!B2289="","",指数列表!B2289)</f>
        <v/>
      </c>
      <c r="D2292" s="36" t="str">
        <f>IF(C2292="","",[1]!s_info_name(C2292))</f>
        <v/>
      </c>
      <c r="E2292" s="25" t="str">
        <f>IF(C2292="","",[1]!s_dq_close(C2292,$N$1))</f>
        <v/>
      </c>
      <c r="F2292" s="28" t="str">
        <f>IF($C2292=""," ",[1]!i_pq_pctchange($C2292,F$6,$N$1))</f>
        <v xml:space="preserve"> </v>
      </c>
      <c r="G2292" s="28" t="str">
        <f>IF($C2292=""," ",[1]!i_pq_pctchange($C2292,G$6,$N$1))</f>
        <v xml:space="preserve"> </v>
      </c>
      <c r="H2292" s="28" t="str">
        <f>IF($C2292=""," ",[1]!i_pq_pctchange($C2292,H$6,$N$1))</f>
        <v xml:space="preserve"> </v>
      </c>
      <c r="I2292" s="28" t="str">
        <f>IF($C2292=""," ",[1]!i_pq_pctchange($C2292,I$6,$N$1))</f>
        <v xml:space="preserve"> </v>
      </c>
      <c r="J2292" s="28" t="str">
        <f>IF($C2292=""," ",[1]!i_pq_pctchange($C2292,J$6,$N$1))</f>
        <v xml:space="preserve"> </v>
      </c>
      <c r="K2292" s="28" t="str">
        <f>IF($C2292=""," ",[1]!i_pq_pctchange($C2292,K$6,$N$1))</f>
        <v xml:space="preserve"> </v>
      </c>
      <c r="L2292" s="28" t="str">
        <f>IF(C2292=""," ",[1]!s_wq_pctchange($C2292,$N$1))</f>
        <v xml:space="preserve"> </v>
      </c>
      <c r="M2292" s="28" t="str">
        <f>IF(C2292=""," ",[1]!s_mq_pctchange($C2292,$N$1))</f>
        <v xml:space="preserve"> </v>
      </c>
      <c r="N2292" s="28" t="str">
        <f>IF(C2292=""," ",[1]!s_yq_pctchange($C2292,$N$1))</f>
        <v xml:space="preserve"> </v>
      </c>
      <c r="O2292" s="11"/>
      <c r="P2292" s="7"/>
    </row>
    <row r="2293" spans="1:16" x14ac:dyDescent="0.35">
      <c r="A2293" s="7"/>
      <c r="C2293" s="30" t="str">
        <f>IF(指数列表!B2290="","",指数列表!B2290)</f>
        <v/>
      </c>
      <c r="D2293" s="35" t="str">
        <f>IF(C2293="","",[1]!s_info_name(C2293))</f>
        <v/>
      </c>
      <c r="E2293" s="24" t="str">
        <f>IF(C2293="","",[1]!s_dq_close(C2293,$N$1))</f>
        <v/>
      </c>
      <c r="F2293" s="28" t="str">
        <f>IF($C2293=""," ",[1]!i_pq_pctchange($C2293,F$6,$N$1))</f>
        <v xml:space="preserve"> </v>
      </c>
      <c r="G2293" s="28" t="str">
        <f>IF($C2293=""," ",[1]!i_pq_pctchange($C2293,G$6,$N$1))</f>
        <v xml:space="preserve"> </v>
      </c>
      <c r="H2293" s="28" t="str">
        <f>IF($C2293=""," ",[1]!i_pq_pctchange($C2293,H$6,$N$1))</f>
        <v xml:space="preserve"> </v>
      </c>
      <c r="I2293" s="28" t="str">
        <f>IF($C2293=""," ",[1]!i_pq_pctchange($C2293,I$6,$N$1))</f>
        <v xml:space="preserve"> </v>
      </c>
      <c r="J2293" s="28" t="str">
        <f>IF($C2293=""," ",[1]!i_pq_pctchange($C2293,J$6,$N$1))</f>
        <v xml:space="preserve"> </v>
      </c>
      <c r="K2293" s="28" t="str">
        <f>IF($C2293=""," ",[1]!i_pq_pctchange($C2293,K$6,$N$1))</f>
        <v xml:space="preserve"> </v>
      </c>
      <c r="L2293" s="28" t="str">
        <f>IF(C2293=""," ",[1]!s_wq_pctchange($C2293,$N$1))</f>
        <v xml:space="preserve"> </v>
      </c>
      <c r="M2293" s="28" t="str">
        <f>IF(C2293=""," ",[1]!s_mq_pctchange($C2293,$N$1))</f>
        <v xml:space="preserve"> </v>
      </c>
      <c r="N2293" s="28" t="str">
        <f>IF(C2293=""," ",[1]!s_yq_pctchange($C2293,$N$1))</f>
        <v xml:space="preserve"> </v>
      </c>
      <c r="O2293" s="11"/>
      <c r="P2293" s="7"/>
    </row>
    <row r="2294" spans="1:16" x14ac:dyDescent="0.35">
      <c r="A2294" s="7"/>
      <c r="C2294" s="31" t="str">
        <f>IF(指数列表!B2291="","",指数列表!B2291)</f>
        <v/>
      </c>
      <c r="D2294" s="36" t="str">
        <f>IF(C2294="","",[1]!s_info_name(C2294))</f>
        <v/>
      </c>
      <c r="E2294" s="25" t="str">
        <f>IF(C2294="","",[1]!s_dq_close(C2294,$N$1))</f>
        <v/>
      </c>
      <c r="F2294" s="28" t="str">
        <f>IF($C2294=""," ",[1]!i_pq_pctchange($C2294,F$6,$N$1))</f>
        <v xml:space="preserve"> </v>
      </c>
      <c r="G2294" s="28" t="str">
        <f>IF($C2294=""," ",[1]!i_pq_pctchange($C2294,G$6,$N$1))</f>
        <v xml:space="preserve"> </v>
      </c>
      <c r="H2294" s="28" t="str">
        <f>IF($C2294=""," ",[1]!i_pq_pctchange($C2294,H$6,$N$1))</f>
        <v xml:space="preserve"> </v>
      </c>
      <c r="I2294" s="28" t="str">
        <f>IF($C2294=""," ",[1]!i_pq_pctchange($C2294,I$6,$N$1))</f>
        <v xml:space="preserve"> </v>
      </c>
      <c r="J2294" s="28" t="str">
        <f>IF($C2294=""," ",[1]!i_pq_pctchange($C2294,J$6,$N$1))</f>
        <v xml:space="preserve"> </v>
      </c>
      <c r="K2294" s="28" t="str">
        <f>IF($C2294=""," ",[1]!i_pq_pctchange($C2294,K$6,$N$1))</f>
        <v xml:space="preserve"> </v>
      </c>
      <c r="L2294" s="28" t="str">
        <f>IF(C2294=""," ",[1]!s_wq_pctchange($C2294,$N$1))</f>
        <v xml:space="preserve"> </v>
      </c>
      <c r="M2294" s="28" t="str">
        <f>IF(C2294=""," ",[1]!s_mq_pctchange($C2294,$N$1))</f>
        <v xml:space="preserve"> </v>
      </c>
      <c r="N2294" s="28" t="str">
        <f>IF(C2294=""," ",[1]!s_yq_pctchange($C2294,$N$1))</f>
        <v xml:space="preserve"> </v>
      </c>
      <c r="O2294" s="11"/>
      <c r="P2294" s="7"/>
    </row>
    <row r="2295" spans="1:16" x14ac:dyDescent="0.35">
      <c r="A2295" s="7"/>
      <c r="C2295" s="30" t="str">
        <f>IF(指数列表!B2292="","",指数列表!B2292)</f>
        <v/>
      </c>
      <c r="D2295" s="35" t="str">
        <f>IF(C2295="","",[1]!s_info_name(C2295))</f>
        <v/>
      </c>
      <c r="E2295" s="24" t="str">
        <f>IF(C2295="","",[1]!s_dq_close(C2295,$N$1))</f>
        <v/>
      </c>
      <c r="F2295" s="28" t="str">
        <f>IF($C2295=""," ",[1]!i_pq_pctchange($C2295,F$6,$N$1))</f>
        <v xml:space="preserve"> </v>
      </c>
      <c r="G2295" s="28" t="str">
        <f>IF($C2295=""," ",[1]!i_pq_pctchange($C2295,G$6,$N$1))</f>
        <v xml:space="preserve"> </v>
      </c>
      <c r="H2295" s="28" t="str">
        <f>IF($C2295=""," ",[1]!i_pq_pctchange($C2295,H$6,$N$1))</f>
        <v xml:space="preserve"> </v>
      </c>
      <c r="I2295" s="28" t="str">
        <f>IF($C2295=""," ",[1]!i_pq_pctchange($C2295,I$6,$N$1))</f>
        <v xml:space="preserve"> </v>
      </c>
      <c r="J2295" s="28" t="str">
        <f>IF($C2295=""," ",[1]!i_pq_pctchange($C2295,J$6,$N$1))</f>
        <v xml:space="preserve"> </v>
      </c>
      <c r="K2295" s="28" t="str">
        <f>IF($C2295=""," ",[1]!i_pq_pctchange($C2295,K$6,$N$1))</f>
        <v xml:space="preserve"> </v>
      </c>
      <c r="L2295" s="28" t="str">
        <f>IF(C2295=""," ",[1]!s_wq_pctchange($C2295,$N$1))</f>
        <v xml:space="preserve"> </v>
      </c>
      <c r="M2295" s="28" t="str">
        <f>IF(C2295=""," ",[1]!s_mq_pctchange($C2295,$N$1))</f>
        <v xml:space="preserve"> </v>
      </c>
      <c r="N2295" s="28" t="str">
        <f>IF(C2295=""," ",[1]!s_yq_pctchange($C2295,$N$1))</f>
        <v xml:space="preserve"> </v>
      </c>
      <c r="O2295" s="11"/>
      <c r="P2295" s="7"/>
    </row>
    <row r="2296" spans="1:16" x14ac:dyDescent="0.35">
      <c r="A2296" s="7"/>
      <c r="C2296" s="31" t="str">
        <f>IF(指数列表!B2293="","",指数列表!B2293)</f>
        <v/>
      </c>
      <c r="D2296" s="36" t="str">
        <f>IF(C2296="","",[1]!s_info_name(C2296))</f>
        <v/>
      </c>
      <c r="E2296" s="25" t="str">
        <f>IF(C2296="","",[1]!s_dq_close(C2296,$N$1))</f>
        <v/>
      </c>
      <c r="F2296" s="28" t="str">
        <f>IF($C2296=""," ",[1]!i_pq_pctchange($C2296,F$6,$N$1))</f>
        <v xml:space="preserve"> </v>
      </c>
      <c r="G2296" s="28" t="str">
        <f>IF($C2296=""," ",[1]!i_pq_pctchange($C2296,G$6,$N$1))</f>
        <v xml:space="preserve"> </v>
      </c>
      <c r="H2296" s="28" t="str">
        <f>IF($C2296=""," ",[1]!i_pq_pctchange($C2296,H$6,$N$1))</f>
        <v xml:space="preserve"> </v>
      </c>
      <c r="I2296" s="28" t="str">
        <f>IF($C2296=""," ",[1]!i_pq_pctchange($C2296,I$6,$N$1))</f>
        <v xml:space="preserve"> </v>
      </c>
      <c r="J2296" s="28" t="str">
        <f>IF($C2296=""," ",[1]!i_pq_pctchange($C2296,J$6,$N$1))</f>
        <v xml:space="preserve"> </v>
      </c>
      <c r="K2296" s="28" t="str">
        <f>IF($C2296=""," ",[1]!i_pq_pctchange($C2296,K$6,$N$1))</f>
        <v xml:space="preserve"> </v>
      </c>
      <c r="L2296" s="28" t="str">
        <f>IF(C2296=""," ",[1]!s_wq_pctchange($C2296,$N$1))</f>
        <v xml:space="preserve"> </v>
      </c>
      <c r="M2296" s="28" t="str">
        <f>IF(C2296=""," ",[1]!s_mq_pctchange($C2296,$N$1))</f>
        <v xml:space="preserve"> </v>
      </c>
      <c r="N2296" s="28" t="str">
        <f>IF(C2296=""," ",[1]!s_yq_pctchange($C2296,$N$1))</f>
        <v xml:space="preserve"> </v>
      </c>
      <c r="O2296" s="11"/>
      <c r="P2296" s="7"/>
    </row>
    <row r="2297" spans="1:16" x14ac:dyDescent="0.35">
      <c r="A2297" s="7"/>
      <c r="C2297" s="30" t="str">
        <f>IF(指数列表!B2294="","",指数列表!B2294)</f>
        <v/>
      </c>
      <c r="D2297" s="35" t="str">
        <f>IF(C2297="","",[1]!s_info_name(C2297))</f>
        <v/>
      </c>
      <c r="E2297" s="24" t="str">
        <f>IF(C2297="","",[1]!s_dq_close(C2297,$N$1))</f>
        <v/>
      </c>
      <c r="F2297" s="28" t="str">
        <f>IF($C2297=""," ",[1]!i_pq_pctchange($C2297,F$6,$N$1))</f>
        <v xml:space="preserve"> </v>
      </c>
      <c r="G2297" s="28" t="str">
        <f>IF($C2297=""," ",[1]!i_pq_pctchange($C2297,G$6,$N$1))</f>
        <v xml:space="preserve"> </v>
      </c>
      <c r="H2297" s="28" t="str">
        <f>IF($C2297=""," ",[1]!i_pq_pctchange($C2297,H$6,$N$1))</f>
        <v xml:space="preserve"> </v>
      </c>
      <c r="I2297" s="28" t="str">
        <f>IF($C2297=""," ",[1]!i_pq_pctchange($C2297,I$6,$N$1))</f>
        <v xml:space="preserve"> </v>
      </c>
      <c r="J2297" s="28" t="str">
        <f>IF($C2297=""," ",[1]!i_pq_pctchange($C2297,J$6,$N$1))</f>
        <v xml:space="preserve"> </v>
      </c>
      <c r="K2297" s="28" t="str">
        <f>IF($C2297=""," ",[1]!i_pq_pctchange($C2297,K$6,$N$1))</f>
        <v xml:space="preserve"> </v>
      </c>
      <c r="L2297" s="28" t="str">
        <f>IF(C2297=""," ",[1]!s_wq_pctchange($C2297,$N$1))</f>
        <v xml:space="preserve"> </v>
      </c>
      <c r="M2297" s="28" t="str">
        <f>IF(C2297=""," ",[1]!s_mq_pctchange($C2297,$N$1))</f>
        <v xml:space="preserve"> </v>
      </c>
      <c r="N2297" s="28" t="str">
        <f>IF(C2297=""," ",[1]!s_yq_pctchange($C2297,$N$1))</f>
        <v xml:space="preserve"> </v>
      </c>
      <c r="O2297" s="11"/>
      <c r="P2297" s="7"/>
    </row>
    <row r="2298" spans="1:16" x14ac:dyDescent="0.35">
      <c r="A2298" s="7"/>
      <c r="C2298" s="31" t="str">
        <f>IF(指数列表!B2295="","",指数列表!B2295)</f>
        <v/>
      </c>
      <c r="D2298" s="36" t="str">
        <f>IF(C2298="","",[1]!s_info_name(C2298))</f>
        <v/>
      </c>
      <c r="E2298" s="25" t="str">
        <f>IF(C2298="","",[1]!s_dq_close(C2298,$N$1))</f>
        <v/>
      </c>
      <c r="F2298" s="28" t="str">
        <f>IF($C2298=""," ",[1]!i_pq_pctchange($C2298,F$6,$N$1))</f>
        <v xml:space="preserve"> </v>
      </c>
      <c r="G2298" s="28" t="str">
        <f>IF($C2298=""," ",[1]!i_pq_pctchange($C2298,G$6,$N$1))</f>
        <v xml:space="preserve"> </v>
      </c>
      <c r="H2298" s="28" t="str">
        <f>IF($C2298=""," ",[1]!i_pq_pctchange($C2298,H$6,$N$1))</f>
        <v xml:space="preserve"> </v>
      </c>
      <c r="I2298" s="28" t="str">
        <f>IF($C2298=""," ",[1]!i_pq_pctchange($C2298,I$6,$N$1))</f>
        <v xml:space="preserve"> </v>
      </c>
      <c r="J2298" s="28" t="str">
        <f>IF($C2298=""," ",[1]!i_pq_pctchange($C2298,J$6,$N$1))</f>
        <v xml:space="preserve"> </v>
      </c>
      <c r="K2298" s="28" t="str">
        <f>IF($C2298=""," ",[1]!i_pq_pctchange($C2298,K$6,$N$1))</f>
        <v xml:space="preserve"> </v>
      </c>
      <c r="L2298" s="28" t="str">
        <f>IF(C2298=""," ",[1]!s_wq_pctchange($C2298,$N$1))</f>
        <v xml:space="preserve"> </v>
      </c>
      <c r="M2298" s="28" t="str">
        <f>IF(C2298=""," ",[1]!s_mq_pctchange($C2298,$N$1))</f>
        <v xml:space="preserve"> </v>
      </c>
      <c r="N2298" s="28" t="str">
        <f>IF(C2298=""," ",[1]!s_yq_pctchange($C2298,$N$1))</f>
        <v xml:space="preserve"> </v>
      </c>
      <c r="O2298" s="11"/>
      <c r="P2298" s="7"/>
    </row>
    <row r="2299" spans="1:16" x14ac:dyDescent="0.35">
      <c r="A2299" s="7"/>
      <c r="C2299" s="30" t="str">
        <f>IF(指数列表!B2296="","",指数列表!B2296)</f>
        <v/>
      </c>
      <c r="D2299" s="35" t="str">
        <f>IF(C2299="","",[1]!s_info_name(C2299))</f>
        <v/>
      </c>
      <c r="E2299" s="24" t="str">
        <f>IF(C2299="","",[1]!s_dq_close(C2299,$N$1))</f>
        <v/>
      </c>
      <c r="F2299" s="28" t="str">
        <f>IF($C2299=""," ",[1]!i_pq_pctchange($C2299,F$6,$N$1))</f>
        <v xml:space="preserve"> </v>
      </c>
      <c r="G2299" s="28" t="str">
        <f>IF($C2299=""," ",[1]!i_pq_pctchange($C2299,G$6,$N$1))</f>
        <v xml:space="preserve"> </v>
      </c>
      <c r="H2299" s="28" t="str">
        <f>IF($C2299=""," ",[1]!i_pq_pctchange($C2299,H$6,$N$1))</f>
        <v xml:space="preserve"> </v>
      </c>
      <c r="I2299" s="28" t="str">
        <f>IF($C2299=""," ",[1]!i_pq_pctchange($C2299,I$6,$N$1))</f>
        <v xml:space="preserve"> </v>
      </c>
      <c r="J2299" s="28" t="str">
        <f>IF($C2299=""," ",[1]!i_pq_pctchange($C2299,J$6,$N$1))</f>
        <v xml:space="preserve"> </v>
      </c>
      <c r="K2299" s="28" t="str">
        <f>IF($C2299=""," ",[1]!i_pq_pctchange($C2299,K$6,$N$1))</f>
        <v xml:space="preserve"> </v>
      </c>
      <c r="L2299" s="28" t="str">
        <f>IF(C2299=""," ",[1]!s_wq_pctchange($C2299,$N$1))</f>
        <v xml:space="preserve"> </v>
      </c>
      <c r="M2299" s="28" t="str">
        <f>IF(C2299=""," ",[1]!s_mq_pctchange($C2299,$N$1))</f>
        <v xml:space="preserve"> </v>
      </c>
      <c r="N2299" s="28" t="str">
        <f>IF(C2299=""," ",[1]!s_yq_pctchange($C2299,$N$1))</f>
        <v xml:space="preserve"> </v>
      </c>
      <c r="O2299" s="11"/>
      <c r="P2299" s="7"/>
    </row>
    <row r="2300" spans="1:16" x14ac:dyDescent="0.35">
      <c r="A2300" s="7"/>
      <c r="C2300" s="31" t="str">
        <f>IF(指数列表!B2297="","",指数列表!B2297)</f>
        <v/>
      </c>
      <c r="D2300" s="36" t="str">
        <f>IF(C2300="","",[1]!s_info_name(C2300))</f>
        <v/>
      </c>
      <c r="E2300" s="25" t="str">
        <f>IF(C2300="","",[1]!s_dq_close(C2300,$N$1))</f>
        <v/>
      </c>
      <c r="F2300" s="28" t="str">
        <f>IF($C2300=""," ",[1]!i_pq_pctchange($C2300,F$6,$N$1))</f>
        <v xml:space="preserve"> </v>
      </c>
      <c r="G2300" s="28" t="str">
        <f>IF($C2300=""," ",[1]!i_pq_pctchange($C2300,G$6,$N$1))</f>
        <v xml:space="preserve"> </v>
      </c>
      <c r="H2300" s="28" t="str">
        <f>IF($C2300=""," ",[1]!i_pq_pctchange($C2300,H$6,$N$1))</f>
        <v xml:space="preserve"> </v>
      </c>
      <c r="I2300" s="28" t="str">
        <f>IF($C2300=""," ",[1]!i_pq_pctchange($C2300,I$6,$N$1))</f>
        <v xml:space="preserve"> </v>
      </c>
      <c r="J2300" s="28" t="str">
        <f>IF($C2300=""," ",[1]!i_pq_pctchange($C2300,J$6,$N$1))</f>
        <v xml:space="preserve"> </v>
      </c>
      <c r="K2300" s="28" t="str">
        <f>IF($C2300=""," ",[1]!i_pq_pctchange($C2300,K$6,$N$1))</f>
        <v xml:space="preserve"> </v>
      </c>
      <c r="L2300" s="28" t="str">
        <f>IF(C2300=""," ",[1]!s_wq_pctchange($C2300,$N$1))</f>
        <v xml:space="preserve"> </v>
      </c>
      <c r="M2300" s="28" t="str">
        <f>IF(C2300=""," ",[1]!s_mq_pctchange($C2300,$N$1))</f>
        <v xml:space="preserve"> </v>
      </c>
      <c r="N2300" s="28" t="str">
        <f>IF(C2300=""," ",[1]!s_yq_pctchange($C2300,$N$1))</f>
        <v xml:space="preserve"> </v>
      </c>
      <c r="O2300" s="11"/>
      <c r="P2300" s="7"/>
    </row>
    <row r="2301" spans="1:16" x14ac:dyDescent="0.35">
      <c r="A2301" s="7"/>
      <c r="C2301" s="30" t="str">
        <f>IF(指数列表!B2298="","",指数列表!B2298)</f>
        <v/>
      </c>
      <c r="D2301" s="35" t="str">
        <f>IF(C2301="","",[1]!s_info_name(C2301))</f>
        <v/>
      </c>
      <c r="E2301" s="24" t="str">
        <f>IF(C2301="","",[1]!s_dq_close(C2301,$N$1))</f>
        <v/>
      </c>
      <c r="F2301" s="28" t="str">
        <f>IF($C2301=""," ",[1]!i_pq_pctchange($C2301,F$6,$N$1))</f>
        <v xml:space="preserve"> </v>
      </c>
      <c r="G2301" s="28" t="str">
        <f>IF($C2301=""," ",[1]!i_pq_pctchange($C2301,G$6,$N$1))</f>
        <v xml:space="preserve"> </v>
      </c>
      <c r="H2301" s="28" t="str">
        <f>IF($C2301=""," ",[1]!i_pq_pctchange($C2301,H$6,$N$1))</f>
        <v xml:space="preserve"> </v>
      </c>
      <c r="I2301" s="28" t="str">
        <f>IF($C2301=""," ",[1]!i_pq_pctchange($C2301,I$6,$N$1))</f>
        <v xml:space="preserve"> </v>
      </c>
      <c r="J2301" s="28" t="str">
        <f>IF($C2301=""," ",[1]!i_pq_pctchange($C2301,J$6,$N$1))</f>
        <v xml:space="preserve"> </v>
      </c>
      <c r="K2301" s="28" t="str">
        <f>IF($C2301=""," ",[1]!i_pq_pctchange($C2301,K$6,$N$1))</f>
        <v xml:space="preserve"> </v>
      </c>
      <c r="L2301" s="28" t="str">
        <f>IF(C2301=""," ",[1]!s_wq_pctchange($C2301,$N$1))</f>
        <v xml:space="preserve"> </v>
      </c>
      <c r="M2301" s="28" t="str">
        <f>IF(C2301=""," ",[1]!s_mq_pctchange($C2301,$N$1))</f>
        <v xml:space="preserve"> </v>
      </c>
      <c r="N2301" s="28" t="str">
        <f>IF(C2301=""," ",[1]!s_yq_pctchange($C2301,$N$1))</f>
        <v xml:space="preserve"> </v>
      </c>
      <c r="O2301" s="11"/>
      <c r="P2301" s="7"/>
    </row>
    <row r="2302" spans="1:16" x14ac:dyDescent="0.35">
      <c r="A2302" s="7"/>
      <c r="C2302" s="31" t="str">
        <f>IF(指数列表!B2299="","",指数列表!B2299)</f>
        <v/>
      </c>
      <c r="D2302" s="36" t="str">
        <f>IF(C2302="","",[1]!s_info_name(C2302))</f>
        <v/>
      </c>
      <c r="E2302" s="25" t="str">
        <f>IF(C2302="","",[1]!s_dq_close(C2302,$N$1))</f>
        <v/>
      </c>
      <c r="F2302" s="28" t="str">
        <f>IF($C2302=""," ",[1]!i_pq_pctchange($C2302,F$6,$N$1))</f>
        <v xml:space="preserve"> </v>
      </c>
      <c r="G2302" s="28" t="str">
        <f>IF($C2302=""," ",[1]!i_pq_pctchange($C2302,G$6,$N$1))</f>
        <v xml:space="preserve"> </v>
      </c>
      <c r="H2302" s="28" t="str">
        <f>IF($C2302=""," ",[1]!i_pq_pctchange($C2302,H$6,$N$1))</f>
        <v xml:space="preserve"> </v>
      </c>
      <c r="I2302" s="28" t="str">
        <f>IF($C2302=""," ",[1]!i_pq_pctchange($C2302,I$6,$N$1))</f>
        <v xml:space="preserve"> </v>
      </c>
      <c r="J2302" s="28" t="str">
        <f>IF($C2302=""," ",[1]!i_pq_pctchange($C2302,J$6,$N$1))</f>
        <v xml:space="preserve"> </v>
      </c>
      <c r="K2302" s="28" t="str">
        <f>IF($C2302=""," ",[1]!i_pq_pctchange($C2302,K$6,$N$1))</f>
        <v xml:space="preserve"> </v>
      </c>
      <c r="L2302" s="28" t="str">
        <f>IF(C2302=""," ",[1]!s_wq_pctchange($C2302,$N$1))</f>
        <v xml:space="preserve"> </v>
      </c>
      <c r="M2302" s="28" t="str">
        <f>IF(C2302=""," ",[1]!s_mq_pctchange($C2302,$N$1))</f>
        <v xml:space="preserve"> </v>
      </c>
      <c r="N2302" s="28" t="str">
        <f>IF(C2302=""," ",[1]!s_yq_pctchange($C2302,$N$1))</f>
        <v xml:space="preserve"> </v>
      </c>
      <c r="O2302" s="11"/>
      <c r="P2302" s="7"/>
    </row>
    <row r="2303" spans="1:16" x14ac:dyDescent="0.35">
      <c r="A2303" s="7"/>
      <c r="C2303" s="30" t="str">
        <f>IF(指数列表!B2300="","",指数列表!B2300)</f>
        <v/>
      </c>
      <c r="D2303" s="35" t="str">
        <f>IF(C2303="","",[1]!s_info_name(C2303))</f>
        <v/>
      </c>
      <c r="E2303" s="24" t="str">
        <f>IF(C2303="","",[1]!s_dq_close(C2303,$N$1))</f>
        <v/>
      </c>
      <c r="F2303" s="28" t="str">
        <f>IF($C2303=""," ",[1]!i_pq_pctchange($C2303,F$6,$N$1))</f>
        <v xml:space="preserve"> </v>
      </c>
      <c r="G2303" s="28" t="str">
        <f>IF($C2303=""," ",[1]!i_pq_pctchange($C2303,G$6,$N$1))</f>
        <v xml:space="preserve"> </v>
      </c>
      <c r="H2303" s="28" t="str">
        <f>IF($C2303=""," ",[1]!i_pq_pctchange($C2303,H$6,$N$1))</f>
        <v xml:space="preserve"> </v>
      </c>
      <c r="I2303" s="28" t="str">
        <f>IF($C2303=""," ",[1]!i_pq_pctchange($C2303,I$6,$N$1))</f>
        <v xml:space="preserve"> </v>
      </c>
      <c r="J2303" s="28" t="str">
        <f>IF($C2303=""," ",[1]!i_pq_pctchange($C2303,J$6,$N$1))</f>
        <v xml:space="preserve"> </v>
      </c>
      <c r="K2303" s="28" t="str">
        <f>IF($C2303=""," ",[1]!i_pq_pctchange($C2303,K$6,$N$1))</f>
        <v xml:space="preserve"> </v>
      </c>
      <c r="L2303" s="28" t="str">
        <f>IF(C2303=""," ",[1]!s_wq_pctchange($C2303,$N$1))</f>
        <v xml:space="preserve"> </v>
      </c>
      <c r="M2303" s="28" t="str">
        <f>IF(C2303=""," ",[1]!s_mq_pctchange($C2303,$N$1))</f>
        <v xml:space="preserve"> </v>
      </c>
      <c r="N2303" s="28" t="str">
        <f>IF(C2303=""," ",[1]!s_yq_pctchange($C2303,$N$1))</f>
        <v xml:space="preserve"> </v>
      </c>
      <c r="O2303" s="11"/>
      <c r="P2303" s="7"/>
    </row>
    <row r="2304" spans="1:16" x14ac:dyDescent="0.35">
      <c r="A2304" s="7"/>
      <c r="C2304" s="31" t="str">
        <f>IF(指数列表!B2301="","",指数列表!B2301)</f>
        <v/>
      </c>
      <c r="D2304" s="36" t="str">
        <f>IF(C2304="","",[1]!s_info_name(C2304))</f>
        <v/>
      </c>
      <c r="E2304" s="25" t="str">
        <f>IF(C2304="","",[1]!s_dq_close(C2304,$N$1))</f>
        <v/>
      </c>
      <c r="F2304" s="28" t="str">
        <f>IF($C2304=""," ",[1]!i_pq_pctchange($C2304,F$6,$N$1))</f>
        <v xml:space="preserve"> </v>
      </c>
      <c r="G2304" s="28" t="str">
        <f>IF($C2304=""," ",[1]!i_pq_pctchange($C2304,G$6,$N$1))</f>
        <v xml:space="preserve"> </v>
      </c>
      <c r="H2304" s="28" t="str">
        <f>IF($C2304=""," ",[1]!i_pq_pctchange($C2304,H$6,$N$1))</f>
        <v xml:space="preserve"> </v>
      </c>
      <c r="I2304" s="28" t="str">
        <f>IF($C2304=""," ",[1]!i_pq_pctchange($C2304,I$6,$N$1))</f>
        <v xml:space="preserve"> </v>
      </c>
      <c r="J2304" s="28" t="str">
        <f>IF($C2304=""," ",[1]!i_pq_pctchange($C2304,J$6,$N$1))</f>
        <v xml:space="preserve"> </v>
      </c>
      <c r="K2304" s="28" t="str">
        <f>IF($C2304=""," ",[1]!i_pq_pctchange($C2304,K$6,$N$1))</f>
        <v xml:space="preserve"> </v>
      </c>
      <c r="L2304" s="28" t="str">
        <f>IF(C2304=""," ",[1]!s_wq_pctchange($C2304,$N$1))</f>
        <v xml:space="preserve"> </v>
      </c>
      <c r="M2304" s="28" t="str">
        <f>IF(C2304=""," ",[1]!s_mq_pctchange($C2304,$N$1))</f>
        <v xml:space="preserve"> </v>
      </c>
      <c r="N2304" s="28" t="str">
        <f>IF(C2304=""," ",[1]!s_yq_pctchange($C2304,$N$1))</f>
        <v xml:space="preserve"> </v>
      </c>
      <c r="O2304" s="11"/>
      <c r="P2304" s="7"/>
    </row>
    <row r="2305" spans="1:16" x14ac:dyDescent="0.35">
      <c r="A2305" s="7"/>
      <c r="C2305" s="30" t="str">
        <f>IF(指数列表!B2302="","",指数列表!B2302)</f>
        <v/>
      </c>
      <c r="D2305" s="35" t="str">
        <f>IF(C2305="","",[1]!s_info_name(C2305))</f>
        <v/>
      </c>
      <c r="E2305" s="24" t="str">
        <f>IF(C2305="","",[1]!s_dq_close(C2305,$N$1))</f>
        <v/>
      </c>
      <c r="F2305" s="28" t="str">
        <f>IF($C2305=""," ",[1]!i_pq_pctchange($C2305,F$6,$N$1))</f>
        <v xml:space="preserve"> </v>
      </c>
      <c r="G2305" s="28" t="str">
        <f>IF($C2305=""," ",[1]!i_pq_pctchange($C2305,G$6,$N$1))</f>
        <v xml:space="preserve"> </v>
      </c>
      <c r="H2305" s="28" t="str">
        <f>IF($C2305=""," ",[1]!i_pq_pctchange($C2305,H$6,$N$1))</f>
        <v xml:space="preserve"> </v>
      </c>
      <c r="I2305" s="28" t="str">
        <f>IF($C2305=""," ",[1]!i_pq_pctchange($C2305,I$6,$N$1))</f>
        <v xml:space="preserve"> </v>
      </c>
      <c r="J2305" s="28" t="str">
        <f>IF($C2305=""," ",[1]!i_pq_pctchange($C2305,J$6,$N$1))</f>
        <v xml:space="preserve"> </v>
      </c>
      <c r="K2305" s="28" t="str">
        <f>IF($C2305=""," ",[1]!i_pq_pctchange($C2305,K$6,$N$1))</f>
        <v xml:space="preserve"> </v>
      </c>
      <c r="L2305" s="28" t="str">
        <f>IF(C2305=""," ",[1]!s_wq_pctchange($C2305,$N$1))</f>
        <v xml:space="preserve"> </v>
      </c>
      <c r="M2305" s="28" t="str">
        <f>IF(C2305=""," ",[1]!s_mq_pctchange($C2305,$N$1))</f>
        <v xml:space="preserve"> </v>
      </c>
      <c r="N2305" s="28" t="str">
        <f>IF(C2305=""," ",[1]!s_yq_pctchange($C2305,$N$1))</f>
        <v xml:space="preserve"> </v>
      </c>
      <c r="O2305" s="11"/>
      <c r="P2305" s="7"/>
    </row>
    <row r="2306" spans="1:16" x14ac:dyDescent="0.35">
      <c r="A2306" s="7"/>
      <c r="C2306" s="31" t="str">
        <f>IF(指数列表!B2303="","",指数列表!B2303)</f>
        <v/>
      </c>
      <c r="D2306" s="36" t="str">
        <f>IF(C2306="","",[1]!s_info_name(C2306))</f>
        <v/>
      </c>
      <c r="E2306" s="25" t="str">
        <f>IF(C2306="","",[1]!s_dq_close(C2306,$N$1))</f>
        <v/>
      </c>
      <c r="F2306" s="28" t="str">
        <f>IF($C2306=""," ",[1]!i_pq_pctchange($C2306,F$6,$N$1))</f>
        <v xml:space="preserve"> </v>
      </c>
      <c r="G2306" s="28" t="str">
        <f>IF($C2306=""," ",[1]!i_pq_pctchange($C2306,G$6,$N$1))</f>
        <v xml:space="preserve"> </v>
      </c>
      <c r="H2306" s="28" t="str">
        <f>IF($C2306=""," ",[1]!i_pq_pctchange($C2306,H$6,$N$1))</f>
        <v xml:space="preserve"> </v>
      </c>
      <c r="I2306" s="28" t="str">
        <f>IF($C2306=""," ",[1]!i_pq_pctchange($C2306,I$6,$N$1))</f>
        <v xml:space="preserve"> </v>
      </c>
      <c r="J2306" s="28" t="str">
        <f>IF($C2306=""," ",[1]!i_pq_pctchange($C2306,J$6,$N$1))</f>
        <v xml:space="preserve"> </v>
      </c>
      <c r="K2306" s="28" t="str">
        <f>IF($C2306=""," ",[1]!i_pq_pctchange($C2306,K$6,$N$1))</f>
        <v xml:space="preserve"> </v>
      </c>
      <c r="L2306" s="28" t="str">
        <f>IF(C2306=""," ",[1]!s_wq_pctchange($C2306,$N$1))</f>
        <v xml:space="preserve"> </v>
      </c>
      <c r="M2306" s="28" t="str">
        <f>IF(C2306=""," ",[1]!s_mq_pctchange($C2306,$N$1))</f>
        <v xml:space="preserve"> </v>
      </c>
      <c r="N2306" s="28" t="str">
        <f>IF(C2306=""," ",[1]!s_yq_pctchange($C2306,$N$1))</f>
        <v xml:space="preserve"> </v>
      </c>
      <c r="O2306" s="11"/>
      <c r="P2306" s="7"/>
    </row>
    <row r="2307" spans="1:16" x14ac:dyDescent="0.35">
      <c r="A2307" s="7"/>
      <c r="C2307" s="30" t="str">
        <f>IF(指数列表!B2304="","",指数列表!B2304)</f>
        <v/>
      </c>
      <c r="D2307" s="35" t="str">
        <f>IF(C2307="","",[1]!s_info_name(C2307))</f>
        <v/>
      </c>
      <c r="E2307" s="24" t="str">
        <f>IF(C2307="","",[1]!s_dq_close(C2307,$N$1))</f>
        <v/>
      </c>
      <c r="F2307" s="28" t="str">
        <f>IF($C2307=""," ",[1]!i_pq_pctchange($C2307,F$6,$N$1))</f>
        <v xml:space="preserve"> </v>
      </c>
      <c r="G2307" s="28" t="str">
        <f>IF($C2307=""," ",[1]!i_pq_pctchange($C2307,G$6,$N$1))</f>
        <v xml:space="preserve"> </v>
      </c>
      <c r="H2307" s="28" t="str">
        <f>IF($C2307=""," ",[1]!i_pq_pctchange($C2307,H$6,$N$1))</f>
        <v xml:space="preserve"> </v>
      </c>
      <c r="I2307" s="28" t="str">
        <f>IF($C2307=""," ",[1]!i_pq_pctchange($C2307,I$6,$N$1))</f>
        <v xml:space="preserve"> </v>
      </c>
      <c r="J2307" s="28" t="str">
        <f>IF($C2307=""," ",[1]!i_pq_pctchange($C2307,J$6,$N$1))</f>
        <v xml:space="preserve"> </v>
      </c>
      <c r="K2307" s="28" t="str">
        <f>IF($C2307=""," ",[1]!i_pq_pctchange($C2307,K$6,$N$1))</f>
        <v xml:space="preserve"> </v>
      </c>
      <c r="L2307" s="28" t="str">
        <f>IF(C2307=""," ",[1]!s_wq_pctchange($C2307,$N$1))</f>
        <v xml:space="preserve"> </v>
      </c>
      <c r="M2307" s="28" t="str">
        <f>IF(C2307=""," ",[1]!s_mq_pctchange($C2307,$N$1))</f>
        <v xml:space="preserve"> </v>
      </c>
      <c r="N2307" s="28" t="str">
        <f>IF(C2307=""," ",[1]!s_yq_pctchange($C2307,$N$1))</f>
        <v xml:space="preserve"> </v>
      </c>
      <c r="O2307" s="11"/>
      <c r="P2307" s="7"/>
    </row>
    <row r="2308" spans="1:16" x14ac:dyDescent="0.35">
      <c r="A2308" s="7"/>
      <c r="C2308" s="31" t="str">
        <f>IF(指数列表!B2305="","",指数列表!B2305)</f>
        <v/>
      </c>
      <c r="D2308" s="36" t="str">
        <f>IF(C2308="","",[1]!s_info_name(C2308))</f>
        <v/>
      </c>
      <c r="E2308" s="25" t="str">
        <f>IF(C2308="","",[1]!s_dq_close(C2308,$N$1))</f>
        <v/>
      </c>
      <c r="F2308" s="28" t="str">
        <f>IF($C2308=""," ",[1]!i_pq_pctchange($C2308,F$6,$N$1))</f>
        <v xml:space="preserve"> </v>
      </c>
      <c r="G2308" s="28" t="str">
        <f>IF($C2308=""," ",[1]!i_pq_pctchange($C2308,G$6,$N$1))</f>
        <v xml:space="preserve"> </v>
      </c>
      <c r="H2308" s="28" t="str">
        <f>IF($C2308=""," ",[1]!i_pq_pctchange($C2308,H$6,$N$1))</f>
        <v xml:space="preserve"> </v>
      </c>
      <c r="I2308" s="28" t="str">
        <f>IF($C2308=""," ",[1]!i_pq_pctchange($C2308,I$6,$N$1))</f>
        <v xml:space="preserve"> </v>
      </c>
      <c r="J2308" s="28" t="str">
        <f>IF($C2308=""," ",[1]!i_pq_pctchange($C2308,J$6,$N$1))</f>
        <v xml:space="preserve"> </v>
      </c>
      <c r="K2308" s="28" t="str">
        <f>IF($C2308=""," ",[1]!i_pq_pctchange($C2308,K$6,$N$1))</f>
        <v xml:space="preserve"> </v>
      </c>
      <c r="L2308" s="28" t="str">
        <f>IF(C2308=""," ",[1]!s_wq_pctchange($C2308,$N$1))</f>
        <v xml:space="preserve"> </v>
      </c>
      <c r="M2308" s="28" t="str">
        <f>IF(C2308=""," ",[1]!s_mq_pctchange($C2308,$N$1))</f>
        <v xml:space="preserve"> </v>
      </c>
      <c r="N2308" s="28" t="str">
        <f>IF(C2308=""," ",[1]!s_yq_pctchange($C2308,$N$1))</f>
        <v xml:space="preserve"> </v>
      </c>
      <c r="O2308" s="11"/>
      <c r="P2308" s="7"/>
    </row>
    <row r="2309" spans="1:16" x14ac:dyDescent="0.35">
      <c r="A2309" s="7"/>
      <c r="C2309" s="30" t="str">
        <f>IF(指数列表!B2306="","",指数列表!B2306)</f>
        <v/>
      </c>
      <c r="D2309" s="35" t="str">
        <f>IF(C2309="","",[1]!s_info_name(C2309))</f>
        <v/>
      </c>
      <c r="E2309" s="24" t="str">
        <f>IF(C2309="","",[1]!s_dq_close(C2309,$N$1))</f>
        <v/>
      </c>
      <c r="F2309" s="28" t="str">
        <f>IF($C2309=""," ",[1]!i_pq_pctchange($C2309,F$6,$N$1))</f>
        <v xml:space="preserve"> </v>
      </c>
      <c r="G2309" s="28" t="str">
        <f>IF($C2309=""," ",[1]!i_pq_pctchange($C2309,G$6,$N$1))</f>
        <v xml:space="preserve"> </v>
      </c>
      <c r="H2309" s="28" t="str">
        <f>IF($C2309=""," ",[1]!i_pq_pctchange($C2309,H$6,$N$1))</f>
        <v xml:space="preserve"> </v>
      </c>
      <c r="I2309" s="28" t="str">
        <f>IF($C2309=""," ",[1]!i_pq_pctchange($C2309,I$6,$N$1))</f>
        <v xml:space="preserve"> </v>
      </c>
      <c r="J2309" s="28" t="str">
        <f>IF($C2309=""," ",[1]!i_pq_pctchange($C2309,J$6,$N$1))</f>
        <v xml:space="preserve"> </v>
      </c>
      <c r="K2309" s="28" t="str">
        <f>IF($C2309=""," ",[1]!i_pq_pctchange($C2309,K$6,$N$1))</f>
        <v xml:space="preserve"> </v>
      </c>
      <c r="L2309" s="28" t="str">
        <f>IF(C2309=""," ",[1]!s_wq_pctchange($C2309,$N$1))</f>
        <v xml:space="preserve"> </v>
      </c>
      <c r="M2309" s="28" t="str">
        <f>IF(C2309=""," ",[1]!s_mq_pctchange($C2309,$N$1))</f>
        <v xml:space="preserve"> </v>
      </c>
      <c r="N2309" s="28" t="str">
        <f>IF(C2309=""," ",[1]!s_yq_pctchange($C2309,$N$1))</f>
        <v xml:space="preserve"> </v>
      </c>
      <c r="O2309" s="11"/>
      <c r="P2309" s="7"/>
    </row>
    <row r="2310" spans="1:16" x14ac:dyDescent="0.35">
      <c r="A2310" s="7"/>
      <c r="C2310" s="31" t="str">
        <f>IF(指数列表!B2307="","",指数列表!B2307)</f>
        <v/>
      </c>
      <c r="D2310" s="36" t="str">
        <f>IF(C2310="","",[1]!s_info_name(C2310))</f>
        <v/>
      </c>
      <c r="E2310" s="25" t="str">
        <f>IF(C2310="","",[1]!s_dq_close(C2310,$N$1))</f>
        <v/>
      </c>
      <c r="F2310" s="28" t="str">
        <f>IF($C2310=""," ",[1]!i_pq_pctchange($C2310,F$6,$N$1))</f>
        <v xml:space="preserve"> </v>
      </c>
      <c r="G2310" s="28" t="str">
        <f>IF($C2310=""," ",[1]!i_pq_pctchange($C2310,G$6,$N$1))</f>
        <v xml:space="preserve"> </v>
      </c>
      <c r="H2310" s="28" t="str">
        <f>IF($C2310=""," ",[1]!i_pq_pctchange($C2310,H$6,$N$1))</f>
        <v xml:space="preserve"> </v>
      </c>
      <c r="I2310" s="28" t="str">
        <f>IF($C2310=""," ",[1]!i_pq_pctchange($C2310,I$6,$N$1))</f>
        <v xml:space="preserve"> </v>
      </c>
      <c r="J2310" s="28" t="str">
        <f>IF($C2310=""," ",[1]!i_pq_pctchange($C2310,J$6,$N$1))</f>
        <v xml:space="preserve"> </v>
      </c>
      <c r="K2310" s="28" t="str">
        <f>IF($C2310=""," ",[1]!i_pq_pctchange($C2310,K$6,$N$1))</f>
        <v xml:space="preserve"> </v>
      </c>
      <c r="L2310" s="28" t="str">
        <f>IF(C2310=""," ",[1]!s_wq_pctchange($C2310,$N$1))</f>
        <v xml:space="preserve"> </v>
      </c>
      <c r="M2310" s="28" t="str">
        <f>IF(C2310=""," ",[1]!s_mq_pctchange($C2310,$N$1))</f>
        <v xml:space="preserve"> </v>
      </c>
      <c r="N2310" s="28" t="str">
        <f>IF(C2310=""," ",[1]!s_yq_pctchange($C2310,$N$1))</f>
        <v xml:space="preserve"> </v>
      </c>
      <c r="O2310" s="11"/>
      <c r="P2310" s="7"/>
    </row>
    <row r="2311" spans="1:16" x14ac:dyDescent="0.35">
      <c r="A2311" s="7"/>
      <c r="C2311" s="30" t="str">
        <f>IF(指数列表!B2308="","",指数列表!B2308)</f>
        <v/>
      </c>
      <c r="D2311" s="35" t="str">
        <f>IF(C2311="","",[1]!s_info_name(C2311))</f>
        <v/>
      </c>
      <c r="E2311" s="24" t="str">
        <f>IF(C2311="","",[1]!s_dq_close(C2311,$N$1))</f>
        <v/>
      </c>
      <c r="F2311" s="28" t="str">
        <f>IF($C2311=""," ",[1]!i_pq_pctchange($C2311,F$6,$N$1))</f>
        <v xml:space="preserve"> </v>
      </c>
      <c r="G2311" s="28" t="str">
        <f>IF($C2311=""," ",[1]!i_pq_pctchange($C2311,G$6,$N$1))</f>
        <v xml:space="preserve"> </v>
      </c>
      <c r="H2311" s="28" t="str">
        <f>IF($C2311=""," ",[1]!i_pq_pctchange($C2311,H$6,$N$1))</f>
        <v xml:space="preserve"> </v>
      </c>
      <c r="I2311" s="28" t="str">
        <f>IF($C2311=""," ",[1]!i_pq_pctchange($C2311,I$6,$N$1))</f>
        <v xml:space="preserve"> </v>
      </c>
      <c r="J2311" s="28" t="str">
        <f>IF($C2311=""," ",[1]!i_pq_pctchange($C2311,J$6,$N$1))</f>
        <v xml:space="preserve"> </v>
      </c>
      <c r="K2311" s="28" t="str">
        <f>IF($C2311=""," ",[1]!i_pq_pctchange($C2311,K$6,$N$1))</f>
        <v xml:space="preserve"> </v>
      </c>
      <c r="L2311" s="28" t="str">
        <f>IF(C2311=""," ",[1]!s_wq_pctchange($C2311,$N$1))</f>
        <v xml:space="preserve"> </v>
      </c>
      <c r="M2311" s="28" t="str">
        <f>IF(C2311=""," ",[1]!s_mq_pctchange($C2311,$N$1))</f>
        <v xml:space="preserve"> </v>
      </c>
      <c r="N2311" s="28" t="str">
        <f>IF(C2311=""," ",[1]!s_yq_pctchange($C2311,$N$1))</f>
        <v xml:space="preserve"> </v>
      </c>
      <c r="O2311" s="11"/>
      <c r="P2311" s="7"/>
    </row>
    <row r="2312" spans="1:16" x14ac:dyDescent="0.35">
      <c r="A2312" s="7"/>
      <c r="C2312" s="31" t="str">
        <f>IF(指数列表!B2309="","",指数列表!B2309)</f>
        <v/>
      </c>
      <c r="D2312" s="36" t="str">
        <f>IF(C2312="","",[1]!s_info_name(C2312))</f>
        <v/>
      </c>
      <c r="E2312" s="25" t="str">
        <f>IF(C2312="","",[1]!s_dq_close(C2312,$N$1))</f>
        <v/>
      </c>
      <c r="F2312" s="28" t="str">
        <f>IF($C2312=""," ",[1]!i_pq_pctchange($C2312,F$6,$N$1))</f>
        <v xml:space="preserve"> </v>
      </c>
      <c r="G2312" s="28" t="str">
        <f>IF($C2312=""," ",[1]!i_pq_pctchange($C2312,G$6,$N$1))</f>
        <v xml:space="preserve"> </v>
      </c>
      <c r="H2312" s="28" t="str">
        <f>IF($C2312=""," ",[1]!i_pq_pctchange($C2312,H$6,$N$1))</f>
        <v xml:space="preserve"> </v>
      </c>
      <c r="I2312" s="28" t="str">
        <f>IF($C2312=""," ",[1]!i_pq_pctchange($C2312,I$6,$N$1))</f>
        <v xml:space="preserve"> </v>
      </c>
      <c r="J2312" s="28" t="str">
        <f>IF($C2312=""," ",[1]!i_pq_pctchange($C2312,J$6,$N$1))</f>
        <v xml:space="preserve"> </v>
      </c>
      <c r="K2312" s="28" t="str">
        <f>IF($C2312=""," ",[1]!i_pq_pctchange($C2312,K$6,$N$1))</f>
        <v xml:space="preserve"> </v>
      </c>
      <c r="L2312" s="28" t="str">
        <f>IF(C2312=""," ",[1]!s_wq_pctchange($C2312,$N$1))</f>
        <v xml:space="preserve"> </v>
      </c>
      <c r="M2312" s="28" t="str">
        <f>IF(C2312=""," ",[1]!s_mq_pctchange($C2312,$N$1))</f>
        <v xml:space="preserve"> </v>
      </c>
      <c r="N2312" s="28" t="str">
        <f>IF(C2312=""," ",[1]!s_yq_pctchange($C2312,$N$1))</f>
        <v xml:space="preserve"> </v>
      </c>
      <c r="O2312" s="11"/>
      <c r="P2312" s="7"/>
    </row>
    <row r="2313" spans="1:16" x14ac:dyDescent="0.35">
      <c r="A2313" s="7"/>
      <c r="C2313" s="30" t="str">
        <f>IF(指数列表!B2310="","",指数列表!B2310)</f>
        <v/>
      </c>
      <c r="D2313" s="35" t="str">
        <f>IF(C2313="","",[1]!s_info_name(C2313))</f>
        <v/>
      </c>
      <c r="E2313" s="24" t="str">
        <f>IF(C2313="","",[1]!s_dq_close(C2313,$N$1))</f>
        <v/>
      </c>
      <c r="F2313" s="28" t="str">
        <f>IF($C2313=""," ",[1]!i_pq_pctchange($C2313,F$6,$N$1))</f>
        <v xml:space="preserve"> </v>
      </c>
      <c r="G2313" s="28" t="str">
        <f>IF($C2313=""," ",[1]!i_pq_pctchange($C2313,G$6,$N$1))</f>
        <v xml:space="preserve"> </v>
      </c>
      <c r="H2313" s="28" t="str">
        <f>IF($C2313=""," ",[1]!i_pq_pctchange($C2313,H$6,$N$1))</f>
        <v xml:space="preserve"> </v>
      </c>
      <c r="I2313" s="28" t="str">
        <f>IF($C2313=""," ",[1]!i_pq_pctchange($C2313,I$6,$N$1))</f>
        <v xml:space="preserve"> </v>
      </c>
      <c r="J2313" s="28" t="str">
        <f>IF($C2313=""," ",[1]!i_pq_pctchange($C2313,J$6,$N$1))</f>
        <v xml:space="preserve"> </v>
      </c>
      <c r="K2313" s="28" t="str">
        <f>IF($C2313=""," ",[1]!i_pq_pctchange($C2313,K$6,$N$1))</f>
        <v xml:space="preserve"> </v>
      </c>
      <c r="L2313" s="28" t="str">
        <f>IF(C2313=""," ",[1]!s_wq_pctchange($C2313,$N$1))</f>
        <v xml:space="preserve"> </v>
      </c>
      <c r="M2313" s="28" t="str">
        <f>IF(C2313=""," ",[1]!s_mq_pctchange($C2313,$N$1))</f>
        <v xml:space="preserve"> </v>
      </c>
      <c r="N2313" s="28" t="str">
        <f>IF(C2313=""," ",[1]!s_yq_pctchange($C2313,$N$1))</f>
        <v xml:space="preserve"> </v>
      </c>
      <c r="O2313" s="11"/>
      <c r="P2313" s="7"/>
    </row>
    <row r="2314" spans="1:16" x14ac:dyDescent="0.35">
      <c r="A2314" s="7"/>
      <c r="C2314" s="31" t="str">
        <f>IF(指数列表!B2311="","",指数列表!B2311)</f>
        <v/>
      </c>
      <c r="D2314" s="36" t="str">
        <f>IF(C2314="","",[1]!s_info_name(C2314))</f>
        <v/>
      </c>
      <c r="E2314" s="25" t="str">
        <f>IF(C2314="","",[1]!s_dq_close(C2314,$N$1))</f>
        <v/>
      </c>
      <c r="F2314" s="28" t="str">
        <f>IF($C2314=""," ",[1]!i_pq_pctchange($C2314,F$6,$N$1))</f>
        <v xml:space="preserve"> </v>
      </c>
      <c r="G2314" s="28" t="str">
        <f>IF($C2314=""," ",[1]!i_pq_pctchange($C2314,G$6,$N$1))</f>
        <v xml:space="preserve"> </v>
      </c>
      <c r="H2314" s="28" t="str">
        <f>IF($C2314=""," ",[1]!i_pq_pctchange($C2314,H$6,$N$1))</f>
        <v xml:space="preserve"> </v>
      </c>
      <c r="I2314" s="28" t="str">
        <f>IF($C2314=""," ",[1]!i_pq_pctchange($C2314,I$6,$N$1))</f>
        <v xml:space="preserve"> </v>
      </c>
      <c r="J2314" s="28" t="str">
        <f>IF($C2314=""," ",[1]!i_pq_pctchange($C2314,J$6,$N$1))</f>
        <v xml:space="preserve"> </v>
      </c>
      <c r="K2314" s="28" t="str">
        <f>IF($C2314=""," ",[1]!i_pq_pctchange($C2314,K$6,$N$1))</f>
        <v xml:space="preserve"> </v>
      </c>
      <c r="L2314" s="28" t="str">
        <f>IF(C2314=""," ",[1]!s_wq_pctchange($C2314,$N$1))</f>
        <v xml:space="preserve"> </v>
      </c>
      <c r="M2314" s="28" t="str">
        <f>IF(C2314=""," ",[1]!s_mq_pctchange($C2314,$N$1))</f>
        <v xml:space="preserve"> </v>
      </c>
      <c r="N2314" s="28" t="str">
        <f>IF(C2314=""," ",[1]!s_yq_pctchange($C2314,$N$1))</f>
        <v xml:space="preserve"> </v>
      </c>
      <c r="O2314" s="11"/>
      <c r="P2314" s="7"/>
    </row>
    <row r="2315" spans="1:16" x14ac:dyDescent="0.35">
      <c r="A2315" s="7"/>
      <c r="C2315" s="30" t="str">
        <f>IF(指数列表!B2312="","",指数列表!B2312)</f>
        <v/>
      </c>
      <c r="D2315" s="35" t="str">
        <f>IF(C2315="","",[1]!s_info_name(C2315))</f>
        <v/>
      </c>
      <c r="E2315" s="24" t="str">
        <f>IF(C2315="","",[1]!s_dq_close(C2315,$N$1))</f>
        <v/>
      </c>
      <c r="F2315" s="28" t="str">
        <f>IF($C2315=""," ",[1]!i_pq_pctchange($C2315,F$6,$N$1))</f>
        <v xml:space="preserve"> </v>
      </c>
      <c r="G2315" s="28" t="str">
        <f>IF($C2315=""," ",[1]!i_pq_pctchange($C2315,G$6,$N$1))</f>
        <v xml:space="preserve"> </v>
      </c>
      <c r="H2315" s="28" t="str">
        <f>IF($C2315=""," ",[1]!i_pq_pctchange($C2315,H$6,$N$1))</f>
        <v xml:space="preserve"> </v>
      </c>
      <c r="I2315" s="28" t="str">
        <f>IF($C2315=""," ",[1]!i_pq_pctchange($C2315,I$6,$N$1))</f>
        <v xml:space="preserve"> </v>
      </c>
      <c r="J2315" s="28" t="str">
        <f>IF($C2315=""," ",[1]!i_pq_pctchange($C2315,J$6,$N$1))</f>
        <v xml:space="preserve"> </v>
      </c>
      <c r="K2315" s="28" t="str">
        <f>IF($C2315=""," ",[1]!i_pq_pctchange($C2315,K$6,$N$1))</f>
        <v xml:space="preserve"> </v>
      </c>
      <c r="L2315" s="28" t="str">
        <f>IF(C2315=""," ",[1]!s_wq_pctchange($C2315,$N$1))</f>
        <v xml:space="preserve"> </v>
      </c>
      <c r="M2315" s="28" t="str">
        <f>IF(C2315=""," ",[1]!s_mq_pctchange($C2315,$N$1))</f>
        <v xml:space="preserve"> </v>
      </c>
      <c r="N2315" s="28" t="str">
        <f>IF(C2315=""," ",[1]!s_yq_pctchange($C2315,$N$1))</f>
        <v xml:space="preserve"> </v>
      </c>
      <c r="O2315" s="11"/>
      <c r="P2315" s="7"/>
    </row>
    <row r="2316" spans="1:16" x14ac:dyDescent="0.35">
      <c r="A2316" s="7"/>
      <c r="C2316" s="31" t="str">
        <f>IF(指数列表!B2313="","",指数列表!B2313)</f>
        <v/>
      </c>
      <c r="D2316" s="36" t="str">
        <f>IF(C2316="","",[1]!s_info_name(C2316))</f>
        <v/>
      </c>
      <c r="E2316" s="25" t="str">
        <f>IF(C2316="","",[1]!s_dq_close(C2316,$N$1))</f>
        <v/>
      </c>
      <c r="F2316" s="28" t="str">
        <f>IF($C2316=""," ",[1]!i_pq_pctchange($C2316,F$6,$N$1))</f>
        <v xml:space="preserve"> </v>
      </c>
      <c r="G2316" s="28" t="str">
        <f>IF($C2316=""," ",[1]!i_pq_pctchange($C2316,G$6,$N$1))</f>
        <v xml:space="preserve"> </v>
      </c>
      <c r="H2316" s="28" t="str">
        <f>IF($C2316=""," ",[1]!i_pq_pctchange($C2316,H$6,$N$1))</f>
        <v xml:space="preserve"> </v>
      </c>
      <c r="I2316" s="28" t="str">
        <f>IF($C2316=""," ",[1]!i_pq_pctchange($C2316,I$6,$N$1))</f>
        <v xml:space="preserve"> </v>
      </c>
      <c r="J2316" s="28" t="str">
        <f>IF($C2316=""," ",[1]!i_pq_pctchange($C2316,J$6,$N$1))</f>
        <v xml:space="preserve"> </v>
      </c>
      <c r="K2316" s="28" t="str">
        <f>IF($C2316=""," ",[1]!i_pq_pctchange($C2316,K$6,$N$1))</f>
        <v xml:space="preserve"> </v>
      </c>
      <c r="L2316" s="28" t="str">
        <f>IF(C2316=""," ",[1]!s_wq_pctchange($C2316,$N$1))</f>
        <v xml:space="preserve"> </v>
      </c>
      <c r="M2316" s="28" t="str">
        <f>IF(C2316=""," ",[1]!s_mq_pctchange($C2316,$N$1))</f>
        <v xml:space="preserve"> </v>
      </c>
      <c r="N2316" s="28" t="str">
        <f>IF(C2316=""," ",[1]!s_yq_pctchange($C2316,$N$1))</f>
        <v xml:space="preserve"> </v>
      </c>
      <c r="O2316" s="11"/>
      <c r="P2316" s="7"/>
    </row>
    <row r="2317" spans="1:16" x14ac:dyDescent="0.35">
      <c r="A2317" s="7"/>
      <c r="C2317" s="30" t="str">
        <f>IF(指数列表!B2314="","",指数列表!B2314)</f>
        <v/>
      </c>
      <c r="D2317" s="35" t="str">
        <f>IF(C2317="","",[1]!s_info_name(C2317))</f>
        <v/>
      </c>
      <c r="E2317" s="24" t="str">
        <f>IF(C2317="","",[1]!s_dq_close(C2317,$N$1))</f>
        <v/>
      </c>
      <c r="F2317" s="28" t="str">
        <f>IF($C2317=""," ",[1]!i_pq_pctchange($C2317,F$6,$N$1))</f>
        <v xml:space="preserve"> </v>
      </c>
      <c r="G2317" s="28" t="str">
        <f>IF($C2317=""," ",[1]!i_pq_pctchange($C2317,G$6,$N$1))</f>
        <v xml:space="preserve"> </v>
      </c>
      <c r="H2317" s="28" t="str">
        <f>IF($C2317=""," ",[1]!i_pq_pctchange($C2317,H$6,$N$1))</f>
        <v xml:space="preserve"> </v>
      </c>
      <c r="I2317" s="28" t="str">
        <f>IF($C2317=""," ",[1]!i_pq_pctchange($C2317,I$6,$N$1))</f>
        <v xml:space="preserve"> </v>
      </c>
      <c r="J2317" s="28" t="str">
        <f>IF($C2317=""," ",[1]!i_pq_pctchange($C2317,J$6,$N$1))</f>
        <v xml:space="preserve"> </v>
      </c>
      <c r="K2317" s="28" t="str">
        <f>IF($C2317=""," ",[1]!i_pq_pctchange($C2317,K$6,$N$1))</f>
        <v xml:space="preserve"> </v>
      </c>
      <c r="L2317" s="28" t="str">
        <f>IF(C2317=""," ",[1]!s_wq_pctchange($C2317,$N$1))</f>
        <v xml:space="preserve"> </v>
      </c>
      <c r="M2317" s="28" t="str">
        <f>IF(C2317=""," ",[1]!s_mq_pctchange($C2317,$N$1))</f>
        <v xml:space="preserve"> </v>
      </c>
      <c r="N2317" s="28" t="str">
        <f>IF(C2317=""," ",[1]!s_yq_pctchange($C2317,$N$1))</f>
        <v xml:space="preserve"> </v>
      </c>
      <c r="O2317" s="11"/>
      <c r="P2317" s="7"/>
    </row>
    <row r="2318" spans="1:16" x14ac:dyDescent="0.35">
      <c r="A2318" s="7"/>
      <c r="C2318" s="31" t="str">
        <f>IF(指数列表!B2315="","",指数列表!B2315)</f>
        <v/>
      </c>
      <c r="D2318" s="36" t="str">
        <f>IF(C2318="","",[1]!s_info_name(C2318))</f>
        <v/>
      </c>
      <c r="E2318" s="25" t="str">
        <f>IF(C2318="","",[1]!s_dq_close(C2318,$N$1))</f>
        <v/>
      </c>
      <c r="F2318" s="28" t="str">
        <f>IF($C2318=""," ",[1]!i_pq_pctchange($C2318,F$6,$N$1))</f>
        <v xml:space="preserve"> </v>
      </c>
      <c r="G2318" s="28" t="str">
        <f>IF($C2318=""," ",[1]!i_pq_pctchange($C2318,G$6,$N$1))</f>
        <v xml:space="preserve"> </v>
      </c>
      <c r="H2318" s="28" t="str">
        <f>IF($C2318=""," ",[1]!i_pq_pctchange($C2318,H$6,$N$1))</f>
        <v xml:space="preserve"> </v>
      </c>
      <c r="I2318" s="28" t="str">
        <f>IF($C2318=""," ",[1]!i_pq_pctchange($C2318,I$6,$N$1))</f>
        <v xml:space="preserve"> </v>
      </c>
      <c r="J2318" s="28" t="str">
        <f>IF($C2318=""," ",[1]!i_pq_pctchange($C2318,J$6,$N$1))</f>
        <v xml:space="preserve"> </v>
      </c>
      <c r="K2318" s="28" t="str">
        <f>IF($C2318=""," ",[1]!i_pq_pctchange($C2318,K$6,$N$1))</f>
        <v xml:space="preserve"> </v>
      </c>
      <c r="L2318" s="28" t="str">
        <f>IF(C2318=""," ",[1]!s_wq_pctchange($C2318,$N$1))</f>
        <v xml:space="preserve"> </v>
      </c>
      <c r="M2318" s="28" t="str">
        <f>IF(C2318=""," ",[1]!s_mq_pctchange($C2318,$N$1))</f>
        <v xml:space="preserve"> </v>
      </c>
      <c r="N2318" s="28" t="str">
        <f>IF(C2318=""," ",[1]!s_yq_pctchange($C2318,$N$1))</f>
        <v xml:space="preserve"> </v>
      </c>
      <c r="O2318" s="11"/>
      <c r="P2318" s="7"/>
    </row>
    <row r="2319" spans="1:16" x14ac:dyDescent="0.35">
      <c r="A2319" s="7"/>
      <c r="C2319" s="30" t="str">
        <f>IF(指数列表!B2316="","",指数列表!B2316)</f>
        <v/>
      </c>
      <c r="D2319" s="35" t="str">
        <f>IF(C2319="","",[1]!s_info_name(C2319))</f>
        <v/>
      </c>
      <c r="E2319" s="24" t="str">
        <f>IF(C2319="","",[1]!s_dq_close(C2319,$N$1))</f>
        <v/>
      </c>
      <c r="F2319" s="28" t="str">
        <f>IF($C2319=""," ",[1]!i_pq_pctchange($C2319,F$6,$N$1))</f>
        <v xml:space="preserve"> </v>
      </c>
      <c r="G2319" s="28" t="str">
        <f>IF($C2319=""," ",[1]!i_pq_pctchange($C2319,G$6,$N$1))</f>
        <v xml:space="preserve"> </v>
      </c>
      <c r="H2319" s="28" t="str">
        <f>IF($C2319=""," ",[1]!i_pq_pctchange($C2319,H$6,$N$1))</f>
        <v xml:space="preserve"> </v>
      </c>
      <c r="I2319" s="28" t="str">
        <f>IF($C2319=""," ",[1]!i_pq_pctchange($C2319,I$6,$N$1))</f>
        <v xml:space="preserve"> </v>
      </c>
      <c r="J2319" s="28" t="str">
        <f>IF($C2319=""," ",[1]!i_pq_pctchange($C2319,J$6,$N$1))</f>
        <v xml:space="preserve"> </v>
      </c>
      <c r="K2319" s="28" t="str">
        <f>IF($C2319=""," ",[1]!i_pq_pctchange($C2319,K$6,$N$1))</f>
        <v xml:space="preserve"> </v>
      </c>
      <c r="L2319" s="28" t="str">
        <f>IF(C2319=""," ",[1]!s_wq_pctchange($C2319,$N$1))</f>
        <v xml:space="preserve"> </v>
      </c>
      <c r="M2319" s="28" t="str">
        <f>IF(C2319=""," ",[1]!s_mq_pctchange($C2319,$N$1))</f>
        <v xml:space="preserve"> </v>
      </c>
      <c r="N2319" s="28" t="str">
        <f>IF(C2319=""," ",[1]!s_yq_pctchange($C2319,$N$1))</f>
        <v xml:space="preserve"> </v>
      </c>
      <c r="O2319" s="11"/>
      <c r="P2319" s="7"/>
    </row>
    <row r="2320" spans="1:16" x14ac:dyDescent="0.35">
      <c r="A2320" s="7"/>
      <c r="C2320" s="31" t="str">
        <f>IF(指数列表!B2317="","",指数列表!B2317)</f>
        <v/>
      </c>
      <c r="D2320" s="36" t="str">
        <f>IF(C2320="","",[1]!s_info_name(C2320))</f>
        <v/>
      </c>
      <c r="E2320" s="25" t="str">
        <f>IF(C2320="","",[1]!s_dq_close(C2320,$N$1))</f>
        <v/>
      </c>
      <c r="F2320" s="28" t="str">
        <f>IF($C2320=""," ",[1]!i_pq_pctchange($C2320,F$6,$N$1))</f>
        <v xml:space="preserve"> </v>
      </c>
      <c r="G2320" s="28" t="str">
        <f>IF($C2320=""," ",[1]!i_pq_pctchange($C2320,G$6,$N$1))</f>
        <v xml:space="preserve"> </v>
      </c>
      <c r="H2320" s="28" t="str">
        <f>IF($C2320=""," ",[1]!i_pq_pctchange($C2320,H$6,$N$1))</f>
        <v xml:space="preserve"> </v>
      </c>
      <c r="I2320" s="28" t="str">
        <f>IF($C2320=""," ",[1]!i_pq_pctchange($C2320,I$6,$N$1))</f>
        <v xml:space="preserve"> </v>
      </c>
      <c r="J2320" s="28" t="str">
        <f>IF($C2320=""," ",[1]!i_pq_pctchange($C2320,J$6,$N$1))</f>
        <v xml:space="preserve"> </v>
      </c>
      <c r="K2320" s="28" t="str">
        <f>IF($C2320=""," ",[1]!i_pq_pctchange($C2320,K$6,$N$1))</f>
        <v xml:space="preserve"> </v>
      </c>
      <c r="L2320" s="28" t="str">
        <f>IF(C2320=""," ",[1]!s_wq_pctchange($C2320,$N$1))</f>
        <v xml:space="preserve"> </v>
      </c>
      <c r="M2320" s="28" t="str">
        <f>IF(C2320=""," ",[1]!s_mq_pctchange($C2320,$N$1))</f>
        <v xml:space="preserve"> </v>
      </c>
      <c r="N2320" s="28" t="str">
        <f>IF(C2320=""," ",[1]!s_yq_pctchange($C2320,$N$1))</f>
        <v xml:space="preserve"> </v>
      </c>
      <c r="O2320" s="11"/>
      <c r="P2320" s="7"/>
    </row>
    <row r="2321" spans="1:16" x14ac:dyDescent="0.35">
      <c r="A2321" s="7"/>
      <c r="C2321" s="30" t="str">
        <f>IF(指数列表!B2318="","",指数列表!B2318)</f>
        <v/>
      </c>
      <c r="D2321" s="35" t="str">
        <f>IF(C2321="","",[1]!s_info_name(C2321))</f>
        <v/>
      </c>
      <c r="E2321" s="24" t="str">
        <f>IF(C2321="","",[1]!s_dq_close(C2321,$N$1))</f>
        <v/>
      </c>
      <c r="F2321" s="28" t="str">
        <f>IF($C2321=""," ",[1]!i_pq_pctchange($C2321,F$6,$N$1))</f>
        <v xml:space="preserve"> </v>
      </c>
      <c r="G2321" s="28" t="str">
        <f>IF($C2321=""," ",[1]!i_pq_pctchange($C2321,G$6,$N$1))</f>
        <v xml:space="preserve"> </v>
      </c>
      <c r="H2321" s="28" t="str">
        <f>IF($C2321=""," ",[1]!i_pq_pctchange($C2321,H$6,$N$1))</f>
        <v xml:space="preserve"> </v>
      </c>
      <c r="I2321" s="28" t="str">
        <f>IF($C2321=""," ",[1]!i_pq_pctchange($C2321,I$6,$N$1))</f>
        <v xml:space="preserve"> </v>
      </c>
      <c r="J2321" s="28" t="str">
        <f>IF($C2321=""," ",[1]!i_pq_pctchange($C2321,J$6,$N$1))</f>
        <v xml:space="preserve"> </v>
      </c>
      <c r="K2321" s="28" t="str">
        <f>IF($C2321=""," ",[1]!i_pq_pctchange($C2321,K$6,$N$1))</f>
        <v xml:space="preserve"> </v>
      </c>
      <c r="L2321" s="28" t="str">
        <f>IF(C2321=""," ",[1]!s_wq_pctchange($C2321,$N$1))</f>
        <v xml:space="preserve"> </v>
      </c>
      <c r="M2321" s="28" t="str">
        <f>IF(C2321=""," ",[1]!s_mq_pctchange($C2321,$N$1))</f>
        <v xml:space="preserve"> </v>
      </c>
      <c r="N2321" s="28" t="str">
        <f>IF(C2321=""," ",[1]!s_yq_pctchange($C2321,$N$1))</f>
        <v xml:space="preserve"> </v>
      </c>
      <c r="O2321" s="11"/>
      <c r="P2321" s="7"/>
    </row>
    <row r="2322" spans="1:16" x14ac:dyDescent="0.35">
      <c r="A2322" s="7"/>
      <c r="C2322" s="31" t="str">
        <f>IF(指数列表!B2319="","",指数列表!B2319)</f>
        <v/>
      </c>
      <c r="D2322" s="36" t="str">
        <f>IF(C2322="","",[1]!s_info_name(C2322))</f>
        <v/>
      </c>
      <c r="E2322" s="25" t="str">
        <f>IF(C2322="","",[1]!s_dq_close(C2322,$N$1))</f>
        <v/>
      </c>
      <c r="F2322" s="28" t="str">
        <f>IF($C2322=""," ",[1]!i_pq_pctchange($C2322,F$6,$N$1))</f>
        <v xml:space="preserve"> </v>
      </c>
      <c r="G2322" s="28" t="str">
        <f>IF($C2322=""," ",[1]!i_pq_pctchange($C2322,G$6,$N$1))</f>
        <v xml:space="preserve"> </v>
      </c>
      <c r="H2322" s="28" t="str">
        <f>IF($C2322=""," ",[1]!i_pq_pctchange($C2322,H$6,$N$1))</f>
        <v xml:space="preserve"> </v>
      </c>
      <c r="I2322" s="28" t="str">
        <f>IF($C2322=""," ",[1]!i_pq_pctchange($C2322,I$6,$N$1))</f>
        <v xml:space="preserve"> </v>
      </c>
      <c r="J2322" s="28" t="str">
        <f>IF($C2322=""," ",[1]!i_pq_pctchange($C2322,J$6,$N$1))</f>
        <v xml:space="preserve"> </v>
      </c>
      <c r="K2322" s="28" t="str">
        <f>IF($C2322=""," ",[1]!i_pq_pctchange($C2322,K$6,$N$1))</f>
        <v xml:space="preserve"> </v>
      </c>
      <c r="L2322" s="28" t="str">
        <f>IF(C2322=""," ",[1]!s_wq_pctchange($C2322,$N$1))</f>
        <v xml:space="preserve"> </v>
      </c>
      <c r="M2322" s="28" t="str">
        <f>IF(C2322=""," ",[1]!s_mq_pctchange($C2322,$N$1))</f>
        <v xml:space="preserve"> </v>
      </c>
      <c r="N2322" s="28" t="str">
        <f>IF(C2322=""," ",[1]!s_yq_pctchange($C2322,$N$1))</f>
        <v xml:space="preserve"> </v>
      </c>
      <c r="O2322" s="11"/>
      <c r="P2322" s="7"/>
    </row>
    <row r="2323" spans="1:16" x14ac:dyDescent="0.35">
      <c r="A2323" s="7"/>
      <c r="C2323" s="30" t="str">
        <f>IF(指数列表!B2320="","",指数列表!B2320)</f>
        <v/>
      </c>
      <c r="D2323" s="35" t="str">
        <f>IF(C2323="","",[1]!s_info_name(C2323))</f>
        <v/>
      </c>
      <c r="E2323" s="24" t="str">
        <f>IF(C2323="","",[1]!s_dq_close(C2323,$N$1))</f>
        <v/>
      </c>
      <c r="F2323" s="28" t="str">
        <f>IF($C2323=""," ",[1]!i_pq_pctchange($C2323,F$6,$N$1))</f>
        <v xml:space="preserve"> </v>
      </c>
      <c r="G2323" s="28" t="str">
        <f>IF($C2323=""," ",[1]!i_pq_pctchange($C2323,G$6,$N$1))</f>
        <v xml:space="preserve"> </v>
      </c>
      <c r="H2323" s="28" t="str">
        <f>IF($C2323=""," ",[1]!i_pq_pctchange($C2323,H$6,$N$1))</f>
        <v xml:space="preserve"> </v>
      </c>
      <c r="I2323" s="28" t="str">
        <f>IF($C2323=""," ",[1]!i_pq_pctchange($C2323,I$6,$N$1))</f>
        <v xml:space="preserve"> </v>
      </c>
      <c r="J2323" s="28" t="str">
        <f>IF($C2323=""," ",[1]!i_pq_pctchange($C2323,J$6,$N$1))</f>
        <v xml:space="preserve"> </v>
      </c>
      <c r="K2323" s="28" t="str">
        <f>IF($C2323=""," ",[1]!i_pq_pctchange($C2323,K$6,$N$1))</f>
        <v xml:space="preserve"> </v>
      </c>
      <c r="L2323" s="28" t="str">
        <f>IF(C2323=""," ",[1]!s_wq_pctchange($C2323,$N$1))</f>
        <v xml:space="preserve"> </v>
      </c>
      <c r="M2323" s="28" t="str">
        <f>IF(C2323=""," ",[1]!s_mq_pctchange($C2323,$N$1))</f>
        <v xml:space="preserve"> </v>
      </c>
      <c r="N2323" s="28" t="str">
        <f>IF(C2323=""," ",[1]!s_yq_pctchange($C2323,$N$1))</f>
        <v xml:space="preserve"> </v>
      </c>
      <c r="O2323" s="11"/>
      <c r="P2323" s="7"/>
    </row>
    <row r="2324" spans="1:16" x14ac:dyDescent="0.35">
      <c r="A2324" s="7"/>
      <c r="C2324" s="31" t="str">
        <f>IF(指数列表!B2321="","",指数列表!B2321)</f>
        <v/>
      </c>
      <c r="D2324" s="36" t="str">
        <f>IF(C2324="","",[1]!s_info_name(C2324))</f>
        <v/>
      </c>
      <c r="E2324" s="25" t="str">
        <f>IF(C2324="","",[1]!s_dq_close(C2324,$N$1))</f>
        <v/>
      </c>
      <c r="F2324" s="28" t="str">
        <f>IF($C2324=""," ",[1]!i_pq_pctchange($C2324,F$6,$N$1))</f>
        <v xml:space="preserve"> </v>
      </c>
      <c r="G2324" s="28" t="str">
        <f>IF($C2324=""," ",[1]!i_pq_pctchange($C2324,G$6,$N$1))</f>
        <v xml:space="preserve"> </v>
      </c>
      <c r="H2324" s="28" t="str">
        <f>IF($C2324=""," ",[1]!i_pq_pctchange($C2324,H$6,$N$1))</f>
        <v xml:space="preserve"> </v>
      </c>
      <c r="I2324" s="28" t="str">
        <f>IF($C2324=""," ",[1]!i_pq_pctchange($C2324,I$6,$N$1))</f>
        <v xml:space="preserve"> </v>
      </c>
      <c r="J2324" s="28" t="str">
        <f>IF($C2324=""," ",[1]!i_pq_pctchange($C2324,J$6,$N$1))</f>
        <v xml:space="preserve"> </v>
      </c>
      <c r="K2324" s="28" t="str">
        <f>IF($C2324=""," ",[1]!i_pq_pctchange($C2324,K$6,$N$1))</f>
        <v xml:space="preserve"> </v>
      </c>
      <c r="L2324" s="28" t="str">
        <f>IF(C2324=""," ",[1]!s_wq_pctchange($C2324,$N$1))</f>
        <v xml:space="preserve"> </v>
      </c>
      <c r="M2324" s="28" t="str">
        <f>IF(C2324=""," ",[1]!s_mq_pctchange($C2324,$N$1))</f>
        <v xml:space="preserve"> </v>
      </c>
      <c r="N2324" s="28" t="str">
        <f>IF(C2324=""," ",[1]!s_yq_pctchange($C2324,$N$1))</f>
        <v xml:space="preserve"> </v>
      </c>
      <c r="O2324" s="11"/>
      <c r="P2324" s="7"/>
    </row>
    <row r="2325" spans="1:16" x14ac:dyDescent="0.35">
      <c r="A2325" s="7"/>
      <c r="C2325" s="30" t="str">
        <f>IF(指数列表!B2322="","",指数列表!B2322)</f>
        <v/>
      </c>
      <c r="D2325" s="35" t="str">
        <f>IF(C2325="","",[1]!s_info_name(C2325))</f>
        <v/>
      </c>
      <c r="E2325" s="24" t="str">
        <f>IF(C2325="","",[1]!s_dq_close(C2325,$N$1))</f>
        <v/>
      </c>
      <c r="F2325" s="28" t="str">
        <f>IF($C2325=""," ",[1]!i_pq_pctchange($C2325,F$6,$N$1))</f>
        <v xml:space="preserve"> </v>
      </c>
      <c r="G2325" s="28" t="str">
        <f>IF($C2325=""," ",[1]!i_pq_pctchange($C2325,G$6,$N$1))</f>
        <v xml:space="preserve"> </v>
      </c>
      <c r="H2325" s="28" t="str">
        <f>IF($C2325=""," ",[1]!i_pq_pctchange($C2325,H$6,$N$1))</f>
        <v xml:space="preserve"> </v>
      </c>
      <c r="I2325" s="28" t="str">
        <f>IF($C2325=""," ",[1]!i_pq_pctchange($C2325,I$6,$N$1))</f>
        <v xml:space="preserve"> </v>
      </c>
      <c r="J2325" s="28" t="str">
        <f>IF($C2325=""," ",[1]!i_pq_pctchange($C2325,J$6,$N$1))</f>
        <v xml:space="preserve"> </v>
      </c>
      <c r="K2325" s="28" t="str">
        <f>IF($C2325=""," ",[1]!i_pq_pctchange($C2325,K$6,$N$1))</f>
        <v xml:space="preserve"> </v>
      </c>
      <c r="L2325" s="28" t="str">
        <f>IF(C2325=""," ",[1]!s_wq_pctchange($C2325,$N$1))</f>
        <v xml:space="preserve"> </v>
      </c>
      <c r="M2325" s="28" t="str">
        <f>IF(C2325=""," ",[1]!s_mq_pctchange($C2325,$N$1))</f>
        <v xml:space="preserve"> </v>
      </c>
      <c r="N2325" s="28" t="str">
        <f>IF(C2325=""," ",[1]!s_yq_pctchange($C2325,$N$1))</f>
        <v xml:space="preserve"> </v>
      </c>
      <c r="O2325" s="11"/>
      <c r="P2325" s="7"/>
    </row>
    <row r="2326" spans="1:16" x14ac:dyDescent="0.35">
      <c r="A2326" s="7"/>
      <c r="C2326" s="31" t="str">
        <f>IF(指数列表!B2323="","",指数列表!B2323)</f>
        <v/>
      </c>
      <c r="D2326" s="36" t="str">
        <f>IF(C2326="","",[1]!s_info_name(C2326))</f>
        <v/>
      </c>
      <c r="E2326" s="25" t="str">
        <f>IF(C2326="","",[1]!s_dq_close(C2326,$N$1))</f>
        <v/>
      </c>
      <c r="F2326" s="28" t="str">
        <f>IF($C2326=""," ",[1]!i_pq_pctchange($C2326,F$6,$N$1))</f>
        <v xml:space="preserve"> </v>
      </c>
      <c r="G2326" s="28" t="str">
        <f>IF($C2326=""," ",[1]!i_pq_pctchange($C2326,G$6,$N$1))</f>
        <v xml:space="preserve"> </v>
      </c>
      <c r="H2326" s="28" t="str">
        <f>IF($C2326=""," ",[1]!i_pq_pctchange($C2326,H$6,$N$1))</f>
        <v xml:space="preserve"> </v>
      </c>
      <c r="I2326" s="28" t="str">
        <f>IF($C2326=""," ",[1]!i_pq_pctchange($C2326,I$6,$N$1))</f>
        <v xml:space="preserve"> </v>
      </c>
      <c r="J2326" s="28" t="str">
        <f>IF($C2326=""," ",[1]!i_pq_pctchange($C2326,J$6,$N$1))</f>
        <v xml:space="preserve"> </v>
      </c>
      <c r="K2326" s="28" t="str">
        <f>IF($C2326=""," ",[1]!i_pq_pctchange($C2326,K$6,$N$1))</f>
        <v xml:space="preserve"> </v>
      </c>
      <c r="L2326" s="28" t="str">
        <f>IF(C2326=""," ",[1]!s_wq_pctchange($C2326,$N$1))</f>
        <v xml:space="preserve"> </v>
      </c>
      <c r="M2326" s="28" t="str">
        <f>IF(C2326=""," ",[1]!s_mq_pctchange($C2326,$N$1))</f>
        <v xml:space="preserve"> </v>
      </c>
      <c r="N2326" s="28" t="str">
        <f>IF(C2326=""," ",[1]!s_yq_pctchange($C2326,$N$1))</f>
        <v xml:space="preserve"> </v>
      </c>
      <c r="O2326" s="11"/>
      <c r="P2326" s="7"/>
    </row>
    <row r="2327" spans="1:16" x14ac:dyDescent="0.35">
      <c r="A2327" s="7"/>
      <c r="C2327" s="30" t="str">
        <f>IF(指数列表!B2324="","",指数列表!B2324)</f>
        <v/>
      </c>
      <c r="D2327" s="35" t="str">
        <f>IF(C2327="","",[1]!s_info_name(C2327))</f>
        <v/>
      </c>
      <c r="E2327" s="24" t="str">
        <f>IF(C2327="","",[1]!s_dq_close(C2327,$N$1))</f>
        <v/>
      </c>
      <c r="F2327" s="28" t="str">
        <f>IF($C2327=""," ",[1]!i_pq_pctchange($C2327,F$6,$N$1))</f>
        <v xml:space="preserve"> </v>
      </c>
      <c r="G2327" s="28" t="str">
        <f>IF($C2327=""," ",[1]!i_pq_pctchange($C2327,G$6,$N$1))</f>
        <v xml:space="preserve"> </v>
      </c>
      <c r="H2327" s="28" t="str">
        <f>IF($C2327=""," ",[1]!i_pq_pctchange($C2327,H$6,$N$1))</f>
        <v xml:space="preserve"> </v>
      </c>
      <c r="I2327" s="28" t="str">
        <f>IF($C2327=""," ",[1]!i_pq_pctchange($C2327,I$6,$N$1))</f>
        <v xml:space="preserve"> </v>
      </c>
      <c r="J2327" s="28" t="str">
        <f>IF($C2327=""," ",[1]!i_pq_pctchange($C2327,J$6,$N$1))</f>
        <v xml:space="preserve"> </v>
      </c>
      <c r="K2327" s="28" t="str">
        <f>IF($C2327=""," ",[1]!i_pq_pctchange($C2327,K$6,$N$1))</f>
        <v xml:space="preserve"> </v>
      </c>
      <c r="L2327" s="28" t="str">
        <f>IF(C2327=""," ",[1]!s_wq_pctchange($C2327,$N$1))</f>
        <v xml:space="preserve"> </v>
      </c>
      <c r="M2327" s="28" t="str">
        <f>IF(C2327=""," ",[1]!s_mq_pctchange($C2327,$N$1))</f>
        <v xml:space="preserve"> </v>
      </c>
      <c r="N2327" s="28" t="str">
        <f>IF(C2327=""," ",[1]!s_yq_pctchange($C2327,$N$1))</f>
        <v xml:space="preserve"> </v>
      </c>
      <c r="O2327" s="11"/>
      <c r="P2327" s="7"/>
    </row>
    <row r="2328" spans="1:16" x14ac:dyDescent="0.35">
      <c r="A2328" s="7"/>
      <c r="C2328" s="31" t="str">
        <f>IF(指数列表!B2325="","",指数列表!B2325)</f>
        <v/>
      </c>
      <c r="D2328" s="36" t="str">
        <f>IF(C2328="","",[1]!s_info_name(C2328))</f>
        <v/>
      </c>
      <c r="E2328" s="25" t="str">
        <f>IF(C2328="","",[1]!s_dq_close(C2328,$N$1))</f>
        <v/>
      </c>
      <c r="F2328" s="28" t="str">
        <f>IF($C2328=""," ",[1]!i_pq_pctchange($C2328,F$6,$N$1))</f>
        <v xml:space="preserve"> </v>
      </c>
      <c r="G2328" s="28" t="str">
        <f>IF($C2328=""," ",[1]!i_pq_pctchange($C2328,G$6,$N$1))</f>
        <v xml:space="preserve"> </v>
      </c>
      <c r="H2328" s="28" t="str">
        <f>IF($C2328=""," ",[1]!i_pq_pctchange($C2328,H$6,$N$1))</f>
        <v xml:space="preserve"> </v>
      </c>
      <c r="I2328" s="28" t="str">
        <f>IF($C2328=""," ",[1]!i_pq_pctchange($C2328,I$6,$N$1))</f>
        <v xml:space="preserve"> </v>
      </c>
      <c r="J2328" s="28" t="str">
        <f>IF($C2328=""," ",[1]!i_pq_pctchange($C2328,J$6,$N$1))</f>
        <v xml:space="preserve"> </v>
      </c>
      <c r="K2328" s="28" t="str">
        <f>IF($C2328=""," ",[1]!i_pq_pctchange($C2328,K$6,$N$1))</f>
        <v xml:space="preserve"> </v>
      </c>
      <c r="L2328" s="28" t="str">
        <f>IF(C2328=""," ",[1]!s_wq_pctchange($C2328,$N$1))</f>
        <v xml:space="preserve"> </v>
      </c>
      <c r="M2328" s="28" t="str">
        <f>IF(C2328=""," ",[1]!s_mq_pctchange($C2328,$N$1))</f>
        <v xml:space="preserve"> </v>
      </c>
      <c r="N2328" s="28" t="str">
        <f>IF(C2328=""," ",[1]!s_yq_pctchange($C2328,$N$1))</f>
        <v xml:space="preserve"> </v>
      </c>
      <c r="O2328" s="11"/>
      <c r="P2328" s="7"/>
    </row>
    <row r="2329" spans="1:16" x14ac:dyDescent="0.35">
      <c r="A2329" s="7"/>
      <c r="C2329" s="30" t="str">
        <f>IF(指数列表!B2326="","",指数列表!B2326)</f>
        <v/>
      </c>
      <c r="D2329" s="35" t="str">
        <f>IF(C2329="","",[1]!s_info_name(C2329))</f>
        <v/>
      </c>
      <c r="E2329" s="24" t="str">
        <f>IF(C2329="","",[1]!s_dq_close(C2329,$N$1))</f>
        <v/>
      </c>
      <c r="F2329" s="28" t="str">
        <f>IF($C2329=""," ",[1]!i_pq_pctchange($C2329,F$6,$N$1))</f>
        <v xml:space="preserve"> </v>
      </c>
      <c r="G2329" s="28" t="str">
        <f>IF($C2329=""," ",[1]!i_pq_pctchange($C2329,G$6,$N$1))</f>
        <v xml:space="preserve"> </v>
      </c>
      <c r="H2329" s="28" t="str">
        <f>IF($C2329=""," ",[1]!i_pq_pctchange($C2329,H$6,$N$1))</f>
        <v xml:space="preserve"> </v>
      </c>
      <c r="I2329" s="28" t="str">
        <f>IF($C2329=""," ",[1]!i_pq_pctchange($C2329,I$6,$N$1))</f>
        <v xml:space="preserve"> </v>
      </c>
      <c r="J2329" s="28" t="str">
        <f>IF($C2329=""," ",[1]!i_pq_pctchange($C2329,J$6,$N$1))</f>
        <v xml:space="preserve"> </v>
      </c>
      <c r="K2329" s="28" t="str">
        <f>IF($C2329=""," ",[1]!i_pq_pctchange($C2329,K$6,$N$1))</f>
        <v xml:space="preserve"> </v>
      </c>
      <c r="L2329" s="28" t="str">
        <f>IF(C2329=""," ",[1]!s_wq_pctchange($C2329,$N$1))</f>
        <v xml:space="preserve"> </v>
      </c>
      <c r="M2329" s="28" t="str">
        <f>IF(C2329=""," ",[1]!s_mq_pctchange($C2329,$N$1))</f>
        <v xml:space="preserve"> </v>
      </c>
      <c r="N2329" s="28" t="str">
        <f>IF(C2329=""," ",[1]!s_yq_pctchange($C2329,$N$1))</f>
        <v xml:space="preserve"> </v>
      </c>
      <c r="O2329" s="11"/>
      <c r="P2329" s="7"/>
    </row>
    <row r="2330" spans="1:16" x14ac:dyDescent="0.35">
      <c r="A2330" s="7"/>
      <c r="C2330" s="31" t="str">
        <f>IF(指数列表!B2327="","",指数列表!B2327)</f>
        <v/>
      </c>
      <c r="D2330" s="36" t="str">
        <f>IF(C2330="","",[1]!s_info_name(C2330))</f>
        <v/>
      </c>
      <c r="E2330" s="25" t="str">
        <f>IF(C2330="","",[1]!s_dq_close(C2330,$N$1))</f>
        <v/>
      </c>
      <c r="F2330" s="28" t="str">
        <f>IF($C2330=""," ",[1]!i_pq_pctchange($C2330,F$6,$N$1))</f>
        <v xml:space="preserve"> </v>
      </c>
      <c r="G2330" s="28" t="str">
        <f>IF($C2330=""," ",[1]!i_pq_pctchange($C2330,G$6,$N$1))</f>
        <v xml:space="preserve"> </v>
      </c>
      <c r="H2330" s="28" t="str">
        <f>IF($C2330=""," ",[1]!i_pq_pctchange($C2330,H$6,$N$1))</f>
        <v xml:space="preserve"> </v>
      </c>
      <c r="I2330" s="28" t="str">
        <f>IF($C2330=""," ",[1]!i_pq_pctchange($C2330,I$6,$N$1))</f>
        <v xml:space="preserve"> </v>
      </c>
      <c r="J2330" s="28" t="str">
        <f>IF($C2330=""," ",[1]!i_pq_pctchange($C2330,J$6,$N$1))</f>
        <v xml:space="preserve"> </v>
      </c>
      <c r="K2330" s="28" t="str">
        <f>IF($C2330=""," ",[1]!i_pq_pctchange($C2330,K$6,$N$1))</f>
        <v xml:space="preserve"> </v>
      </c>
      <c r="L2330" s="28" t="str">
        <f>IF(C2330=""," ",[1]!s_wq_pctchange($C2330,$N$1))</f>
        <v xml:space="preserve"> </v>
      </c>
      <c r="M2330" s="28" t="str">
        <f>IF(C2330=""," ",[1]!s_mq_pctchange($C2330,$N$1))</f>
        <v xml:space="preserve"> </v>
      </c>
      <c r="N2330" s="28" t="str">
        <f>IF(C2330=""," ",[1]!s_yq_pctchange($C2330,$N$1))</f>
        <v xml:space="preserve"> </v>
      </c>
      <c r="O2330" s="11"/>
      <c r="P2330" s="7"/>
    </row>
    <row r="2331" spans="1:16" x14ac:dyDescent="0.35">
      <c r="A2331" s="7"/>
      <c r="C2331" s="30" t="str">
        <f>IF(指数列表!B2328="","",指数列表!B2328)</f>
        <v/>
      </c>
      <c r="D2331" s="35" t="str">
        <f>IF(C2331="","",[1]!s_info_name(C2331))</f>
        <v/>
      </c>
      <c r="E2331" s="24" t="str">
        <f>IF(C2331="","",[1]!s_dq_close(C2331,$N$1))</f>
        <v/>
      </c>
      <c r="F2331" s="28" t="str">
        <f>IF($C2331=""," ",[1]!i_pq_pctchange($C2331,F$6,$N$1))</f>
        <v xml:space="preserve"> </v>
      </c>
      <c r="G2331" s="28" t="str">
        <f>IF($C2331=""," ",[1]!i_pq_pctchange($C2331,G$6,$N$1))</f>
        <v xml:space="preserve"> </v>
      </c>
      <c r="H2331" s="28" t="str">
        <f>IF($C2331=""," ",[1]!i_pq_pctchange($C2331,H$6,$N$1))</f>
        <v xml:space="preserve"> </v>
      </c>
      <c r="I2331" s="28" t="str">
        <f>IF($C2331=""," ",[1]!i_pq_pctchange($C2331,I$6,$N$1))</f>
        <v xml:space="preserve"> </v>
      </c>
      <c r="J2331" s="28" t="str">
        <f>IF($C2331=""," ",[1]!i_pq_pctchange($C2331,J$6,$N$1))</f>
        <v xml:space="preserve"> </v>
      </c>
      <c r="K2331" s="28" t="str">
        <f>IF($C2331=""," ",[1]!i_pq_pctchange($C2331,K$6,$N$1))</f>
        <v xml:space="preserve"> </v>
      </c>
      <c r="L2331" s="28" t="str">
        <f>IF(C2331=""," ",[1]!s_wq_pctchange($C2331,$N$1))</f>
        <v xml:space="preserve"> </v>
      </c>
      <c r="M2331" s="28" t="str">
        <f>IF(C2331=""," ",[1]!s_mq_pctchange($C2331,$N$1))</f>
        <v xml:space="preserve"> </v>
      </c>
      <c r="N2331" s="28" t="str">
        <f>IF(C2331=""," ",[1]!s_yq_pctchange($C2331,$N$1))</f>
        <v xml:space="preserve"> </v>
      </c>
      <c r="O2331" s="11"/>
      <c r="P2331" s="7"/>
    </row>
    <row r="2332" spans="1:16" x14ac:dyDescent="0.35">
      <c r="A2332" s="7"/>
      <c r="C2332" s="31" t="str">
        <f>IF(指数列表!B2329="","",指数列表!B2329)</f>
        <v/>
      </c>
      <c r="D2332" s="36" t="str">
        <f>IF(C2332="","",[1]!s_info_name(C2332))</f>
        <v/>
      </c>
      <c r="E2332" s="25" t="str">
        <f>IF(C2332="","",[1]!s_dq_close(C2332,$N$1))</f>
        <v/>
      </c>
      <c r="F2332" s="28" t="str">
        <f>IF($C2332=""," ",[1]!i_pq_pctchange($C2332,F$6,$N$1))</f>
        <v xml:space="preserve"> </v>
      </c>
      <c r="G2332" s="28" t="str">
        <f>IF($C2332=""," ",[1]!i_pq_pctchange($C2332,G$6,$N$1))</f>
        <v xml:space="preserve"> </v>
      </c>
      <c r="H2332" s="28" t="str">
        <f>IF($C2332=""," ",[1]!i_pq_pctchange($C2332,H$6,$N$1))</f>
        <v xml:space="preserve"> </v>
      </c>
      <c r="I2332" s="28" t="str">
        <f>IF($C2332=""," ",[1]!i_pq_pctchange($C2332,I$6,$N$1))</f>
        <v xml:space="preserve"> </v>
      </c>
      <c r="J2332" s="28" t="str">
        <f>IF($C2332=""," ",[1]!i_pq_pctchange($C2332,J$6,$N$1))</f>
        <v xml:space="preserve"> </v>
      </c>
      <c r="K2332" s="28" t="str">
        <f>IF($C2332=""," ",[1]!i_pq_pctchange($C2332,K$6,$N$1))</f>
        <v xml:space="preserve"> </v>
      </c>
      <c r="L2332" s="28" t="str">
        <f>IF(C2332=""," ",[1]!s_wq_pctchange($C2332,$N$1))</f>
        <v xml:space="preserve"> </v>
      </c>
      <c r="M2332" s="28" t="str">
        <f>IF(C2332=""," ",[1]!s_mq_pctchange($C2332,$N$1))</f>
        <v xml:space="preserve"> </v>
      </c>
      <c r="N2332" s="28" t="str">
        <f>IF(C2332=""," ",[1]!s_yq_pctchange($C2332,$N$1))</f>
        <v xml:space="preserve"> </v>
      </c>
      <c r="O2332" s="11"/>
      <c r="P2332" s="7"/>
    </row>
    <row r="2333" spans="1:16" x14ac:dyDescent="0.35">
      <c r="A2333" s="7"/>
      <c r="C2333" s="30" t="str">
        <f>IF(指数列表!B2330="","",指数列表!B2330)</f>
        <v/>
      </c>
      <c r="D2333" s="35" t="str">
        <f>IF(C2333="","",[1]!s_info_name(C2333))</f>
        <v/>
      </c>
      <c r="E2333" s="24" t="str">
        <f>IF(C2333="","",[1]!s_dq_close(C2333,$N$1))</f>
        <v/>
      </c>
      <c r="F2333" s="28" t="str">
        <f>IF($C2333=""," ",[1]!i_pq_pctchange($C2333,F$6,$N$1))</f>
        <v xml:space="preserve"> </v>
      </c>
      <c r="G2333" s="28" t="str">
        <f>IF($C2333=""," ",[1]!i_pq_pctchange($C2333,G$6,$N$1))</f>
        <v xml:space="preserve"> </v>
      </c>
      <c r="H2333" s="28" t="str">
        <f>IF($C2333=""," ",[1]!i_pq_pctchange($C2333,H$6,$N$1))</f>
        <v xml:space="preserve"> </v>
      </c>
      <c r="I2333" s="28" t="str">
        <f>IF($C2333=""," ",[1]!i_pq_pctchange($C2333,I$6,$N$1))</f>
        <v xml:space="preserve"> </v>
      </c>
      <c r="J2333" s="28" t="str">
        <f>IF($C2333=""," ",[1]!i_pq_pctchange($C2333,J$6,$N$1))</f>
        <v xml:space="preserve"> </v>
      </c>
      <c r="K2333" s="28" t="str">
        <f>IF($C2333=""," ",[1]!i_pq_pctchange($C2333,K$6,$N$1))</f>
        <v xml:space="preserve"> </v>
      </c>
      <c r="L2333" s="28" t="str">
        <f>IF(C2333=""," ",[1]!s_wq_pctchange($C2333,$N$1))</f>
        <v xml:space="preserve"> </v>
      </c>
      <c r="M2333" s="28" t="str">
        <f>IF(C2333=""," ",[1]!s_mq_pctchange($C2333,$N$1))</f>
        <v xml:space="preserve"> </v>
      </c>
      <c r="N2333" s="28" t="str">
        <f>IF(C2333=""," ",[1]!s_yq_pctchange($C2333,$N$1))</f>
        <v xml:space="preserve"> </v>
      </c>
      <c r="O2333" s="11"/>
      <c r="P2333" s="7"/>
    </row>
    <row r="2334" spans="1:16" x14ac:dyDescent="0.35">
      <c r="A2334" s="7"/>
      <c r="C2334" s="31" t="str">
        <f>IF(指数列表!B2331="","",指数列表!B2331)</f>
        <v/>
      </c>
      <c r="D2334" s="36" t="str">
        <f>IF(C2334="","",[1]!s_info_name(C2334))</f>
        <v/>
      </c>
      <c r="E2334" s="25" t="str">
        <f>IF(C2334="","",[1]!s_dq_close(C2334,$N$1))</f>
        <v/>
      </c>
      <c r="F2334" s="28" t="str">
        <f>IF($C2334=""," ",[1]!i_pq_pctchange($C2334,F$6,$N$1))</f>
        <v xml:space="preserve"> </v>
      </c>
      <c r="G2334" s="28" t="str">
        <f>IF($C2334=""," ",[1]!i_pq_pctchange($C2334,G$6,$N$1))</f>
        <v xml:space="preserve"> </v>
      </c>
      <c r="H2334" s="28" t="str">
        <f>IF($C2334=""," ",[1]!i_pq_pctchange($C2334,H$6,$N$1))</f>
        <v xml:space="preserve"> </v>
      </c>
      <c r="I2334" s="28" t="str">
        <f>IF($C2334=""," ",[1]!i_pq_pctchange($C2334,I$6,$N$1))</f>
        <v xml:space="preserve"> </v>
      </c>
      <c r="J2334" s="28" t="str">
        <f>IF($C2334=""," ",[1]!i_pq_pctchange($C2334,J$6,$N$1))</f>
        <v xml:space="preserve"> </v>
      </c>
      <c r="K2334" s="28" t="str">
        <f>IF($C2334=""," ",[1]!i_pq_pctchange($C2334,K$6,$N$1))</f>
        <v xml:space="preserve"> </v>
      </c>
      <c r="L2334" s="28" t="str">
        <f>IF(C2334=""," ",[1]!s_wq_pctchange($C2334,$N$1))</f>
        <v xml:space="preserve"> </v>
      </c>
      <c r="M2334" s="28" t="str">
        <f>IF(C2334=""," ",[1]!s_mq_pctchange($C2334,$N$1))</f>
        <v xml:space="preserve"> </v>
      </c>
      <c r="N2334" s="28" t="str">
        <f>IF(C2334=""," ",[1]!s_yq_pctchange($C2334,$N$1))</f>
        <v xml:space="preserve"> </v>
      </c>
      <c r="O2334" s="11"/>
      <c r="P2334" s="7"/>
    </row>
    <row r="2335" spans="1:16" x14ac:dyDescent="0.35">
      <c r="A2335" s="7"/>
      <c r="C2335" s="30" t="str">
        <f>IF(指数列表!B2332="","",指数列表!B2332)</f>
        <v/>
      </c>
      <c r="D2335" s="35" t="str">
        <f>IF(C2335="","",[1]!s_info_name(C2335))</f>
        <v/>
      </c>
      <c r="E2335" s="24" t="str">
        <f>IF(C2335="","",[1]!s_dq_close(C2335,$N$1))</f>
        <v/>
      </c>
      <c r="F2335" s="28" t="str">
        <f>IF($C2335=""," ",[1]!i_pq_pctchange($C2335,F$6,$N$1))</f>
        <v xml:space="preserve"> </v>
      </c>
      <c r="G2335" s="28" t="str">
        <f>IF($C2335=""," ",[1]!i_pq_pctchange($C2335,G$6,$N$1))</f>
        <v xml:space="preserve"> </v>
      </c>
      <c r="H2335" s="28" t="str">
        <f>IF($C2335=""," ",[1]!i_pq_pctchange($C2335,H$6,$N$1))</f>
        <v xml:space="preserve"> </v>
      </c>
      <c r="I2335" s="28" t="str">
        <f>IF($C2335=""," ",[1]!i_pq_pctchange($C2335,I$6,$N$1))</f>
        <v xml:space="preserve"> </v>
      </c>
      <c r="J2335" s="28" t="str">
        <f>IF($C2335=""," ",[1]!i_pq_pctchange($C2335,J$6,$N$1))</f>
        <v xml:space="preserve"> </v>
      </c>
      <c r="K2335" s="28" t="str">
        <f>IF($C2335=""," ",[1]!i_pq_pctchange($C2335,K$6,$N$1))</f>
        <v xml:space="preserve"> </v>
      </c>
      <c r="L2335" s="28" t="str">
        <f>IF(C2335=""," ",[1]!s_wq_pctchange($C2335,$N$1))</f>
        <v xml:space="preserve"> </v>
      </c>
      <c r="M2335" s="28" t="str">
        <f>IF(C2335=""," ",[1]!s_mq_pctchange($C2335,$N$1))</f>
        <v xml:space="preserve"> </v>
      </c>
      <c r="N2335" s="28" t="str">
        <f>IF(C2335=""," ",[1]!s_yq_pctchange($C2335,$N$1))</f>
        <v xml:space="preserve"> </v>
      </c>
      <c r="O2335" s="11"/>
      <c r="P2335" s="7"/>
    </row>
    <row r="2336" spans="1:16" x14ac:dyDescent="0.35">
      <c r="A2336" s="7"/>
      <c r="C2336" s="31" t="str">
        <f>IF(指数列表!B2333="","",指数列表!B2333)</f>
        <v/>
      </c>
      <c r="D2336" s="36" t="str">
        <f>IF(C2336="","",[1]!s_info_name(C2336))</f>
        <v/>
      </c>
      <c r="E2336" s="25" t="str">
        <f>IF(C2336="","",[1]!s_dq_close(C2336,$N$1))</f>
        <v/>
      </c>
      <c r="F2336" s="28" t="str">
        <f>IF($C2336=""," ",[1]!i_pq_pctchange($C2336,F$6,$N$1))</f>
        <v xml:space="preserve"> </v>
      </c>
      <c r="G2336" s="28" t="str">
        <f>IF($C2336=""," ",[1]!i_pq_pctchange($C2336,G$6,$N$1))</f>
        <v xml:space="preserve"> </v>
      </c>
      <c r="H2336" s="28" t="str">
        <f>IF($C2336=""," ",[1]!i_pq_pctchange($C2336,H$6,$N$1))</f>
        <v xml:space="preserve"> </v>
      </c>
      <c r="I2336" s="28" t="str">
        <f>IF($C2336=""," ",[1]!i_pq_pctchange($C2336,I$6,$N$1))</f>
        <v xml:space="preserve"> </v>
      </c>
      <c r="J2336" s="28" t="str">
        <f>IF($C2336=""," ",[1]!i_pq_pctchange($C2336,J$6,$N$1))</f>
        <v xml:space="preserve"> </v>
      </c>
      <c r="K2336" s="28" t="str">
        <f>IF($C2336=""," ",[1]!i_pq_pctchange($C2336,K$6,$N$1))</f>
        <v xml:space="preserve"> </v>
      </c>
      <c r="L2336" s="28" t="str">
        <f>IF(C2336=""," ",[1]!s_wq_pctchange($C2336,$N$1))</f>
        <v xml:space="preserve"> </v>
      </c>
      <c r="M2336" s="28" t="str">
        <f>IF(C2336=""," ",[1]!s_mq_pctchange($C2336,$N$1))</f>
        <v xml:space="preserve"> </v>
      </c>
      <c r="N2336" s="28" t="str">
        <f>IF(C2336=""," ",[1]!s_yq_pctchange($C2336,$N$1))</f>
        <v xml:space="preserve"> </v>
      </c>
      <c r="O2336" s="11"/>
      <c r="P2336" s="7"/>
    </row>
    <row r="2337" spans="1:16" x14ac:dyDescent="0.35">
      <c r="A2337" s="7"/>
      <c r="C2337" s="30" t="str">
        <f>IF(指数列表!B2334="","",指数列表!B2334)</f>
        <v/>
      </c>
      <c r="D2337" s="35" t="str">
        <f>IF(C2337="","",[1]!s_info_name(C2337))</f>
        <v/>
      </c>
      <c r="E2337" s="24" t="str">
        <f>IF(C2337="","",[1]!s_dq_close(C2337,$N$1))</f>
        <v/>
      </c>
      <c r="F2337" s="28" t="str">
        <f>IF($C2337=""," ",[1]!i_pq_pctchange($C2337,F$6,$N$1))</f>
        <v xml:space="preserve"> </v>
      </c>
      <c r="G2337" s="28" t="str">
        <f>IF($C2337=""," ",[1]!i_pq_pctchange($C2337,G$6,$N$1))</f>
        <v xml:space="preserve"> </v>
      </c>
      <c r="H2337" s="28" t="str">
        <f>IF($C2337=""," ",[1]!i_pq_pctchange($C2337,H$6,$N$1))</f>
        <v xml:space="preserve"> </v>
      </c>
      <c r="I2337" s="28" t="str">
        <f>IF($C2337=""," ",[1]!i_pq_pctchange($C2337,I$6,$N$1))</f>
        <v xml:space="preserve"> </v>
      </c>
      <c r="J2337" s="28" t="str">
        <f>IF($C2337=""," ",[1]!i_pq_pctchange($C2337,J$6,$N$1))</f>
        <v xml:space="preserve"> </v>
      </c>
      <c r="K2337" s="28" t="str">
        <f>IF($C2337=""," ",[1]!i_pq_pctchange($C2337,K$6,$N$1))</f>
        <v xml:space="preserve"> </v>
      </c>
      <c r="L2337" s="28" t="str">
        <f>IF(C2337=""," ",[1]!s_wq_pctchange($C2337,$N$1))</f>
        <v xml:space="preserve"> </v>
      </c>
      <c r="M2337" s="28" t="str">
        <f>IF(C2337=""," ",[1]!s_mq_pctchange($C2337,$N$1))</f>
        <v xml:space="preserve"> </v>
      </c>
      <c r="N2337" s="28" t="str">
        <f>IF(C2337=""," ",[1]!s_yq_pctchange($C2337,$N$1))</f>
        <v xml:space="preserve"> </v>
      </c>
      <c r="O2337" s="11"/>
      <c r="P2337" s="7"/>
    </row>
    <row r="2338" spans="1:16" x14ac:dyDescent="0.35">
      <c r="A2338" s="7"/>
      <c r="C2338" s="31" t="str">
        <f>IF(指数列表!B2335="","",指数列表!B2335)</f>
        <v/>
      </c>
      <c r="D2338" s="36" t="str">
        <f>IF(C2338="","",[1]!s_info_name(C2338))</f>
        <v/>
      </c>
      <c r="E2338" s="25" t="str">
        <f>IF(C2338="","",[1]!s_dq_close(C2338,$N$1))</f>
        <v/>
      </c>
      <c r="F2338" s="28" t="str">
        <f>IF($C2338=""," ",[1]!i_pq_pctchange($C2338,F$6,$N$1))</f>
        <v xml:space="preserve"> </v>
      </c>
      <c r="G2338" s="28" t="str">
        <f>IF($C2338=""," ",[1]!i_pq_pctchange($C2338,G$6,$N$1))</f>
        <v xml:space="preserve"> </v>
      </c>
      <c r="H2338" s="28" t="str">
        <f>IF($C2338=""," ",[1]!i_pq_pctchange($C2338,H$6,$N$1))</f>
        <v xml:space="preserve"> </v>
      </c>
      <c r="I2338" s="28" t="str">
        <f>IF($C2338=""," ",[1]!i_pq_pctchange($C2338,I$6,$N$1))</f>
        <v xml:space="preserve"> </v>
      </c>
      <c r="J2338" s="28" t="str">
        <f>IF($C2338=""," ",[1]!i_pq_pctchange($C2338,J$6,$N$1))</f>
        <v xml:space="preserve"> </v>
      </c>
      <c r="K2338" s="28" t="str">
        <f>IF($C2338=""," ",[1]!i_pq_pctchange($C2338,K$6,$N$1))</f>
        <v xml:space="preserve"> </v>
      </c>
      <c r="L2338" s="28" t="str">
        <f>IF(C2338=""," ",[1]!s_wq_pctchange($C2338,$N$1))</f>
        <v xml:space="preserve"> </v>
      </c>
      <c r="M2338" s="28" t="str">
        <f>IF(C2338=""," ",[1]!s_mq_pctchange($C2338,$N$1))</f>
        <v xml:space="preserve"> </v>
      </c>
      <c r="N2338" s="28" t="str">
        <f>IF(C2338=""," ",[1]!s_yq_pctchange($C2338,$N$1))</f>
        <v xml:space="preserve"> </v>
      </c>
      <c r="O2338" s="11"/>
      <c r="P2338" s="7"/>
    </row>
    <row r="2339" spans="1:16" x14ac:dyDescent="0.35">
      <c r="A2339" s="7"/>
      <c r="C2339" s="30" t="str">
        <f>IF(指数列表!B2336="","",指数列表!B2336)</f>
        <v/>
      </c>
      <c r="D2339" s="35" t="str">
        <f>IF(C2339="","",[1]!s_info_name(C2339))</f>
        <v/>
      </c>
      <c r="E2339" s="24" t="str">
        <f>IF(C2339="","",[1]!s_dq_close(C2339,$N$1))</f>
        <v/>
      </c>
      <c r="F2339" s="28" t="str">
        <f>IF($C2339=""," ",[1]!i_pq_pctchange($C2339,F$6,$N$1))</f>
        <v xml:space="preserve"> </v>
      </c>
      <c r="G2339" s="28" t="str">
        <f>IF($C2339=""," ",[1]!i_pq_pctchange($C2339,G$6,$N$1))</f>
        <v xml:space="preserve"> </v>
      </c>
      <c r="H2339" s="28" t="str">
        <f>IF($C2339=""," ",[1]!i_pq_pctchange($C2339,H$6,$N$1))</f>
        <v xml:space="preserve"> </v>
      </c>
      <c r="I2339" s="28" t="str">
        <f>IF($C2339=""," ",[1]!i_pq_pctchange($C2339,I$6,$N$1))</f>
        <v xml:space="preserve"> </v>
      </c>
      <c r="J2339" s="28" t="str">
        <f>IF($C2339=""," ",[1]!i_pq_pctchange($C2339,J$6,$N$1))</f>
        <v xml:space="preserve"> </v>
      </c>
      <c r="K2339" s="28" t="str">
        <f>IF($C2339=""," ",[1]!i_pq_pctchange($C2339,K$6,$N$1))</f>
        <v xml:space="preserve"> </v>
      </c>
      <c r="L2339" s="28" t="str">
        <f>IF(C2339=""," ",[1]!s_wq_pctchange($C2339,$N$1))</f>
        <v xml:space="preserve"> </v>
      </c>
      <c r="M2339" s="28" t="str">
        <f>IF(C2339=""," ",[1]!s_mq_pctchange($C2339,$N$1))</f>
        <v xml:space="preserve"> </v>
      </c>
      <c r="N2339" s="28" t="str">
        <f>IF(C2339=""," ",[1]!s_yq_pctchange($C2339,$N$1))</f>
        <v xml:space="preserve"> </v>
      </c>
      <c r="O2339" s="11"/>
      <c r="P2339" s="7"/>
    </row>
    <row r="2340" spans="1:16" x14ac:dyDescent="0.35">
      <c r="A2340" s="7"/>
      <c r="C2340" s="31" t="str">
        <f>IF(指数列表!B2337="","",指数列表!B2337)</f>
        <v/>
      </c>
      <c r="D2340" s="36" t="str">
        <f>IF(C2340="","",[1]!s_info_name(C2340))</f>
        <v/>
      </c>
      <c r="E2340" s="25" t="str">
        <f>IF(C2340="","",[1]!s_dq_close(C2340,$N$1))</f>
        <v/>
      </c>
      <c r="F2340" s="28" t="str">
        <f>IF($C2340=""," ",[1]!i_pq_pctchange($C2340,F$6,$N$1))</f>
        <v xml:space="preserve"> </v>
      </c>
      <c r="G2340" s="28" t="str">
        <f>IF($C2340=""," ",[1]!i_pq_pctchange($C2340,G$6,$N$1))</f>
        <v xml:space="preserve"> </v>
      </c>
      <c r="H2340" s="28" t="str">
        <f>IF($C2340=""," ",[1]!i_pq_pctchange($C2340,H$6,$N$1))</f>
        <v xml:space="preserve"> </v>
      </c>
      <c r="I2340" s="28" t="str">
        <f>IF($C2340=""," ",[1]!i_pq_pctchange($C2340,I$6,$N$1))</f>
        <v xml:space="preserve"> </v>
      </c>
      <c r="J2340" s="28" t="str">
        <f>IF($C2340=""," ",[1]!i_pq_pctchange($C2340,J$6,$N$1))</f>
        <v xml:space="preserve"> </v>
      </c>
      <c r="K2340" s="28" t="str">
        <f>IF($C2340=""," ",[1]!i_pq_pctchange($C2340,K$6,$N$1))</f>
        <v xml:space="preserve"> </v>
      </c>
      <c r="L2340" s="28" t="str">
        <f>IF(C2340=""," ",[1]!s_wq_pctchange($C2340,$N$1))</f>
        <v xml:space="preserve"> </v>
      </c>
      <c r="M2340" s="28" t="str">
        <f>IF(C2340=""," ",[1]!s_mq_pctchange($C2340,$N$1))</f>
        <v xml:space="preserve"> </v>
      </c>
      <c r="N2340" s="28" t="str">
        <f>IF(C2340=""," ",[1]!s_yq_pctchange($C2340,$N$1))</f>
        <v xml:space="preserve"> </v>
      </c>
      <c r="O2340" s="11"/>
      <c r="P2340" s="7"/>
    </row>
    <row r="2341" spans="1:16" x14ac:dyDescent="0.35">
      <c r="A2341" s="7"/>
      <c r="C2341" s="30" t="str">
        <f>IF(指数列表!B2338="","",指数列表!B2338)</f>
        <v/>
      </c>
      <c r="D2341" s="35" t="str">
        <f>IF(C2341="","",[1]!s_info_name(C2341))</f>
        <v/>
      </c>
      <c r="E2341" s="24" t="str">
        <f>IF(C2341="","",[1]!s_dq_close(C2341,$N$1))</f>
        <v/>
      </c>
      <c r="F2341" s="28" t="str">
        <f>IF($C2341=""," ",[1]!i_pq_pctchange($C2341,F$6,$N$1))</f>
        <v xml:space="preserve"> </v>
      </c>
      <c r="G2341" s="28" t="str">
        <f>IF($C2341=""," ",[1]!i_pq_pctchange($C2341,G$6,$N$1))</f>
        <v xml:space="preserve"> </v>
      </c>
      <c r="H2341" s="28" t="str">
        <f>IF($C2341=""," ",[1]!i_pq_pctchange($C2341,H$6,$N$1))</f>
        <v xml:space="preserve"> </v>
      </c>
      <c r="I2341" s="28" t="str">
        <f>IF($C2341=""," ",[1]!i_pq_pctchange($C2341,I$6,$N$1))</f>
        <v xml:space="preserve"> </v>
      </c>
      <c r="J2341" s="28" t="str">
        <f>IF($C2341=""," ",[1]!i_pq_pctchange($C2341,J$6,$N$1))</f>
        <v xml:space="preserve"> </v>
      </c>
      <c r="K2341" s="28" t="str">
        <f>IF($C2341=""," ",[1]!i_pq_pctchange($C2341,K$6,$N$1))</f>
        <v xml:space="preserve"> </v>
      </c>
      <c r="L2341" s="28" t="str">
        <f>IF(C2341=""," ",[1]!s_wq_pctchange($C2341,$N$1))</f>
        <v xml:space="preserve"> </v>
      </c>
      <c r="M2341" s="28" t="str">
        <f>IF(C2341=""," ",[1]!s_mq_pctchange($C2341,$N$1))</f>
        <v xml:space="preserve"> </v>
      </c>
      <c r="N2341" s="28" t="str">
        <f>IF(C2341=""," ",[1]!s_yq_pctchange($C2341,$N$1))</f>
        <v xml:space="preserve"> </v>
      </c>
      <c r="O2341" s="11"/>
      <c r="P2341" s="7"/>
    </row>
    <row r="2342" spans="1:16" x14ac:dyDescent="0.35">
      <c r="A2342" s="7"/>
      <c r="C2342" s="31" t="str">
        <f>IF(指数列表!B2339="","",指数列表!B2339)</f>
        <v/>
      </c>
      <c r="D2342" s="36" t="str">
        <f>IF(C2342="","",[1]!s_info_name(C2342))</f>
        <v/>
      </c>
      <c r="E2342" s="25" t="str">
        <f>IF(C2342="","",[1]!s_dq_close(C2342,$N$1))</f>
        <v/>
      </c>
      <c r="F2342" s="28" t="str">
        <f>IF($C2342=""," ",[1]!i_pq_pctchange($C2342,F$6,$N$1))</f>
        <v xml:space="preserve"> </v>
      </c>
      <c r="G2342" s="28" t="str">
        <f>IF($C2342=""," ",[1]!i_pq_pctchange($C2342,G$6,$N$1))</f>
        <v xml:space="preserve"> </v>
      </c>
      <c r="H2342" s="28" t="str">
        <f>IF($C2342=""," ",[1]!i_pq_pctchange($C2342,H$6,$N$1))</f>
        <v xml:space="preserve"> </v>
      </c>
      <c r="I2342" s="28" t="str">
        <f>IF($C2342=""," ",[1]!i_pq_pctchange($C2342,I$6,$N$1))</f>
        <v xml:space="preserve"> </v>
      </c>
      <c r="J2342" s="28" t="str">
        <f>IF($C2342=""," ",[1]!i_pq_pctchange($C2342,J$6,$N$1))</f>
        <v xml:space="preserve"> </v>
      </c>
      <c r="K2342" s="28" t="str">
        <f>IF($C2342=""," ",[1]!i_pq_pctchange($C2342,K$6,$N$1))</f>
        <v xml:space="preserve"> </v>
      </c>
      <c r="L2342" s="28" t="str">
        <f>IF(C2342=""," ",[1]!s_wq_pctchange($C2342,$N$1))</f>
        <v xml:space="preserve"> </v>
      </c>
      <c r="M2342" s="28" t="str">
        <f>IF(C2342=""," ",[1]!s_mq_pctchange($C2342,$N$1))</f>
        <v xml:space="preserve"> </v>
      </c>
      <c r="N2342" s="28" t="str">
        <f>IF(C2342=""," ",[1]!s_yq_pctchange($C2342,$N$1))</f>
        <v xml:space="preserve"> </v>
      </c>
      <c r="O2342" s="11"/>
      <c r="P2342" s="7"/>
    </row>
    <row r="2343" spans="1:16" x14ac:dyDescent="0.35">
      <c r="A2343" s="7"/>
      <c r="C2343" s="30" t="str">
        <f>IF(指数列表!B2340="","",指数列表!B2340)</f>
        <v/>
      </c>
      <c r="D2343" s="35" t="str">
        <f>IF(C2343="","",[1]!s_info_name(C2343))</f>
        <v/>
      </c>
      <c r="E2343" s="24" t="str">
        <f>IF(C2343="","",[1]!s_dq_close(C2343,$N$1))</f>
        <v/>
      </c>
      <c r="F2343" s="28" t="str">
        <f>IF($C2343=""," ",[1]!i_pq_pctchange($C2343,F$6,$N$1))</f>
        <v xml:space="preserve"> </v>
      </c>
      <c r="G2343" s="28" t="str">
        <f>IF($C2343=""," ",[1]!i_pq_pctchange($C2343,G$6,$N$1))</f>
        <v xml:space="preserve"> </v>
      </c>
      <c r="H2343" s="28" t="str">
        <f>IF($C2343=""," ",[1]!i_pq_pctchange($C2343,H$6,$N$1))</f>
        <v xml:space="preserve"> </v>
      </c>
      <c r="I2343" s="28" t="str">
        <f>IF($C2343=""," ",[1]!i_pq_pctchange($C2343,I$6,$N$1))</f>
        <v xml:space="preserve"> </v>
      </c>
      <c r="J2343" s="28" t="str">
        <f>IF($C2343=""," ",[1]!i_pq_pctchange($C2343,J$6,$N$1))</f>
        <v xml:space="preserve"> </v>
      </c>
      <c r="K2343" s="28" t="str">
        <f>IF($C2343=""," ",[1]!i_pq_pctchange($C2343,K$6,$N$1))</f>
        <v xml:space="preserve"> </v>
      </c>
      <c r="L2343" s="28" t="str">
        <f>IF(C2343=""," ",[1]!s_wq_pctchange($C2343,$N$1))</f>
        <v xml:space="preserve"> </v>
      </c>
      <c r="M2343" s="28" t="str">
        <f>IF(C2343=""," ",[1]!s_mq_pctchange($C2343,$N$1))</f>
        <v xml:space="preserve"> </v>
      </c>
      <c r="N2343" s="28" t="str">
        <f>IF(C2343=""," ",[1]!s_yq_pctchange($C2343,$N$1))</f>
        <v xml:space="preserve"> </v>
      </c>
      <c r="O2343" s="11"/>
      <c r="P2343" s="7"/>
    </row>
    <row r="2344" spans="1:16" x14ac:dyDescent="0.35">
      <c r="A2344" s="7"/>
      <c r="C2344" s="31" t="str">
        <f>IF(指数列表!B2341="","",指数列表!B2341)</f>
        <v/>
      </c>
      <c r="D2344" s="36" t="str">
        <f>IF(C2344="","",[1]!s_info_name(C2344))</f>
        <v/>
      </c>
      <c r="E2344" s="25" t="str">
        <f>IF(C2344="","",[1]!s_dq_close(C2344,$N$1))</f>
        <v/>
      </c>
      <c r="F2344" s="28" t="str">
        <f>IF($C2344=""," ",[1]!i_pq_pctchange($C2344,F$6,$N$1))</f>
        <v xml:space="preserve"> </v>
      </c>
      <c r="G2344" s="28" t="str">
        <f>IF($C2344=""," ",[1]!i_pq_pctchange($C2344,G$6,$N$1))</f>
        <v xml:space="preserve"> </v>
      </c>
      <c r="H2344" s="28" t="str">
        <f>IF($C2344=""," ",[1]!i_pq_pctchange($C2344,H$6,$N$1))</f>
        <v xml:space="preserve"> </v>
      </c>
      <c r="I2344" s="28" t="str">
        <f>IF($C2344=""," ",[1]!i_pq_pctchange($C2344,I$6,$N$1))</f>
        <v xml:space="preserve"> </v>
      </c>
      <c r="J2344" s="28" t="str">
        <f>IF($C2344=""," ",[1]!i_pq_pctchange($C2344,J$6,$N$1))</f>
        <v xml:space="preserve"> </v>
      </c>
      <c r="K2344" s="28" t="str">
        <f>IF($C2344=""," ",[1]!i_pq_pctchange($C2344,K$6,$N$1))</f>
        <v xml:space="preserve"> </v>
      </c>
      <c r="L2344" s="28" t="str">
        <f>IF(C2344=""," ",[1]!s_wq_pctchange($C2344,$N$1))</f>
        <v xml:space="preserve"> </v>
      </c>
      <c r="M2344" s="28" t="str">
        <f>IF(C2344=""," ",[1]!s_mq_pctchange($C2344,$N$1))</f>
        <v xml:space="preserve"> </v>
      </c>
      <c r="N2344" s="28" t="str">
        <f>IF(C2344=""," ",[1]!s_yq_pctchange($C2344,$N$1))</f>
        <v xml:space="preserve"> </v>
      </c>
      <c r="O2344" s="11"/>
      <c r="P2344" s="7"/>
    </row>
    <row r="2345" spans="1:16" x14ac:dyDescent="0.35">
      <c r="A2345" s="7"/>
      <c r="C2345" s="30" t="str">
        <f>IF(指数列表!B2342="","",指数列表!B2342)</f>
        <v/>
      </c>
      <c r="D2345" s="35" t="str">
        <f>IF(C2345="","",[1]!s_info_name(C2345))</f>
        <v/>
      </c>
      <c r="E2345" s="24" t="str">
        <f>IF(C2345="","",[1]!s_dq_close(C2345,$N$1))</f>
        <v/>
      </c>
      <c r="F2345" s="28" t="str">
        <f>IF($C2345=""," ",[1]!i_pq_pctchange($C2345,F$6,$N$1))</f>
        <v xml:space="preserve"> </v>
      </c>
      <c r="G2345" s="28" t="str">
        <f>IF($C2345=""," ",[1]!i_pq_pctchange($C2345,G$6,$N$1))</f>
        <v xml:space="preserve"> </v>
      </c>
      <c r="H2345" s="28" t="str">
        <f>IF($C2345=""," ",[1]!i_pq_pctchange($C2345,H$6,$N$1))</f>
        <v xml:space="preserve"> </v>
      </c>
      <c r="I2345" s="28" t="str">
        <f>IF($C2345=""," ",[1]!i_pq_pctchange($C2345,I$6,$N$1))</f>
        <v xml:space="preserve"> </v>
      </c>
      <c r="J2345" s="28" t="str">
        <f>IF($C2345=""," ",[1]!i_pq_pctchange($C2345,J$6,$N$1))</f>
        <v xml:space="preserve"> </v>
      </c>
      <c r="K2345" s="28" t="str">
        <f>IF($C2345=""," ",[1]!i_pq_pctchange($C2345,K$6,$N$1))</f>
        <v xml:space="preserve"> </v>
      </c>
      <c r="L2345" s="28" t="str">
        <f>IF(C2345=""," ",[1]!s_wq_pctchange($C2345,$N$1))</f>
        <v xml:space="preserve"> </v>
      </c>
      <c r="M2345" s="28" t="str">
        <f>IF(C2345=""," ",[1]!s_mq_pctchange($C2345,$N$1))</f>
        <v xml:space="preserve"> </v>
      </c>
      <c r="N2345" s="28" t="str">
        <f>IF(C2345=""," ",[1]!s_yq_pctchange($C2345,$N$1))</f>
        <v xml:space="preserve"> </v>
      </c>
      <c r="O2345" s="11"/>
      <c r="P2345" s="7"/>
    </row>
    <row r="2346" spans="1:16" x14ac:dyDescent="0.35">
      <c r="A2346" s="7"/>
      <c r="C2346" s="31" t="str">
        <f>IF(指数列表!B2343="","",指数列表!B2343)</f>
        <v/>
      </c>
      <c r="D2346" s="36" t="str">
        <f>IF(C2346="","",[1]!s_info_name(C2346))</f>
        <v/>
      </c>
      <c r="E2346" s="25" t="str">
        <f>IF(C2346="","",[1]!s_dq_close(C2346,$N$1))</f>
        <v/>
      </c>
      <c r="F2346" s="28" t="str">
        <f>IF($C2346=""," ",[1]!i_pq_pctchange($C2346,F$6,$N$1))</f>
        <v xml:space="preserve"> </v>
      </c>
      <c r="G2346" s="28" t="str">
        <f>IF($C2346=""," ",[1]!i_pq_pctchange($C2346,G$6,$N$1))</f>
        <v xml:space="preserve"> </v>
      </c>
      <c r="H2346" s="28" t="str">
        <f>IF($C2346=""," ",[1]!i_pq_pctchange($C2346,H$6,$N$1))</f>
        <v xml:space="preserve"> </v>
      </c>
      <c r="I2346" s="28" t="str">
        <f>IF($C2346=""," ",[1]!i_pq_pctchange($C2346,I$6,$N$1))</f>
        <v xml:space="preserve"> </v>
      </c>
      <c r="J2346" s="28" t="str">
        <f>IF($C2346=""," ",[1]!i_pq_pctchange($C2346,J$6,$N$1))</f>
        <v xml:space="preserve"> </v>
      </c>
      <c r="K2346" s="28" t="str">
        <f>IF($C2346=""," ",[1]!i_pq_pctchange($C2346,K$6,$N$1))</f>
        <v xml:space="preserve"> </v>
      </c>
      <c r="L2346" s="28" t="str">
        <f>IF(C2346=""," ",[1]!s_wq_pctchange($C2346,$N$1))</f>
        <v xml:space="preserve"> </v>
      </c>
      <c r="M2346" s="28" t="str">
        <f>IF(C2346=""," ",[1]!s_mq_pctchange($C2346,$N$1))</f>
        <v xml:space="preserve"> </v>
      </c>
      <c r="N2346" s="28" t="str">
        <f>IF(C2346=""," ",[1]!s_yq_pctchange($C2346,$N$1))</f>
        <v xml:space="preserve"> </v>
      </c>
      <c r="O2346" s="11"/>
      <c r="P2346" s="7"/>
    </row>
    <row r="2347" spans="1:16" x14ac:dyDescent="0.35">
      <c r="A2347" s="7"/>
      <c r="C2347" s="30" t="str">
        <f>IF(指数列表!B2344="","",指数列表!B2344)</f>
        <v/>
      </c>
      <c r="D2347" s="35" t="str">
        <f>IF(C2347="","",[1]!s_info_name(C2347))</f>
        <v/>
      </c>
      <c r="E2347" s="24" t="str">
        <f>IF(C2347="","",[1]!s_dq_close(C2347,$N$1))</f>
        <v/>
      </c>
      <c r="F2347" s="28" t="str">
        <f>IF($C2347=""," ",[1]!i_pq_pctchange($C2347,F$6,$N$1))</f>
        <v xml:space="preserve"> </v>
      </c>
      <c r="G2347" s="28" t="str">
        <f>IF($C2347=""," ",[1]!i_pq_pctchange($C2347,G$6,$N$1))</f>
        <v xml:space="preserve"> </v>
      </c>
      <c r="H2347" s="28" t="str">
        <f>IF($C2347=""," ",[1]!i_pq_pctchange($C2347,H$6,$N$1))</f>
        <v xml:space="preserve"> </v>
      </c>
      <c r="I2347" s="28" t="str">
        <f>IF($C2347=""," ",[1]!i_pq_pctchange($C2347,I$6,$N$1))</f>
        <v xml:space="preserve"> </v>
      </c>
      <c r="J2347" s="28" t="str">
        <f>IF($C2347=""," ",[1]!i_pq_pctchange($C2347,J$6,$N$1))</f>
        <v xml:space="preserve"> </v>
      </c>
      <c r="K2347" s="28" t="str">
        <f>IF($C2347=""," ",[1]!i_pq_pctchange($C2347,K$6,$N$1))</f>
        <v xml:space="preserve"> </v>
      </c>
      <c r="L2347" s="28" t="str">
        <f>IF(C2347=""," ",[1]!s_wq_pctchange($C2347,$N$1))</f>
        <v xml:space="preserve"> </v>
      </c>
      <c r="M2347" s="28" t="str">
        <f>IF(C2347=""," ",[1]!s_mq_pctchange($C2347,$N$1))</f>
        <v xml:space="preserve"> </v>
      </c>
      <c r="N2347" s="28" t="str">
        <f>IF(C2347=""," ",[1]!s_yq_pctchange($C2347,$N$1))</f>
        <v xml:space="preserve"> </v>
      </c>
      <c r="O2347" s="11"/>
      <c r="P2347" s="7"/>
    </row>
    <row r="2348" spans="1:16" x14ac:dyDescent="0.35">
      <c r="A2348" s="7"/>
      <c r="C2348" s="31" t="str">
        <f>IF(指数列表!B2345="","",指数列表!B2345)</f>
        <v/>
      </c>
      <c r="D2348" s="36" t="str">
        <f>IF(C2348="","",[1]!s_info_name(C2348))</f>
        <v/>
      </c>
      <c r="E2348" s="25" t="str">
        <f>IF(C2348="","",[1]!s_dq_close(C2348,$N$1))</f>
        <v/>
      </c>
      <c r="F2348" s="28" t="str">
        <f>IF($C2348=""," ",[1]!i_pq_pctchange($C2348,F$6,$N$1))</f>
        <v xml:space="preserve"> </v>
      </c>
      <c r="G2348" s="28" t="str">
        <f>IF($C2348=""," ",[1]!i_pq_pctchange($C2348,G$6,$N$1))</f>
        <v xml:space="preserve"> </v>
      </c>
      <c r="H2348" s="28" t="str">
        <f>IF($C2348=""," ",[1]!i_pq_pctchange($C2348,H$6,$N$1))</f>
        <v xml:space="preserve"> </v>
      </c>
      <c r="I2348" s="28" t="str">
        <f>IF($C2348=""," ",[1]!i_pq_pctchange($C2348,I$6,$N$1))</f>
        <v xml:space="preserve"> </v>
      </c>
      <c r="J2348" s="28" t="str">
        <f>IF($C2348=""," ",[1]!i_pq_pctchange($C2348,J$6,$N$1))</f>
        <v xml:space="preserve"> </v>
      </c>
      <c r="K2348" s="28" t="str">
        <f>IF($C2348=""," ",[1]!i_pq_pctchange($C2348,K$6,$N$1))</f>
        <v xml:space="preserve"> </v>
      </c>
      <c r="L2348" s="28" t="str">
        <f>IF(C2348=""," ",[1]!s_wq_pctchange($C2348,$N$1))</f>
        <v xml:space="preserve"> </v>
      </c>
      <c r="M2348" s="28" t="str">
        <f>IF(C2348=""," ",[1]!s_mq_pctchange($C2348,$N$1))</f>
        <v xml:space="preserve"> </v>
      </c>
      <c r="N2348" s="28" t="str">
        <f>IF(C2348=""," ",[1]!s_yq_pctchange($C2348,$N$1))</f>
        <v xml:space="preserve"> </v>
      </c>
      <c r="O2348" s="11"/>
      <c r="P2348" s="7"/>
    </row>
    <row r="2349" spans="1:16" x14ac:dyDescent="0.35">
      <c r="A2349" s="7"/>
      <c r="C2349" s="30" t="str">
        <f>IF(指数列表!B2346="","",指数列表!B2346)</f>
        <v/>
      </c>
      <c r="D2349" s="35" t="str">
        <f>IF(C2349="","",[1]!s_info_name(C2349))</f>
        <v/>
      </c>
      <c r="E2349" s="24" t="str">
        <f>IF(C2349="","",[1]!s_dq_close(C2349,$N$1))</f>
        <v/>
      </c>
      <c r="F2349" s="28" t="str">
        <f>IF($C2349=""," ",[1]!i_pq_pctchange($C2349,F$6,$N$1))</f>
        <v xml:space="preserve"> </v>
      </c>
      <c r="G2349" s="28" t="str">
        <f>IF($C2349=""," ",[1]!i_pq_pctchange($C2349,G$6,$N$1))</f>
        <v xml:space="preserve"> </v>
      </c>
      <c r="H2349" s="28" t="str">
        <f>IF($C2349=""," ",[1]!i_pq_pctchange($C2349,H$6,$N$1))</f>
        <v xml:space="preserve"> </v>
      </c>
      <c r="I2349" s="28" t="str">
        <f>IF($C2349=""," ",[1]!i_pq_pctchange($C2349,I$6,$N$1))</f>
        <v xml:space="preserve"> </v>
      </c>
      <c r="J2349" s="28" t="str">
        <f>IF($C2349=""," ",[1]!i_pq_pctchange($C2349,J$6,$N$1))</f>
        <v xml:space="preserve"> </v>
      </c>
      <c r="K2349" s="28" t="str">
        <f>IF($C2349=""," ",[1]!i_pq_pctchange($C2349,K$6,$N$1))</f>
        <v xml:space="preserve"> </v>
      </c>
      <c r="L2349" s="28" t="str">
        <f>IF(C2349=""," ",[1]!s_wq_pctchange($C2349,$N$1))</f>
        <v xml:space="preserve"> </v>
      </c>
      <c r="M2349" s="28" t="str">
        <f>IF(C2349=""," ",[1]!s_mq_pctchange($C2349,$N$1))</f>
        <v xml:space="preserve"> </v>
      </c>
      <c r="N2349" s="28" t="str">
        <f>IF(C2349=""," ",[1]!s_yq_pctchange($C2349,$N$1))</f>
        <v xml:space="preserve"> </v>
      </c>
      <c r="O2349" s="11"/>
      <c r="P2349" s="7"/>
    </row>
    <row r="2350" spans="1:16" x14ac:dyDescent="0.35">
      <c r="A2350" s="7"/>
      <c r="C2350" s="31" t="str">
        <f>IF(指数列表!B2347="","",指数列表!B2347)</f>
        <v/>
      </c>
      <c r="D2350" s="36" t="str">
        <f>IF(C2350="","",[1]!s_info_name(C2350))</f>
        <v/>
      </c>
      <c r="E2350" s="25" t="str">
        <f>IF(C2350="","",[1]!s_dq_close(C2350,$N$1))</f>
        <v/>
      </c>
      <c r="F2350" s="28" t="str">
        <f>IF($C2350=""," ",[1]!i_pq_pctchange($C2350,F$6,$N$1))</f>
        <v xml:space="preserve"> </v>
      </c>
      <c r="G2350" s="28" t="str">
        <f>IF($C2350=""," ",[1]!i_pq_pctchange($C2350,G$6,$N$1))</f>
        <v xml:space="preserve"> </v>
      </c>
      <c r="H2350" s="28" t="str">
        <f>IF($C2350=""," ",[1]!i_pq_pctchange($C2350,H$6,$N$1))</f>
        <v xml:space="preserve"> </v>
      </c>
      <c r="I2350" s="28" t="str">
        <f>IF($C2350=""," ",[1]!i_pq_pctchange($C2350,I$6,$N$1))</f>
        <v xml:space="preserve"> </v>
      </c>
      <c r="J2350" s="28" t="str">
        <f>IF($C2350=""," ",[1]!i_pq_pctchange($C2350,J$6,$N$1))</f>
        <v xml:space="preserve"> </v>
      </c>
      <c r="K2350" s="28" t="str">
        <f>IF($C2350=""," ",[1]!i_pq_pctchange($C2350,K$6,$N$1))</f>
        <v xml:space="preserve"> </v>
      </c>
      <c r="L2350" s="28" t="str">
        <f>IF(C2350=""," ",[1]!s_wq_pctchange($C2350,$N$1))</f>
        <v xml:space="preserve"> </v>
      </c>
      <c r="M2350" s="28" t="str">
        <f>IF(C2350=""," ",[1]!s_mq_pctchange($C2350,$N$1))</f>
        <v xml:space="preserve"> </v>
      </c>
      <c r="N2350" s="28" t="str">
        <f>IF(C2350=""," ",[1]!s_yq_pctchange($C2350,$N$1))</f>
        <v xml:space="preserve"> </v>
      </c>
      <c r="O2350" s="11"/>
      <c r="P2350" s="7"/>
    </row>
    <row r="2351" spans="1:16" x14ac:dyDescent="0.35">
      <c r="A2351" s="7"/>
      <c r="C2351" s="30" t="str">
        <f>IF(指数列表!B2348="","",指数列表!B2348)</f>
        <v/>
      </c>
      <c r="D2351" s="35" t="str">
        <f>IF(C2351="","",[1]!s_info_name(C2351))</f>
        <v/>
      </c>
      <c r="E2351" s="24" t="str">
        <f>IF(C2351="","",[1]!s_dq_close(C2351,$N$1))</f>
        <v/>
      </c>
      <c r="F2351" s="28" t="str">
        <f>IF($C2351=""," ",[1]!i_pq_pctchange($C2351,F$6,$N$1))</f>
        <v xml:space="preserve"> </v>
      </c>
      <c r="G2351" s="28" t="str">
        <f>IF($C2351=""," ",[1]!i_pq_pctchange($C2351,G$6,$N$1))</f>
        <v xml:space="preserve"> </v>
      </c>
      <c r="H2351" s="28" t="str">
        <f>IF($C2351=""," ",[1]!i_pq_pctchange($C2351,H$6,$N$1))</f>
        <v xml:space="preserve"> </v>
      </c>
      <c r="I2351" s="28" t="str">
        <f>IF($C2351=""," ",[1]!i_pq_pctchange($C2351,I$6,$N$1))</f>
        <v xml:space="preserve"> </v>
      </c>
      <c r="J2351" s="28" t="str">
        <f>IF($C2351=""," ",[1]!i_pq_pctchange($C2351,J$6,$N$1))</f>
        <v xml:space="preserve"> </v>
      </c>
      <c r="K2351" s="28" t="str">
        <f>IF($C2351=""," ",[1]!i_pq_pctchange($C2351,K$6,$N$1))</f>
        <v xml:space="preserve"> </v>
      </c>
      <c r="L2351" s="28" t="str">
        <f>IF(C2351=""," ",[1]!s_wq_pctchange($C2351,$N$1))</f>
        <v xml:space="preserve"> </v>
      </c>
      <c r="M2351" s="28" t="str">
        <f>IF(C2351=""," ",[1]!s_mq_pctchange($C2351,$N$1))</f>
        <v xml:space="preserve"> </v>
      </c>
      <c r="N2351" s="28" t="str">
        <f>IF(C2351=""," ",[1]!s_yq_pctchange($C2351,$N$1))</f>
        <v xml:space="preserve"> </v>
      </c>
      <c r="O2351" s="11"/>
      <c r="P2351" s="7"/>
    </row>
    <row r="2352" spans="1:16" x14ac:dyDescent="0.35">
      <c r="A2352" s="7"/>
      <c r="C2352" s="31" t="str">
        <f>IF(指数列表!B2349="","",指数列表!B2349)</f>
        <v/>
      </c>
      <c r="D2352" s="36" t="str">
        <f>IF(C2352="","",[1]!s_info_name(C2352))</f>
        <v/>
      </c>
      <c r="E2352" s="25" t="str">
        <f>IF(C2352="","",[1]!s_dq_close(C2352,$N$1))</f>
        <v/>
      </c>
      <c r="F2352" s="28" t="str">
        <f>IF($C2352=""," ",[1]!i_pq_pctchange($C2352,F$6,$N$1))</f>
        <v xml:space="preserve"> </v>
      </c>
      <c r="G2352" s="28" t="str">
        <f>IF($C2352=""," ",[1]!i_pq_pctchange($C2352,G$6,$N$1))</f>
        <v xml:space="preserve"> </v>
      </c>
      <c r="H2352" s="28" t="str">
        <f>IF($C2352=""," ",[1]!i_pq_pctchange($C2352,H$6,$N$1))</f>
        <v xml:space="preserve"> </v>
      </c>
      <c r="I2352" s="28" t="str">
        <f>IF($C2352=""," ",[1]!i_pq_pctchange($C2352,I$6,$N$1))</f>
        <v xml:space="preserve"> </v>
      </c>
      <c r="J2352" s="28" t="str">
        <f>IF($C2352=""," ",[1]!i_pq_pctchange($C2352,J$6,$N$1))</f>
        <v xml:space="preserve"> </v>
      </c>
      <c r="K2352" s="28" t="str">
        <f>IF($C2352=""," ",[1]!i_pq_pctchange($C2352,K$6,$N$1))</f>
        <v xml:space="preserve"> </v>
      </c>
      <c r="L2352" s="28" t="str">
        <f>IF(C2352=""," ",[1]!s_wq_pctchange($C2352,$N$1))</f>
        <v xml:space="preserve"> </v>
      </c>
      <c r="M2352" s="28" t="str">
        <f>IF(C2352=""," ",[1]!s_mq_pctchange($C2352,$N$1))</f>
        <v xml:space="preserve"> </v>
      </c>
      <c r="N2352" s="28" t="str">
        <f>IF(C2352=""," ",[1]!s_yq_pctchange($C2352,$N$1))</f>
        <v xml:space="preserve"> </v>
      </c>
      <c r="O2352" s="11"/>
      <c r="P2352" s="7"/>
    </row>
    <row r="2353" spans="1:16" x14ac:dyDescent="0.35">
      <c r="A2353" s="7"/>
      <c r="C2353" s="30" t="str">
        <f>IF(指数列表!B2350="","",指数列表!B2350)</f>
        <v/>
      </c>
      <c r="D2353" s="35" t="str">
        <f>IF(C2353="","",[1]!s_info_name(C2353))</f>
        <v/>
      </c>
      <c r="E2353" s="24" t="str">
        <f>IF(C2353="","",[1]!s_dq_close(C2353,$N$1))</f>
        <v/>
      </c>
      <c r="F2353" s="28" t="str">
        <f>IF($C2353=""," ",[1]!i_pq_pctchange($C2353,F$6,$N$1))</f>
        <v xml:space="preserve"> </v>
      </c>
      <c r="G2353" s="28" t="str">
        <f>IF($C2353=""," ",[1]!i_pq_pctchange($C2353,G$6,$N$1))</f>
        <v xml:space="preserve"> </v>
      </c>
      <c r="H2353" s="28" t="str">
        <f>IF($C2353=""," ",[1]!i_pq_pctchange($C2353,H$6,$N$1))</f>
        <v xml:space="preserve"> </v>
      </c>
      <c r="I2353" s="28" t="str">
        <f>IF($C2353=""," ",[1]!i_pq_pctchange($C2353,I$6,$N$1))</f>
        <v xml:space="preserve"> </v>
      </c>
      <c r="J2353" s="28" t="str">
        <f>IF($C2353=""," ",[1]!i_pq_pctchange($C2353,J$6,$N$1))</f>
        <v xml:space="preserve"> </v>
      </c>
      <c r="K2353" s="28" t="str">
        <f>IF($C2353=""," ",[1]!i_pq_pctchange($C2353,K$6,$N$1))</f>
        <v xml:space="preserve"> </v>
      </c>
      <c r="L2353" s="28" t="str">
        <f>IF(C2353=""," ",[1]!s_wq_pctchange($C2353,$N$1))</f>
        <v xml:space="preserve"> </v>
      </c>
      <c r="M2353" s="28" t="str">
        <f>IF(C2353=""," ",[1]!s_mq_pctchange($C2353,$N$1))</f>
        <v xml:space="preserve"> </v>
      </c>
      <c r="N2353" s="28" t="str">
        <f>IF(C2353=""," ",[1]!s_yq_pctchange($C2353,$N$1))</f>
        <v xml:space="preserve"> </v>
      </c>
      <c r="O2353" s="11"/>
      <c r="P2353" s="7"/>
    </row>
    <row r="2354" spans="1:16" x14ac:dyDescent="0.35">
      <c r="A2354" s="7"/>
      <c r="C2354" s="31" t="str">
        <f>IF(指数列表!B2351="","",指数列表!B2351)</f>
        <v/>
      </c>
      <c r="D2354" s="36" t="str">
        <f>IF(C2354="","",[1]!s_info_name(C2354))</f>
        <v/>
      </c>
      <c r="E2354" s="25" t="str">
        <f>IF(C2354="","",[1]!s_dq_close(C2354,$N$1))</f>
        <v/>
      </c>
      <c r="F2354" s="28" t="str">
        <f>IF($C2354=""," ",[1]!i_pq_pctchange($C2354,F$6,$N$1))</f>
        <v xml:space="preserve"> </v>
      </c>
      <c r="G2354" s="28" t="str">
        <f>IF($C2354=""," ",[1]!i_pq_pctchange($C2354,G$6,$N$1))</f>
        <v xml:space="preserve"> </v>
      </c>
      <c r="H2354" s="28" t="str">
        <f>IF($C2354=""," ",[1]!i_pq_pctchange($C2354,H$6,$N$1))</f>
        <v xml:space="preserve"> </v>
      </c>
      <c r="I2354" s="28" t="str">
        <f>IF($C2354=""," ",[1]!i_pq_pctchange($C2354,I$6,$N$1))</f>
        <v xml:space="preserve"> </v>
      </c>
      <c r="J2354" s="28" t="str">
        <f>IF($C2354=""," ",[1]!i_pq_pctchange($C2354,J$6,$N$1))</f>
        <v xml:space="preserve"> </v>
      </c>
      <c r="K2354" s="28" t="str">
        <f>IF($C2354=""," ",[1]!i_pq_pctchange($C2354,K$6,$N$1))</f>
        <v xml:space="preserve"> </v>
      </c>
      <c r="L2354" s="28" t="str">
        <f>IF(C2354=""," ",[1]!s_wq_pctchange($C2354,$N$1))</f>
        <v xml:space="preserve"> </v>
      </c>
      <c r="M2354" s="28" t="str">
        <f>IF(C2354=""," ",[1]!s_mq_pctchange($C2354,$N$1))</f>
        <v xml:space="preserve"> </v>
      </c>
      <c r="N2354" s="28" t="str">
        <f>IF(C2354=""," ",[1]!s_yq_pctchange($C2354,$N$1))</f>
        <v xml:space="preserve"> </v>
      </c>
      <c r="O2354" s="11"/>
      <c r="P2354" s="7"/>
    </row>
    <row r="2355" spans="1:16" x14ac:dyDescent="0.35">
      <c r="A2355" s="7"/>
      <c r="C2355" s="30" t="str">
        <f>IF(指数列表!B2352="","",指数列表!B2352)</f>
        <v/>
      </c>
      <c r="D2355" s="35" t="str">
        <f>IF(C2355="","",[1]!s_info_name(C2355))</f>
        <v/>
      </c>
      <c r="E2355" s="24" t="str">
        <f>IF(C2355="","",[1]!s_dq_close(C2355,$N$1))</f>
        <v/>
      </c>
      <c r="F2355" s="28" t="str">
        <f>IF($C2355=""," ",[1]!i_pq_pctchange($C2355,F$6,$N$1))</f>
        <v xml:space="preserve"> </v>
      </c>
      <c r="G2355" s="28" t="str">
        <f>IF($C2355=""," ",[1]!i_pq_pctchange($C2355,G$6,$N$1))</f>
        <v xml:space="preserve"> </v>
      </c>
      <c r="H2355" s="28" t="str">
        <f>IF($C2355=""," ",[1]!i_pq_pctchange($C2355,H$6,$N$1))</f>
        <v xml:space="preserve"> </v>
      </c>
      <c r="I2355" s="28" t="str">
        <f>IF($C2355=""," ",[1]!i_pq_pctchange($C2355,I$6,$N$1))</f>
        <v xml:space="preserve"> </v>
      </c>
      <c r="J2355" s="28" t="str">
        <f>IF($C2355=""," ",[1]!i_pq_pctchange($C2355,J$6,$N$1))</f>
        <v xml:space="preserve"> </v>
      </c>
      <c r="K2355" s="28" t="str">
        <f>IF($C2355=""," ",[1]!i_pq_pctchange($C2355,K$6,$N$1))</f>
        <v xml:space="preserve"> </v>
      </c>
      <c r="L2355" s="28" t="str">
        <f>IF(C2355=""," ",[1]!s_wq_pctchange($C2355,$N$1))</f>
        <v xml:space="preserve"> </v>
      </c>
      <c r="M2355" s="28" t="str">
        <f>IF(C2355=""," ",[1]!s_mq_pctchange($C2355,$N$1))</f>
        <v xml:space="preserve"> </v>
      </c>
      <c r="N2355" s="28" t="str">
        <f>IF(C2355=""," ",[1]!s_yq_pctchange($C2355,$N$1))</f>
        <v xml:space="preserve"> </v>
      </c>
      <c r="O2355" s="11"/>
      <c r="P2355" s="7"/>
    </row>
    <row r="2356" spans="1:16" x14ac:dyDescent="0.35">
      <c r="A2356" s="7"/>
      <c r="C2356" s="31" t="str">
        <f>IF(指数列表!B2353="","",指数列表!B2353)</f>
        <v/>
      </c>
      <c r="D2356" s="36" t="str">
        <f>IF(C2356="","",[1]!s_info_name(C2356))</f>
        <v/>
      </c>
      <c r="E2356" s="25" t="str">
        <f>IF(C2356="","",[1]!s_dq_close(C2356,$N$1))</f>
        <v/>
      </c>
      <c r="F2356" s="28" t="str">
        <f>IF($C2356=""," ",[1]!i_pq_pctchange($C2356,F$6,$N$1))</f>
        <v xml:space="preserve"> </v>
      </c>
      <c r="G2356" s="28" t="str">
        <f>IF($C2356=""," ",[1]!i_pq_pctchange($C2356,G$6,$N$1))</f>
        <v xml:space="preserve"> </v>
      </c>
      <c r="H2356" s="28" t="str">
        <f>IF($C2356=""," ",[1]!i_pq_pctchange($C2356,H$6,$N$1))</f>
        <v xml:space="preserve"> </v>
      </c>
      <c r="I2356" s="28" t="str">
        <f>IF($C2356=""," ",[1]!i_pq_pctchange($C2356,I$6,$N$1))</f>
        <v xml:space="preserve"> </v>
      </c>
      <c r="J2356" s="28" t="str">
        <f>IF($C2356=""," ",[1]!i_pq_pctchange($C2356,J$6,$N$1))</f>
        <v xml:space="preserve"> </v>
      </c>
      <c r="K2356" s="28" t="str">
        <f>IF($C2356=""," ",[1]!i_pq_pctchange($C2356,K$6,$N$1))</f>
        <v xml:space="preserve"> </v>
      </c>
      <c r="L2356" s="28" t="str">
        <f>IF(C2356=""," ",[1]!s_wq_pctchange($C2356,$N$1))</f>
        <v xml:space="preserve"> </v>
      </c>
      <c r="M2356" s="28" t="str">
        <f>IF(C2356=""," ",[1]!s_mq_pctchange($C2356,$N$1))</f>
        <v xml:space="preserve"> </v>
      </c>
      <c r="N2356" s="28" t="str">
        <f>IF(C2356=""," ",[1]!s_yq_pctchange($C2356,$N$1))</f>
        <v xml:space="preserve"> </v>
      </c>
      <c r="O2356" s="11"/>
      <c r="P2356" s="7"/>
    </row>
    <row r="2357" spans="1:16" x14ac:dyDescent="0.35">
      <c r="A2357" s="7"/>
      <c r="C2357" s="30" t="str">
        <f>IF(指数列表!B2354="","",指数列表!B2354)</f>
        <v/>
      </c>
      <c r="D2357" s="35" t="str">
        <f>IF(C2357="","",[1]!s_info_name(C2357))</f>
        <v/>
      </c>
      <c r="E2357" s="24" t="str">
        <f>IF(C2357="","",[1]!s_dq_close(C2357,$N$1))</f>
        <v/>
      </c>
      <c r="F2357" s="28" t="str">
        <f>IF($C2357=""," ",[1]!i_pq_pctchange($C2357,F$6,$N$1))</f>
        <v xml:space="preserve"> </v>
      </c>
      <c r="G2357" s="28" t="str">
        <f>IF($C2357=""," ",[1]!i_pq_pctchange($C2357,G$6,$N$1))</f>
        <v xml:space="preserve"> </v>
      </c>
      <c r="H2357" s="28" t="str">
        <f>IF($C2357=""," ",[1]!i_pq_pctchange($C2357,H$6,$N$1))</f>
        <v xml:space="preserve"> </v>
      </c>
      <c r="I2357" s="28" t="str">
        <f>IF($C2357=""," ",[1]!i_pq_pctchange($C2357,I$6,$N$1))</f>
        <v xml:space="preserve"> </v>
      </c>
      <c r="J2357" s="28" t="str">
        <f>IF($C2357=""," ",[1]!i_pq_pctchange($C2357,J$6,$N$1))</f>
        <v xml:space="preserve"> </v>
      </c>
      <c r="K2357" s="28" t="str">
        <f>IF($C2357=""," ",[1]!i_pq_pctchange($C2357,K$6,$N$1))</f>
        <v xml:space="preserve"> </v>
      </c>
      <c r="L2357" s="28" t="str">
        <f>IF(C2357=""," ",[1]!s_wq_pctchange($C2357,$N$1))</f>
        <v xml:space="preserve"> </v>
      </c>
      <c r="M2357" s="28" t="str">
        <f>IF(C2357=""," ",[1]!s_mq_pctchange($C2357,$N$1))</f>
        <v xml:space="preserve"> </v>
      </c>
      <c r="N2357" s="28" t="str">
        <f>IF(C2357=""," ",[1]!s_yq_pctchange($C2357,$N$1))</f>
        <v xml:space="preserve"> </v>
      </c>
      <c r="O2357" s="11"/>
      <c r="P2357" s="7"/>
    </row>
    <row r="2358" spans="1:16" x14ac:dyDescent="0.35">
      <c r="A2358" s="7"/>
      <c r="C2358" s="31" t="str">
        <f>IF(指数列表!B2355="","",指数列表!B2355)</f>
        <v/>
      </c>
      <c r="D2358" s="36" t="str">
        <f>IF(C2358="","",[1]!s_info_name(C2358))</f>
        <v/>
      </c>
      <c r="E2358" s="25" t="str">
        <f>IF(C2358="","",[1]!s_dq_close(C2358,$N$1))</f>
        <v/>
      </c>
      <c r="F2358" s="28" t="str">
        <f>IF($C2358=""," ",[1]!i_pq_pctchange($C2358,F$6,$N$1))</f>
        <v xml:space="preserve"> </v>
      </c>
      <c r="G2358" s="28" t="str">
        <f>IF($C2358=""," ",[1]!i_pq_pctchange($C2358,G$6,$N$1))</f>
        <v xml:space="preserve"> </v>
      </c>
      <c r="H2358" s="28" t="str">
        <f>IF($C2358=""," ",[1]!i_pq_pctchange($C2358,H$6,$N$1))</f>
        <v xml:space="preserve"> </v>
      </c>
      <c r="I2358" s="28" t="str">
        <f>IF($C2358=""," ",[1]!i_pq_pctchange($C2358,I$6,$N$1))</f>
        <v xml:space="preserve"> </v>
      </c>
      <c r="J2358" s="28" t="str">
        <f>IF($C2358=""," ",[1]!i_pq_pctchange($C2358,J$6,$N$1))</f>
        <v xml:space="preserve"> </v>
      </c>
      <c r="K2358" s="28" t="str">
        <f>IF($C2358=""," ",[1]!i_pq_pctchange($C2358,K$6,$N$1))</f>
        <v xml:space="preserve"> </v>
      </c>
      <c r="L2358" s="28" t="str">
        <f>IF(C2358=""," ",[1]!s_wq_pctchange($C2358,$N$1))</f>
        <v xml:space="preserve"> </v>
      </c>
      <c r="M2358" s="28" t="str">
        <f>IF(C2358=""," ",[1]!s_mq_pctchange($C2358,$N$1))</f>
        <v xml:space="preserve"> </v>
      </c>
      <c r="N2358" s="28" t="str">
        <f>IF(C2358=""," ",[1]!s_yq_pctchange($C2358,$N$1))</f>
        <v xml:space="preserve"> </v>
      </c>
      <c r="O2358" s="11"/>
      <c r="P2358" s="7"/>
    </row>
    <row r="2359" spans="1:16" x14ac:dyDescent="0.35">
      <c r="A2359" s="7"/>
      <c r="C2359" s="30" t="str">
        <f>IF(指数列表!B2356="","",指数列表!B2356)</f>
        <v/>
      </c>
      <c r="D2359" s="35" t="str">
        <f>IF(C2359="","",[1]!s_info_name(C2359))</f>
        <v/>
      </c>
      <c r="E2359" s="24" t="str">
        <f>IF(C2359="","",[1]!s_dq_close(C2359,$N$1))</f>
        <v/>
      </c>
      <c r="F2359" s="28" t="str">
        <f>IF($C2359=""," ",[1]!i_pq_pctchange($C2359,F$6,$N$1))</f>
        <v xml:space="preserve"> </v>
      </c>
      <c r="G2359" s="28" t="str">
        <f>IF($C2359=""," ",[1]!i_pq_pctchange($C2359,G$6,$N$1))</f>
        <v xml:space="preserve"> </v>
      </c>
      <c r="H2359" s="28" t="str">
        <f>IF($C2359=""," ",[1]!i_pq_pctchange($C2359,H$6,$N$1))</f>
        <v xml:space="preserve"> </v>
      </c>
      <c r="I2359" s="28" t="str">
        <f>IF($C2359=""," ",[1]!i_pq_pctchange($C2359,I$6,$N$1))</f>
        <v xml:space="preserve"> </v>
      </c>
      <c r="J2359" s="28" t="str">
        <f>IF($C2359=""," ",[1]!i_pq_pctchange($C2359,J$6,$N$1))</f>
        <v xml:space="preserve"> </v>
      </c>
      <c r="K2359" s="28" t="str">
        <f>IF($C2359=""," ",[1]!i_pq_pctchange($C2359,K$6,$N$1))</f>
        <v xml:space="preserve"> </v>
      </c>
      <c r="L2359" s="28" t="str">
        <f>IF(C2359=""," ",[1]!s_wq_pctchange($C2359,$N$1))</f>
        <v xml:space="preserve"> </v>
      </c>
      <c r="M2359" s="28" t="str">
        <f>IF(C2359=""," ",[1]!s_mq_pctchange($C2359,$N$1))</f>
        <v xml:space="preserve"> </v>
      </c>
      <c r="N2359" s="28" t="str">
        <f>IF(C2359=""," ",[1]!s_yq_pctchange($C2359,$N$1))</f>
        <v xml:space="preserve"> </v>
      </c>
      <c r="O2359" s="11"/>
      <c r="P2359" s="7"/>
    </row>
    <row r="2360" spans="1:16" x14ac:dyDescent="0.35">
      <c r="A2360" s="7"/>
      <c r="C2360" s="31" t="str">
        <f>IF(指数列表!B2357="","",指数列表!B2357)</f>
        <v/>
      </c>
      <c r="D2360" s="36" t="str">
        <f>IF(C2360="","",[1]!s_info_name(C2360))</f>
        <v/>
      </c>
      <c r="E2360" s="25" t="str">
        <f>IF(C2360="","",[1]!s_dq_close(C2360,$N$1))</f>
        <v/>
      </c>
      <c r="F2360" s="28" t="str">
        <f>IF($C2360=""," ",[1]!i_pq_pctchange($C2360,F$6,$N$1))</f>
        <v xml:space="preserve"> </v>
      </c>
      <c r="G2360" s="28" t="str">
        <f>IF($C2360=""," ",[1]!i_pq_pctchange($C2360,G$6,$N$1))</f>
        <v xml:space="preserve"> </v>
      </c>
      <c r="H2360" s="28" t="str">
        <f>IF($C2360=""," ",[1]!i_pq_pctchange($C2360,H$6,$N$1))</f>
        <v xml:space="preserve"> </v>
      </c>
      <c r="I2360" s="28" t="str">
        <f>IF($C2360=""," ",[1]!i_pq_pctchange($C2360,I$6,$N$1))</f>
        <v xml:space="preserve"> </v>
      </c>
      <c r="J2360" s="28" t="str">
        <f>IF($C2360=""," ",[1]!i_pq_pctchange($C2360,J$6,$N$1))</f>
        <v xml:space="preserve"> </v>
      </c>
      <c r="K2360" s="28" t="str">
        <f>IF($C2360=""," ",[1]!i_pq_pctchange($C2360,K$6,$N$1))</f>
        <v xml:space="preserve"> </v>
      </c>
      <c r="L2360" s="28" t="str">
        <f>IF(C2360=""," ",[1]!s_wq_pctchange($C2360,$N$1))</f>
        <v xml:space="preserve"> </v>
      </c>
      <c r="M2360" s="28" t="str">
        <f>IF(C2360=""," ",[1]!s_mq_pctchange($C2360,$N$1))</f>
        <v xml:space="preserve"> </v>
      </c>
      <c r="N2360" s="28" t="str">
        <f>IF(C2360=""," ",[1]!s_yq_pctchange($C2360,$N$1))</f>
        <v xml:space="preserve"> </v>
      </c>
      <c r="O2360" s="11"/>
      <c r="P2360" s="7"/>
    </row>
    <row r="2361" spans="1:16" x14ac:dyDescent="0.35">
      <c r="A2361" s="7"/>
      <c r="C2361" s="30" t="str">
        <f>IF(指数列表!B2358="","",指数列表!B2358)</f>
        <v/>
      </c>
      <c r="D2361" s="35" t="str">
        <f>IF(C2361="","",[1]!s_info_name(C2361))</f>
        <v/>
      </c>
      <c r="E2361" s="24" t="str">
        <f>IF(C2361="","",[1]!s_dq_close(C2361,$N$1))</f>
        <v/>
      </c>
      <c r="F2361" s="28" t="str">
        <f>IF($C2361=""," ",[1]!i_pq_pctchange($C2361,F$6,$N$1))</f>
        <v xml:space="preserve"> </v>
      </c>
      <c r="G2361" s="28" t="str">
        <f>IF($C2361=""," ",[1]!i_pq_pctchange($C2361,G$6,$N$1))</f>
        <v xml:space="preserve"> </v>
      </c>
      <c r="H2361" s="28" t="str">
        <f>IF($C2361=""," ",[1]!i_pq_pctchange($C2361,H$6,$N$1))</f>
        <v xml:space="preserve"> </v>
      </c>
      <c r="I2361" s="28" t="str">
        <f>IF($C2361=""," ",[1]!i_pq_pctchange($C2361,I$6,$N$1))</f>
        <v xml:space="preserve"> </v>
      </c>
      <c r="J2361" s="28" t="str">
        <f>IF($C2361=""," ",[1]!i_pq_pctchange($C2361,J$6,$N$1))</f>
        <v xml:space="preserve"> </v>
      </c>
      <c r="K2361" s="28" t="str">
        <f>IF($C2361=""," ",[1]!i_pq_pctchange($C2361,K$6,$N$1))</f>
        <v xml:space="preserve"> </v>
      </c>
      <c r="L2361" s="28" t="str">
        <f>IF(C2361=""," ",[1]!s_wq_pctchange($C2361,$N$1))</f>
        <v xml:space="preserve"> </v>
      </c>
      <c r="M2361" s="28" t="str">
        <f>IF(C2361=""," ",[1]!s_mq_pctchange($C2361,$N$1))</f>
        <v xml:space="preserve"> </v>
      </c>
      <c r="N2361" s="28" t="str">
        <f>IF(C2361=""," ",[1]!s_yq_pctchange($C2361,$N$1))</f>
        <v xml:space="preserve"> </v>
      </c>
      <c r="O2361" s="11"/>
      <c r="P2361" s="7"/>
    </row>
    <row r="2362" spans="1:16" x14ac:dyDescent="0.35">
      <c r="A2362" s="7"/>
      <c r="C2362" s="31" t="str">
        <f>IF(指数列表!B2359="","",指数列表!B2359)</f>
        <v/>
      </c>
      <c r="D2362" s="36" t="str">
        <f>IF(C2362="","",[1]!s_info_name(C2362))</f>
        <v/>
      </c>
      <c r="E2362" s="25" t="str">
        <f>IF(C2362="","",[1]!s_dq_close(C2362,$N$1))</f>
        <v/>
      </c>
      <c r="F2362" s="28" t="str">
        <f>IF($C2362=""," ",[1]!i_pq_pctchange($C2362,F$6,$N$1))</f>
        <v xml:space="preserve"> </v>
      </c>
      <c r="G2362" s="28" t="str">
        <f>IF($C2362=""," ",[1]!i_pq_pctchange($C2362,G$6,$N$1))</f>
        <v xml:space="preserve"> </v>
      </c>
      <c r="H2362" s="28" t="str">
        <f>IF($C2362=""," ",[1]!i_pq_pctchange($C2362,H$6,$N$1))</f>
        <v xml:space="preserve"> </v>
      </c>
      <c r="I2362" s="28" t="str">
        <f>IF($C2362=""," ",[1]!i_pq_pctchange($C2362,I$6,$N$1))</f>
        <v xml:space="preserve"> </v>
      </c>
      <c r="J2362" s="28" t="str">
        <f>IF($C2362=""," ",[1]!i_pq_pctchange($C2362,J$6,$N$1))</f>
        <v xml:space="preserve"> </v>
      </c>
      <c r="K2362" s="28" t="str">
        <f>IF($C2362=""," ",[1]!i_pq_pctchange($C2362,K$6,$N$1))</f>
        <v xml:space="preserve"> </v>
      </c>
      <c r="L2362" s="28" t="str">
        <f>IF(C2362=""," ",[1]!s_wq_pctchange($C2362,$N$1))</f>
        <v xml:space="preserve"> </v>
      </c>
      <c r="M2362" s="28" t="str">
        <f>IF(C2362=""," ",[1]!s_mq_pctchange($C2362,$N$1))</f>
        <v xml:space="preserve"> </v>
      </c>
      <c r="N2362" s="28" t="str">
        <f>IF(C2362=""," ",[1]!s_yq_pctchange($C2362,$N$1))</f>
        <v xml:space="preserve"> </v>
      </c>
      <c r="O2362" s="11"/>
      <c r="P2362" s="7"/>
    </row>
    <row r="2363" spans="1:16" x14ac:dyDescent="0.35">
      <c r="A2363" s="7"/>
      <c r="C2363" s="30" t="str">
        <f>IF(指数列表!B2360="","",指数列表!B2360)</f>
        <v/>
      </c>
      <c r="D2363" s="35" t="str">
        <f>IF(C2363="","",[1]!s_info_name(C2363))</f>
        <v/>
      </c>
      <c r="E2363" s="24" t="str">
        <f>IF(C2363="","",[1]!s_dq_close(C2363,$N$1))</f>
        <v/>
      </c>
      <c r="F2363" s="28" t="str">
        <f>IF($C2363=""," ",[1]!i_pq_pctchange($C2363,F$6,$N$1))</f>
        <v xml:space="preserve"> </v>
      </c>
      <c r="G2363" s="28" t="str">
        <f>IF($C2363=""," ",[1]!i_pq_pctchange($C2363,G$6,$N$1))</f>
        <v xml:space="preserve"> </v>
      </c>
      <c r="H2363" s="28" t="str">
        <f>IF($C2363=""," ",[1]!i_pq_pctchange($C2363,H$6,$N$1))</f>
        <v xml:space="preserve"> </v>
      </c>
      <c r="I2363" s="28" t="str">
        <f>IF($C2363=""," ",[1]!i_pq_pctchange($C2363,I$6,$N$1))</f>
        <v xml:space="preserve"> </v>
      </c>
      <c r="J2363" s="28" t="str">
        <f>IF($C2363=""," ",[1]!i_pq_pctchange($C2363,J$6,$N$1))</f>
        <v xml:space="preserve"> </v>
      </c>
      <c r="K2363" s="28" t="str">
        <f>IF($C2363=""," ",[1]!i_pq_pctchange($C2363,K$6,$N$1))</f>
        <v xml:space="preserve"> </v>
      </c>
      <c r="L2363" s="28" t="str">
        <f>IF(C2363=""," ",[1]!s_wq_pctchange($C2363,$N$1))</f>
        <v xml:space="preserve"> </v>
      </c>
      <c r="M2363" s="28" t="str">
        <f>IF(C2363=""," ",[1]!s_mq_pctchange($C2363,$N$1))</f>
        <v xml:space="preserve"> </v>
      </c>
      <c r="N2363" s="28" t="str">
        <f>IF(C2363=""," ",[1]!s_yq_pctchange($C2363,$N$1))</f>
        <v xml:space="preserve"> </v>
      </c>
      <c r="O2363" s="11"/>
      <c r="P2363" s="7"/>
    </row>
    <row r="2364" spans="1:16" x14ac:dyDescent="0.35">
      <c r="A2364" s="7"/>
      <c r="C2364" s="31" t="str">
        <f>IF(指数列表!B2361="","",指数列表!B2361)</f>
        <v/>
      </c>
      <c r="D2364" s="36" t="str">
        <f>IF(C2364="","",[1]!s_info_name(C2364))</f>
        <v/>
      </c>
      <c r="E2364" s="25" t="str">
        <f>IF(C2364="","",[1]!s_dq_close(C2364,$N$1))</f>
        <v/>
      </c>
      <c r="F2364" s="28" t="str">
        <f>IF($C2364=""," ",[1]!i_pq_pctchange($C2364,F$6,$N$1))</f>
        <v xml:space="preserve"> </v>
      </c>
      <c r="G2364" s="28" t="str">
        <f>IF($C2364=""," ",[1]!i_pq_pctchange($C2364,G$6,$N$1))</f>
        <v xml:space="preserve"> </v>
      </c>
      <c r="H2364" s="28" t="str">
        <f>IF($C2364=""," ",[1]!i_pq_pctchange($C2364,H$6,$N$1))</f>
        <v xml:space="preserve"> </v>
      </c>
      <c r="I2364" s="28" t="str">
        <f>IF($C2364=""," ",[1]!i_pq_pctchange($C2364,I$6,$N$1))</f>
        <v xml:space="preserve"> </v>
      </c>
      <c r="J2364" s="28" t="str">
        <f>IF($C2364=""," ",[1]!i_pq_pctchange($C2364,J$6,$N$1))</f>
        <v xml:space="preserve"> </v>
      </c>
      <c r="K2364" s="28" t="str">
        <f>IF($C2364=""," ",[1]!i_pq_pctchange($C2364,K$6,$N$1))</f>
        <v xml:space="preserve"> </v>
      </c>
      <c r="L2364" s="28" t="str">
        <f>IF(C2364=""," ",[1]!s_wq_pctchange($C2364,$N$1))</f>
        <v xml:space="preserve"> </v>
      </c>
      <c r="M2364" s="28" t="str">
        <f>IF(C2364=""," ",[1]!s_mq_pctchange($C2364,$N$1))</f>
        <v xml:space="preserve"> </v>
      </c>
      <c r="N2364" s="28" t="str">
        <f>IF(C2364=""," ",[1]!s_yq_pctchange($C2364,$N$1))</f>
        <v xml:space="preserve"> </v>
      </c>
      <c r="O2364" s="11"/>
      <c r="P2364" s="7"/>
    </row>
    <row r="2365" spans="1:16" x14ac:dyDescent="0.35">
      <c r="A2365" s="7"/>
      <c r="C2365" s="30" t="str">
        <f>IF(指数列表!B2362="","",指数列表!B2362)</f>
        <v/>
      </c>
      <c r="D2365" s="35" t="str">
        <f>IF(C2365="","",[1]!s_info_name(C2365))</f>
        <v/>
      </c>
      <c r="E2365" s="24" t="str">
        <f>IF(C2365="","",[1]!s_dq_close(C2365,$N$1))</f>
        <v/>
      </c>
      <c r="F2365" s="28" t="str">
        <f>IF($C2365=""," ",[1]!i_pq_pctchange($C2365,F$6,$N$1))</f>
        <v xml:space="preserve"> </v>
      </c>
      <c r="G2365" s="28" t="str">
        <f>IF($C2365=""," ",[1]!i_pq_pctchange($C2365,G$6,$N$1))</f>
        <v xml:space="preserve"> </v>
      </c>
      <c r="H2365" s="28" t="str">
        <f>IF($C2365=""," ",[1]!i_pq_pctchange($C2365,H$6,$N$1))</f>
        <v xml:space="preserve"> </v>
      </c>
      <c r="I2365" s="28" t="str">
        <f>IF($C2365=""," ",[1]!i_pq_pctchange($C2365,I$6,$N$1))</f>
        <v xml:space="preserve"> </v>
      </c>
      <c r="J2365" s="28" t="str">
        <f>IF($C2365=""," ",[1]!i_pq_pctchange($C2365,J$6,$N$1))</f>
        <v xml:space="preserve"> </v>
      </c>
      <c r="K2365" s="28" t="str">
        <f>IF($C2365=""," ",[1]!i_pq_pctchange($C2365,K$6,$N$1))</f>
        <v xml:space="preserve"> </v>
      </c>
      <c r="L2365" s="28" t="str">
        <f>IF(C2365=""," ",[1]!s_wq_pctchange($C2365,$N$1))</f>
        <v xml:space="preserve"> </v>
      </c>
      <c r="M2365" s="28" t="str">
        <f>IF(C2365=""," ",[1]!s_mq_pctchange($C2365,$N$1))</f>
        <v xml:space="preserve"> </v>
      </c>
      <c r="N2365" s="28" t="str">
        <f>IF(C2365=""," ",[1]!s_yq_pctchange($C2365,$N$1))</f>
        <v xml:space="preserve"> </v>
      </c>
      <c r="O2365" s="11"/>
      <c r="P2365" s="7"/>
    </row>
    <row r="2366" spans="1:16" x14ac:dyDescent="0.35">
      <c r="A2366" s="7"/>
      <c r="C2366" s="31" t="str">
        <f>IF(指数列表!B2363="","",指数列表!B2363)</f>
        <v/>
      </c>
      <c r="D2366" s="36" t="str">
        <f>IF(C2366="","",[1]!s_info_name(C2366))</f>
        <v/>
      </c>
      <c r="E2366" s="25" t="str">
        <f>IF(C2366="","",[1]!s_dq_close(C2366,$N$1))</f>
        <v/>
      </c>
      <c r="F2366" s="28" t="str">
        <f>IF($C2366=""," ",[1]!i_pq_pctchange($C2366,F$6,$N$1))</f>
        <v xml:space="preserve"> </v>
      </c>
      <c r="G2366" s="28" t="str">
        <f>IF($C2366=""," ",[1]!i_pq_pctchange($C2366,G$6,$N$1))</f>
        <v xml:space="preserve"> </v>
      </c>
      <c r="H2366" s="28" t="str">
        <f>IF($C2366=""," ",[1]!i_pq_pctchange($C2366,H$6,$N$1))</f>
        <v xml:space="preserve"> </v>
      </c>
      <c r="I2366" s="28" t="str">
        <f>IF($C2366=""," ",[1]!i_pq_pctchange($C2366,I$6,$N$1))</f>
        <v xml:space="preserve"> </v>
      </c>
      <c r="J2366" s="28" t="str">
        <f>IF($C2366=""," ",[1]!i_pq_pctchange($C2366,J$6,$N$1))</f>
        <v xml:space="preserve"> </v>
      </c>
      <c r="K2366" s="28" t="str">
        <f>IF($C2366=""," ",[1]!i_pq_pctchange($C2366,K$6,$N$1))</f>
        <v xml:space="preserve"> </v>
      </c>
      <c r="L2366" s="28" t="str">
        <f>IF(C2366=""," ",[1]!s_wq_pctchange($C2366,$N$1))</f>
        <v xml:space="preserve"> </v>
      </c>
      <c r="M2366" s="28" t="str">
        <f>IF(C2366=""," ",[1]!s_mq_pctchange($C2366,$N$1))</f>
        <v xml:space="preserve"> </v>
      </c>
      <c r="N2366" s="28" t="str">
        <f>IF(C2366=""," ",[1]!s_yq_pctchange($C2366,$N$1))</f>
        <v xml:space="preserve"> </v>
      </c>
      <c r="O2366" s="11"/>
      <c r="P2366" s="7"/>
    </row>
    <row r="2367" spans="1:16" x14ac:dyDescent="0.35">
      <c r="A2367" s="7"/>
      <c r="C2367" s="30" t="str">
        <f>IF(指数列表!B2364="","",指数列表!B2364)</f>
        <v/>
      </c>
      <c r="D2367" s="35" t="str">
        <f>IF(C2367="","",[1]!s_info_name(C2367))</f>
        <v/>
      </c>
      <c r="E2367" s="24" t="str">
        <f>IF(C2367="","",[1]!s_dq_close(C2367,$N$1))</f>
        <v/>
      </c>
      <c r="F2367" s="28" t="str">
        <f>IF($C2367=""," ",[1]!i_pq_pctchange($C2367,F$6,$N$1))</f>
        <v xml:space="preserve"> </v>
      </c>
      <c r="G2367" s="28" t="str">
        <f>IF($C2367=""," ",[1]!i_pq_pctchange($C2367,G$6,$N$1))</f>
        <v xml:space="preserve"> </v>
      </c>
      <c r="H2367" s="28" t="str">
        <f>IF($C2367=""," ",[1]!i_pq_pctchange($C2367,H$6,$N$1))</f>
        <v xml:space="preserve"> </v>
      </c>
      <c r="I2367" s="28" t="str">
        <f>IF($C2367=""," ",[1]!i_pq_pctchange($C2367,I$6,$N$1))</f>
        <v xml:space="preserve"> </v>
      </c>
      <c r="J2367" s="28" t="str">
        <f>IF($C2367=""," ",[1]!i_pq_pctchange($C2367,J$6,$N$1))</f>
        <v xml:space="preserve"> </v>
      </c>
      <c r="K2367" s="28" t="str">
        <f>IF($C2367=""," ",[1]!i_pq_pctchange($C2367,K$6,$N$1))</f>
        <v xml:space="preserve"> </v>
      </c>
      <c r="L2367" s="28" t="str">
        <f>IF(C2367=""," ",[1]!s_wq_pctchange($C2367,$N$1))</f>
        <v xml:space="preserve"> </v>
      </c>
      <c r="M2367" s="28" t="str">
        <f>IF(C2367=""," ",[1]!s_mq_pctchange($C2367,$N$1))</f>
        <v xml:space="preserve"> </v>
      </c>
      <c r="N2367" s="28" t="str">
        <f>IF(C2367=""," ",[1]!s_yq_pctchange($C2367,$N$1))</f>
        <v xml:space="preserve"> </v>
      </c>
      <c r="O2367" s="11"/>
      <c r="P2367" s="7"/>
    </row>
    <row r="2368" spans="1:16" x14ac:dyDescent="0.35">
      <c r="A2368" s="7"/>
      <c r="C2368" s="31" t="str">
        <f>IF(指数列表!B2365="","",指数列表!B2365)</f>
        <v/>
      </c>
      <c r="D2368" s="36" t="str">
        <f>IF(C2368="","",[1]!s_info_name(C2368))</f>
        <v/>
      </c>
      <c r="E2368" s="25" t="str">
        <f>IF(C2368="","",[1]!s_dq_close(C2368,$N$1))</f>
        <v/>
      </c>
      <c r="F2368" s="28" t="str">
        <f>IF($C2368=""," ",[1]!i_pq_pctchange($C2368,F$6,$N$1))</f>
        <v xml:space="preserve"> </v>
      </c>
      <c r="G2368" s="28" t="str">
        <f>IF($C2368=""," ",[1]!i_pq_pctchange($C2368,G$6,$N$1))</f>
        <v xml:space="preserve"> </v>
      </c>
      <c r="H2368" s="28" t="str">
        <f>IF($C2368=""," ",[1]!i_pq_pctchange($C2368,H$6,$N$1))</f>
        <v xml:space="preserve"> </v>
      </c>
      <c r="I2368" s="28" t="str">
        <f>IF($C2368=""," ",[1]!i_pq_pctchange($C2368,I$6,$N$1))</f>
        <v xml:space="preserve"> </v>
      </c>
      <c r="J2368" s="28" t="str">
        <f>IF($C2368=""," ",[1]!i_pq_pctchange($C2368,J$6,$N$1))</f>
        <v xml:space="preserve"> </v>
      </c>
      <c r="K2368" s="28" t="str">
        <f>IF($C2368=""," ",[1]!i_pq_pctchange($C2368,K$6,$N$1))</f>
        <v xml:space="preserve"> </v>
      </c>
      <c r="L2368" s="28" t="str">
        <f>IF(C2368=""," ",[1]!s_wq_pctchange($C2368,$N$1))</f>
        <v xml:space="preserve"> </v>
      </c>
      <c r="M2368" s="28" t="str">
        <f>IF(C2368=""," ",[1]!s_mq_pctchange($C2368,$N$1))</f>
        <v xml:space="preserve"> </v>
      </c>
      <c r="N2368" s="28" t="str">
        <f>IF(C2368=""," ",[1]!s_yq_pctchange($C2368,$N$1))</f>
        <v xml:space="preserve"> </v>
      </c>
      <c r="O2368" s="11"/>
      <c r="P2368" s="7"/>
    </row>
    <row r="2369" spans="1:16" x14ac:dyDescent="0.35">
      <c r="A2369" s="7"/>
      <c r="C2369" s="30" t="str">
        <f>IF(指数列表!B2366="","",指数列表!B2366)</f>
        <v/>
      </c>
      <c r="D2369" s="35" t="str">
        <f>IF(C2369="","",[1]!s_info_name(C2369))</f>
        <v/>
      </c>
      <c r="E2369" s="24" t="str">
        <f>IF(C2369="","",[1]!s_dq_close(C2369,$N$1))</f>
        <v/>
      </c>
      <c r="F2369" s="28" t="str">
        <f>IF($C2369=""," ",[1]!i_pq_pctchange($C2369,F$6,$N$1))</f>
        <v xml:space="preserve"> </v>
      </c>
      <c r="G2369" s="28" t="str">
        <f>IF($C2369=""," ",[1]!i_pq_pctchange($C2369,G$6,$N$1))</f>
        <v xml:space="preserve"> </v>
      </c>
      <c r="H2369" s="28" t="str">
        <f>IF($C2369=""," ",[1]!i_pq_pctchange($C2369,H$6,$N$1))</f>
        <v xml:space="preserve"> </v>
      </c>
      <c r="I2369" s="28" t="str">
        <f>IF($C2369=""," ",[1]!i_pq_pctchange($C2369,I$6,$N$1))</f>
        <v xml:space="preserve"> </v>
      </c>
      <c r="J2369" s="28" t="str">
        <f>IF($C2369=""," ",[1]!i_pq_pctchange($C2369,J$6,$N$1))</f>
        <v xml:space="preserve"> </v>
      </c>
      <c r="K2369" s="28" t="str">
        <f>IF($C2369=""," ",[1]!i_pq_pctchange($C2369,K$6,$N$1))</f>
        <v xml:space="preserve"> </v>
      </c>
      <c r="L2369" s="28" t="str">
        <f>IF(C2369=""," ",[1]!s_wq_pctchange($C2369,$N$1))</f>
        <v xml:space="preserve"> </v>
      </c>
      <c r="M2369" s="28" t="str">
        <f>IF(C2369=""," ",[1]!s_mq_pctchange($C2369,$N$1))</f>
        <v xml:space="preserve"> </v>
      </c>
      <c r="N2369" s="28" t="str">
        <f>IF(C2369=""," ",[1]!s_yq_pctchange($C2369,$N$1))</f>
        <v xml:space="preserve"> </v>
      </c>
      <c r="O2369" s="11"/>
      <c r="P2369" s="7"/>
    </row>
    <row r="2370" spans="1:16" x14ac:dyDescent="0.35">
      <c r="A2370" s="7"/>
      <c r="C2370" s="31" t="str">
        <f>IF(指数列表!B2367="","",指数列表!B2367)</f>
        <v/>
      </c>
      <c r="D2370" s="36" t="str">
        <f>IF(C2370="","",[1]!s_info_name(C2370))</f>
        <v/>
      </c>
      <c r="E2370" s="25" t="str">
        <f>IF(C2370="","",[1]!s_dq_close(C2370,$N$1))</f>
        <v/>
      </c>
      <c r="F2370" s="28" t="str">
        <f>IF($C2370=""," ",[1]!i_pq_pctchange($C2370,F$6,$N$1))</f>
        <v xml:space="preserve"> </v>
      </c>
      <c r="G2370" s="28" t="str">
        <f>IF($C2370=""," ",[1]!i_pq_pctchange($C2370,G$6,$N$1))</f>
        <v xml:space="preserve"> </v>
      </c>
      <c r="H2370" s="28" t="str">
        <f>IF($C2370=""," ",[1]!i_pq_pctchange($C2370,H$6,$N$1))</f>
        <v xml:space="preserve"> </v>
      </c>
      <c r="I2370" s="28" t="str">
        <f>IF($C2370=""," ",[1]!i_pq_pctchange($C2370,I$6,$N$1))</f>
        <v xml:space="preserve"> </v>
      </c>
      <c r="J2370" s="28" t="str">
        <f>IF($C2370=""," ",[1]!i_pq_pctchange($C2370,J$6,$N$1))</f>
        <v xml:space="preserve"> </v>
      </c>
      <c r="K2370" s="28" t="str">
        <f>IF($C2370=""," ",[1]!i_pq_pctchange($C2370,K$6,$N$1))</f>
        <v xml:space="preserve"> </v>
      </c>
      <c r="L2370" s="28" t="str">
        <f>IF(C2370=""," ",[1]!s_wq_pctchange($C2370,$N$1))</f>
        <v xml:space="preserve"> </v>
      </c>
      <c r="M2370" s="28" t="str">
        <f>IF(C2370=""," ",[1]!s_mq_pctchange($C2370,$N$1))</f>
        <v xml:space="preserve"> </v>
      </c>
      <c r="N2370" s="28" t="str">
        <f>IF(C2370=""," ",[1]!s_yq_pctchange($C2370,$N$1))</f>
        <v xml:space="preserve"> </v>
      </c>
      <c r="O2370" s="11"/>
      <c r="P2370" s="7"/>
    </row>
    <row r="2371" spans="1:16" x14ac:dyDescent="0.35">
      <c r="A2371" s="7"/>
      <c r="C2371" s="30" t="str">
        <f>IF(指数列表!B2368="","",指数列表!B2368)</f>
        <v/>
      </c>
      <c r="D2371" s="35" t="str">
        <f>IF(C2371="","",[1]!s_info_name(C2371))</f>
        <v/>
      </c>
      <c r="E2371" s="24" t="str">
        <f>IF(C2371="","",[1]!s_dq_close(C2371,$N$1))</f>
        <v/>
      </c>
      <c r="F2371" s="28" t="str">
        <f>IF($C2371=""," ",[1]!i_pq_pctchange($C2371,F$6,$N$1))</f>
        <v xml:space="preserve"> </v>
      </c>
      <c r="G2371" s="28" t="str">
        <f>IF($C2371=""," ",[1]!i_pq_pctchange($C2371,G$6,$N$1))</f>
        <v xml:space="preserve"> </v>
      </c>
      <c r="H2371" s="28" t="str">
        <f>IF($C2371=""," ",[1]!i_pq_pctchange($C2371,H$6,$N$1))</f>
        <v xml:space="preserve"> </v>
      </c>
      <c r="I2371" s="28" t="str">
        <f>IF($C2371=""," ",[1]!i_pq_pctchange($C2371,I$6,$N$1))</f>
        <v xml:space="preserve"> </v>
      </c>
      <c r="J2371" s="28" t="str">
        <f>IF($C2371=""," ",[1]!i_pq_pctchange($C2371,J$6,$N$1))</f>
        <v xml:space="preserve"> </v>
      </c>
      <c r="K2371" s="28" t="str">
        <f>IF($C2371=""," ",[1]!i_pq_pctchange($C2371,K$6,$N$1))</f>
        <v xml:space="preserve"> </v>
      </c>
      <c r="L2371" s="28" t="str">
        <f>IF(C2371=""," ",[1]!s_wq_pctchange($C2371,$N$1))</f>
        <v xml:space="preserve"> </v>
      </c>
      <c r="M2371" s="28" t="str">
        <f>IF(C2371=""," ",[1]!s_mq_pctchange($C2371,$N$1))</f>
        <v xml:space="preserve"> </v>
      </c>
      <c r="N2371" s="28" t="str">
        <f>IF(C2371=""," ",[1]!s_yq_pctchange($C2371,$N$1))</f>
        <v xml:space="preserve"> </v>
      </c>
      <c r="O2371" s="11"/>
      <c r="P2371" s="7"/>
    </row>
    <row r="2372" spans="1:16" x14ac:dyDescent="0.35">
      <c r="A2372" s="7"/>
      <c r="C2372" s="31" t="str">
        <f>IF(指数列表!B2369="","",指数列表!B2369)</f>
        <v/>
      </c>
      <c r="D2372" s="36" t="str">
        <f>IF(C2372="","",[1]!s_info_name(C2372))</f>
        <v/>
      </c>
      <c r="E2372" s="25" t="str">
        <f>IF(C2372="","",[1]!s_dq_close(C2372,$N$1))</f>
        <v/>
      </c>
      <c r="F2372" s="28" t="str">
        <f>IF($C2372=""," ",[1]!i_pq_pctchange($C2372,F$6,$N$1))</f>
        <v xml:space="preserve"> </v>
      </c>
      <c r="G2372" s="28" t="str">
        <f>IF($C2372=""," ",[1]!i_pq_pctchange($C2372,G$6,$N$1))</f>
        <v xml:space="preserve"> </v>
      </c>
      <c r="H2372" s="28" t="str">
        <f>IF($C2372=""," ",[1]!i_pq_pctchange($C2372,H$6,$N$1))</f>
        <v xml:space="preserve"> </v>
      </c>
      <c r="I2372" s="28" t="str">
        <f>IF($C2372=""," ",[1]!i_pq_pctchange($C2372,I$6,$N$1))</f>
        <v xml:space="preserve"> </v>
      </c>
      <c r="J2372" s="28" t="str">
        <f>IF($C2372=""," ",[1]!i_pq_pctchange($C2372,J$6,$N$1))</f>
        <v xml:space="preserve"> </v>
      </c>
      <c r="K2372" s="28" t="str">
        <f>IF($C2372=""," ",[1]!i_pq_pctchange($C2372,K$6,$N$1))</f>
        <v xml:space="preserve"> </v>
      </c>
      <c r="L2372" s="28" t="str">
        <f>IF(C2372=""," ",[1]!s_wq_pctchange($C2372,$N$1))</f>
        <v xml:space="preserve"> </v>
      </c>
      <c r="M2372" s="28" t="str">
        <f>IF(C2372=""," ",[1]!s_mq_pctchange($C2372,$N$1))</f>
        <v xml:space="preserve"> </v>
      </c>
      <c r="N2372" s="28" t="str">
        <f>IF(C2372=""," ",[1]!s_yq_pctchange($C2372,$N$1))</f>
        <v xml:space="preserve"> </v>
      </c>
      <c r="O2372" s="11"/>
      <c r="P2372" s="7"/>
    </row>
    <row r="2373" spans="1:16" x14ac:dyDescent="0.35">
      <c r="A2373" s="7"/>
      <c r="C2373" s="30" t="str">
        <f>IF(指数列表!B2370="","",指数列表!B2370)</f>
        <v/>
      </c>
      <c r="D2373" s="35" t="str">
        <f>IF(C2373="","",[1]!s_info_name(C2373))</f>
        <v/>
      </c>
      <c r="E2373" s="24" t="str">
        <f>IF(C2373="","",[1]!s_dq_close(C2373,$N$1))</f>
        <v/>
      </c>
      <c r="F2373" s="28" t="str">
        <f>IF($C2373=""," ",[1]!i_pq_pctchange($C2373,F$6,$N$1))</f>
        <v xml:space="preserve"> </v>
      </c>
      <c r="G2373" s="28" t="str">
        <f>IF($C2373=""," ",[1]!i_pq_pctchange($C2373,G$6,$N$1))</f>
        <v xml:space="preserve"> </v>
      </c>
      <c r="H2373" s="28" t="str">
        <f>IF($C2373=""," ",[1]!i_pq_pctchange($C2373,H$6,$N$1))</f>
        <v xml:space="preserve"> </v>
      </c>
      <c r="I2373" s="28" t="str">
        <f>IF($C2373=""," ",[1]!i_pq_pctchange($C2373,I$6,$N$1))</f>
        <v xml:space="preserve"> </v>
      </c>
      <c r="J2373" s="28" t="str">
        <f>IF($C2373=""," ",[1]!i_pq_pctchange($C2373,J$6,$N$1))</f>
        <v xml:space="preserve"> </v>
      </c>
      <c r="K2373" s="28" t="str">
        <f>IF($C2373=""," ",[1]!i_pq_pctchange($C2373,K$6,$N$1))</f>
        <v xml:space="preserve"> </v>
      </c>
      <c r="L2373" s="28" t="str">
        <f>IF(C2373=""," ",[1]!s_wq_pctchange($C2373,$N$1))</f>
        <v xml:space="preserve"> </v>
      </c>
      <c r="M2373" s="28" t="str">
        <f>IF(C2373=""," ",[1]!s_mq_pctchange($C2373,$N$1))</f>
        <v xml:space="preserve"> </v>
      </c>
      <c r="N2373" s="28" t="str">
        <f>IF(C2373=""," ",[1]!s_yq_pctchange($C2373,$N$1))</f>
        <v xml:space="preserve"> </v>
      </c>
      <c r="O2373" s="11"/>
      <c r="P2373" s="7"/>
    </row>
    <row r="2374" spans="1:16" x14ac:dyDescent="0.35">
      <c r="A2374" s="7"/>
      <c r="C2374" s="31" t="str">
        <f>IF(指数列表!B2371="","",指数列表!B2371)</f>
        <v/>
      </c>
      <c r="D2374" s="36" t="str">
        <f>IF(C2374="","",[1]!s_info_name(C2374))</f>
        <v/>
      </c>
      <c r="E2374" s="25" t="str">
        <f>IF(C2374="","",[1]!s_dq_close(C2374,$N$1))</f>
        <v/>
      </c>
      <c r="F2374" s="28" t="str">
        <f>IF($C2374=""," ",[1]!i_pq_pctchange($C2374,F$6,$N$1))</f>
        <v xml:space="preserve"> </v>
      </c>
      <c r="G2374" s="28" t="str">
        <f>IF($C2374=""," ",[1]!i_pq_pctchange($C2374,G$6,$N$1))</f>
        <v xml:space="preserve"> </v>
      </c>
      <c r="H2374" s="28" t="str">
        <f>IF($C2374=""," ",[1]!i_pq_pctchange($C2374,H$6,$N$1))</f>
        <v xml:space="preserve"> </v>
      </c>
      <c r="I2374" s="28" t="str">
        <f>IF($C2374=""," ",[1]!i_pq_pctchange($C2374,I$6,$N$1))</f>
        <v xml:space="preserve"> </v>
      </c>
      <c r="J2374" s="28" t="str">
        <f>IF($C2374=""," ",[1]!i_pq_pctchange($C2374,J$6,$N$1))</f>
        <v xml:space="preserve"> </v>
      </c>
      <c r="K2374" s="28" t="str">
        <f>IF($C2374=""," ",[1]!i_pq_pctchange($C2374,K$6,$N$1))</f>
        <v xml:space="preserve"> </v>
      </c>
      <c r="L2374" s="28" t="str">
        <f>IF(C2374=""," ",[1]!s_wq_pctchange($C2374,$N$1))</f>
        <v xml:space="preserve"> </v>
      </c>
      <c r="M2374" s="28" t="str">
        <f>IF(C2374=""," ",[1]!s_mq_pctchange($C2374,$N$1))</f>
        <v xml:space="preserve"> </v>
      </c>
      <c r="N2374" s="28" t="str">
        <f>IF(C2374=""," ",[1]!s_yq_pctchange($C2374,$N$1))</f>
        <v xml:space="preserve"> </v>
      </c>
      <c r="O2374" s="11"/>
      <c r="P2374" s="7"/>
    </row>
    <row r="2375" spans="1:16" x14ac:dyDescent="0.35">
      <c r="A2375" s="7"/>
      <c r="C2375" s="30" t="str">
        <f>IF(指数列表!B2372="","",指数列表!B2372)</f>
        <v/>
      </c>
      <c r="D2375" s="35" t="str">
        <f>IF(C2375="","",[1]!s_info_name(C2375))</f>
        <v/>
      </c>
      <c r="E2375" s="24" t="str">
        <f>IF(C2375="","",[1]!s_dq_close(C2375,$N$1))</f>
        <v/>
      </c>
      <c r="F2375" s="28" t="str">
        <f>IF($C2375=""," ",[1]!i_pq_pctchange($C2375,F$6,$N$1))</f>
        <v xml:space="preserve"> </v>
      </c>
      <c r="G2375" s="28" t="str">
        <f>IF($C2375=""," ",[1]!i_pq_pctchange($C2375,G$6,$N$1))</f>
        <v xml:space="preserve"> </v>
      </c>
      <c r="H2375" s="28" t="str">
        <f>IF($C2375=""," ",[1]!i_pq_pctchange($C2375,H$6,$N$1))</f>
        <v xml:space="preserve"> </v>
      </c>
      <c r="I2375" s="28" t="str">
        <f>IF($C2375=""," ",[1]!i_pq_pctchange($C2375,I$6,$N$1))</f>
        <v xml:space="preserve"> </v>
      </c>
      <c r="J2375" s="28" t="str">
        <f>IF($C2375=""," ",[1]!i_pq_pctchange($C2375,J$6,$N$1))</f>
        <v xml:space="preserve"> </v>
      </c>
      <c r="K2375" s="28" t="str">
        <f>IF($C2375=""," ",[1]!i_pq_pctchange($C2375,K$6,$N$1))</f>
        <v xml:space="preserve"> </v>
      </c>
      <c r="L2375" s="28" t="str">
        <f>IF(C2375=""," ",[1]!s_wq_pctchange($C2375,$N$1))</f>
        <v xml:space="preserve"> </v>
      </c>
      <c r="M2375" s="28" t="str">
        <f>IF(C2375=""," ",[1]!s_mq_pctchange($C2375,$N$1))</f>
        <v xml:space="preserve"> </v>
      </c>
      <c r="N2375" s="28" t="str">
        <f>IF(C2375=""," ",[1]!s_yq_pctchange($C2375,$N$1))</f>
        <v xml:space="preserve"> </v>
      </c>
      <c r="O2375" s="11"/>
      <c r="P2375" s="7"/>
    </row>
    <row r="2376" spans="1:16" x14ac:dyDescent="0.35">
      <c r="A2376" s="7"/>
      <c r="C2376" s="31" t="str">
        <f>IF(指数列表!B2373="","",指数列表!B2373)</f>
        <v/>
      </c>
      <c r="D2376" s="36" t="str">
        <f>IF(C2376="","",[1]!s_info_name(C2376))</f>
        <v/>
      </c>
      <c r="E2376" s="25" t="str">
        <f>IF(C2376="","",[1]!s_dq_close(C2376,$N$1))</f>
        <v/>
      </c>
      <c r="F2376" s="28" t="str">
        <f>IF($C2376=""," ",[1]!i_pq_pctchange($C2376,F$6,$N$1))</f>
        <v xml:space="preserve"> </v>
      </c>
      <c r="G2376" s="28" t="str">
        <f>IF($C2376=""," ",[1]!i_pq_pctchange($C2376,G$6,$N$1))</f>
        <v xml:space="preserve"> </v>
      </c>
      <c r="H2376" s="28" t="str">
        <f>IF($C2376=""," ",[1]!i_pq_pctchange($C2376,H$6,$N$1))</f>
        <v xml:space="preserve"> </v>
      </c>
      <c r="I2376" s="28" t="str">
        <f>IF($C2376=""," ",[1]!i_pq_pctchange($C2376,I$6,$N$1))</f>
        <v xml:space="preserve"> </v>
      </c>
      <c r="J2376" s="28" t="str">
        <f>IF($C2376=""," ",[1]!i_pq_pctchange($C2376,J$6,$N$1))</f>
        <v xml:space="preserve"> </v>
      </c>
      <c r="K2376" s="28" t="str">
        <f>IF($C2376=""," ",[1]!i_pq_pctchange($C2376,K$6,$N$1))</f>
        <v xml:space="preserve"> </v>
      </c>
      <c r="L2376" s="28" t="str">
        <f>IF(C2376=""," ",[1]!s_wq_pctchange($C2376,$N$1))</f>
        <v xml:space="preserve"> </v>
      </c>
      <c r="M2376" s="28" t="str">
        <f>IF(C2376=""," ",[1]!s_mq_pctchange($C2376,$N$1))</f>
        <v xml:space="preserve"> </v>
      </c>
      <c r="N2376" s="28" t="str">
        <f>IF(C2376=""," ",[1]!s_yq_pctchange($C2376,$N$1))</f>
        <v xml:space="preserve"> </v>
      </c>
      <c r="O2376" s="11"/>
      <c r="P2376" s="7"/>
    </row>
    <row r="2377" spans="1:16" x14ac:dyDescent="0.35">
      <c r="A2377" s="7"/>
      <c r="C2377" s="30" t="str">
        <f>IF(指数列表!B2374="","",指数列表!B2374)</f>
        <v/>
      </c>
      <c r="D2377" s="35" t="str">
        <f>IF(C2377="","",[1]!s_info_name(C2377))</f>
        <v/>
      </c>
      <c r="E2377" s="24" t="str">
        <f>IF(C2377="","",[1]!s_dq_close(C2377,$N$1))</f>
        <v/>
      </c>
      <c r="F2377" s="28" t="str">
        <f>IF($C2377=""," ",[1]!i_pq_pctchange($C2377,F$6,$N$1))</f>
        <v xml:space="preserve"> </v>
      </c>
      <c r="G2377" s="28" t="str">
        <f>IF($C2377=""," ",[1]!i_pq_pctchange($C2377,G$6,$N$1))</f>
        <v xml:space="preserve"> </v>
      </c>
      <c r="H2377" s="28" t="str">
        <f>IF($C2377=""," ",[1]!i_pq_pctchange($C2377,H$6,$N$1))</f>
        <v xml:space="preserve"> </v>
      </c>
      <c r="I2377" s="28" t="str">
        <f>IF($C2377=""," ",[1]!i_pq_pctchange($C2377,I$6,$N$1))</f>
        <v xml:space="preserve"> </v>
      </c>
      <c r="J2377" s="28" t="str">
        <f>IF($C2377=""," ",[1]!i_pq_pctchange($C2377,J$6,$N$1))</f>
        <v xml:space="preserve"> </v>
      </c>
      <c r="K2377" s="28" t="str">
        <f>IF($C2377=""," ",[1]!i_pq_pctchange($C2377,K$6,$N$1))</f>
        <v xml:space="preserve"> </v>
      </c>
      <c r="L2377" s="28" t="str">
        <f>IF(C2377=""," ",[1]!s_wq_pctchange($C2377,$N$1))</f>
        <v xml:space="preserve"> </v>
      </c>
      <c r="M2377" s="28" t="str">
        <f>IF(C2377=""," ",[1]!s_mq_pctchange($C2377,$N$1))</f>
        <v xml:space="preserve"> </v>
      </c>
      <c r="N2377" s="28" t="str">
        <f>IF(C2377=""," ",[1]!s_yq_pctchange($C2377,$N$1))</f>
        <v xml:space="preserve"> </v>
      </c>
      <c r="O2377" s="11"/>
      <c r="P2377" s="7"/>
    </row>
    <row r="2378" spans="1:16" x14ac:dyDescent="0.35">
      <c r="A2378" s="7"/>
      <c r="C2378" s="31" t="str">
        <f>IF(指数列表!B2375="","",指数列表!B2375)</f>
        <v/>
      </c>
      <c r="D2378" s="36" t="str">
        <f>IF(C2378="","",[1]!s_info_name(C2378))</f>
        <v/>
      </c>
      <c r="E2378" s="25" t="str">
        <f>IF(C2378="","",[1]!s_dq_close(C2378,$N$1))</f>
        <v/>
      </c>
      <c r="F2378" s="28" t="str">
        <f>IF($C2378=""," ",[1]!i_pq_pctchange($C2378,F$6,$N$1))</f>
        <v xml:space="preserve"> </v>
      </c>
      <c r="G2378" s="28" t="str">
        <f>IF($C2378=""," ",[1]!i_pq_pctchange($C2378,G$6,$N$1))</f>
        <v xml:space="preserve"> </v>
      </c>
      <c r="H2378" s="28" t="str">
        <f>IF($C2378=""," ",[1]!i_pq_pctchange($C2378,H$6,$N$1))</f>
        <v xml:space="preserve"> </v>
      </c>
      <c r="I2378" s="28" t="str">
        <f>IF($C2378=""," ",[1]!i_pq_pctchange($C2378,I$6,$N$1))</f>
        <v xml:space="preserve"> </v>
      </c>
      <c r="J2378" s="28" t="str">
        <f>IF($C2378=""," ",[1]!i_pq_pctchange($C2378,J$6,$N$1))</f>
        <v xml:space="preserve"> </v>
      </c>
      <c r="K2378" s="28" t="str">
        <f>IF($C2378=""," ",[1]!i_pq_pctchange($C2378,K$6,$N$1))</f>
        <v xml:space="preserve"> </v>
      </c>
      <c r="L2378" s="28" t="str">
        <f>IF(C2378=""," ",[1]!s_wq_pctchange($C2378,$N$1))</f>
        <v xml:space="preserve"> </v>
      </c>
      <c r="M2378" s="28" t="str">
        <f>IF(C2378=""," ",[1]!s_mq_pctchange($C2378,$N$1))</f>
        <v xml:space="preserve"> </v>
      </c>
      <c r="N2378" s="28" t="str">
        <f>IF(C2378=""," ",[1]!s_yq_pctchange($C2378,$N$1))</f>
        <v xml:space="preserve"> </v>
      </c>
      <c r="O2378" s="11"/>
      <c r="P2378" s="7"/>
    </row>
    <row r="2379" spans="1:16" x14ac:dyDescent="0.35">
      <c r="A2379" s="7"/>
      <c r="C2379" s="30" t="str">
        <f>IF(指数列表!B2376="","",指数列表!B2376)</f>
        <v/>
      </c>
      <c r="D2379" s="35" t="str">
        <f>IF(C2379="","",[1]!s_info_name(C2379))</f>
        <v/>
      </c>
      <c r="E2379" s="24" t="str">
        <f>IF(C2379="","",[1]!s_dq_close(C2379,$N$1))</f>
        <v/>
      </c>
      <c r="F2379" s="28" t="str">
        <f>IF($C2379=""," ",[1]!i_pq_pctchange($C2379,F$6,$N$1))</f>
        <v xml:space="preserve"> </v>
      </c>
      <c r="G2379" s="28" t="str">
        <f>IF($C2379=""," ",[1]!i_pq_pctchange($C2379,G$6,$N$1))</f>
        <v xml:space="preserve"> </v>
      </c>
      <c r="H2379" s="28" t="str">
        <f>IF($C2379=""," ",[1]!i_pq_pctchange($C2379,H$6,$N$1))</f>
        <v xml:space="preserve"> </v>
      </c>
      <c r="I2379" s="28" t="str">
        <f>IF($C2379=""," ",[1]!i_pq_pctchange($C2379,I$6,$N$1))</f>
        <v xml:space="preserve"> </v>
      </c>
      <c r="J2379" s="28" t="str">
        <f>IF($C2379=""," ",[1]!i_pq_pctchange($C2379,J$6,$N$1))</f>
        <v xml:space="preserve"> </v>
      </c>
      <c r="K2379" s="28" t="str">
        <f>IF($C2379=""," ",[1]!i_pq_pctchange($C2379,K$6,$N$1))</f>
        <v xml:space="preserve"> </v>
      </c>
      <c r="L2379" s="28" t="str">
        <f>IF(C2379=""," ",[1]!s_wq_pctchange($C2379,$N$1))</f>
        <v xml:space="preserve"> </v>
      </c>
      <c r="M2379" s="28" t="str">
        <f>IF(C2379=""," ",[1]!s_mq_pctchange($C2379,$N$1))</f>
        <v xml:space="preserve"> </v>
      </c>
      <c r="N2379" s="28" t="str">
        <f>IF(C2379=""," ",[1]!s_yq_pctchange($C2379,$N$1))</f>
        <v xml:space="preserve"> </v>
      </c>
      <c r="O2379" s="11"/>
      <c r="P2379" s="7"/>
    </row>
    <row r="2380" spans="1:16" x14ac:dyDescent="0.35">
      <c r="A2380" s="7"/>
      <c r="C2380" s="31" t="str">
        <f>IF(指数列表!B2377="","",指数列表!B2377)</f>
        <v/>
      </c>
      <c r="D2380" s="36" t="str">
        <f>IF(C2380="","",[1]!s_info_name(C2380))</f>
        <v/>
      </c>
      <c r="E2380" s="25" t="str">
        <f>IF(C2380="","",[1]!s_dq_close(C2380,$N$1))</f>
        <v/>
      </c>
      <c r="F2380" s="28" t="str">
        <f>IF($C2380=""," ",[1]!i_pq_pctchange($C2380,F$6,$N$1))</f>
        <v xml:space="preserve"> </v>
      </c>
      <c r="G2380" s="28" t="str">
        <f>IF($C2380=""," ",[1]!i_pq_pctchange($C2380,G$6,$N$1))</f>
        <v xml:space="preserve"> </v>
      </c>
      <c r="H2380" s="28" t="str">
        <f>IF($C2380=""," ",[1]!i_pq_pctchange($C2380,H$6,$N$1))</f>
        <v xml:space="preserve"> </v>
      </c>
      <c r="I2380" s="28" t="str">
        <f>IF($C2380=""," ",[1]!i_pq_pctchange($C2380,I$6,$N$1))</f>
        <v xml:space="preserve"> </v>
      </c>
      <c r="J2380" s="28" t="str">
        <f>IF($C2380=""," ",[1]!i_pq_pctchange($C2380,J$6,$N$1))</f>
        <v xml:space="preserve"> </v>
      </c>
      <c r="K2380" s="28" t="str">
        <f>IF($C2380=""," ",[1]!i_pq_pctchange($C2380,K$6,$N$1))</f>
        <v xml:space="preserve"> </v>
      </c>
      <c r="L2380" s="28" t="str">
        <f>IF(C2380=""," ",[1]!s_wq_pctchange($C2380,$N$1))</f>
        <v xml:space="preserve"> </v>
      </c>
      <c r="M2380" s="28" t="str">
        <f>IF(C2380=""," ",[1]!s_mq_pctchange($C2380,$N$1))</f>
        <v xml:space="preserve"> </v>
      </c>
      <c r="N2380" s="28" t="str">
        <f>IF(C2380=""," ",[1]!s_yq_pctchange($C2380,$N$1))</f>
        <v xml:space="preserve"> </v>
      </c>
      <c r="O2380" s="11"/>
      <c r="P2380" s="7"/>
    </row>
    <row r="2381" spans="1:16" x14ac:dyDescent="0.35">
      <c r="A2381" s="7"/>
      <c r="C2381" s="30" t="str">
        <f>IF(指数列表!B2378="","",指数列表!B2378)</f>
        <v/>
      </c>
      <c r="D2381" s="35" t="str">
        <f>IF(C2381="","",[1]!s_info_name(C2381))</f>
        <v/>
      </c>
      <c r="E2381" s="24" t="str">
        <f>IF(C2381="","",[1]!s_dq_close(C2381,$N$1))</f>
        <v/>
      </c>
      <c r="F2381" s="28" t="str">
        <f>IF($C2381=""," ",[1]!i_pq_pctchange($C2381,F$6,$N$1))</f>
        <v xml:space="preserve"> </v>
      </c>
      <c r="G2381" s="28" t="str">
        <f>IF($C2381=""," ",[1]!i_pq_pctchange($C2381,G$6,$N$1))</f>
        <v xml:space="preserve"> </v>
      </c>
      <c r="H2381" s="28" t="str">
        <f>IF($C2381=""," ",[1]!i_pq_pctchange($C2381,H$6,$N$1))</f>
        <v xml:space="preserve"> </v>
      </c>
      <c r="I2381" s="28" t="str">
        <f>IF($C2381=""," ",[1]!i_pq_pctchange($C2381,I$6,$N$1))</f>
        <v xml:space="preserve"> </v>
      </c>
      <c r="J2381" s="28" t="str">
        <f>IF($C2381=""," ",[1]!i_pq_pctchange($C2381,J$6,$N$1))</f>
        <v xml:space="preserve"> </v>
      </c>
      <c r="K2381" s="28" t="str">
        <f>IF($C2381=""," ",[1]!i_pq_pctchange($C2381,K$6,$N$1))</f>
        <v xml:space="preserve"> </v>
      </c>
      <c r="L2381" s="28" t="str">
        <f>IF(C2381=""," ",[1]!s_wq_pctchange($C2381,$N$1))</f>
        <v xml:space="preserve"> </v>
      </c>
      <c r="M2381" s="28" t="str">
        <f>IF(C2381=""," ",[1]!s_mq_pctchange($C2381,$N$1))</f>
        <v xml:space="preserve"> </v>
      </c>
      <c r="N2381" s="28" t="str">
        <f>IF(C2381=""," ",[1]!s_yq_pctchange($C2381,$N$1))</f>
        <v xml:space="preserve"> </v>
      </c>
      <c r="O2381" s="11"/>
      <c r="P2381" s="7"/>
    </row>
    <row r="2382" spans="1:16" x14ac:dyDescent="0.35">
      <c r="A2382" s="7"/>
      <c r="C2382" s="31" t="str">
        <f>IF(指数列表!B2379="","",指数列表!B2379)</f>
        <v/>
      </c>
      <c r="D2382" s="36" t="str">
        <f>IF(C2382="","",[1]!s_info_name(C2382))</f>
        <v/>
      </c>
      <c r="E2382" s="25" t="str">
        <f>IF(C2382="","",[1]!s_dq_close(C2382,$N$1))</f>
        <v/>
      </c>
      <c r="F2382" s="28" t="str">
        <f>IF($C2382=""," ",[1]!i_pq_pctchange($C2382,F$6,$N$1))</f>
        <v xml:space="preserve"> </v>
      </c>
      <c r="G2382" s="28" t="str">
        <f>IF($C2382=""," ",[1]!i_pq_pctchange($C2382,G$6,$N$1))</f>
        <v xml:space="preserve"> </v>
      </c>
      <c r="H2382" s="28" t="str">
        <f>IF($C2382=""," ",[1]!i_pq_pctchange($C2382,H$6,$N$1))</f>
        <v xml:space="preserve"> </v>
      </c>
      <c r="I2382" s="28" t="str">
        <f>IF($C2382=""," ",[1]!i_pq_pctchange($C2382,I$6,$N$1))</f>
        <v xml:space="preserve"> </v>
      </c>
      <c r="J2382" s="28" t="str">
        <f>IF($C2382=""," ",[1]!i_pq_pctchange($C2382,J$6,$N$1))</f>
        <v xml:space="preserve"> </v>
      </c>
      <c r="K2382" s="28" t="str">
        <f>IF($C2382=""," ",[1]!i_pq_pctchange($C2382,K$6,$N$1))</f>
        <v xml:space="preserve"> </v>
      </c>
      <c r="L2382" s="28" t="str">
        <f>IF(C2382=""," ",[1]!s_wq_pctchange($C2382,$N$1))</f>
        <v xml:space="preserve"> </v>
      </c>
      <c r="M2382" s="28" t="str">
        <f>IF(C2382=""," ",[1]!s_mq_pctchange($C2382,$N$1))</f>
        <v xml:space="preserve"> </v>
      </c>
      <c r="N2382" s="28" t="str">
        <f>IF(C2382=""," ",[1]!s_yq_pctchange($C2382,$N$1))</f>
        <v xml:space="preserve"> </v>
      </c>
      <c r="O2382" s="11"/>
      <c r="P2382" s="7"/>
    </row>
    <row r="2383" spans="1:16" x14ac:dyDescent="0.35">
      <c r="A2383" s="7"/>
      <c r="C2383" s="30" t="str">
        <f>IF(指数列表!B2380="","",指数列表!B2380)</f>
        <v/>
      </c>
      <c r="D2383" s="35" t="str">
        <f>IF(C2383="","",[1]!s_info_name(C2383))</f>
        <v/>
      </c>
      <c r="E2383" s="24" t="str">
        <f>IF(C2383="","",[1]!s_dq_close(C2383,$N$1))</f>
        <v/>
      </c>
      <c r="F2383" s="28" t="str">
        <f>IF($C2383=""," ",[1]!i_pq_pctchange($C2383,F$6,$N$1))</f>
        <v xml:space="preserve"> </v>
      </c>
      <c r="G2383" s="28" t="str">
        <f>IF($C2383=""," ",[1]!i_pq_pctchange($C2383,G$6,$N$1))</f>
        <v xml:space="preserve"> </v>
      </c>
      <c r="H2383" s="28" t="str">
        <f>IF($C2383=""," ",[1]!i_pq_pctchange($C2383,H$6,$N$1))</f>
        <v xml:space="preserve"> </v>
      </c>
      <c r="I2383" s="28" t="str">
        <f>IF($C2383=""," ",[1]!i_pq_pctchange($C2383,I$6,$N$1))</f>
        <v xml:space="preserve"> </v>
      </c>
      <c r="J2383" s="28" t="str">
        <f>IF($C2383=""," ",[1]!i_pq_pctchange($C2383,J$6,$N$1))</f>
        <v xml:space="preserve"> </v>
      </c>
      <c r="K2383" s="28" t="str">
        <f>IF($C2383=""," ",[1]!i_pq_pctchange($C2383,K$6,$N$1))</f>
        <v xml:space="preserve"> </v>
      </c>
      <c r="L2383" s="28" t="str">
        <f>IF(C2383=""," ",[1]!s_wq_pctchange($C2383,$N$1))</f>
        <v xml:space="preserve"> </v>
      </c>
      <c r="M2383" s="28" t="str">
        <f>IF(C2383=""," ",[1]!s_mq_pctchange($C2383,$N$1))</f>
        <v xml:space="preserve"> </v>
      </c>
      <c r="N2383" s="28" t="str">
        <f>IF(C2383=""," ",[1]!s_yq_pctchange($C2383,$N$1))</f>
        <v xml:space="preserve"> </v>
      </c>
      <c r="O2383" s="11"/>
      <c r="P2383" s="7"/>
    </row>
    <row r="2384" spans="1:16" x14ac:dyDescent="0.35">
      <c r="A2384" s="7"/>
      <c r="C2384" s="31" t="str">
        <f>IF(指数列表!B2381="","",指数列表!B2381)</f>
        <v/>
      </c>
      <c r="D2384" s="36" t="str">
        <f>IF(C2384="","",[1]!s_info_name(C2384))</f>
        <v/>
      </c>
      <c r="E2384" s="25" t="str">
        <f>IF(C2384="","",[1]!s_dq_close(C2384,$N$1))</f>
        <v/>
      </c>
      <c r="F2384" s="28" t="str">
        <f>IF($C2384=""," ",[1]!i_pq_pctchange($C2384,F$6,$N$1))</f>
        <v xml:space="preserve"> </v>
      </c>
      <c r="G2384" s="28" t="str">
        <f>IF($C2384=""," ",[1]!i_pq_pctchange($C2384,G$6,$N$1))</f>
        <v xml:space="preserve"> </v>
      </c>
      <c r="H2384" s="28" t="str">
        <f>IF($C2384=""," ",[1]!i_pq_pctchange($C2384,H$6,$N$1))</f>
        <v xml:space="preserve"> </v>
      </c>
      <c r="I2384" s="28" t="str">
        <f>IF($C2384=""," ",[1]!i_pq_pctchange($C2384,I$6,$N$1))</f>
        <v xml:space="preserve"> </v>
      </c>
      <c r="J2384" s="28" t="str">
        <f>IF($C2384=""," ",[1]!i_pq_pctchange($C2384,J$6,$N$1))</f>
        <v xml:space="preserve"> </v>
      </c>
      <c r="K2384" s="28" t="str">
        <f>IF($C2384=""," ",[1]!i_pq_pctchange($C2384,K$6,$N$1))</f>
        <v xml:space="preserve"> </v>
      </c>
      <c r="L2384" s="28" t="str">
        <f>IF(C2384=""," ",[1]!s_wq_pctchange($C2384,$N$1))</f>
        <v xml:space="preserve"> </v>
      </c>
      <c r="M2384" s="28" t="str">
        <f>IF(C2384=""," ",[1]!s_mq_pctchange($C2384,$N$1))</f>
        <v xml:space="preserve"> </v>
      </c>
      <c r="N2384" s="28" t="str">
        <f>IF(C2384=""," ",[1]!s_yq_pctchange($C2384,$N$1))</f>
        <v xml:space="preserve"> </v>
      </c>
      <c r="O2384" s="11"/>
      <c r="P2384" s="7"/>
    </row>
    <row r="2385" spans="1:16" x14ac:dyDescent="0.35">
      <c r="A2385" s="7"/>
      <c r="C2385" s="30" t="str">
        <f>IF(指数列表!B2382="","",指数列表!B2382)</f>
        <v/>
      </c>
      <c r="D2385" s="35" t="str">
        <f>IF(C2385="","",[1]!s_info_name(C2385))</f>
        <v/>
      </c>
      <c r="E2385" s="24" t="str">
        <f>IF(C2385="","",[1]!s_dq_close(C2385,$N$1))</f>
        <v/>
      </c>
      <c r="F2385" s="28" t="str">
        <f>IF($C2385=""," ",[1]!i_pq_pctchange($C2385,F$6,$N$1))</f>
        <v xml:space="preserve"> </v>
      </c>
      <c r="G2385" s="28" t="str">
        <f>IF($C2385=""," ",[1]!i_pq_pctchange($C2385,G$6,$N$1))</f>
        <v xml:space="preserve"> </v>
      </c>
      <c r="H2385" s="28" t="str">
        <f>IF($C2385=""," ",[1]!i_pq_pctchange($C2385,H$6,$N$1))</f>
        <v xml:space="preserve"> </v>
      </c>
      <c r="I2385" s="28" t="str">
        <f>IF($C2385=""," ",[1]!i_pq_pctchange($C2385,I$6,$N$1))</f>
        <v xml:space="preserve"> </v>
      </c>
      <c r="J2385" s="28" t="str">
        <f>IF($C2385=""," ",[1]!i_pq_pctchange($C2385,J$6,$N$1))</f>
        <v xml:space="preserve"> </v>
      </c>
      <c r="K2385" s="28" t="str">
        <f>IF($C2385=""," ",[1]!i_pq_pctchange($C2385,K$6,$N$1))</f>
        <v xml:space="preserve"> </v>
      </c>
      <c r="L2385" s="28" t="str">
        <f>IF(C2385=""," ",[1]!s_wq_pctchange($C2385,$N$1))</f>
        <v xml:space="preserve"> </v>
      </c>
      <c r="M2385" s="28" t="str">
        <f>IF(C2385=""," ",[1]!s_mq_pctchange($C2385,$N$1))</f>
        <v xml:space="preserve"> </v>
      </c>
      <c r="N2385" s="28" t="str">
        <f>IF(C2385=""," ",[1]!s_yq_pctchange($C2385,$N$1))</f>
        <v xml:space="preserve"> </v>
      </c>
      <c r="O2385" s="11"/>
      <c r="P2385" s="7"/>
    </row>
    <row r="2386" spans="1:16" x14ac:dyDescent="0.35">
      <c r="A2386" s="7"/>
      <c r="C2386" s="31" t="str">
        <f>IF(指数列表!B2383="","",指数列表!B2383)</f>
        <v/>
      </c>
      <c r="D2386" s="36" t="str">
        <f>IF(C2386="","",[1]!s_info_name(C2386))</f>
        <v/>
      </c>
      <c r="E2386" s="25" t="str">
        <f>IF(C2386="","",[1]!s_dq_close(C2386,$N$1))</f>
        <v/>
      </c>
      <c r="F2386" s="28" t="str">
        <f>IF($C2386=""," ",[1]!i_pq_pctchange($C2386,F$6,$N$1))</f>
        <v xml:space="preserve"> </v>
      </c>
      <c r="G2386" s="28" t="str">
        <f>IF($C2386=""," ",[1]!i_pq_pctchange($C2386,G$6,$N$1))</f>
        <v xml:space="preserve"> </v>
      </c>
      <c r="H2386" s="28" t="str">
        <f>IF($C2386=""," ",[1]!i_pq_pctchange($C2386,H$6,$N$1))</f>
        <v xml:space="preserve"> </v>
      </c>
      <c r="I2386" s="28" t="str">
        <f>IF($C2386=""," ",[1]!i_pq_pctchange($C2386,I$6,$N$1))</f>
        <v xml:space="preserve"> </v>
      </c>
      <c r="J2386" s="28" t="str">
        <f>IF($C2386=""," ",[1]!i_pq_pctchange($C2386,J$6,$N$1))</f>
        <v xml:space="preserve"> </v>
      </c>
      <c r="K2386" s="28" t="str">
        <f>IF($C2386=""," ",[1]!i_pq_pctchange($C2386,K$6,$N$1))</f>
        <v xml:space="preserve"> </v>
      </c>
      <c r="L2386" s="28" t="str">
        <f>IF(C2386=""," ",[1]!s_wq_pctchange($C2386,$N$1))</f>
        <v xml:space="preserve"> </v>
      </c>
      <c r="M2386" s="28" t="str">
        <f>IF(C2386=""," ",[1]!s_mq_pctchange($C2386,$N$1))</f>
        <v xml:space="preserve"> </v>
      </c>
      <c r="N2386" s="28" t="str">
        <f>IF(C2386=""," ",[1]!s_yq_pctchange($C2386,$N$1))</f>
        <v xml:space="preserve"> </v>
      </c>
      <c r="O2386" s="11"/>
      <c r="P2386" s="7"/>
    </row>
    <row r="2387" spans="1:16" x14ac:dyDescent="0.35">
      <c r="A2387" s="7"/>
      <c r="C2387" s="30" t="str">
        <f>IF(指数列表!B2384="","",指数列表!B2384)</f>
        <v/>
      </c>
      <c r="D2387" s="35" t="str">
        <f>IF(C2387="","",[1]!s_info_name(C2387))</f>
        <v/>
      </c>
      <c r="E2387" s="24" t="str">
        <f>IF(C2387="","",[1]!s_dq_close(C2387,$N$1))</f>
        <v/>
      </c>
      <c r="F2387" s="28" t="str">
        <f>IF($C2387=""," ",[1]!i_pq_pctchange($C2387,F$6,$N$1))</f>
        <v xml:space="preserve"> </v>
      </c>
      <c r="G2387" s="28" t="str">
        <f>IF($C2387=""," ",[1]!i_pq_pctchange($C2387,G$6,$N$1))</f>
        <v xml:space="preserve"> </v>
      </c>
      <c r="H2387" s="28" t="str">
        <f>IF($C2387=""," ",[1]!i_pq_pctchange($C2387,H$6,$N$1))</f>
        <v xml:space="preserve"> </v>
      </c>
      <c r="I2387" s="28" t="str">
        <f>IF($C2387=""," ",[1]!i_pq_pctchange($C2387,I$6,$N$1))</f>
        <v xml:space="preserve"> </v>
      </c>
      <c r="J2387" s="28" t="str">
        <f>IF($C2387=""," ",[1]!i_pq_pctchange($C2387,J$6,$N$1))</f>
        <v xml:space="preserve"> </v>
      </c>
      <c r="K2387" s="28" t="str">
        <f>IF($C2387=""," ",[1]!i_pq_pctchange($C2387,K$6,$N$1))</f>
        <v xml:space="preserve"> </v>
      </c>
      <c r="L2387" s="28" t="str">
        <f>IF(C2387=""," ",[1]!s_wq_pctchange($C2387,$N$1))</f>
        <v xml:space="preserve"> </v>
      </c>
      <c r="M2387" s="28" t="str">
        <f>IF(C2387=""," ",[1]!s_mq_pctchange($C2387,$N$1))</f>
        <v xml:space="preserve"> </v>
      </c>
      <c r="N2387" s="28" t="str">
        <f>IF(C2387=""," ",[1]!s_yq_pctchange($C2387,$N$1))</f>
        <v xml:space="preserve"> </v>
      </c>
      <c r="O2387" s="11"/>
      <c r="P2387" s="7"/>
    </row>
    <row r="2388" spans="1:16" x14ac:dyDescent="0.35">
      <c r="A2388" s="7"/>
      <c r="C2388" s="31" t="str">
        <f>IF(指数列表!B2385="","",指数列表!B2385)</f>
        <v/>
      </c>
      <c r="D2388" s="36" t="str">
        <f>IF(C2388="","",[1]!s_info_name(C2388))</f>
        <v/>
      </c>
      <c r="E2388" s="25" t="str">
        <f>IF(C2388="","",[1]!s_dq_close(C2388,$N$1))</f>
        <v/>
      </c>
      <c r="F2388" s="28" t="str">
        <f>IF($C2388=""," ",[1]!i_pq_pctchange($C2388,F$6,$N$1))</f>
        <v xml:space="preserve"> </v>
      </c>
      <c r="G2388" s="28" t="str">
        <f>IF($C2388=""," ",[1]!i_pq_pctchange($C2388,G$6,$N$1))</f>
        <v xml:space="preserve"> </v>
      </c>
      <c r="H2388" s="28" t="str">
        <f>IF($C2388=""," ",[1]!i_pq_pctchange($C2388,H$6,$N$1))</f>
        <v xml:space="preserve"> </v>
      </c>
      <c r="I2388" s="28" t="str">
        <f>IF($C2388=""," ",[1]!i_pq_pctchange($C2388,I$6,$N$1))</f>
        <v xml:space="preserve"> </v>
      </c>
      <c r="J2388" s="28" t="str">
        <f>IF($C2388=""," ",[1]!i_pq_pctchange($C2388,J$6,$N$1))</f>
        <v xml:space="preserve"> </v>
      </c>
      <c r="K2388" s="28" t="str">
        <f>IF($C2388=""," ",[1]!i_pq_pctchange($C2388,K$6,$N$1))</f>
        <v xml:space="preserve"> </v>
      </c>
      <c r="L2388" s="28" t="str">
        <f>IF(C2388=""," ",[1]!s_wq_pctchange($C2388,$N$1))</f>
        <v xml:space="preserve"> </v>
      </c>
      <c r="M2388" s="28" t="str">
        <f>IF(C2388=""," ",[1]!s_mq_pctchange($C2388,$N$1))</f>
        <v xml:space="preserve"> </v>
      </c>
      <c r="N2388" s="28" t="str">
        <f>IF(C2388=""," ",[1]!s_yq_pctchange($C2388,$N$1))</f>
        <v xml:space="preserve"> </v>
      </c>
      <c r="O2388" s="11"/>
      <c r="P2388" s="7"/>
    </row>
    <row r="2389" spans="1:16" x14ac:dyDescent="0.35">
      <c r="A2389" s="7"/>
      <c r="C2389" s="30" t="str">
        <f>IF(指数列表!B2386="","",指数列表!B2386)</f>
        <v/>
      </c>
      <c r="D2389" s="35" t="str">
        <f>IF(C2389="","",[1]!s_info_name(C2389))</f>
        <v/>
      </c>
      <c r="E2389" s="24" t="str">
        <f>IF(C2389="","",[1]!s_dq_close(C2389,$N$1))</f>
        <v/>
      </c>
      <c r="F2389" s="28" t="str">
        <f>IF($C2389=""," ",[1]!i_pq_pctchange($C2389,F$6,$N$1))</f>
        <v xml:space="preserve"> </v>
      </c>
      <c r="G2389" s="28" t="str">
        <f>IF($C2389=""," ",[1]!i_pq_pctchange($C2389,G$6,$N$1))</f>
        <v xml:space="preserve"> </v>
      </c>
      <c r="H2389" s="28" t="str">
        <f>IF($C2389=""," ",[1]!i_pq_pctchange($C2389,H$6,$N$1))</f>
        <v xml:space="preserve"> </v>
      </c>
      <c r="I2389" s="28" t="str">
        <f>IF($C2389=""," ",[1]!i_pq_pctchange($C2389,I$6,$N$1))</f>
        <v xml:space="preserve"> </v>
      </c>
      <c r="J2389" s="28" t="str">
        <f>IF($C2389=""," ",[1]!i_pq_pctchange($C2389,J$6,$N$1))</f>
        <v xml:space="preserve"> </v>
      </c>
      <c r="K2389" s="28" t="str">
        <f>IF($C2389=""," ",[1]!i_pq_pctchange($C2389,K$6,$N$1))</f>
        <v xml:space="preserve"> </v>
      </c>
      <c r="L2389" s="28" t="str">
        <f>IF(C2389=""," ",[1]!s_wq_pctchange($C2389,$N$1))</f>
        <v xml:space="preserve"> </v>
      </c>
      <c r="M2389" s="28" t="str">
        <f>IF(C2389=""," ",[1]!s_mq_pctchange($C2389,$N$1))</f>
        <v xml:space="preserve"> </v>
      </c>
      <c r="N2389" s="28" t="str">
        <f>IF(C2389=""," ",[1]!s_yq_pctchange($C2389,$N$1))</f>
        <v xml:space="preserve"> </v>
      </c>
      <c r="O2389" s="11"/>
      <c r="P2389" s="7"/>
    </row>
    <row r="2390" spans="1:16" x14ac:dyDescent="0.35">
      <c r="A2390" s="7"/>
      <c r="C2390" s="31" t="str">
        <f>IF(指数列表!B2387="","",指数列表!B2387)</f>
        <v/>
      </c>
      <c r="D2390" s="36" t="str">
        <f>IF(C2390="","",[1]!s_info_name(C2390))</f>
        <v/>
      </c>
      <c r="E2390" s="25" t="str">
        <f>IF(C2390="","",[1]!s_dq_close(C2390,$N$1))</f>
        <v/>
      </c>
      <c r="F2390" s="28" t="str">
        <f>IF($C2390=""," ",[1]!i_pq_pctchange($C2390,F$6,$N$1))</f>
        <v xml:space="preserve"> </v>
      </c>
      <c r="G2390" s="28" t="str">
        <f>IF($C2390=""," ",[1]!i_pq_pctchange($C2390,G$6,$N$1))</f>
        <v xml:space="preserve"> </v>
      </c>
      <c r="H2390" s="28" t="str">
        <f>IF($C2390=""," ",[1]!i_pq_pctchange($C2390,H$6,$N$1))</f>
        <v xml:space="preserve"> </v>
      </c>
      <c r="I2390" s="28" t="str">
        <f>IF($C2390=""," ",[1]!i_pq_pctchange($C2390,I$6,$N$1))</f>
        <v xml:space="preserve"> </v>
      </c>
      <c r="J2390" s="28" t="str">
        <f>IF($C2390=""," ",[1]!i_pq_pctchange($C2390,J$6,$N$1))</f>
        <v xml:space="preserve"> </v>
      </c>
      <c r="K2390" s="28" t="str">
        <f>IF($C2390=""," ",[1]!i_pq_pctchange($C2390,K$6,$N$1))</f>
        <v xml:space="preserve"> </v>
      </c>
      <c r="L2390" s="28" t="str">
        <f>IF(C2390=""," ",[1]!s_wq_pctchange($C2390,$N$1))</f>
        <v xml:space="preserve"> </v>
      </c>
      <c r="M2390" s="28" t="str">
        <f>IF(C2390=""," ",[1]!s_mq_pctchange($C2390,$N$1))</f>
        <v xml:space="preserve"> </v>
      </c>
      <c r="N2390" s="28" t="str">
        <f>IF(C2390=""," ",[1]!s_yq_pctchange($C2390,$N$1))</f>
        <v xml:space="preserve"> </v>
      </c>
      <c r="O2390" s="11"/>
      <c r="P2390" s="7"/>
    </row>
    <row r="2391" spans="1:16" x14ac:dyDescent="0.35">
      <c r="A2391" s="7"/>
      <c r="C2391" s="30" t="str">
        <f>IF(指数列表!B2388="","",指数列表!B2388)</f>
        <v/>
      </c>
      <c r="D2391" s="35" t="str">
        <f>IF(C2391="","",[1]!s_info_name(C2391))</f>
        <v/>
      </c>
      <c r="E2391" s="24" t="str">
        <f>IF(C2391="","",[1]!s_dq_close(C2391,$N$1))</f>
        <v/>
      </c>
      <c r="F2391" s="28" t="str">
        <f>IF($C2391=""," ",[1]!i_pq_pctchange($C2391,F$6,$N$1))</f>
        <v xml:space="preserve"> </v>
      </c>
      <c r="G2391" s="28" t="str">
        <f>IF($C2391=""," ",[1]!i_pq_pctchange($C2391,G$6,$N$1))</f>
        <v xml:space="preserve"> </v>
      </c>
      <c r="H2391" s="28" t="str">
        <f>IF($C2391=""," ",[1]!i_pq_pctchange($C2391,H$6,$N$1))</f>
        <v xml:space="preserve"> </v>
      </c>
      <c r="I2391" s="28" t="str">
        <f>IF($C2391=""," ",[1]!i_pq_pctchange($C2391,I$6,$N$1))</f>
        <v xml:space="preserve"> </v>
      </c>
      <c r="J2391" s="28" t="str">
        <f>IF($C2391=""," ",[1]!i_pq_pctchange($C2391,J$6,$N$1))</f>
        <v xml:space="preserve"> </v>
      </c>
      <c r="K2391" s="28" t="str">
        <f>IF($C2391=""," ",[1]!i_pq_pctchange($C2391,K$6,$N$1))</f>
        <v xml:space="preserve"> </v>
      </c>
      <c r="L2391" s="28" t="str">
        <f>IF(C2391=""," ",[1]!s_wq_pctchange($C2391,$N$1))</f>
        <v xml:space="preserve"> </v>
      </c>
      <c r="M2391" s="28" t="str">
        <f>IF(C2391=""," ",[1]!s_mq_pctchange($C2391,$N$1))</f>
        <v xml:space="preserve"> </v>
      </c>
      <c r="N2391" s="28" t="str">
        <f>IF(C2391=""," ",[1]!s_yq_pctchange($C2391,$N$1))</f>
        <v xml:space="preserve"> </v>
      </c>
      <c r="O2391" s="11"/>
      <c r="P2391" s="7"/>
    </row>
    <row r="2392" spans="1:16" x14ac:dyDescent="0.35">
      <c r="A2392" s="7"/>
      <c r="C2392" s="31" t="str">
        <f>IF(指数列表!B2389="","",指数列表!B2389)</f>
        <v/>
      </c>
      <c r="D2392" s="36" t="str">
        <f>IF(C2392="","",[1]!s_info_name(C2392))</f>
        <v/>
      </c>
      <c r="E2392" s="25" t="str">
        <f>IF(C2392="","",[1]!s_dq_close(C2392,$N$1))</f>
        <v/>
      </c>
      <c r="F2392" s="28" t="str">
        <f>IF($C2392=""," ",[1]!i_pq_pctchange($C2392,F$6,$N$1))</f>
        <v xml:space="preserve"> </v>
      </c>
      <c r="G2392" s="28" t="str">
        <f>IF($C2392=""," ",[1]!i_pq_pctchange($C2392,G$6,$N$1))</f>
        <v xml:space="preserve"> </v>
      </c>
      <c r="H2392" s="28" t="str">
        <f>IF($C2392=""," ",[1]!i_pq_pctchange($C2392,H$6,$N$1))</f>
        <v xml:space="preserve"> </v>
      </c>
      <c r="I2392" s="28" t="str">
        <f>IF($C2392=""," ",[1]!i_pq_pctchange($C2392,I$6,$N$1))</f>
        <v xml:space="preserve"> </v>
      </c>
      <c r="J2392" s="28" t="str">
        <f>IF($C2392=""," ",[1]!i_pq_pctchange($C2392,J$6,$N$1))</f>
        <v xml:space="preserve"> </v>
      </c>
      <c r="K2392" s="28" t="str">
        <f>IF($C2392=""," ",[1]!i_pq_pctchange($C2392,K$6,$N$1))</f>
        <v xml:space="preserve"> </v>
      </c>
      <c r="L2392" s="28" t="str">
        <f>IF(C2392=""," ",[1]!s_wq_pctchange($C2392,$N$1))</f>
        <v xml:space="preserve"> </v>
      </c>
      <c r="M2392" s="28" t="str">
        <f>IF(C2392=""," ",[1]!s_mq_pctchange($C2392,$N$1))</f>
        <v xml:space="preserve"> </v>
      </c>
      <c r="N2392" s="28" t="str">
        <f>IF(C2392=""," ",[1]!s_yq_pctchange($C2392,$N$1))</f>
        <v xml:space="preserve"> </v>
      </c>
      <c r="O2392" s="11"/>
      <c r="P2392" s="7"/>
    </row>
    <row r="2393" spans="1:16" x14ac:dyDescent="0.35">
      <c r="A2393" s="7"/>
      <c r="C2393" s="30" t="str">
        <f>IF(指数列表!B2390="","",指数列表!B2390)</f>
        <v/>
      </c>
      <c r="D2393" s="35" t="str">
        <f>IF(C2393="","",[1]!s_info_name(C2393))</f>
        <v/>
      </c>
      <c r="E2393" s="24" t="str">
        <f>IF(C2393="","",[1]!s_dq_close(C2393,$N$1))</f>
        <v/>
      </c>
      <c r="F2393" s="28" t="str">
        <f>IF($C2393=""," ",[1]!i_pq_pctchange($C2393,F$6,$N$1))</f>
        <v xml:space="preserve"> </v>
      </c>
      <c r="G2393" s="28" t="str">
        <f>IF($C2393=""," ",[1]!i_pq_pctchange($C2393,G$6,$N$1))</f>
        <v xml:space="preserve"> </v>
      </c>
      <c r="H2393" s="28" t="str">
        <f>IF($C2393=""," ",[1]!i_pq_pctchange($C2393,H$6,$N$1))</f>
        <v xml:space="preserve"> </v>
      </c>
      <c r="I2393" s="28" t="str">
        <f>IF($C2393=""," ",[1]!i_pq_pctchange($C2393,I$6,$N$1))</f>
        <v xml:space="preserve"> </v>
      </c>
      <c r="J2393" s="28" t="str">
        <f>IF($C2393=""," ",[1]!i_pq_pctchange($C2393,J$6,$N$1))</f>
        <v xml:space="preserve"> </v>
      </c>
      <c r="K2393" s="28" t="str">
        <f>IF($C2393=""," ",[1]!i_pq_pctchange($C2393,K$6,$N$1))</f>
        <v xml:space="preserve"> </v>
      </c>
      <c r="L2393" s="28" t="str">
        <f>IF(C2393=""," ",[1]!s_wq_pctchange($C2393,$N$1))</f>
        <v xml:space="preserve"> </v>
      </c>
      <c r="M2393" s="28" t="str">
        <f>IF(C2393=""," ",[1]!s_mq_pctchange($C2393,$N$1))</f>
        <v xml:space="preserve"> </v>
      </c>
      <c r="N2393" s="28" t="str">
        <f>IF(C2393=""," ",[1]!s_yq_pctchange($C2393,$N$1))</f>
        <v xml:space="preserve"> </v>
      </c>
      <c r="O2393" s="11"/>
      <c r="P2393" s="7"/>
    </row>
    <row r="2394" spans="1:16" x14ac:dyDescent="0.35">
      <c r="A2394" s="7"/>
      <c r="C2394" s="31" t="str">
        <f>IF(指数列表!B2391="","",指数列表!B2391)</f>
        <v/>
      </c>
      <c r="D2394" s="36" t="str">
        <f>IF(C2394="","",[1]!s_info_name(C2394))</f>
        <v/>
      </c>
      <c r="E2394" s="25" t="str">
        <f>IF(C2394="","",[1]!s_dq_close(C2394,$N$1))</f>
        <v/>
      </c>
      <c r="F2394" s="28" t="str">
        <f>IF($C2394=""," ",[1]!i_pq_pctchange($C2394,F$6,$N$1))</f>
        <v xml:space="preserve"> </v>
      </c>
      <c r="G2394" s="28" t="str">
        <f>IF($C2394=""," ",[1]!i_pq_pctchange($C2394,G$6,$N$1))</f>
        <v xml:space="preserve"> </v>
      </c>
      <c r="H2394" s="28" t="str">
        <f>IF($C2394=""," ",[1]!i_pq_pctchange($C2394,H$6,$N$1))</f>
        <v xml:space="preserve"> </v>
      </c>
      <c r="I2394" s="28" t="str">
        <f>IF($C2394=""," ",[1]!i_pq_pctchange($C2394,I$6,$N$1))</f>
        <v xml:space="preserve"> </v>
      </c>
      <c r="J2394" s="28" t="str">
        <f>IF($C2394=""," ",[1]!i_pq_pctchange($C2394,J$6,$N$1))</f>
        <v xml:space="preserve"> </v>
      </c>
      <c r="K2394" s="28" t="str">
        <f>IF($C2394=""," ",[1]!i_pq_pctchange($C2394,K$6,$N$1))</f>
        <v xml:space="preserve"> </v>
      </c>
      <c r="L2394" s="28" t="str">
        <f>IF(C2394=""," ",[1]!s_wq_pctchange($C2394,$N$1))</f>
        <v xml:space="preserve"> </v>
      </c>
      <c r="M2394" s="28" t="str">
        <f>IF(C2394=""," ",[1]!s_mq_pctchange($C2394,$N$1))</f>
        <v xml:space="preserve"> </v>
      </c>
      <c r="N2394" s="28" t="str">
        <f>IF(C2394=""," ",[1]!s_yq_pctchange($C2394,$N$1))</f>
        <v xml:space="preserve"> </v>
      </c>
      <c r="O2394" s="11"/>
      <c r="P2394" s="7"/>
    </row>
    <row r="2395" spans="1:16" x14ac:dyDescent="0.35">
      <c r="A2395" s="7"/>
      <c r="C2395" s="30" t="str">
        <f>IF(指数列表!B2392="","",指数列表!B2392)</f>
        <v/>
      </c>
      <c r="D2395" s="35" t="str">
        <f>IF(C2395="","",[1]!s_info_name(C2395))</f>
        <v/>
      </c>
      <c r="E2395" s="24" t="str">
        <f>IF(C2395="","",[1]!s_dq_close(C2395,$N$1))</f>
        <v/>
      </c>
      <c r="F2395" s="28" t="str">
        <f>IF($C2395=""," ",[1]!i_pq_pctchange($C2395,F$6,$N$1))</f>
        <v xml:space="preserve"> </v>
      </c>
      <c r="G2395" s="28" t="str">
        <f>IF($C2395=""," ",[1]!i_pq_pctchange($C2395,G$6,$N$1))</f>
        <v xml:space="preserve"> </v>
      </c>
      <c r="H2395" s="28" t="str">
        <f>IF($C2395=""," ",[1]!i_pq_pctchange($C2395,H$6,$N$1))</f>
        <v xml:space="preserve"> </v>
      </c>
      <c r="I2395" s="28" t="str">
        <f>IF($C2395=""," ",[1]!i_pq_pctchange($C2395,I$6,$N$1))</f>
        <v xml:space="preserve"> </v>
      </c>
      <c r="J2395" s="28" t="str">
        <f>IF($C2395=""," ",[1]!i_pq_pctchange($C2395,J$6,$N$1))</f>
        <v xml:space="preserve"> </v>
      </c>
      <c r="K2395" s="28" t="str">
        <f>IF($C2395=""," ",[1]!i_pq_pctchange($C2395,K$6,$N$1))</f>
        <v xml:space="preserve"> </v>
      </c>
      <c r="L2395" s="28" t="str">
        <f>IF(C2395=""," ",[1]!s_wq_pctchange($C2395,$N$1))</f>
        <v xml:space="preserve"> </v>
      </c>
      <c r="M2395" s="28" t="str">
        <f>IF(C2395=""," ",[1]!s_mq_pctchange($C2395,$N$1))</f>
        <v xml:space="preserve"> </v>
      </c>
      <c r="N2395" s="28" t="str">
        <f>IF(C2395=""," ",[1]!s_yq_pctchange($C2395,$N$1))</f>
        <v xml:space="preserve"> </v>
      </c>
      <c r="O2395" s="11"/>
      <c r="P2395" s="7"/>
    </row>
    <row r="2396" spans="1:16" x14ac:dyDescent="0.35">
      <c r="A2396" s="7"/>
      <c r="C2396" s="31" t="str">
        <f>IF(指数列表!B2393="","",指数列表!B2393)</f>
        <v/>
      </c>
      <c r="D2396" s="36" t="str">
        <f>IF(C2396="","",[1]!s_info_name(C2396))</f>
        <v/>
      </c>
      <c r="E2396" s="25" t="str">
        <f>IF(C2396="","",[1]!s_dq_close(C2396,$N$1))</f>
        <v/>
      </c>
      <c r="F2396" s="28" t="str">
        <f>IF($C2396=""," ",[1]!i_pq_pctchange($C2396,F$6,$N$1))</f>
        <v xml:space="preserve"> </v>
      </c>
      <c r="G2396" s="28" t="str">
        <f>IF($C2396=""," ",[1]!i_pq_pctchange($C2396,G$6,$N$1))</f>
        <v xml:space="preserve"> </v>
      </c>
      <c r="H2396" s="28" t="str">
        <f>IF($C2396=""," ",[1]!i_pq_pctchange($C2396,H$6,$N$1))</f>
        <v xml:space="preserve"> </v>
      </c>
      <c r="I2396" s="28" t="str">
        <f>IF($C2396=""," ",[1]!i_pq_pctchange($C2396,I$6,$N$1))</f>
        <v xml:space="preserve"> </v>
      </c>
      <c r="J2396" s="28" t="str">
        <f>IF($C2396=""," ",[1]!i_pq_pctchange($C2396,J$6,$N$1))</f>
        <v xml:space="preserve"> </v>
      </c>
      <c r="K2396" s="28" t="str">
        <f>IF($C2396=""," ",[1]!i_pq_pctchange($C2396,K$6,$N$1))</f>
        <v xml:space="preserve"> </v>
      </c>
      <c r="L2396" s="28" t="str">
        <f>IF(C2396=""," ",[1]!s_wq_pctchange($C2396,$N$1))</f>
        <v xml:space="preserve"> </v>
      </c>
      <c r="M2396" s="28" t="str">
        <f>IF(C2396=""," ",[1]!s_mq_pctchange($C2396,$N$1))</f>
        <v xml:space="preserve"> </v>
      </c>
      <c r="N2396" s="28" t="str">
        <f>IF(C2396=""," ",[1]!s_yq_pctchange($C2396,$N$1))</f>
        <v xml:space="preserve"> </v>
      </c>
      <c r="O2396" s="11"/>
      <c r="P2396" s="7"/>
    </row>
    <row r="2397" spans="1:16" x14ac:dyDescent="0.35">
      <c r="A2397" s="7"/>
      <c r="C2397" s="30" t="str">
        <f>IF(指数列表!B2394="","",指数列表!B2394)</f>
        <v/>
      </c>
      <c r="D2397" s="35" t="str">
        <f>IF(C2397="","",[1]!s_info_name(C2397))</f>
        <v/>
      </c>
      <c r="E2397" s="24" t="str">
        <f>IF(C2397="","",[1]!s_dq_close(C2397,$N$1))</f>
        <v/>
      </c>
      <c r="F2397" s="28" t="str">
        <f>IF($C2397=""," ",[1]!i_pq_pctchange($C2397,F$6,$N$1))</f>
        <v xml:space="preserve"> </v>
      </c>
      <c r="G2397" s="28" t="str">
        <f>IF($C2397=""," ",[1]!i_pq_pctchange($C2397,G$6,$N$1))</f>
        <v xml:space="preserve"> </v>
      </c>
      <c r="H2397" s="28" t="str">
        <f>IF($C2397=""," ",[1]!i_pq_pctchange($C2397,H$6,$N$1))</f>
        <v xml:space="preserve"> </v>
      </c>
      <c r="I2397" s="28" t="str">
        <f>IF($C2397=""," ",[1]!i_pq_pctchange($C2397,I$6,$N$1))</f>
        <v xml:space="preserve"> </v>
      </c>
      <c r="J2397" s="28" t="str">
        <f>IF($C2397=""," ",[1]!i_pq_pctchange($C2397,J$6,$N$1))</f>
        <v xml:space="preserve"> </v>
      </c>
      <c r="K2397" s="28" t="str">
        <f>IF($C2397=""," ",[1]!i_pq_pctchange($C2397,K$6,$N$1))</f>
        <v xml:space="preserve"> </v>
      </c>
      <c r="L2397" s="28" t="str">
        <f>IF(C2397=""," ",[1]!s_wq_pctchange($C2397,$N$1))</f>
        <v xml:space="preserve"> </v>
      </c>
      <c r="M2397" s="28" t="str">
        <f>IF(C2397=""," ",[1]!s_mq_pctchange($C2397,$N$1))</f>
        <v xml:space="preserve"> </v>
      </c>
      <c r="N2397" s="28" t="str">
        <f>IF(C2397=""," ",[1]!s_yq_pctchange($C2397,$N$1))</f>
        <v xml:space="preserve"> </v>
      </c>
      <c r="O2397" s="11"/>
      <c r="P2397" s="7"/>
    </row>
    <row r="2398" spans="1:16" x14ac:dyDescent="0.35">
      <c r="A2398" s="7"/>
      <c r="C2398" s="31" t="str">
        <f>IF(指数列表!B2395="","",指数列表!B2395)</f>
        <v/>
      </c>
      <c r="D2398" s="36" t="str">
        <f>IF(C2398="","",[1]!s_info_name(C2398))</f>
        <v/>
      </c>
      <c r="E2398" s="25" t="str">
        <f>IF(C2398="","",[1]!s_dq_close(C2398,$N$1))</f>
        <v/>
      </c>
      <c r="F2398" s="28" t="str">
        <f>IF($C2398=""," ",[1]!i_pq_pctchange($C2398,F$6,$N$1))</f>
        <v xml:space="preserve"> </v>
      </c>
      <c r="G2398" s="28" t="str">
        <f>IF($C2398=""," ",[1]!i_pq_pctchange($C2398,G$6,$N$1))</f>
        <v xml:space="preserve"> </v>
      </c>
      <c r="H2398" s="28" t="str">
        <f>IF($C2398=""," ",[1]!i_pq_pctchange($C2398,H$6,$N$1))</f>
        <v xml:space="preserve"> </v>
      </c>
      <c r="I2398" s="28" t="str">
        <f>IF($C2398=""," ",[1]!i_pq_pctchange($C2398,I$6,$N$1))</f>
        <v xml:space="preserve"> </v>
      </c>
      <c r="J2398" s="28" t="str">
        <f>IF($C2398=""," ",[1]!i_pq_pctchange($C2398,J$6,$N$1))</f>
        <v xml:space="preserve"> </v>
      </c>
      <c r="K2398" s="28" t="str">
        <f>IF($C2398=""," ",[1]!i_pq_pctchange($C2398,K$6,$N$1))</f>
        <v xml:space="preserve"> </v>
      </c>
      <c r="L2398" s="28" t="str">
        <f>IF(C2398=""," ",[1]!s_wq_pctchange($C2398,$N$1))</f>
        <v xml:space="preserve"> </v>
      </c>
      <c r="M2398" s="28" t="str">
        <f>IF(C2398=""," ",[1]!s_mq_pctchange($C2398,$N$1))</f>
        <v xml:space="preserve"> </v>
      </c>
      <c r="N2398" s="28" t="str">
        <f>IF(C2398=""," ",[1]!s_yq_pctchange($C2398,$N$1))</f>
        <v xml:space="preserve"> </v>
      </c>
      <c r="O2398" s="11"/>
      <c r="P2398" s="7"/>
    </row>
    <row r="2399" spans="1:16" x14ac:dyDescent="0.35">
      <c r="A2399" s="7"/>
      <c r="C2399" s="30" t="str">
        <f>IF(指数列表!B2396="","",指数列表!B2396)</f>
        <v/>
      </c>
      <c r="D2399" s="35" t="str">
        <f>IF(C2399="","",[1]!s_info_name(C2399))</f>
        <v/>
      </c>
      <c r="E2399" s="24" t="str">
        <f>IF(C2399="","",[1]!s_dq_close(C2399,$N$1))</f>
        <v/>
      </c>
      <c r="F2399" s="28" t="str">
        <f>IF($C2399=""," ",[1]!i_pq_pctchange($C2399,F$6,$N$1))</f>
        <v xml:space="preserve"> </v>
      </c>
      <c r="G2399" s="28" t="str">
        <f>IF($C2399=""," ",[1]!i_pq_pctchange($C2399,G$6,$N$1))</f>
        <v xml:space="preserve"> </v>
      </c>
      <c r="H2399" s="28" t="str">
        <f>IF($C2399=""," ",[1]!i_pq_pctchange($C2399,H$6,$N$1))</f>
        <v xml:space="preserve"> </v>
      </c>
      <c r="I2399" s="28" t="str">
        <f>IF($C2399=""," ",[1]!i_pq_pctchange($C2399,I$6,$N$1))</f>
        <v xml:space="preserve"> </v>
      </c>
      <c r="J2399" s="28" t="str">
        <f>IF($C2399=""," ",[1]!i_pq_pctchange($C2399,J$6,$N$1))</f>
        <v xml:space="preserve"> </v>
      </c>
      <c r="K2399" s="28" t="str">
        <f>IF($C2399=""," ",[1]!i_pq_pctchange($C2399,K$6,$N$1))</f>
        <v xml:space="preserve"> </v>
      </c>
      <c r="L2399" s="28" t="str">
        <f>IF(C2399=""," ",[1]!s_wq_pctchange($C2399,$N$1))</f>
        <v xml:space="preserve"> </v>
      </c>
      <c r="M2399" s="28" t="str">
        <f>IF(C2399=""," ",[1]!s_mq_pctchange($C2399,$N$1))</f>
        <v xml:space="preserve"> </v>
      </c>
      <c r="N2399" s="28" t="str">
        <f>IF(C2399=""," ",[1]!s_yq_pctchange($C2399,$N$1))</f>
        <v xml:space="preserve"> </v>
      </c>
      <c r="O2399" s="11"/>
      <c r="P2399" s="7"/>
    </row>
    <row r="2400" spans="1:16" x14ac:dyDescent="0.35">
      <c r="A2400" s="7"/>
      <c r="C2400" s="31" t="str">
        <f>IF(指数列表!B2397="","",指数列表!B2397)</f>
        <v/>
      </c>
      <c r="D2400" s="36" t="str">
        <f>IF(C2400="","",[1]!s_info_name(C2400))</f>
        <v/>
      </c>
      <c r="E2400" s="25" t="str">
        <f>IF(C2400="","",[1]!s_dq_close(C2400,$N$1))</f>
        <v/>
      </c>
      <c r="F2400" s="28" t="str">
        <f>IF($C2400=""," ",[1]!i_pq_pctchange($C2400,F$6,$N$1))</f>
        <v xml:space="preserve"> </v>
      </c>
      <c r="G2400" s="28" t="str">
        <f>IF($C2400=""," ",[1]!i_pq_pctchange($C2400,G$6,$N$1))</f>
        <v xml:space="preserve"> </v>
      </c>
      <c r="H2400" s="28" t="str">
        <f>IF($C2400=""," ",[1]!i_pq_pctchange($C2400,H$6,$N$1))</f>
        <v xml:space="preserve"> </v>
      </c>
      <c r="I2400" s="28" t="str">
        <f>IF($C2400=""," ",[1]!i_pq_pctchange($C2400,I$6,$N$1))</f>
        <v xml:space="preserve"> </v>
      </c>
      <c r="J2400" s="28" t="str">
        <f>IF($C2400=""," ",[1]!i_pq_pctchange($C2400,J$6,$N$1))</f>
        <v xml:space="preserve"> </v>
      </c>
      <c r="K2400" s="28" t="str">
        <f>IF($C2400=""," ",[1]!i_pq_pctchange($C2400,K$6,$N$1))</f>
        <v xml:space="preserve"> </v>
      </c>
      <c r="L2400" s="28" t="str">
        <f>IF(C2400=""," ",[1]!s_wq_pctchange($C2400,$N$1))</f>
        <v xml:space="preserve"> </v>
      </c>
      <c r="M2400" s="28" t="str">
        <f>IF(C2400=""," ",[1]!s_mq_pctchange($C2400,$N$1))</f>
        <v xml:space="preserve"> </v>
      </c>
      <c r="N2400" s="28" t="str">
        <f>IF(C2400=""," ",[1]!s_yq_pctchange($C2400,$N$1))</f>
        <v xml:space="preserve"> </v>
      </c>
      <c r="O2400" s="11"/>
      <c r="P2400" s="7"/>
    </row>
    <row r="2401" spans="1:16" x14ac:dyDescent="0.35">
      <c r="A2401" s="7"/>
      <c r="C2401" s="30" t="str">
        <f>IF(指数列表!B2398="","",指数列表!B2398)</f>
        <v/>
      </c>
      <c r="D2401" s="35" t="str">
        <f>IF(C2401="","",[1]!s_info_name(C2401))</f>
        <v/>
      </c>
      <c r="E2401" s="24" t="str">
        <f>IF(C2401="","",[1]!s_dq_close(C2401,$N$1))</f>
        <v/>
      </c>
      <c r="F2401" s="28" t="str">
        <f>IF($C2401=""," ",[1]!i_pq_pctchange($C2401,F$6,$N$1))</f>
        <v xml:space="preserve"> </v>
      </c>
      <c r="G2401" s="28" t="str">
        <f>IF($C2401=""," ",[1]!i_pq_pctchange($C2401,G$6,$N$1))</f>
        <v xml:space="preserve"> </v>
      </c>
      <c r="H2401" s="28" t="str">
        <f>IF($C2401=""," ",[1]!i_pq_pctchange($C2401,H$6,$N$1))</f>
        <v xml:space="preserve"> </v>
      </c>
      <c r="I2401" s="28" t="str">
        <f>IF($C2401=""," ",[1]!i_pq_pctchange($C2401,I$6,$N$1))</f>
        <v xml:space="preserve"> </v>
      </c>
      <c r="J2401" s="28" t="str">
        <f>IF($C2401=""," ",[1]!i_pq_pctchange($C2401,J$6,$N$1))</f>
        <v xml:space="preserve"> </v>
      </c>
      <c r="K2401" s="28" t="str">
        <f>IF($C2401=""," ",[1]!i_pq_pctchange($C2401,K$6,$N$1))</f>
        <v xml:space="preserve"> </v>
      </c>
      <c r="L2401" s="28" t="str">
        <f>IF(C2401=""," ",[1]!s_wq_pctchange($C2401,$N$1))</f>
        <v xml:space="preserve"> </v>
      </c>
      <c r="M2401" s="28" t="str">
        <f>IF(C2401=""," ",[1]!s_mq_pctchange($C2401,$N$1))</f>
        <v xml:space="preserve"> </v>
      </c>
      <c r="N2401" s="28" t="str">
        <f>IF(C2401=""," ",[1]!s_yq_pctchange($C2401,$N$1))</f>
        <v xml:space="preserve"> </v>
      </c>
      <c r="O2401" s="11"/>
      <c r="P2401" s="7"/>
    </row>
    <row r="2402" spans="1:16" x14ac:dyDescent="0.35">
      <c r="A2402" s="7"/>
      <c r="C2402" s="31" t="str">
        <f>IF(指数列表!B2399="","",指数列表!B2399)</f>
        <v/>
      </c>
      <c r="D2402" s="36" t="str">
        <f>IF(C2402="","",[1]!s_info_name(C2402))</f>
        <v/>
      </c>
      <c r="E2402" s="25" t="str">
        <f>IF(C2402="","",[1]!s_dq_close(C2402,$N$1))</f>
        <v/>
      </c>
      <c r="F2402" s="28" t="str">
        <f>IF($C2402=""," ",[1]!i_pq_pctchange($C2402,F$6,$N$1))</f>
        <v xml:space="preserve"> </v>
      </c>
      <c r="G2402" s="28" t="str">
        <f>IF($C2402=""," ",[1]!i_pq_pctchange($C2402,G$6,$N$1))</f>
        <v xml:space="preserve"> </v>
      </c>
      <c r="H2402" s="28" t="str">
        <f>IF($C2402=""," ",[1]!i_pq_pctchange($C2402,H$6,$N$1))</f>
        <v xml:space="preserve"> </v>
      </c>
      <c r="I2402" s="28" t="str">
        <f>IF($C2402=""," ",[1]!i_pq_pctchange($C2402,I$6,$N$1))</f>
        <v xml:space="preserve"> </v>
      </c>
      <c r="J2402" s="28" t="str">
        <f>IF($C2402=""," ",[1]!i_pq_pctchange($C2402,J$6,$N$1))</f>
        <v xml:space="preserve"> </v>
      </c>
      <c r="K2402" s="28" t="str">
        <f>IF($C2402=""," ",[1]!i_pq_pctchange($C2402,K$6,$N$1))</f>
        <v xml:space="preserve"> </v>
      </c>
      <c r="L2402" s="28" t="str">
        <f>IF(C2402=""," ",[1]!s_wq_pctchange($C2402,$N$1))</f>
        <v xml:space="preserve"> </v>
      </c>
      <c r="M2402" s="28" t="str">
        <f>IF(C2402=""," ",[1]!s_mq_pctchange($C2402,$N$1))</f>
        <v xml:space="preserve"> </v>
      </c>
      <c r="N2402" s="28" t="str">
        <f>IF(C2402=""," ",[1]!s_yq_pctchange($C2402,$N$1))</f>
        <v xml:space="preserve"> </v>
      </c>
      <c r="O2402" s="11"/>
      <c r="P2402" s="7"/>
    </row>
  </sheetData>
  <mergeCells count="1">
    <mergeCell ref="D1:L1"/>
  </mergeCells>
  <phoneticPr fontId="11" type="noConversion"/>
  <conditionalFormatting sqref="F9:N2402">
    <cfRule type="containsText" dxfId="5" priority="1" stopIfTrue="1" operator="containsText" text=" ">
      <formula>NOT(ISERROR(SEARCH(" ",F9)))</formula>
    </cfRule>
    <cfRule type="cellIs" dxfId="4" priority="2" stopIfTrue="1" operator="greaterThanOrEqual">
      <formula>$R$13</formula>
    </cfRule>
    <cfRule type="cellIs" dxfId="3" priority="3" stopIfTrue="1" operator="greaterThanOrEqual">
      <formula>$R$12</formula>
    </cfRule>
    <cfRule type="cellIs" dxfId="2" priority="4" stopIfTrue="1" operator="greaterThanOrEqual">
      <formula>$R$11</formula>
    </cfRule>
    <cfRule type="cellIs" dxfId="1" priority="5" stopIfTrue="1" operator="greaterThanOrEqual">
      <formula>$R$10</formula>
    </cfRule>
    <cfRule type="cellIs" dxfId="0" priority="6" stopIfTrue="1" operator="greaterThanOrEqual">
      <formula>$R$9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指数列表!$E$1:$E$7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20.25" x14ac:dyDescent="0.35"/>
  <sheetData>
    <row r="1" spans="1:1" x14ac:dyDescent="0.35">
      <c r="A1" t="s">
        <v>293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G132"/>
  <sheetViews>
    <sheetView workbookViewId="0">
      <selection activeCell="A37" sqref="A37"/>
    </sheetView>
  </sheetViews>
  <sheetFormatPr defaultRowHeight="20.25" x14ac:dyDescent="0.35"/>
  <cols>
    <col min="1" max="1" width="10.81640625" bestFit="1" customWidth="1"/>
    <col min="2" max="2" width="17.6328125" customWidth="1"/>
    <col min="3" max="3" width="30.6328125" customWidth="1"/>
    <col min="5" max="5" width="15.54296875" style="45" bestFit="1" customWidth="1"/>
    <col min="6" max="6" width="20" style="45" bestFit="1" customWidth="1"/>
    <col min="7" max="7" width="30.08984375" bestFit="1" customWidth="1"/>
  </cols>
  <sheetData>
    <row r="1" spans="1:7" x14ac:dyDescent="0.35">
      <c r="A1" t="s">
        <v>15</v>
      </c>
      <c r="B1" s="1" t="s">
        <v>16</v>
      </c>
      <c r="E1" s="39" t="s">
        <v>278</v>
      </c>
      <c r="F1" s="40" t="s">
        <v>280</v>
      </c>
    </row>
    <row r="2" spans="1:7" x14ac:dyDescent="0.35">
      <c r="A2" t="s">
        <v>17</v>
      </c>
      <c r="B2" s="4" t="str">
        <f ca="1">TEXT(全球市场指数表现!N1,"YYYYMMDD")</f>
        <v>20240627</v>
      </c>
      <c r="E2" s="39" t="s">
        <v>279</v>
      </c>
      <c r="F2" s="41" t="s">
        <v>281</v>
      </c>
    </row>
    <row r="3" spans="1:7" x14ac:dyDescent="0.35">
      <c r="A3" t="s">
        <v>18</v>
      </c>
      <c r="B3" s="4" t="str">
        <f>VLOOKUP(全球市场指数表现!D4,指数列表!E:F,2,0)</f>
        <v>a399010109000000</v>
      </c>
      <c r="E3" s="39" t="s">
        <v>282</v>
      </c>
      <c r="F3" s="41" t="s">
        <v>283</v>
      </c>
    </row>
    <row r="4" spans="1:7" x14ac:dyDescent="0.35">
      <c r="A4" t="s">
        <v>0</v>
      </c>
      <c r="B4" s="2" t="s">
        <v>20</v>
      </c>
      <c r="C4" t="s">
        <v>22</v>
      </c>
      <c r="E4" s="39" t="s">
        <v>284</v>
      </c>
      <c r="F4" s="41" t="s">
        <v>286</v>
      </c>
    </row>
    <row r="5" spans="1:7" x14ac:dyDescent="0.35">
      <c r="A5" t="s">
        <v>19</v>
      </c>
      <c r="B5" t="s">
        <v>21</v>
      </c>
      <c r="C5" t="s">
        <v>23</v>
      </c>
      <c r="E5" s="39" t="s">
        <v>285</v>
      </c>
      <c r="F5" s="42" t="s">
        <v>287</v>
      </c>
    </row>
    <row r="6" spans="1:7" x14ac:dyDescent="0.35">
      <c r="A6" s="3">
        <f ca="1">[1]!wset("sectorconstituent","date="&amp;B2,"sectorId="&amp;B3,"field=date,wind_code,sec_name","cols=3;rows=127")</f>
        <v>45470</v>
      </c>
      <c r="B6" s="2" t="s">
        <v>295</v>
      </c>
      <c r="C6" s="2" t="s">
        <v>296</v>
      </c>
      <c r="E6" s="43" t="s">
        <v>288</v>
      </c>
      <c r="F6" s="41" t="s">
        <v>289</v>
      </c>
      <c r="G6" s="2"/>
    </row>
    <row r="7" spans="1:7" x14ac:dyDescent="0.35">
      <c r="A7" s="3">
        <v>45470</v>
      </c>
      <c r="B7" s="2" t="s">
        <v>24</v>
      </c>
      <c r="C7" s="2" t="s">
        <v>25</v>
      </c>
      <c r="E7" s="43" t="s">
        <v>290</v>
      </c>
      <c r="F7" s="41" t="s">
        <v>291</v>
      </c>
      <c r="G7" s="2"/>
    </row>
    <row r="8" spans="1:7" x14ac:dyDescent="0.35">
      <c r="A8" s="3">
        <v>45470</v>
      </c>
      <c r="B8" s="2" t="s">
        <v>50</v>
      </c>
      <c r="C8" s="2" t="s">
        <v>51</v>
      </c>
      <c r="E8" s="44"/>
      <c r="F8" s="41"/>
      <c r="G8" s="2"/>
    </row>
    <row r="9" spans="1:7" x14ac:dyDescent="0.35">
      <c r="A9" s="3">
        <v>45470</v>
      </c>
      <c r="B9" s="2" t="s">
        <v>52</v>
      </c>
      <c r="C9" s="2" t="s">
        <v>53</v>
      </c>
      <c r="E9" s="44"/>
      <c r="F9" s="41"/>
      <c r="G9" s="2"/>
    </row>
    <row r="10" spans="1:7" x14ac:dyDescent="0.35">
      <c r="A10" s="3">
        <v>45470</v>
      </c>
      <c r="B10" s="2" t="s">
        <v>54</v>
      </c>
      <c r="C10" s="2" t="s">
        <v>55</v>
      </c>
      <c r="E10" s="44"/>
      <c r="F10" s="41"/>
      <c r="G10" s="2"/>
    </row>
    <row r="11" spans="1:7" x14ac:dyDescent="0.35">
      <c r="A11" s="3">
        <v>45470</v>
      </c>
      <c r="B11" s="2" t="s">
        <v>56</v>
      </c>
      <c r="C11" s="2" t="s">
        <v>57</v>
      </c>
      <c r="E11" s="44"/>
      <c r="F11" s="41"/>
      <c r="G11" s="2"/>
    </row>
    <row r="12" spans="1:7" x14ac:dyDescent="0.35">
      <c r="A12" s="3">
        <v>45470</v>
      </c>
      <c r="B12" s="2" t="s">
        <v>26</v>
      </c>
      <c r="C12" s="2" t="s">
        <v>27</v>
      </c>
      <c r="E12" s="44"/>
      <c r="F12" s="41"/>
      <c r="G12" s="2"/>
    </row>
    <row r="13" spans="1:7" x14ac:dyDescent="0.35">
      <c r="A13" s="3">
        <v>45470</v>
      </c>
      <c r="B13" s="2" t="s">
        <v>58</v>
      </c>
      <c r="C13" s="2" t="s">
        <v>59</v>
      </c>
      <c r="E13" s="44"/>
      <c r="F13" s="41"/>
      <c r="G13" s="2"/>
    </row>
    <row r="14" spans="1:7" x14ac:dyDescent="0.35">
      <c r="A14" s="3">
        <v>45470</v>
      </c>
      <c r="B14" s="2" t="s">
        <v>60</v>
      </c>
      <c r="C14" s="2" t="s">
        <v>61</v>
      </c>
      <c r="E14" s="44"/>
      <c r="F14" s="41"/>
      <c r="G14" s="2"/>
    </row>
    <row r="15" spans="1:7" x14ac:dyDescent="0.35">
      <c r="A15" s="3">
        <v>45470</v>
      </c>
      <c r="B15" s="2" t="s">
        <v>62</v>
      </c>
      <c r="C15" s="2" t="s">
        <v>63</v>
      </c>
      <c r="E15" s="44"/>
      <c r="F15" s="41"/>
      <c r="G15" s="2"/>
    </row>
    <row r="16" spans="1:7" x14ac:dyDescent="0.35">
      <c r="A16" s="3">
        <v>45470</v>
      </c>
      <c r="B16" s="2" t="s">
        <v>64</v>
      </c>
      <c r="C16" s="2" t="s">
        <v>65</v>
      </c>
      <c r="E16" s="44"/>
      <c r="F16" s="41"/>
      <c r="G16" s="2"/>
    </row>
    <row r="17" spans="1:7" x14ac:dyDescent="0.35">
      <c r="A17" s="3">
        <v>45470</v>
      </c>
      <c r="B17" s="2" t="s">
        <v>66</v>
      </c>
      <c r="C17" s="2" t="s">
        <v>67</v>
      </c>
      <c r="E17" s="44"/>
      <c r="F17" s="41"/>
      <c r="G17" s="2"/>
    </row>
    <row r="18" spans="1:7" x14ac:dyDescent="0.35">
      <c r="A18" s="3">
        <v>45470</v>
      </c>
      <c r="B18" s="2" t="s">
        <v>68</v>
      </c>
      <c r="C18" s="2" t="s">
        <v>69</v>
      </c>
      <c r="E18" s="44"/>
      <c r="F18" s="41"/>
      <c r="G18" s="2"/>
    </row>
    <row r="19" spans="1:7" x14ac:dyDescent="0.35">
      <c r="A19" s="3">
        <v>45470</v>
      </c>
      <c r="B19" s="2" t="s">
        <v>70</v>
      </c>
      <c r="C19" s="2" t="s">
        <v>71</v>
      </c>
      <c r="E19" s="44"/>
      <c r="F19" s="41"/>
      <c r="G19" s="2"/>
    </row>
    <row r="20" spans="1:7" x14ac:dyDescent="0.35">
      <c r="A20" s="3">
        <v>45470</v>
      </c>
      <c r="B20" s="2" t="s">
        <v>72</v>
      </c>
      <c r="C20" s="2" t="s">
        <v>73</v>
      </c>
      <c r="E20" s="44"/>
      <c r="F20" s="41"/>
      <c r="G20" s="2"/>
    </row>
    <row r="21" spans="1:7" x14ac:dyDescent="0.35">
      <c r="A21" s="3">
        <v>45470</v>
      </c>
      <c r="B21" s="2" t="s">
        <v>74</v>
      </c>
      <c r="C21" s="2" t="s">
        <v>75</v>
      </c>
      <c r="E21" s="44"/>
      <c r="F21" s="41"/>
      <c r="G21" s="2"/>
    </row>
    <row r="22" spans="1:7" x14ac:dyDescent="0.35">
      <c r="A22" s="3">
        <v>45470</v>
      </c>
      <c r="B22" s="2" t="s">
        <v>76</v>
      </c>
      <c r="C22" s="2" t="s">
        <v>77</v>
      </c>
      <c r="E22" s="44"/>
      <c r="F22" s="41"/>
      <c r="G22" s="2"/>
    </row>
    <row r="23" spans="1:7" x14ac:dyDescent="0.35">
      <c r="A23" s="3">
        <v>45470</v>
      </c>
      <c r="B23" s="2" t="s">
        <v>78</v>
      </c>
      <c r="C23" s="2" t="s">
        <v>79</v>
      </c>
      <c r="E23" s="44"/>
      <c r="F23" s="41"/>
      <c r="G23" s="2"/>
    </row>
    <row r="24" spans="1:7" x14ac:dyDescent="0.35">
      <c r="A24" s="3">
        <v>45470</v>
      </c>
      <c r="B24" s="2" t="s">
        <v>80</v>
      </c>
      <c r="C24" s="2" t="s">
        <v>81</v>
      </c>
      <c r="E24" s="44"/>
      <c r="F24" s="41"/>
      <c r="G24" s="2"/>
    </row>
    <row r="25" spans="1:7" x14ac:dyDescent="0.35">
      <c r="A25" s="3">
        <v>45470</v>
      </c>
      <c r="B25" s="2" t="s">
        <v>82</v>
      </c>
      <c r="C25" s="2" t="s">
        <v>83</v>
      </c>
      <c r="E25" s="44"/>
      <c r="F25" s="41"/>
      <c r="G25" s="2"/>
    </row>
    <row r="26" spans="1:7" x14ac:dyDescent="0.35">
      <c r="A26" s="3">
        <v>45470</v>
      </c>
      <c r="B26" s="2" t="s">
        <v>84</v>
      </c>
      <c r="C26" s="2" t="s">
        <v>85</v>
      </c>
      <c r="E26" s="44"/>
      <c r="F26" s="41"/>
      <c r="G26" s="2"/>
    </row>
    <row r="27" spans="1:7" x14ac:dyDescent="0.35">
      <c r="A27" s="3">
        <v>45470</v>
      </c>
      <c r="B27" s="2" t="s">
        <v>86</v>
      </c>
      <c r="C27" s="2" t="s">
        <v>87</v>
      </c>
      <c r="E27" s="44"/>
      <c r="F27" s="41"/>
      <c r="G27" s="2"/>
    </row>
    <row r="28" spans="1:7" x14ac:dyDescent="0.35">
      <c r="A28" s="3">
        <v>45470</v>
      </c>
      <c r="B28" s="2" t="s">
        <v>88</v>
      </c>
      <c r="C28" s="2" t="s">
        <v>89</v>
      </c>
      <c r="E28" s="44"/>
      <c r="F28" s="41"/>
      <c r="G28" s="2"/>
    </row>
    <row r="29" spans="1:7" x14ac:dyDescent="0.35">
      <c r="A29" s="3">
        <v>45470</v>
      </c>
      <c r="B29" s="2" t="s">
        <v>90</v>
      </c>
      <c r="C29" s="2" t="s">
        <v>91</v>
      </c>
      <c r="E29" s="44"/>
      <c r="F29" s="41"/>
      <c r="G29" s="2"/>
    </row>
    <row r="30" spans="1:7" x14ac:dyDescent="0.35">
      <c r="A30" s="3">
        <v>45470</v>
      </c>
      <c r="B30" s="2" t="s">
        <v>92</v>
      </c>
      <c r="C30" s="2" t="s">
        <v>93</v>
      </c>
      <c r="E30" s="44"/>
      <c r="F30" s="41"/>
      <c r="G30" s="2"/>
    </row>
    <row r="31" spans="1:7" x14ac:dyDescent="0.35">
      <c r="A31" s="3">
        <v>45470</v>
      </c>
      <c r="B31" s="2" t="s">
        <v>94</v>
      </c>
      <c r="C31" s="2" t="s">
        <v>95</v>
      </c>
      <c r="E31" s="44"/>
      <c r="F31" s="41"/>
      <c r="G31" s="2"/>
    </row>
    <row r="32" spans="1:7" x14ac:dyDescent="0.35">
      <c r="A32" s="3">
        <v>45470</v>
      </c>
      <c r="B32" s="2" t="s">
        <v>96</v>
      </c>
      <c r="C32" s="2" t="s">
        <v>97</v>
      </c>
      <c r="E32" s="44"/>
      <c r="F32" s="41"/>
      <c r="G32" s="2"/>
    </row>
    <row r="33" spans="1:7" x14ac:dyDescent="0.35">
      <c r="A33" s="3">
        <v>45470</v>
      </c>
      <c r="B33" s="2" t="s">
        <v>98</v>
      </c>
      <c r="C33" s="2" t="s">
        <v>99</v>
      </c>
      <c r="E33" s="44"/>
      <c r="F33" s="41"/>
      <c r="G33" s="2"/>
    </row>
    <row r="34" spans="1:7" x14ac:dyDescent="0.35">
      <c r="A34" s="3">
        <v>45470</v>
      </c>
      <c r="B34" s="2" t="s">
        <v>28</v>
      </c>
      <c r="C34" s="2" t="s">
        <v>29</v>
      </c>
      <c r="E34" s="44"/>
      <c r="F34" s="41"/>
      <c r="G34" s="2"/>
    </row>
    <row r="35" spans="1:7" x14ac:dyDescent="0.35">
      <c r="A35" s="3">
        <v>45470</v>
      </c>
      <c r="B35" s="2" t="s">
        <v>100</v>
      </c>
      <c r="C35" s="2" t="s">
        <v>101</v>
      </c>
      <c r="E35" s="44"/>
      <c r="F35" s="41"/>
      <c r="G35" s="2"/>
    </row>
    <row r="36" spans="1:7" x14ac:dyDescent="0.35">
      <c r="A36" s="3">
        <v>45470</v>
      </c>
      <c r="B36" s="2" t="s">
        <v>102</v>
      </c>
      <c r="C36" s="2" t="s">
        <v>103</v>
      </c>
      <c r="E36" s="44"/>
      <c r="F36" s="41"/>
      <c r="G36" s="2"/>
    </row>
    <row r="37" spans="1:7" x14ac:dyDescent="0.35">
      <c r="A37" s="3">
        <v>45470</v>
      </c>
      <c r="B37" s="2" t="s">
        <v>30</v>
      </c>
      <c r="C37" s="2" t="s">
        <v>31</v>
      </c>
      <c r="E37" s="44"/>
      <c r="F37" s="41"/>
      <c r="G37" s="2"/>
    </row>
    <row r="38" spans="1:7" x14ac:dyDescent="0.35">
      <c r="A38" s="3">
        <v>45470</v>
      </c>
      <c r="B38" s="2" t="s">
        <v>104</v>
      </c>
      <c r="C38" s="2" t="s">
        <v>105</v>
      </c>
      <c r="E38" s="44"/>
      <c r="F38" s="41"/>
      <c r="G38" s="2"/>
    </row>
    <row r="39" spans="1:7" x14ac:dyDescent="0.35">
      <c r="A39" s="3">
        <v>45470</v>
      </c>
      <c r="B39" s="2" t="s">
        <v>106</v>
      </c>
      <c r="C39" s="2" t="s">
        <v>107</v>
      </c>
      <c r="E39" s="44"/>
      <c r="F39" s="41"/>
      <c r="G39" s="2"/>
    </row>
    <row r="40" spans="1:7" x14ac:dyDescent="0.35">
      <c r="A40" s="3">
        <v>45470</v>
      </c>
      <c r="B40" s="2" t="s">
        <v>108</v>
      </c>
      <c r="C40" s="2" t="s">
        <v>109</v>
      </c>
      <c r="E40" s="44"/>
      <c r="F40" s="41"/>
      <c r="G40" s="2"/>
    </row>
    <row r="41" spans="1:7" x14ac:dyDescent="0.35">
      <c r="A41" s="3">
        <v>45470</v>
      </c>
      <c r="B41" s="2" t="s">
        <v>110</v>
      </c>
      <c r="C41" s="2" t="s">
        <v>111</v>
      </c>
      <c r="E41" s="44"/>
      <c r="F41" s="41"/>
      <c r="G41" s="2"/>
    </row>
    <row r="42" spans="1:7" x14ac:dyDescent="0.35">
      <c r="A42" s="3">
        <v>45470</v>
      </c>
      <c r="B42" s="2" t="s">
        <v>112</v>
      </c>
      <c r="C42" s="2" t="s">
        <v>113</v>
      </c>
      <c r="E42" s="44"/>
      <c r="F42" s="41"/>
      <c r="G42" s="2"/>
    </row>
    <row r="43" spans="1:7" x14ac:dyDescent="0.35">
      <c r="A43" s="3">
        <v>45470</v>
      </c>
      <c r="B43" s="2" t="s">
        <v>114</v>
      </c>
      <c r="C43" s="2" t="s">
        <v>115</v>
      </c>
      <c r="E43" s="44"/>
      <c r="F43" s="41"/>
      <c r="G43" s="2"/>
    </row>
    <row r="44" spans="1:7" x14ac:dyDescent="0.35">
      <c r="A44" s="3">
        <v>45470</v>
      </c>
      <c r="B44" s="2" t="s">
        <v>32</v>
      </c>
      <c r="C44" s="2" t="s">
        <v>33</v>
      </c>
      <c r="E44" s="44"/>
      <c r="F44" s="41"/>
      <c r="G44" s="2"/>
    </row>
    <row r="45" spans="1:7" x14ac:dyDescent="0.35">
      <c r="A45" s="3">
        <v>45470</v>
      </c>
      <c r="B45" s="2" t="s">
        <v>116</v>
      </c>
      <c r="C45" s="2" t="s">
        <v>117</v>
      </c>
      <c r="E45" s="44"/>
      <c r="F45" s="41"/>
      <c r="G45" s="2"/>
    </row>
    <row r="46" spans="1:7" x14ac:dyDescent="0.35">
      <c r="A46" s="3">
        <v>45470</v>
      </c>
      <c r="B46" s="2" t="s">
        <v>118</v>
      </c>
      <c r="C46" s="2" t="s">
        <v>119</v>
      </c>
      <c r="E46" s="44"/>
      <c r="F46" s="41"/>
      <c r="G46" s="2"/>
    </row>
    <row r="47" spans="1:7" x14ac:dyDescent="0.35">
      <c r="A47" s="3">
        <v>45470</v>
      </c>
      <c r="B47" s="2" t="s">
        <v>34</v>
      </c>
      <c r="C47" s="2" t="s">
        <v>35</v>
      </c>
      <c r="E47" s="44"/>
      <c r="F47" s="41"/>
      <c r="G47" s="2"/>
    </row>
    <row r="48" spans="1:7" x14ac:dyDescent="0.35">
      <c r="A48" s="3">
        <v>45470</v>
      </c>
      <c r="B48" s="2" t="s">
        <v>120</v>
      </c>
      <c r="C48" s="2" t="s">
        <v>121</v>
      </c>
      <c r="E48" s="44"/>
      <c r="F48" s="41"/>
      <c r="G48" s="2"/>
    </row>
    <row r="49" spans="1:7" x14ac:dyDescent="0.35">
      <c r="A49" s="3">
        <v>45470</v>
      </c>
      <c r="B49" s="2" t="s">
        <v>122</v>
      </c>
      <c r="C49" s="2" t="s">
        <v>123</v>
      </c>
      <c r="E49" s="44"/>
      <c r="F49" s="41"/>
      <c r="G49" s="2"/>
    </row>
    <row r="50" spans="1:7" x14ac:dyDescent="0.35">
      <c r="A50" s="3">
        <v>45470</v>
      </c>
      <c r="B50" s="2" t="s">
        <v>124</v>
      </c>
      <c r="C50" s="2" t="s">
        <v>125</v>
      </c>
      <c r="E50" s="44"/>
      <c r="F50" s="41"/>
      <c r="G50" s="2"/>
    </row>
    <row r="51" spans="1:7" x14ac:dyDescent="0.35">
      <c r="A51" s="3">
        <v>45470</v>
      </c>
      <c r="B51" s="2" t="s">
        <v>126</v>
      </c>
      <c r="C51" s="2" t="s">
        <v>127</v>
      </c>
      <c r="E51" s="44"/>
      <c r="F51" s="41"/>
      <c r="G51" s="2"/>
    </row>
    <row r="52" spans="1:7" x14ac:dyDescent="0.35">
      <c r="A52" s="3">
        <v>45470</v>
      </c>
      <c r="B52" s="2" t="s">
        <v>128</v>
      </c>
      <c r="C52" s="2" t="s">
        <v>129</v>
      </c>
      <c r="E52" s="44"/>
      <c r="F52" s="41"/>
      <c r="G52" s="2"/>
    </row>
    <row r="53" spans="1:7" x14ac:dyDescent="0.35">
      <c r="A53" s="3">
        <v>45470</v>
      </c>
      <c r="B53" s="2" t="s">
        <v>130</v>
      </c>
      <c r="C53" s="2" t="s">
        <v>131</v>
      </c>
      <c r="E53" s="44"/>
      <c r="F53" s="41"/>
      <c r="G53" s="2"/>
    </row>
    <row r="54" spans="1:7" x14ac:dyDescent="0.35">
      <c r="A54" s="3">
        <v>45470</v>
      </c>
      <c r="B54" s="2" t="s">
        <v>36</v>
      </c>
      <c r="C54" s="2" t="s">
        <v>37</v>
      </c>
      <c r="E54" s="44"/>
      <c r="F54" s="41"/>
      <c r="G54" s="2"/>
    </row>
    <row r="55" spans="1:7" x14ac:dyDescent="0.35">
      <c r="A55" s="3">
        <v>45470</v>
      </c>
      <c r="B55" s="2" t="s">
        <v>132</v>
      </c>
      <c r="C55" s="2" t="s">
        <v>133</v>
      </c>
      <c r="E55" s="44"/>
      <c r="F55" s="41"/>
      <c r="G55" s="2"/>
    </row>
    <row r="56" spans="1:7" x14ac:dyDescent="0.35">
      <c r="A56" s="3">
        <v>45470</v>
      </c>
      <c r="B56" s="2" t="s">
        <v>38</v>
      </c>
      <c r="C56" s="2" t="s">
        <v>39</v>
      </c>
      <c r="E56" s="44"/>
      <c r="F56" s="41"/>
      <c r="G56" s="2"/>
    </row>
    <row r="57" spans="1:7" x14ac:dyDescent="0.35">
      <c r="A57" s="3">
        <v>45470</v>
      </c>
      <c r="B57" s="2" t="s">
        <v>134</v>
      </c>
      <c r="C57" s="2" t="s">
        <v>135</v>
      </c>
      <c r="E57" s="44"/>
      <c r="F57" s="41"/>
      <c r="G57" s="2"/>
    </row>
    <row r="58" spans="1:7" x14ac:dyDescent="0.35">
      <c r="A58" s="3">
        <v>45470</v>
      </c>
      <c r="B58" s="2" t="s">
        <v>136</v>
      </c>
      <c r="C58" s="2" t="s">
        <v>137</v>
      </c>
      <c r="E58" s="44"/>
      <c r="F58" s="41"/>
      <c r="G58" s="2"/>
    </row>
    <row r="59" spans="1:7" x14ac:dyDescent="0.35">
      <c r="A59" s="3">
        <v>45470</v>
      </c>
      <c r="B59" s="2" t="s">
        <v>138</v>
      </c>
      <c r="C59" s="2" t="s">
        <v>139</v>
      </c>
      <c r="E59" s="44"/>
      <c r="F59" s="41"/>
      <c r="G59" s="2"/>
    </row>
    <row r="60" spans="1:7" x14ac:dyDescent="0.35">
      <c r="A60" s="3">
        <v>45470</v>
      </c>
      <c r="B60" s="2" t="s">
        <v>140</v>
      </c>
      <c r="C60" s="2" t="s">
        <v>141</v>
      </c>
      <c r="E60" s="44"/>
      <c r="F60" s="41"/>
      <c r="G60" s="2"/>
    </row>
    <row r="61" spans="1:7" x14ac:dyDescent="0.35">
      <c r="A61" s="3">
        <v>45470</v>
      </c>
      <c r="B61" s="2" t="s">
        <v>142</v>
      </c>
      <c r="C61" s="2" t="s">
        <v>143</v>
      </c>
      <c r="E61" s="44"/>
      <c r="F61" s="41"/>
      <c r="G61" s="2"/>
    </row>
    <row r="62" spans="1:7" x14ac:dyDescent="0.35">
      <c r="A62" s="3">
        <v>45470</v>
      </c>
      <c r="B62" s="2" t="s">
        <v>144</v>
      </c>
      <c r="C62" s="2" t="s">
        <v>145</v>
      </c>
      <c r="E62" s="44"/>
      <c r="F62" s="41"/>
      <c r="G62" s="2"/>
    </row>
    <row r="63" spans="1:7" x14ac:dyDescent="0.35">
      <c r="A63" s="3">
        <v>45470</v>
      </c>
      <c r="B63" s="2" t="s">
        <v>146</v>
      </c>
      <c r="C63" s="2" t="s">
        <v>147</v>
      </c>
      <c r="E63" s="44"/>
      <c r="F63" s="41"/>
      <c r="G63" s="2"/>
    </row>
    <row r="64" spans="1:7" x14ac:dyDescent="0.35">
      <c r="A64" s="3">
        <v>45470</v>
      </c>
      <c r="B64" s="2" t="s">
        <v>148</v>
      </c>
      <c r="C64" s="2" t="s">
        <v>149</v>
      </c>
      <c r="E64" s="44"/>
      <c r="F64" s="41"/>
      <c r="G64" s="2"/>
    </row>
    <row r="65" spans="1:7" x14ac:dyDescent="0.35">
      <c r="A65" s="3">
        <v>45470</v>
      </c>
      <c r="B65" s="2" t="s">
        <v>150</v>
      </c>
      <c r="C65" s="2" t="s">
        <v>151</v>
      </c>
      <c r="E65" s="44"/>
      <c r="F65" s="41"/>
      <c r="G65" s="2"/>
    </row>
    <row r="66" spans="1:7" x14ac:dyDescent="0.35">
      <c r="A66" s="3">
        <v>45470</v>
      </c>
      <c r="B66" s="2" t="s">
        <v>152</v>
      </c>
      <c r="C66" s="2" t="s">
        <v>153</v>
      </c>
      <c r="E66" s="44"/>
      <c r="F66" s="41"/>
      <c r="G66" s="2"/>
    </row>
    <row r="67" spans="1:7" x14ac:dyDescent="0.35">
      <c r="A67" s="3">
        <v>45470</v>
      </c>
      <c r="B67" s="2" t="s">
        <v>154</v>
      </c>
      <c r="C67" s="2" t="s">
        <v>155</v>
      </c>
      <c r="E67" s="44"/>
      <c r="F67" s="41"/>
      <c r="G67" s="2"/>
    </row>
    <row r="68" spans="1:7" x14ac:dyDescent="0.35">
      <c r="A68" s="3">
        <v>45470</v>
      </c>
      <c r="B68" s="2" t="s">
        <v>40</v>
      </c>
      <c r="C68" s="2" t="s">
        <v>41</v>
      </c>
      <c r="E68" s="44"/>
      <c r="F68" s="41"/>
      <c r="G68" s="2"/>
    </row>
    <row r="69" spans="1:7" x14ac:dyDescent="0.35">
      <c r="A69" s="3">
        <v>45470</v>
      </c>
      <c r="B69" s="2" t="s">
        <v>156</v>
      </c>
      <c r="C69" s="2" t="s">
        <v>157</v>
      </c>
      <c r="E69" s="44"/>
      <c r="F69" s="41"/>
      <c r="G69" s="2"/>
    </row>
    <row r="70" spans="1:7" x14ac:dyDescent="0.35">
      <c r="A70" s="3">
        <v>45470</v>
      </c>
      <c r="B70" s="2" t="s">
        <v>158</v>
      </c>
      <c r="C70" s="2" t="s">
        <v>159</v>
      </c>
      <c r="E70" s="44"/>
      <c r="F70" s="41"/>
      <c r="G70" s="2"/>
    </row>
    <row r="71" spans="1:7" x14ac:dyDescent="0.35">
      <c r="A71" s="3">
        <v>45470</v>
      </c>
      <c r="B71" s="2" t="s">
        <v>160</v>
      </c>
      <c r="C71" s="2" t="s">
        <v>161</v>
      </c>
      <c r="E71" s="44"/>
      <c r="F71" s="41"/>
      <c r="G71" s="2"/>
    </row>
    <row r="72" spans="1:7" x14ac:dyDescent="0.35">
      <c r="A72" s="3">
        <v>45470</v>
      </c>
      <c r="B72" s="2" t="s">
        <v>162</v>
      </c>
      <c r="C72" s="2" t="s">
        <v>163</v>
      </c>
      <c r="E72" s="44"/>
      <c r="F72" s="41"/>
      <c r="G72" s="2"/>
    </row>
    <row r="73" spans="1:7" x14ac:dyDescent="0.35">
      <c r="A73" s="3">
        <v>45470</v>
      </c>
      <c r="B73" s="2" t="s">
        <v>164</v>
      </c>
      <c r="C73" s="2" t="s">
        <v>165</v>
      </c>
      <c r="E73" s="44"/>
      <c r="F73" s="41"/>
      <c r="G73" s="2"/>
    </row>
    <row r="74" spans="1:7" x14ac:dyDescent="0.35">
      <c r="A74" s="3">
        <v>45470</v>
      </c>
      <c r="B74" s="2" t="s">
        <v>166</v>
      </c>
      <c r="C74" s="2" t="s">
        <v>167</v>
      </c>
      <c r="E74" s="44"/>
      <c r="F74" s="41"/>
      <c r="G74" s="2"/>
    </row>
    <row r="75" spans="1:7" x14ac:dyDescent="0.35">
      <c r="A75" s="3">
        <v>45470</v>
      </c>
      <c r="B75" s="2" t="s">
        <v>168</v>
      </c>
      <c r="C75" s="2" t="s">
        <v>169</v>
      </c>
      <c r="E75" s="44"/>
      <c r="F75" s="41"/>
      <c r="G75" s="2"/>
    </row>
    <row r="76" spans="1:7" x14ac:dyDescent="0.35">
      <c r="A76" s="3">
        <v>45470</v>
      </c>
      <c r="B76" s="2" t="s">
        <v>42</v>
      </c>
      <c r="C76" s="2" t="s">
        <v>43</v>
      </c>
      <c r="E76" s="44"/>
      <c r="F76" s="41"/>
      <c r="G76" s="2"/>
    </row>
    <row r="77" spans="1:7" x14ac:dyDescent="0.35">
      <c r="A77" s="3">
        <v>45470</v>
      </c>
      <c r="B77" s="2" t="s">
        <v>170</v>
      </c>
      <c r="C77" s="2" t="s">
        <v>171</v>
      </c>
      <c r="E77" s="44"/>
      <c r="F77" s="41"/>
      <c r="G77" s="2"/>
    </row>
    <row r="78" spans="1:7" x14ac:dyDescent="0.35">
      <c r="A78" s="3">
        <v>45470</v>
      </c>
      <c r="B78" s="2" t="s">
        <v>172</v>
      </c>
      <c r="C78" s="2" t="s">
        <v>173</v>
      </c>
      <c r="E78" s="44"/>
      <c r="F78" s="41"/>
      <c r="G78" s="2"/>
    </row>
    <row r="79" spans="1:7" x14ac:dyDescent="0.35">
      <c r="A79" s="3">
        <v>45470</v>
      </c>
      <c r="B79" s="2" t="s">
        <v>174</v>
      </c>
      <c r="C79" s="2" t="s">
        <v>175</v>
      </c>
      <c r="E79" s="44"/>
      <c r="F79" s="41"/>
      <c r="G79" s="2"/>
    </row>
    <row r="80" spans="1:7" x14ac:dyDescent="0.35">
      <c r="A80" s="3">
        <v>45470</v>
      </c>
      <c r="B80" s="2" t="s">
        <v>176</v>
      </c>
      <c r="C80" s="2" t="s">
        <v>177</v>
      </c>
      <c r="E80" s="44"/>
      <c r="F80" s="41"/>
      <c r="G80" s="2"/>
    </row>
    <row r="81" spans="1:7" x14ac:dyDescent="0.35">
      <c r="A81" s="3">
        <v>45470</v>
      </c>
      <c r="B81" s="2" t="s">
        <v>178</v>
      </c>
      <c r="C81" s="2" t="s">
        <v>179</v>
      </c>
      <c r="E81" s="44"/>
      <c r="F81" s="41"/>
      <c r="G81" s="2"/>
    </row>
    <row r="82" spans="1:7" x14ac:dyDescent="0.35">
      <c r="A82" s="3">
        <v>45470</v>
      </c>
      <c r="B82" s="2" t="s">
        <v>180</v>
      </c>
      <c r="C82" s="2" t="s">
        <v>181</v>
      </c>
      <c r="E82" s="44"/>
      <c r="F82" s="41"/>
      <c r="G82" s="2"/>
    </row>
    <row r="83" spans="1:7" x14ac:dyDescent="0.35">
      <c r="A83" s="3">
        <v>45470</v>
      </c>
      <c r="B83" s="2" t="s">
        <v>44</v>
      </c>
      <c r="C83" s="2" t="s">
        <v>45</v>
      </c>
      <c r="E83" s="44"/>
      <c r="F83" s="41"/>
      <c r="G83" s="2"/>
    </row>
    <row r="84" spans="1:7" x14ac:dyDescent="0.35">
      <c r="A84" s="3">
        <v>45470</v>
      </c>
      <c r="B84" s="2" t="s">
        <v>182</v>
      </c>
      <c r="C84" s="2" t="s">
        <v>183</v>
      </c>
      <c r="E84" s="44"/>
      <c r="F84" s="41"/>
      <c r="G84" s="2"/>
    </row>
    <row r="85" spans="1:7" x14ac:dyDescent="0.35">
      <c r="A85" s="3">
        <v>45470</v>
      </c>
      <c r="B85" s="2" t="s">
        <v>184</v>
      </c>
      <c r="C85" s="2" t="s">
        <v>185</v>
      </c>
      <c r="E85" s="44"/>
      <c r="F85" s="41"/>
      <c r="G85" s="2"/>
    </row>
    <row r="86" spans="1:7" x14ac:dyDescent="0.35">
      <c r="A86" s="3">
        <v>45470</v>
      </c>
      <c r="B86" s="2" t="s">
        <v>186</v>
      </c>
      <c r="C86" s="2" t="s">
        <v>187</v>
      </c>
      <c r="E86" s="44"/>
      <c r="F86" s="41"/>
      <c r="G86" s="2"/>
    </row>
    <row r="87" spans="1:7" x14ac:dyDescent="0.35">
      <c r="A87" s="3">
        <v>45470</v>
      </c>
      <c r="B87" s="2" t="s">
        <v>188</v>
      </c>
      <c r="C87" s="2" t="s">
        <v>189</v>
      </c>
      <c r="E87" s="44"/>
      <c r="F87" s="41"/>
      <c r="G87" s="2"/>
    </row>
    <row r="88" spans="1:7" x14ac:dyDescent="0.35">
      <c r="A88" s="3">
        <v>45470</v>
      </c>
      <c r="B88" s="2" t="s">
        <v>190</v>
      </c>
      <c r="C88" s="2" t="s">
        <v>191</v>
      </c>
      <c r="E88" s="44"/>
      <c r="F88" s="41"/>
      <c r="G88" s="2"/>
    </row>
    <row r="89" spans="1:7" x14ac:dyDescent="0.35">
      <c r="A89" s="3">
        <v>45470</v>
      </c>
      <c r="B89" s="2" t="s">
        <v>192</v>
      </c>
      <c r="C89" s="2" t="s">
        <v>193</v>
      </c>
      <c r="E89" s="44"/>
      <c r="F89" s="41"/>
      <c r="G89" s="2"/>
    </row>
    <row r="90" spans="1:7" x14ac:dyDescent="0.35">
      <c r="A90" s="3">
        <v>45470</v>
      </c>
      <c r="B90" s="2" t="s">
        <v>194</v>
      </c>
      <c r="C90" s="2" t="s">
        <v>195</v>
      </c>
      <c r="E90" s="44"/>
      <c r="F90" s="41"/>
      <c r="G90" s="2"/>
    </row>
    <row r="91" spans="1:7" x14ac:dyDescent="0.35">
      <c r="A91" s="3">
        <v>45470</v>
      </c>
      <c r="B91" s="2" t="s">
        <v>196</v>
      </c>
      <c r="C91" s="2" t="s">
        <v>197</v>
      </c>
      <c r="E91" s="44"/>
      <c r="F91" s="41"/>
      <c r="G91" s="2"/>
    </row>
    <row r="92" spans="1:7" x14ac:dyDescent="0.35">
      <c r="A92" s="3">
        <v>45470</v>
      </c>
      <c r="B92" s="2" t="s">
        <v>198</v>
      </c>
      <c r="C92" s="2" t="s">
        <v>199</v>
      </c>
      <c r="E92" s="44"/>
      <c r="F92" s="41"/>
      <c r="G92" s="2"/>
    </row>
    <row r="93" spans="1:7" x14ac:dyDescent="0.35">
      <c r="A93" s="3">
        <v>45470</v>
      </c>
      <c r="B93" s="2" t="s">
        <v>200</v>
      </c>
      <c r="C93" s="2" t="s">
        <v>201</v>
      </c>
      <c r="E93" s="44"/>
      <c r="F93" s="41"/>
      <c r="G93" s="2"/>
    </row>
    <row r="94" spans="1:7" x14ac:dyDescent="0.35">
      <c r="A94" s="3">
        <v>45470</v>
      </c>
      <c r="B94" s="2" t="s">
        <v>202</v>
      </c>
      <c r="C94" s="2" t="s">
        <v>203</v>
      </c>
      <c r="E94" s="44"/>
      <c r="F94" s="41"/>
      <c r="G94" s="2"/>
    </row>
    <row r="95" spans="1:7" x14ac:dyDescent="0.35">
      <c r="A95" s="3">
        <v>45470</v>
      </c>
      <c r="B95" s="2" t="s">
        <v>204</v>
      </c>
      <c r="C95" s="2" t="s">
        <v>205</v>
      </c>
      <c r="E95" s="44"/>
      <c r="F95" s="41"/>
      <c r="G95" s="2"/>
    </row>
    <row r="96" spans="1:7" x14ac:dyDescent="0.35">
      <c r="A96" s="3">
        <v>45470</v>
      </c>
      <c r="B96" s="2" t="s">
        <v>206</v>
      </c>
      <c r="C96" s="2" t="s">
        <v>207</v>
      </c>
      <c r="E96" s="44"/>
      <c r="F96" s="41"/>
      <c r="G96" s="2"/>
    </row>
    <row r="97" spans="1:7" x14ac:dyDescent="0.35">
      <c r="A97" s="3">
        <v>45470</v>
      </c>
      <c r="B97" s="2" t="s">
        <v>208</v>
      </c>
      <c r="C97" s="2" t="s">
        <v>209</v>
      </c>
      <c r="E97" s="44"/>
      <c r="F97" s="41"/>
      <c r="G97" s="2"/>
    </row>
    <row r="98" spans="1:7" x14ac:dyDescent="0.35">
      <c r="A98" s="3">
        <v>45470</v>
      </c>
      <c r="B98" s="2" t="s">
        <v>210</v>
      </c>
      <c r="C98" s="2" t="s">
        <v>211</v>
      </c>
      <c r="E98" s="44"/>
      <c r="F98" s="41"/>
      <c r="G98" s="2"/>
    </row>
    <row r="99" spans="1:7" x14ac:dyDescent="0.35">
      <c r="A99" s="3">
        <v>45470</v>
      </c>
      <c r="B99" s="2" t="s">
        <v>212</v>
      </c>
      <c r="C99" s="2" t="s">
        <v>213</v>
      </c>
      <c r="E99" s="44"/>
      <c r="F99" s="41"/>
      <c r="G99" s="2"/>
    </row>
    <row r="100" spans="1:7" x14ac:dyDescent="0.35">
      <c r="A100" s="3">
        <v>45470</v>
      </c>
      <c r="B100" s="2" t="s">
        <v>214</v>
      </c>
      <c r="C100" s="2" t="s">
        <v>215</v>
      </c>
      <c r="E100" s="44"/>
      <c r="F100" s="41"/>
      <c r="G100" s="2"/>
    </row>
    <row r="101" spans="1:7" x14ac:dyDescent="0.35">
      <c r="A101" s="3">
        <v>45470</v>
      </c>
      <c r="B101" s="2" t="s">
        <v>216</v>
      </c>
      <c r="C101" s="2" t="s">
        <v>217</v>
      </c>
      <c r="E101" s="44"/>
      <c r="F101" s="41"/>
      <c r="G101" s="2"/>
    </row>
    <row r="102" spans="1:7" x14ac:dyDescent="0.35">
      <c r="A102" s="3">
        <v>45470</v>
      </c>
      <c r="B102" s="2" t="s">
        <v>218</v>
      </c>
      <c r="C102" s="2" t="s">
        <v>219</v>
      </c>
      <c r="E102" s="44"/>
      <c r="F102" s="41"/>
      <c r="G102" s="2"/>
    </row>
    <row r="103" spans="1:7" x14ac:dyDescent="0.35">
      <c r="A103" s="3">
        <v>45470</v>
      </c>
      <c r="B103" s="2" t="s">
        <v>220</v>
      </c>
      <c r="C103" s="2" t="s">
        <v>221</v>
      </c>
      <c r="E103" s="44"/>
      <c r="F103" s="41"/>
      <c r="G103" s="2"/>
    </row>
    <row r="104" spans="1:7" x14ac:dyDescent="0.35">
      <c r="A104" s="3">
        <v>45470</v>
      </c>
      <c r="B104" s="2" t="s">
        <v>222</v>
      </c>
      <c r="C104" s="2" t="s">
        <v>223</v>
      </c>
      <c r="E104" s="44"/>
      <c r="F104" s="41"/>
      <c r="G104" s="2"/>
    </row>
    <row r="105" spans="1:7" x14ac:dyDescent="0.35">
      <c r="A105" s="3">
        <v>45470</v>
      </c>
      <c r="B105" s="2" t="s">
        <v>224</v>
      </c>
      <c r="C105" s="2" t="s">
        <v>225</v>
      </c>
      <c r="E105" s="44"/>
      <c r="F105" s="41"/>
      <c r="G105" s="2"/>
    </row>
    <row r="106" spans="1:7" x14ac:dyDescent="0.35">
      <c r="A106" s="3">
        <v>45470</v>
      </c>
      <c r="B106" s="2" t="s">
        <v>226</v>
      </c>
      <c r="C106" s="2" t="s">
        <v>227</v>
      </c>
      <c r="E106" s="44"/>
      <c r="F106" s="41"/>
      <c r="G106" s="2"/>
    </row>
    <row r="107" spans="1:7" x14ac:dyDescent="0.35">
      <c r="A107" s="3">
        <v>45470</v>
      </c>
      <c r="B107" s="2" t="s">
        <v>228</v>
      </c>
      <c r="C107" s="2" t="s">
        <v>229</v>
      </c>
      <c r="E107" s="44"/>
      <c r="F107" s="41"/>
      <c r="G107" s="2"/>
    </row>
    <row r="108" spans="1:7" x14ac:dyDescent="0.35">
      <c r="A108" s="3">
        <v>45470</v>
      </c>
      <c r="B108" s="2" t="s">
        <v>230</v>
      </c>
      <c r="C108" s="2" t="s">
        <v>231</v>
      </c>
      <c r="E108" s="44"/>
      <c r="F108" s="41"/>
      <c r="G108" s="2"/>
    </row>
    <row r="109" spans="1:7" x14ac:dyDescent="0.35">
      <c r="A109" s="3">
        <v>45470</v>
      </c>
      <c r="B109" s="2" t="s">
        <v>232</v>
      </c>
      <c r="C109" s="2" t="s">
        <v>233</v>
      </c>
      <c r="E109" s="44"/>
      <c r="F109" s="41"/>
      <c r="G109" s="2"/>
    </row>
    <row r="110" spans="1:7" x14ac:dyDescent="0.35">
      <c r="A110" s="3">
        <v>45470</v>
      </c>
      <c r="B110" s="2" t="s">
        <v>46</v>
      </c>
      <c r="C110" s="2" t="s">
        <v>47</v>
      </c>
      <c r="E110" s="44"/>
      <c r="F110" s="41"/>
      <c r="G110" s="2"/>
    </row>
    <row r="111" spans="1:7" x14ac:dyDescent="0.35">
      <c r="A111" s="3">
        <v>45470</v>
      </c>
      <c r="B111" s="2" t="s">
        <v>234</v>
      </c>
      <c r="C111" s="2" t="s">
        <v>235</v>
      </c>
      <c r="E111" s="44"/>
      <c r="F111" s="41"/>
      <c r="G111" s="2"/>
    </row>
    <row r="112" spans="1:7" x14ac:dyDescent="0.35">
      <c r="A112" s="3">
        <v>45470</v>
      </c>
      <c r="B112" s="2" t="s">
        <v>236</v>
      </c>
      <c r="C112" s="2" t="s">
        <v>237</v>
      </c>
      <c r="E112" s="44"/>
      <c r="F112" s="41"/>
      <c r="G112" s="2"/>
    </row>
    <row r="113" spans="1:7" x14ac:dyDescent="0.35">
      <c r="A113" s="3">
        <v>45470</v>
      </c>
      <c r="B113" s="2" t="s">
        <v>238</v>
      </c>
      <c r="C113" s="2" t="s">
        <v>239</v>
      </c>
      <c r="E113" s="44"/>
      <c r="F113" s="41"/>
      <c r="G113" s="2"/>
    </row>
    <row r="114" spans="1:7" x14ac:dyDescent="0.35">
      <c r="A114" s="3">
        <v>45470</v>
      </c>
      <c r="B114" s="2" t="s">
        <v>240</v>
      </c>
      <c r="C114" s="2" t="s">
        <v>241</v>
      </c>
      <c r="E114" s="44"/>
      <c r="F114" s="41"/>
      <c r="G114" s="2"/>
    </row>
    <row r="115" spans="1:7" x14ac:dyDescent="0.35">
      <c r="A115" s="3">
        <v>45470</v>
      </c>
      <c r="B115" s="2" t="s">
        <v>242</v>
      </c>
      <c r="C115" s="2" t="s">
        <v>243</v>
      </c>
      <c r="E115" s="44"/>
      <c r="F115" s="41"/>
      <c r="G115" s="2"/>
    </row>
    <row r="116" spans="1:7" x14ac:dyDescent="0.35">
      <c r="A116" s="3">
        <v>45470</v>
      </c>
      <c r="B116" s="2" t="s">
        <v>244</v>
      </c>
      <c r="C116" s="2" t="s">
        <v>245</v>
      </c>
      <c r="E116" s="44"/>
      <c r="F116" s="41"/>
      <c r="G116" s="2"/>
    </row>
    <row r="117" spans="1:7" x14ac:dyDescent="0.35">
      <c r="A117" s="3">
        <v>45470</v>
      </c>
      <c r="B117" s="2" t="s">
        <v>246</v>
      </c>
      <c r="C117" s="2" t="s">
        <v>247</v>
      </c>
      <c r="E117" s="44"/>
      <c r="F117" s="41"/>
      <c r="G117" s="2"/>
    </row>
    <row r="118" spans="1:7" x14ac:dyDescent="0.35">
      <c r="A118" s="3">
        <v>45470</v>
      </c>
      <c r="B118" s="2" t="s">
        <v>248</v>
      </c>
      <c r="C118" s="2" t="s">
        <v>249</v>
      </c>
      <c r="E118" s="44"/>
      <c r="F118" s="41"/>
      <c r="G118" s="2"/>
    </row>
    <row r="119" spans="1:7" x14ac:dyDescent="0.35">
      <c r="A119" s="3">
        <v>45470</v>
      </c>
      <c r="B119" s="2" t="s">
        <v>250</v>
      </c>
      <c r="C119" s="2" t="s">
        <v>251</v>
      </c>
      <c r="E119" s="44"/>
      <c r="F119" s="41"/>
      <c r="G119" s="2"/>
    </row>
    <row r="120" spans="1:7" x14ac:dyDescent="0.35">
      <c r="A120" s="3">
        <v>45470</v>
      </c>
      <c r="B120" s="2" t="s">
        <v>252</v>
      </c>
      <c r="C120" s="2" t="s">
        <v>253</v>
      </c>
      <c r="E120" s="44"/>
      <c r="F120" s="41"/>
      <c r="G120" s="2"/>
    </row>
    <row r="121" spans="1:7" x14ac:dyDescent="0.35">
      <c r="A121" s="3">
        <v>45470</v>
      </c>
      <c r="B121" s="2" t="s">
        <v>48</v>
      </c>
      <c r="C121" s="2" t="s">
        <v>49</v>
      </c>
      <c r="E121" s="44"/>
      <c r="F121" s="41"/>
      <c r="G121" s="2"/>
    </row>
    <row r="122" spans="1:7" x14ac:dyDescent="0.35">
      <c r="A122" s="3">
        <v>45470</v>
      </c>
      <c r="B122" s="2" t="s">
        <v>254</v>
      </c>
      <c r="C122" s="2" t="s">
        <v>255</v>
      </c>
      <c r="E122" s="44"/>
      <c r="F122" s="41"/>
      <c r="G122" s="2"/>
    </row>
    <row r="123" spans="1:7" x14ac:dyDescent="0.35">
      <c r="A123" s="3">
        <v>45470</v>
      </c>
      <c r="B123" s="2" t="s">
        <v>256</v>
      </c>
      <c r="C123" s="2" t="s">
        <v>257</v>
      </c>
      <c r="E123" s="44"/>
      <c r="F123" s="41"/>
      <c r="G123" s="2"/>
    </row>
    <row r="124" spans="1:7" x14ac:dyDescent="0.35">
      <c r="A124" s="3">
        <v>45470</v>
      </c>
      <c r="B124" s="2" t="s">
        <v>258</v>
      </c>
      <c r="C124" s="2" t="s">
        <v>259</v>
      </c>
      <c r="E124" s="44"/>
      <c r="F124" s="41"/>
      <c r="G124" s="2"/>
    </row>
    <row r="125" spans="1:7" x14ac:dyDescent="0.35">
      <c r="A125" s="3">
        <v>45470</v>
      </c>
      <c r="B125" s="2" t="s">
        <v>260</v>
      </c>
      <c r="C125" s="2" t="s">
        <v>261</v>
      </c>
      <c r="E125" s="44"/>
      <c r="F125" s="41"/>
      <c r="G125" s="2"/>
    </row>
    <row r="126" spans="1:7" x14ac:dyDescent="0.35">
      <c r="A126" s="3">
        <v>45470</v>
      </c>
      <c r="B126" s="2" t="s">
        <v>262</v>
      </c>
      <c r="C126" s="2" t="s">
        <v>263</v>
      </c>
      <c r="E126" s="44"/>
      <c r="F126" s="41"/>
      <c r="G126" s="2"/>
    </row>
    <row r="127" spans="1:7" x14ac:dyDescent="0.35">
      <c r="A127" s="3">
        <v>45470</v>
      </c>
      <c r="B127" s="2" t="s">
        <v>264</v>
      </c>
      <c r="C127" s="2" t="s">
        <v>265</v>
      </c>
      <c r="E127" s="44"/>
      <c r="F127" s="41"/>
      <c r="G127" s="2"/>
    </row>
    <row r="128" spans="1:7" x14ac:dyDescent="0.35">
      <c r="A128" s="3">
        <v>45470</v>
      </c>
      <c r="B128" s="2" t="s">
        <v>266</v>
      </c>
      <c r="C128" s="2" t="s">
        <v>267</v>
      </c>
      <c r="E128" s="44"/>
      <c r="F128" s="41"/>
      <c r="G128" s="2"/>
    </row>
    <row r="129" spans="1:7" x14ac:dyDescent="0.35">
      <c r="A129" s="3">
        <v>45470</v>
      </c>
      <c r="B129" s="2" t="s">
        <v>268</v>
      </c>
      <c r="C129" s="2" t="s">
        <v>269</v>
      </c>
      <c r="E129" s="44"/>
      <c r="F129" s="41"/>
      <c r="G129" s="2"/>
    </row>
    <row r="130" spans="1:7" x14ac:dyDescent="0.35">
      <c r="A130" s="3">
        <v>45470</v>
      </c>
      <c r="B130" s="2" t="s">
        <v>270</v>
      </c>
      <c r="C130" s="2" t="s">
        <v>271</v>
      </c>
      <c r="E130" s="44"/>
      <c r="F130" s="41"/>
      <c r="G130" s="2"/>
    </row>
    <row r="131" spans="1:7" x14ac:dyDescent="0.35">
      <c r="A131" s="3">
        <v>45470</v>
      </c>
      <c r="B131" s="2" t="s">
        <v>272</v>
      </c>
      <c r="C131" s="2" t="s">
        <v>273</v>
      </c>
      <c r="E131" s="44"/>
      <c r="F131" s="41"/>
      <c r="G131" s="2"/>
    </row>
    <row r="132" spans="1:7" x14ac:dyDescent="0.35">
      <c r="A132" s="3">
        <v>45470</v>
      </c>
      <c r="B132" s="2" t="s">
        <v>274</v>
      </c>
      <c r="C132" s="2" t="s">
        <v>275</v>
      </c>
      <c r="E132" s="44"/>
      <c r="F132" s="41"/>
      <c r="G132" s="2"/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F6:F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全球市场指数表现</vt:lpstr>
      <vt:lpstr>指数列表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 YongQiang</dc:creator>
  <cp:lastModifiedBy>Cui YongQiang</cp:lastModifiedBy>
  <dcterms:created xsi:type="dcterms:W3CDTF">2024-04-30T07:15:07Z</dcterms:created>
  <dcterms:modified xsi:type="dcterms:W3CDTF">2024-06-28T09:27:18Z</dcterms:modified>
</cp:coreProperties>
</file>