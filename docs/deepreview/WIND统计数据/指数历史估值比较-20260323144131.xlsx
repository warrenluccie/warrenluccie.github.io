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8700"/>
  </bookViews>
  <sheets>
    <sheet name="指数历史估值比较" sheetId="1" r:id="rId1"/>
    <sheet name="Wind模板" sheetId="3" state="veryHidden" r:id="rId2"/>
    <sheet name="Data" sheetId="2" state="hidden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1" l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B8" i="1" l="1"/>
  <c r="D94" i="1"/>
  <c r="D95" i="1"/>
  <c r="D96" i="1"/>
  <c r="D97" i="1"/>
  <c r="J97" i="1"/>
  <c r="D98" i="1"/>
  <c r="D99" i="1"/>
  <c r="D100" i="1"/>
  <c r="D101" i="1"/>
  <c r="J101" i="1"/>
  <c r="D102" i="1"/>
  <c r="D84" i="1"/>
  <c r="D85" i="1"/>
  <c r="D86" i="1"/>
  <c r="D87" i="1"/>
  <c r="D88" i="1"/>
  <c r="D89" i="1"/>
  <c r="D90" i="1"/>
  <c r="D91" i="1"/>
  <c r="D92" i="1"/>
  <c r="D93" i="1"/>
  <c r="D81" i="1"/>
  <c r="D82" i="1"/>
  <c r="D83" i="1"/>
  <c r="D77" i="1"/>
  <c r="D78" i="1"/>
  <c r="D79" i="1"/>
  <c r="D80" i="1"/>
  <c r="D70" i="1"/>
  <c r="D71" i="1"/>
  <c r="D72" i="1"/>
  <c r="D73" i="1"/>
  <c r="D74" i="1"/>
  <c r="D75" i="1"/>
  <c r="D76" i="1"/>
  <c r="D4" i="1"/>
  <c r="J94" i="1" l="1"/>
  <c r="J102" i="1"/>
  <c r="J98" i="1"/>
  <c r="J100" i="1"/>
  <c r="J96" i="1"/>
  <c r="J95" i="1"/>
  <c r="J99" i="1"/>
  <c r="J93" i="1"/>
  <c r="J89" i="1"/>
  <c r="J85" i="1"/>
  <c r="J91" i="1"/>
  <c r="J87" i="1"/>
  <c r="J86" i="1"/>
  <c r="J90" i="1"/>
  <c r="J92" i="1"/>
  <c r="J88" i="1"/>
  <c r="J84" i="1"/>
  <c r="J83" i="1"/>
  <c r="J71" i="1"/>
  <c r="J79" i="1"/>
  <c r="J75" i="1"/>
  <c r="J73" i="1"/>
  <c r="J78" i="1"/>
  <c r="J81" i="1"/>
  <c r="J74" i="1"/>
  <c r="J70" i="1"/>
  <c r="J77" i="1"/>
  <c r="J80" i="1"/>
  <c r="J76" i="1"/>
  <c r="J82" i="1"/>
  <c r="J72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4" i="1"/>
  <c r="J33" i="1"/>
  <c r="H2" i="2"/>
  <c r="B2" i="2"/>
  <c r="B5" i="2"/>
  <c r="H5" i="2"/>
  <c r="H4" i="1"/>
  <c r="H1" i="2"/>
  <c r="B1" i="2"/>
  <c r="H34" i="1" l="1"/>
  <c r="F34" i="1"/>
  <c r="H33" i="1"/>
  <c r="F33" i="1"/>
  <c r="J64" i="1"/>
  <c r="J52" i="1"/>
  <c r="J40" i="1"/>
  <c r="J58" i="1"/>
  <c r="J46" i="1"/>
  <c r="J65" i="1"/>
  <c r="J53" i="1"/>
  <c r="J41" i="1"/>
  <c r="J62" i="1"/>
  <c r="J50" i="1"/>
  <c r="J38" i="1"/>
  <c r="J59" i="1"/>
  <c r="J47" i="1"/>
  <c r="J35" i="1"/>
  <c r="J68" i="1"/>
  <c r="J56" i="1"/>
  <c r="J44" i="1"/>
  <c r="J67" i="1"/>
  <c r="J55" i="1"/>
  <c r="J43" i="1"/>
  <c r="J66" i="1"/>
  <c r="J54" i="1"/>
  <c r="J42" i="1"/>
  <c r="J63" i="1"/>
  <c r="J51" i="1"/>
  <c r="J39" i="1"/>
  <c r="J61" i="1"/>
  <c r="J49" i="1"/>
  <c r="J37" i="1"/>
  <c r="J60" i="1"/>
  <c r="J48" i="1"/>
  <c r="J36" i="1"/>
  <c r="J69" i="1"/>
  <c r="J57" i="1"/>
  <c r="J45" i="1"/>
  <c r="J34" i="1" l="1"/>
</calcChain>
</file>

<file path=xl/comments1.xml><?xml version="1.0" encoding="utf-8"?>
<comments xmlns="http://schemas.openxmlformats.org/spreadsheetml/2006/main">
  <authors>
    <author>作者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H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<sst xmlns="http://schemas.openxmlformats.org/spreadsheetml/2006/main" count="38" uniqueCount="28">
  <si>
    <t>日期</t>
  </si>
  <si>
    <t>Date</t>
  </si>
  <si>
    <t>市盈率PE(TTM)</t>
  </si>
  <si>
    <t>市销率PS(TTM)</t>
  </si>
  <si>
    <t>股息率(近12个月)</t>
  </si>
  <si>
    <t>pe_ttm</t>
  </si>
  <si>
    <t>ps_ttm</t>
  </si>
  <si>
    <t>dividendyield2</t>
  </si>
  <si>
    <t>市净率PB(LF,内地)</t>
  </si>
  <si>
    <t>pb_lf</t>
  </si>
  <si>
    <t>指数代码</t>
    <phoneticPr fontId="10" type="noConversion"/>
  </si>
  <si>
    <t>指数简称</t>
    <phoneticPr fontId="2" type="noConversion"/>
  </si>
  <si>
    <t>绝对差额</t>
  </si>
  <si>
    <t>绝对差额</t>
    <phoneticPr fontId="2" type="noConversion"/>
  </si>
  <si>
    <t>差异比较方式</t>
    <phoneticPr fontId="2" type="noConversion"/>
  </si>
  <si>
    <t>市盈率PE</t>
    <phoneticPr fontId="2" type="noConversion"/>
  </si>
  <si>
    <t>市净率PB</t>
    <phoneticPr fontId="2" type="noConversion"/>
  </si>
  <si>
    <t>市销率PS</t>
    <phoneticPr fontId="2" type="noConversion"/>
  </si>
  <si>
    <t>股息率(近12个月)</t>
    <phoneticPr fontId="2" type="noConversion"/>
  </si>
  <si>
    <t>881001.WI</t>
    <phoneticPr fontId="2" type="noConversion"/>
  </si>
  <si>
    <t>对比指数</t>
    <phoneticPr fontId="10" type="noConversion"/>
  </si>
  <si>
    <t>对比指数简称</t>
    <phoneticPr fontId="2" type="noConversion"/>
  </si>
  <si>
    <t>指数指标</t>
    <phoneticPr fontId="10" type="noConversion"/>
  </si>
  <si>
    <t>市盈率PE</t>
  </si>
  <si>
    <t>882004.WI</t>
    <phoneticPr fontId="2" type="noConversion"/>
  </si>
  <si>
    <t>指数历史估值比较</t>
    <phoneticPr fontId="7" type="noConversion"/>
  </si>
  <si>
    <t>比值</t>
    <phoneticPr fontId="2" type="noConversion"/>
  </si>
  <si>
    <t>指数历史估值比较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</si>
</sst>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yyyy\-mm\-dd"/>
    <numFmt numFmtId="177" formatCode="0.0000"/>
    <numFmt numFmtId="178" formatCode="0.00_);[Red]\(0.00\)"/>
  </numFmts>
  <fonts count="22" x14ac:knownFonts="1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等线"/>
      <family val="2"/>
      <scheme val="minor"/>
    </font>
    <font>
      <b/>
      <sz val="15"/>
      <color theme="3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theme="0" tint="-0.49998474074526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Arial"/>
      <family val="2"/>
    </font>
    <font>
      <sz val="9"/>
      <color theme="1"/>
      <name val="等线"/>
      <family val="3"/>
      <charset val="134"/>
      <scheme val="minor"/>
    </font>
    <font>
      <b/>
      <sz val="12"/>
      <name val="微软雅黑"/>
      <family val="2"/>
      <charset val="134"/>
    </font>
    <font>
      <sz val="11"/>
      <color theme="1"/>
      <name val="Arial"/>
      <family val="2"/>
    </font>
    <font>
      <b/>
      <sz val="12"/>
      <name val="Arial"/>
      <family val="2"/>
    </font>
    <font>
      <sz val="11"/>
      <color theme="0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0"/>
      <color theme="1"/>
      <name val="Arial"/>
      <family val="2"/>
    </font>
    <font>
      <b/>
      <sz val="10"/>
      <name val="微软雅黑"/>
      <family val="2"/>
      <charset val="134"/>
    </font>
    <font>
      <sz val="12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</cellStyleXfs>
  <cellXfs count="41">
    <xf numFmtId="0" fontId="0" fillId="0" borderId="0" xfId="0"/>
    <xf numFmtId="0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2" borderId="0" xfId="0" applyFill="1" applyAlignment="1"/>
    <xf numFmtId="0" fontId="8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4" borderId="0" xfId="0" applyFill="1" applyAlignment="1"/>
    <xf numFmtId="14" fontId="5" fillId="3" borderId="1" xfId="2" applyNumberFormat="1" applyFont="1" applyFill="1">
      <alignment vertical="center"/>
    </xf>
    <xf numFmtId="0" fontId="1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4" fillId="4" borderId="0" xfId="0" applyFont="1" applyFill="1" applyAlignment="1"/>
    <xf numFmtId="0" fontId="15" fillId="3" borderId="2" xfId="0" applyFont="1" applyFill="1" applyBorder="1" applyAlignment="1">
      <alignment vertical="top"/>
    </xf>
    <xf numFmtId="0" fontId="16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49" fontId="11" fillId="5" borderId="0" xfId="0" applyNumberFormat="1" applyFont="1" applyFill="1" applyAlignment="1">
      <alignment horizontal="right" vertical="center"/>
    </xf>
    <xf numFmtId="176" fontId="18" fillId="2" borderId="0" xfId="0" applyNumberFormat="1" applyFont="1" applyFill="1" applyAlignment="1">
      <alignment horizontal="right" vertical="center"/>
    </xf>
    <xf numFmtId="0" fontId="17" fillId="6" borderId="0" xfId="0" applyFont="1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right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49" fontId="11" fillId="5" borderId="0" xfId="0" applyNumberFormat="1" applyFont="1" applyFill="1" applyAlignment="1">
      <alignment horizontal="right" vertical="center" indent="1"/>
    </xf>
    <xf numFmtId="49" fontId="1" fillId="5" borderId="0" xfId="0" applyNumberFormat="1" applyFont="1" applyFill="1" applyAlignment="1">
      <alignment horizontal="right" vertical="center" indent="1"/>
    </xf>
    <xf numFmtId="176" fontId="13" fillId="3" borderId="2" xfId="0" applyNumberFormat="1" applyFont="1" applyFill="1" applyBorder="1" applyAlignment="1">
      <alignment vertical="top"/>
    </xf>
    <xf numFmtId="0" fontId="0" fillId="0" borderId="0" xfId="0" applyNumberFormat="1" applyAlignment="1">
      <alignment horizontal="left"/>
    </xf>
    <xf numFmtId="14" fontId="19" fillId="3" borderId="0" xfId="0" applyNumberFormat="1" applyFont="1" applyFill="1" applyBorder="1" applyAlignment="1">
      <alignment horizontal="right" vertical="center"/>
    </xf>
    <xf numFmtId="14" fontId="19" fillId="6" borderId="0" xfId="0" applyNumberFormat="1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right" vertical="top"/>
    </xf>
    <xf numFmtId="176" fontId="20" fillId="3" borderId="2" xfId="0" applyNumberFormat="1" applyFont="1" applyFill="1" applyBorder="1" applyAlignment="1">
      <alignment horizontal="right" vertical="top"/>
    </xf>
    <xf numFmtId="14" fontId="19" fillId="3" borderId="0" xfId="0" applyNumberFormat="1" applyFont="1" applyFill="1" applyBorder="1" applyAlignment="1">
      <alignment horizontal="center" vertical="center"/>
    </xf>
    <xf numFmtId="14" fontId="19" fillId="6" borderId="0" xfId="0" applyNumberFormat="1" applyFont="1" applyFill="1" applyBorder="1" applyAlignment="1">
      <alignment horizontal="center" vertical="center"/>
    </xf>
    <xf numFmtId="178" fontId="19" fillId="3" borderId="0" xfId="1" applyNumberFormat="1" applyFont="1" applyFill="1" applyBorder="1" applyAlignment="1">
      <alignment horizontal="right" vertical="center"/>
    </xf>
    <xf numFmtId="178" fontId="19" fillId="3" borderId="0" xfId="1" applyNumberFormat="1" applyFont="1" applyFill="1" applyBorder="1" applyAlignment="1">
      <alignment horizontal="left" vertical="center"/>
    </xf>
    <xf numFmtId="178" fontId="19" fillId="6" borderId="0" xfId="1" applyNumberFormat="1" applyFont="1" applyFill="1" applyBorder="1" applyAlignment="1">
      <alignment horizontal="right" vertical="center"/>
    </xf>
    <xf numFmtId="178" fontId="19" fillId="6" borderId="0" xfId="1" applyNumberFormat="1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176" fontId="13" fillId="3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3">
    <cellStyle name="标题 1" xfId="2" builtinId="16"/>
    <cellStyle name="常规" xfId="0" builtinId="0"/>
    <cellStyle name="千位分隔" xfId="1" builtinId="3"/>
  </cellStyles>
  <dxfs count="0"/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指数历史估值比较!$J$33</c:f>
              <c:strCache>
                <c:ptCount val="1"/>
                <c:pt idx="0">
                  <c:v>绝对差额</c:v>
                </c:pt>
              </c:strCache>
            </c:strRef>
          </c:tx>
          <c:spPr>
            <a:solidFill>
              <a:schemeClr val="bg2">
                <a:alpha val="64000"/>
              </a:schemeClr>
            </a:solidFill>
            <a:ln>
              <a:noFill/>
            </a:ln>
            <a:effectLst/>
          </c:spPr>
          <c:cat>
            <c:numRef>
              <c:f>指数历史估值比较!$D$34:$D$102</c:f>
              <c:numCache>
                <c:formatCode>m/d/yyyy</c:formatCode>
                <c:ptCount val="69"/>
                <c:pt idx="0">
                  <c:v>45382</c:v>
                </c:pt>
                <c:pt idx="1">
                  <c:v>45291</c:v>
                </c:pt>
                <c:pt idx="2">
                  <c:v>45199</c:v>
                </c:pt>
                <c:pt idx="3">
                  <c:v>45107</c:v>
                </c:pt>
                <c:pt idx="4">
                  <c:v>45016</c:v>
                </c:pt>
                <c:pt idx="5">
                  <c:v>44926</c:v>
                </c:pt>
                <c:pt idx="6">
                  <c:v>44834</c:v>
                </c:pt>
                <c:pt idx="7">
                  <c:v>44742</c:v>
                </c:pt>
                <c:pt idx="8">
                  <c:v>44651</c:v>
                </c:pt>
                <c:pt idx="9">
                  <c:v>44561</c:v>
                </c:pt>
                <c:pt idx="10">
                  <c:v>44469</c:v>
                </c:pt>
                <c:pt idx="11">
                  <c:v>44377</c:v>
                </c:pt>
                <c:pt idx="12">
                  <c:v>44286</c:v>
                </c:pt>
                <c:pt idx="13">
                  <c:v>44196</c:v>
                </c:pt>
                <c:pt idx="14">
                  <c:v>44104</c:v>
                </c:pt>
                <c:pt idx="15">
                  <c:v>44012</c:v>
                </c:pt>
                <c:pt idx="16">
                  <c:v>43921</c:v>
                </c:pt>
                <c:pt idx="17">
                  <c:v>43830</c:v>
                </c:pt>
                <c:pt idx="18">
                  <c:v>43738</c:v>
                </c:pt>
                <c:pt idx="19">
                  <c:v>43646</c:v>
                </c:pt>
                <c:pt idx="20">
                  <c:v>43555</c:v>
                </c:pt>
                <c:pt idx="21">
                  <c:v>43465</c:v>
                </c:pt>
                <c:pt idx="22">
                  <c:v>43373</c:v>
                </c:pt>
                <c:pt idx="23">
                  <c:v>43281</c:v>
                </c:pt>
                <c:pt idx="24">
                  <c:v>43190</c:v>
                </c:pt>
                <c:pt idx="25">
                  <c:v>43100</c:v>
                </c:pt>
                <c:pt idx="26">
                  <c:v>43008</c:v>
                </c:pt>
                <c:pt idx="27">
                  <c:v>42916</c:v>
                </c:pt>
                <c:pt idx="28">
                  <c:v>42825</c:v>
                </c:pt>
                <c:pt idx="29">
                  <c:v>42735</c:v>
                </c:pt>
                <c:pt idx="30">
                  <c:v>42643</c:v>
                </c:pt>
                <c:pt idx="31">
                  <c:v>42551</c:v>
                </c:pt>
                <c:pt idx="32">
                  <c:v>42460</c:v>
                </c:pt>
                <c:pt idx="33">
                  <c:v>42369</c:v>
                </c:pt>
                <c:pt idx="34">
                  <c:v>42277</c:v>
                </c:pt>
                <c:pt idx="35">
                  <c:v>42185</c:v>
                </c:pt>
                <c:pt idx="36">
                  <c:v>42094</c:v>
                </c:pt>
                <c:pt idx="37">
                  <c:v>42004</c:v>
                </c:pt>
                <c:pt idx="38">
                  <c:v>41912</c:v>
                </c:pt>
                <c:pt idx="39">
                  <c:v>41820</c:v>
                </c:pt>
                <c:pt idx="40">
                  <c:v>41729</c:v>
                </c:pt>
                <c:pt idx="41">
                  <c:v>41639</c:v>
                </c:pt>
                <c:pt idx="42">
                  <c:v>41547</c:v>
                </c:pt>
                <c:pt idx="43">
                  <c:v>41455</c:v>
                </c:pt>
                <c:pt idx="44">
                  <c:v>41364</c:v>
                </c:pt>
                <c:pt idx="45">
                  <c:v>41274</c:v>
                </c:pt>
                <c:pt idx="46">
                  <c:v>41182</c:v>
                </c:pt>
                <c:pt idx="47">
                  <c:v>41090</c:v>
                </c:pt>
                <c:pt idx="48">
                  <c:v>40999</c:v>
                </c:pt>
                <c:pt idx="49">
                  <c:v>40908</c:v>
                </c:pt>
                <c:pt idx="50">
                  <c:v>40816</c:v>
                </c:pt>
                <c:pt idx="51">
                  <c:v>40724</c:v>
                </c:pt>
                <c:pt idx="52">
                  <c:v>40633</c:v>
                </c:pt>
                <c:pt idx="53">
                  <c:v>40543</c:v>
                </c:pt>
                <c:pt idx="54">
                  <c:v>40451</c:v>
                </c:pt>
                <c:pt idx="55">
                  <c:v>40359</c:v>
                </c:pt>
                <c:pt idx="56">
                  <c:v>40268</c:v>
                </c:pt>
                <c:pt idx="57">
                  <c:v>40178</c:v>
                </c:pt>
                <c:pt idx="58">
                  <c:v>40086</c:v>
                </c:pt>
                <c:pt idx="59">
                  <c:v>39994</c:v>
                </c:pt>
                <c:pt idx="60">
                  <c:v>39903</c:v>
                </c:pt>
                <c:pt idx="61">
                  <c:v>39813</c:v>
                </c:pt>
                <c:pt idx="62">
                  <c:v>39721</c:v>
                </c:pt>
                <c:pt idx="63">
                  <c:v>39629</c:v>
                </c:pt>
                <c:pt idx="64">
                  <c:v>39538</c:v>
                </c:pt>
                <c:pt idx="65">
                  <c:v>39447</c:v>
                </c:pt>
                <c:pt idx="66">
                  <c:v>39355</c:v>
                </c:pt>
                <c:pt idx="67">
                  <c:v>39263</c:v>
                </c:pt>
                <c:pt idx="68">
                  <c:v>39172</c:v>
                </c:pt>
              </c:numCache>
            </c:numRef>
          </c:cat>
          <c:val>
            <c:numRef>
              <c:f>指数历史估值比较!$J$34:$J$102</c:f>
              <c:numCache>
                <c:formatCode>0.00_);[Red]\(0.00\)</c:formatCode>
                <c:ptCount val="69"/>
                <c:pt idx="0">
                  <c:v>10.642898559570313</c:v>
                </c:pt>
                <c:pt idx="1">
                  <c:v>12.885900497436523</c:v>
                </c:pt>
                <c:pt idx="2">
                  <c:v>15.406600952148438</c:v>
                </c:pt>
                <c:pt idx="3">
                  <c:v>19.956699371337891</c:v>
                </c:pt>
                <c:pt idx="4">
                  <c:v>23.506101608276367</c:v>
                </c:pt>
                <c:pt idx="5">
                  <c:v>24.433401107788086</c:v>
                </c:pt>
                <c:pt idx="6">
                  <c:v>24.820400238037109</c:v>
                </c:pt>
                <c:pt idx="7">
                  <c:v>26.990999221801758</c:v>
                </c:pt>
                <c:pt idx="8">
                  <c:v>16.643398284912109</c:v>
                </c:pt>
                <c:pt idx="9">
                  <c:v>20.69580078125</c:v>
                </c:pt>
                <c:pt idx="10">
                  <c:v>14.824600219726563</c:v>
                </c:pt>
                <c:pt idx="11">
                  <c:v>17.84269905090332</c:v>
                </c:pt>
                <c:pt idx="12">
                  <c:v>32.012399673461914</c:v>
                </c:pt>
                <c:pt idx="13">
                  <c:v>42.990200042724609</c:v>
                </c:pt>
                <c:pt idx="14">
                  <c:v>39.915298461914063</c:v>
                </c:pt>
                <c:pt idx="15">
                  <c:v>32.21099853515625</c:v>
                </c:pt>
                <c:pt idx="16">
                  <c:v>11.326300621032715</c:v>
                </c:pt>
                <c:pt idx="17">
                  <c:v>15.5968017578125</c:v>
                </c:pt>
                <c:pt idx="18">
                  <c:v>14.318399429321289</c:v>
                </c:pt>
                <c:pt idx="19">
                  <c:v>12.222799301147461</c:v>
                </c:pt>
                <c:pt idx="20">
                  <c:v>5.3999996185302734</c:v>
                </c:pt>
                <c:pt idx="21">
                  <c:v>2.5085000991821289</c:v>
                </c:pt>
                <c:pt idx="22">
                  <c:v>2.6699008941650391</c:v>
                </c:pt>
                <c:pt idx="23">
                  <c:v>4.9656000137329102</c:v>
                </c:pt>
                <c:pt idx="24">
                  <c:v>5.2138004302978516</c:v>
                </c:pt>
                <c:pt idx="25">
                  <c:v>5.2288990020751953</c:v>
                </c:pt>
                <c:pt idx="26">
                  <c:v>5.6904983520507813</c:v>
                </c:pt>
                <c:pt idx="27">
                  <c:v>6.6765003204345703</c:v>
                </c:pt>
                <c:pt idx="28">
                  <c:v>7.6504993438720703</c:v>
                </c:pt>
                <c:pt idx="29">
                  <c:v>7.6331005096435547</c:v>
                </c:pt>
                <c:pt idx="30">
                  <c:v>8.7107009887695313</c:v>
                </c:pt>
                <c:pt idx="31">
                  <c:v>9.3064002990722656</c:v>
                </c:pt>
                <c:pt idx="32">
                  <c:v>11.229000091552734</c:v>
                </c:pt>
                <c:pt idx="33">
                  <c:v>14.912097930908203</c:v>
                </c:pt>
                <c:pt idx="34">
                  <c:v>10.539999008178711</c:v>
                </c:pt>
                <c:pt idx="35">
                  <c:v>13.218700408935547</c:v>
                </c:pt>
                <c:pt idx="36">
                  <c:v>9.5783004760742188</c:v>
                </c:pt>
                <c:pt idx="37">
                  <c:v>6.1344985961914063</c:v>
                </c:pt>
                <c:pt idx="38">
                  <c:v>8.8254003524780273</c:v>
                </c:pt>
                <c:pt idx="39">
                  <c:v>7.4679994583129883</c:v>
                </c:pt>
                <c:pt idx="40">
                  <c:v>8.2445993423461914</c:v>
                </c:pt>
                <c:pt idx="41">
                  <c:v>8.2382993698120117</c:v>
                </c:pt>
                <c:pt idx="42">
                  <c:v>9.6967000961303711</c:v>
                </c:pt>
                <c:pt idx="43">
                  <c:v>6.3776006698608398</c:v>
                </c:pt>
                <c:pt idx="44">
                  <c:v>5.7911005020141602</c:v>
                </c:pt>
                <c:pt idx="45">
                  <c:v>4.4163007736206055</c:v>
                </c:pt>
                <c:pt idx="46">
                  <c:v>3.8881006240844727</c:v>
                </c:pt>
                <c:pt idx="47">
                  <c:v>4.5005006790161133</c:v>
                </c:pt>
                <c:pt idx="48">
                  <c:v>4.6244993209838867</c:v>
                </c:pt>
                <c:pt idx="49">
                  <c:v>4.3878002166748047</c:v>
                </c:pt>
                <c:pt idx="50">
                  <c:v>6.2104997634887695</c:v>
                </c:pt>
                <c:pt idx="51">
                  <c:v>6.7311000823974609</c:v>
                </c:pt>
                <c:pt idx="52">
                  <c:v>8.6517009735107422</c:v>
                </c:pt>
                <c:pt idx="53">
                  <c:v>9.1201992034912109</c:v>
                </c:pt>
                <c:pt idx="54">
                  <c:v>10.990299224853516</c:v>
                </c:pt>
                <c:pt idx="55">
                  <c:v>7.4238014221191406</c:v>
                </c:pt>
                <c:pt idx="56">
                  <c:v>15.224699020385742</c:v>
                </c:pt>
                <c:pt idx="57">
                  <c:v>22.847999572753906</c:v>
                </c:pt>
                <c:pt idx="58">
                  <c:v>23.690797805786133</c:v>
                </c:pt>
                <c:pt idx="59">
                  <c:v>23.614101409912109</c:v>
                </c:pt>
                <c:pt idx="60">
                  <c:v>14.377300262451172</c:v>
                </c:pt>
                <c:pt idx="61">
                  <c:v>5.725799560546875</c:v>
                </c:pt>
                <c:pt idx="62">
                  <c:v>3.7695999145507813</c:v>
                </c:pt>
                <c:pt idx="63">
                  <c:v>5.2651996612548828</c:v>
                </c:pt>
                <c:pt idx="64">
                  <c:v>17.731100082397461</c:v>
                </c:pt>
                <c:pt idx="65">
                  <c:v>23.780097961425781</c:v>
                </c:pt>
                <c:pt idx="66">
                  <c:v>40.952999114990234</c:v>
                </c:pt>
                <c:pt idx="67">
                  <c:v>43.764301300048828</c:v>
                </c:pt>
                <c:pt idx="68">
                  <c:v>45.229503631591797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87-4251-A28E-04E2967F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7130096"/>
        <c:axId val="1007136336"/>
      </c:areaChart>
      <c:lineChart>
        <c:grouping val="standard"/>
        <c:varyColors val="0"/>
        <c:ser>
          <c:idx val="0"/>
          <c:order val="0"/>
          <c:tx>
            <c:strRef>
              <c:f>指数历史估值比较!$F$33</c:f>
              <c:strCache>
                <c:ptCount val="1"/>
                <c:pt idx="0">
                  <c:v>可选消费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指数历史估值比较!$D$34:$D$102</c:f>
              <c:numCache>
                <c:formatCode>m/d/yyyy</c:formatCode>
                <c:ptCount val="69"/>
                <c:pt idx="0">
                  <c:v>45382</c:v>
                </c:pt>
                <c:pt idx="1">
                  <c:v>45291</c:v>
                </c:pt>
                <c:pt idx="2">
                  <c:v>45199</c:v>
                </c:pt>
                <c:pt idx="3">
                  <c:v>45107</c:v>
                </c:pt>
                <c:pt idx="4">
                  <c:v>45016</c:v>
                </c:pt>
                <c:pt idx="5">
                  <c:v>44926</c:v>
                </c:pt>
                <c:pt idx="6">
                  <c:v>44834</c:v>
                </c:pt>
                <c:pt idx="7">
                  <c:v>44742</c:v>
                </c:pt>
                <c:pt idx="8">
                  <c:v>44651</c:v>
                </c:pt>
                <c:pt idx="9">
                  <c:v>44561</c:v>
                </c:pt>
                <c:pt idx="10">
                  <c:v>44469</c:v>
                </c:pt>
                <c:pt idx="11">
                  <c:v>44377</c:v>
                </c:pt>
                <c:pt idx="12">
                  <c:v>44286</c:v>
                </c:pt>
                <c:pt idx="13">
                  <c:v>44196</c:v>
                </c:pt>
                <c:pt idx="14">
                  <c:v>44104</c:v>
                </c:pt>
                <c:pt idx="15">
                  <c:v>44012</c:v>
                </c:pt>
                <c:pt idx="16">
                  <c:v>43921</c:v>
                </c:pt>
                <c:pt idx="17">
                  <c:v>43830</c:v>
                </c:pt>
                <c:pt idx="18">
                  <c:v>43738</c:v>
                </c:pt>
                <c:pt idx="19">
                  <c:v>43646</c:v>
                </c:pt>
                <c:pt idx="20">
                  <c:v>43555</c:v>
                </c:pt>
                <c:pt idx="21">
                  <c:v>43465</c:v>
                </c:pt>
                <c:pt idx="22">
                  <c:v>43373</c:v>
                </c:pt>
                <c:pt idx="23">
                  <c:v>43281</c:v>
                </c:pt>
                <c:pt idx="24">
                  <c:v>43190</c:v>
                </c:pt>
                <c:pt idx="25">
                  <c:v>43100</c:v>
                </c:pt>
                <c:pt idx="26">
                  <c:v>43008</c:v>
                </c:pt>
                <c:pt idx="27">
                  <c:v>42916</c:v>
                </c:pt>
                <c:pt idx="28">
                  <c:v>42825</c:v>
                </c:pt>
                <c:pt idx="29">
                  <c:v>42735</c:v>
                </c:pt>
                <c:pt idx="30">
                  <c:v>42643</c:v>
                </c:pt>
                <c:pt idx="31">
                  <c:v>42551</c:v>
                </c:pt>
                <c:pt idx="32">
                  <c:v>42460</c:v>
                </c:pt>
                <c:pt idx="33">
                  <c:v>42369</c:v>
                </c:pt>
                <c:pt idx="34">
                  <c:v>42277</c:v>
                </c:pt>
                <c:pt idx="35">
                  <c:v>42185</c:v>
                </c:pt>
                <c:pt idx="36">
                  <c:v>42094</c:v>
                </c:pt>
                <c:pt idx="37">
                  <c:v>42004</c:v>
                </c:pt>
                <c:pt idx="38">
                  <c:v>41912</c:v>
                </c:pt>
                <c:pt idx="39">
                  <c:v>41820</c:v>
                </c:pt>
                <c:pt idx="40">
                  <c:v>41729</c:v>
                </c:pt>
                <c:pt idx="41">
                  <c:v>41639</c:v>
                </c:pt>
                <c:pt idx="42">
                  <c:v>41547</c:v>
                </c:pt>
                <c:pt idx="43">
                  <c:v>41455</c:v>
                </c:pt>
                <c:pt idx="44">
                  <c:v>41364</c:v>
                </c:pt>
                <c:pt idx="45">
                  <c:v>41274</c:v>
                </c:pt>
                <c:pt idx="46">
                  <c:v>41182</c:v>
                </c:pt>
                <c:pt idx="47">
                  <c:v>41090</c:v>
                </c:pt>
                <c:pt idx="48">
                  <c:v>40999</c:v>
                </c:pt>
                <c:pt idx="49">
                  <c:v>40908</c:v>
                </c:pt>
                <c:pt idx="50">
                  <c:v>40816</c:v>
                </c:pt>
                <c:pt idx="51">
                  <c:v>40724</c:v>
                </c:pt>
                <c:pt idx="52">
                  <c:v>40633</c:v>
                </c:pt>
                <c:pt idx="53">
                  <c:v>40543</c:v>
                </c:pt>
                <c:pt idx="54">
                  <c:v>40451</c:v>
                </c:pt>
                <c:pt idx="55">
                  <c:v>40359</c:v>
                </c:pt>
                <c:pt idx="56">
                  <c:v>40268</c:v>
                </c:pt>
                <c:pt idx="57">
                  <c:v>40178</c:v>
                </c:pt>
                <c:pt idx="58">
                  <c:v>40086</c:v>
                </c:pt>
                <c:pt idx="59">
                  <c:v>39994</c:v>
                </c:pt>
                <c:pt idx="60">
                  <c:v>39903</c:v>
                </c:pt>
                <c:pt idx="61">
                  <c:v>39813</c:v>
                </c:pt>
                <c:pt idx="62">
                  <c:v>39721</c:v>
                </c:pt>
                <c:pt idx="63">
                  <c:v>39629</c:v>
                </c:pt>
                <c:pt idx="64">
                  <c:v>39538</c:v>
                </c:pt>
                <c:pt idx="65">
                  <c:v>39447</c:v>
                </c:pt>
                <c:pt idx="66">
                  <c:v>39355</c:v>
                </c:pt>
                <c:pt idx="67">
                  <c:v>39263</c:v>
                </c:pt>
                <c:pt idx="68">
                  <c:v>39172</c:v>
                </c:pt>
              </c:numCache>
            </c:numRef>
          </c:cat>
          <c:val>
            <c:numRef>
              <c:f>指数历史估值比较!$F$34:$F$102</c:f>
              <c:numCache>
                <c:formatCode>0.00_);[Red]\(0.00\)</c:formatCode>
                <c:ptCount val="69"/>
                <c:pt idx="0">
                  <c:v>27.340099334716797</c:v>
                </c:pt>
                <c:pt idx="1">
                  <c:v>29.553400039672852</c:v>
                </c:pt>
                <c:pt idx="2">
                  <c:v>32.738700866699219</c:v>
                </c:pt>
                <c:pt idx="3">
                  <c:v>37.569999694824219</c:v>
                </c:pt>
                <c:pt idx="4">
                  <c:v>41.427101135253906</c:v>
                </c:pt>
                <c:pt idx="5">
                  <c:v>41.151100158691406</c:v>
                </c:pt>
                <c:pt idx="6">
                  <c:v>41.038600921630859</c:v>
                </c:pt>
                <c:pt idx="7">
                  <c:v>45.249198913574219</c:v>
                </c:pt>
                <c:pt idx="8">
                  <c:v>34.195598602294922</c:v>
                </c:pt>
                <c:pt idx="9">
                  <c:v>40.805000305175781</c:v>
                </c:pt>
                <c:pt idx="10">
                  <c:v>33.939300537109375</c:v>
                </c:pt>
                <c:pt idx="11">
                  <c:v>38.72869873046875</c:v>
                </c:pt>
                <c:pt idx="12">
                  <c:v>53.500099182128906</c:v>
                </c:pt>
                <c:pt idx="13">
                  <c:v>66.347900390625</c:v>
                </c:pt>
                <c:pt idx="14">
                  <c:v>62.364898681640625</c:v>
                </c:pt>
                <c:pt idx="15">
                  <c:v>51.834098815917969</c:v>
                </c:pt>
                <c:pt idx="16">
                  <c:v>27.21980094909668</c:v>
                </c:pt>
                <c:pt idx="17">
                  <c:v>33.094501495361328</c:v>
                </c:pt>
                <c:pt idx="18">
                  <c:v>31.177999496459961</c:v>
                </c:pt>
                <c:pt idx="19">
                  <c:v>29.344900131225586</c:v>
                </c:pt>
                <c:pt idx="20">
                  <c:v>22.936300277709961</c:v>
                </c:pt>
                <c:pt idx="21">
                  <c:v>15.654600143432617</c:v>
                </c:pt>
                <c:pt idx="22">
                  <c:v>17.632600784301758</c:v>
                </c:pt>
                <c:pt idx="23">
                  <c:v>20.957500457763672</c:v>
                </c:pt>
                <c:pt idx="24">
                  <c:v>23.665599822998047</c:v>
                </c:pt>
                <c:pt idx="25">
                  <c:v>24.760099411010742</c:v>
                </c:pt>
                <c:pt idx="26">
                  <c:v>26.341299057006836</c:v>
                </c:pt>
                <c:pt idx="27">
                  <c:v>26.85890007019043</c:v>
                </c:pt>
                <c:pt idx="28">
                  <c:v>29.36829948425293</c:v>
                </c:pt>
                <c:pt idx="29">
                  <c:v>29.02869987487793</c:v>
                </c:pt>
                <c:pt idx="30">
                  <c:v>30.359600067138672</c:v>
                </c:pt>
                <c:pt idx="31">
                  <c:v>29.759000778198242</c:v>
                </c:pt>
                <c:pt idx="32">
                  <c:v>30.943700790405273</c:v>
                </c:pt>
                <c:pt idx="33">
                  <c:v>38.066898345947266</c:v>
                </c:pt>
                <c:pt idx="34">
                  <c:v>28.577299118041992</c:v>
                </c:pt>
                <c:pt idx="35">
                  <c:v>39.447700500488281</c:v>
                </c:pt>
                <c:pt idx="36">
                  <c:v>31.37700080871582</c:v>
                </c:pt>
                <c:pt idx="37">
                  <c:v>23.560699462890625</c:v>
                </c:pt>
                <c:pt idx="38">
                  <c:v>22.5177001953125</c:v>
                </c:pt>
                <c:pt idx="39">
                  <c:v>19.410499572753906</c:v>
                </c:pt>
                <c:pt idx="40">
                  <c:v>20.078899383544922</c:v>
                </c:pt>
                <c:pt idx="41">
                  <c:v>20.651199340820313</c:v>
                </c:pt>
                <c:pt idx="42">
                  <c:v>22.863800048828125</c:v>
                </c:pt>
                <c:pt idx="43">
                  <c:v>18.500600814819336</c:v>
                </c:pt>
                <c:pt idx="44">
                  <c:v>19.552700042724609</c:v>
                </c:pt>
                <c:pt idx="45">
                  <c:v>18.301200866699219</c:v>
                </c:pt>
                <c:pt idx="46">
                  <c:v>16.596900939941406</c:v>
                </c:pt>
                <c:pt idx="47">
                  <c:v>17.942300796508789</c:v>
                </c:pt>
                <c:pt idx="48">
                  <c:v>18.122299194335938</c:v>
                </c:pt>
                <c:pt idx="49">
                  <c:v>17.269100189208984</c:v>
                </c:pt>
                <c:pt idx="50">
                  <c:v>20.445699691772461</c:v>
                </c:pt>
                <c:pt idx="51">
                  <c:v>23.953800201416016</c:v>
                </c:pt>
                <c:pt idx="52">
                  <c:v>27.986600875854492</c:v>
                </c:pt>
                <c:pt idx="53">
                  <c:v>29.198999404907227</c:v>
                </c:pt>
                <c:pt idx="54">
                  <c:v>30.467399597167969</c:v>
                </c:pt>
                <c:pt idx="55">
                  <c:v>26.169000625610352</c:v>
                </c:pt>
                <c:pt idx="56">
                  <c:v>45.478099822998047</c:v>
                </c:pt>
                <c:pt idx="57">
                  <c:v>57.970600128173828</c:v>
                </c:pt>
                <c:pt idx="58">
                  <c:v>55.122898101806641</c:v>
                </c:pt>
                <c:pt idx="59">
                  <c:v>56.046699523925781</c:v>
                </c:pt>
                <c:pt idx="60">
                  <c:v>34.896900177001953</c:v>
                </c:pt>
                <c:pt idx="61">
                  <c:v>20.15049934387207</c:v>
                </c:pt>
                <c:pt idx="62">
                  <c:v>21.242099761962891</c:v>
                </c:pt>
                <c:pt idx="63">
                  <c:v>27.352899551391602</c:v>
                </c:pt>
                <c:pt idx="64">
                  <c:v>48.608100891113281</c:v>
                </c:pt>
                <c:pt idx="65">
                  <c:v>73.033096313476563</c:v>
                </c:pt>
                <c:pt idx="66">
                  <c:v>93.835098266601563</c:v>
                </c:pt>
                <c:pt idx="67">
                  <c:v>88.356399536132813</c:v>
                </c:pt>
                <c:pt idx="68">
                  <c:v>91.011802673339844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7-4251-A28E-04E2967F14A1}"/>
            </c:ext>
          </c:extLst>
        </c:ser>
        <c:ser>
          <c:idx val="1"/>
          <c:order val="1"/>
          <c:tx>
            <c:strRef>
              <c:f>指数历史估值比较!$H$33</c:f>
              <c:strCache>
                <c:ptCount val="1"/>
                <c:pt idx="0">
                  <c:v>万得全A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指数历史估值比较!$D$34:$D$102</c:f>
              <c:numCache>
                <c:formatCode>m/d/yyyy</c:formatCode>
                <c:ptCount val="69"/>
                <c:pt idx="0">
                  <c:v>45382</c:v>
                </c:pt>
                <c:pt idx="1">
                  <c:v>45291</c:v>
                </c:pt>
                <c:pt idx="2">
                  <c:v>45199</c:v>
                </c:pt>
                <c:pt idx="3">
                  <c:v>45107</c:v>
                </c:pt>
                <c:pt idx="4">
                  <c:v>45016</c:v>
                </c:pt>
                <c:pt idx="5">
                  <c:v>44926</c:v>
                </c:pt>
                <c:pt idx="6">
                  <c:v>44834</c:v>
                </c:pt>
                <c:pt idx="7">
                  <c:v>44742</c:v>
                </c:pt>
                <c:pt idx="8">
                  <c:v>44651</c:v>
                </c:pt>
                <c:pt idx="9">
                  <c:v>44561</c:v>
                </c:pt>
                <c:pt idx="10">
                  <c:v>44469</c:v>
                </c:pt>
                <c:pt idx="11">
                  <c:v>44377</c:v>
                </c:pt>
                <c:pt idx="12">
                  <c:v>44286</c:v>
                </c:pt>
                <c:pt idx="13">
                  <c:v>44196</c:v>
                </c:pt>
                <c:pt idx="14">
                  <c:v>44104</c:v>
                </c:pt>
                <c:pt idx="15">
                  <c:v>44012</c:v>
                </c:pt>
                <c:pt idx="16">
                  <c:v>43921</c:v>
                </c:pt>
                <c:pt idx="17">
                  <c:v>43830</c:v>
                </c:pt>
                <c:pt idx="18">
                  <c:v>43738</c:v>
                </c:pt>
                <c:pt idx="19">
                  <c:v>43646</c:v>
                </c:pt>
                <c:pt idx="20">
                  <c:v>43555</c:v>
                </c:pt>
                <c:pt idx="21">
                  <c:v>43465</c:v>
                </c:pt>
                <c:pt idx="22">
                  <c:v>43373</c:v>
                </c:pt>
                <c:pt idx="23">
                  <c:v>43281</c:v>
                </c:pt>
                <c:pt idx="24">
                  <c:v>43190</c:v>
                </c:pt>
                <c:pt idx="25">
                  <c:v>43100</c:v>
                </c:pt>
                <c:pt idx="26">
                  <c:v>43008</c:v>
                </c:pt>
                <c:pt idx="27">
                  <c:v>42916</c:v>
                </c:pt>
                <c:pt idx="28">
                  <c:v>42825</c:v>
                </c:pt>
                <c:pt idx="29">
                  <c:v>42735</c:v>
                </c:pt>
                <c:pt idx="30">
                  <c:v>42643</c:v>
                </c:pt>
                <c:pt idx="31">
                  <c:v>42551</c:v>
                </c:pt>
                <c:pt idx="32">
                  <c:v>42460</c:v>
                </c:pt>
                <c:pt idx="33">
                  <c:v>42369</c:v>
                </c:pt>
                <c:pt idx="34">
                  <c:v>42277</c:v>
                </c:pt>
                <c:pt idx="35">
                  <c:v>42185</c:v>
                </c:pt>
                <c:pt idx="36">
                  <c:v>42094</c:v>
                </c:pt>
                <c:pt idx="37">
                  <c:v>42004</c:v>
                </c:pt>
                <c:pt idx="38">
                  <c:v>41912</c:v>
                </c:pt>
                <c:pt idx="39">
                  <c:v>41820</c:v>
                </c:pt>
                <c:pt idx="40">
                  <c:v>41729</c:v>
                </c:pt>
                <c:pt idx="41">
                  <c:v>41639</c:v>
                </c:pt>
                <c:pt idx="42">
                  <c:v>41547</c:v>
                </c:pt>
                <c:pt idx="43">
                  <c:v>41455</c:v>
                </c:pt>
                <c:pt idx="44">
                  <c:v>41364</c:v>
                </c:pt>
                <c:pt idx="45">
                  <c:v>41274</c:v>
                </c:pt>
                <c:pt idx="46">
                  <c:v>41182</c:v>
                </c:pt>
                <c:pt idx="47">
                  <c:v>41090</c:v>
                </c:pt>
                <c:pt idx="48">
                  <c:v>40999</c:v>
                </c:pt>
                <c:pt idx="49">
                  <c:v>40908</c:v>
                </c:pt>
                <c:pt idx="50">
                  <c:v>40816</c:v>
                </c:pt>
                <c:pt idx="51">
                  <c:v>40724</c:v>
                </c:pt>
                <c:pt idx="52">
                  <c:v>40633</c:v>
                </c:pt>
                <c:pt idx="53">
                  <c:v>40543</c:v>
                </c:pt>
                <c:pt idx="54">
                  <c:v>40451</c:v>
                </c:pt>
                <c:pt idx="55">
                  <c:v>40359</c:v>
                </c:pt>
                <c:pt idx="56">
                  <c:v>40268</c:v>
                </c:pt>
                <c:pt idx="57">
                  <c:v>40178</c:v>
                </c:pt>
                <c:pt idx="58">
                  <c:v>40086</c:v>
                </c:pt>
                <c:pt idx="59">
                  <c:v>39994</c:v>
                </c:pt>
                <c:pt idx="60">
                  <c:v>39903</c:v>
                </c:pt>
                <c:pt idx="61">
                  <c:v>39813</c:v>
                </c:pt>
                <c:pt idx="62">
                  <c:v>39721</c:v>
                </c:pt>
                <c:pt idx="63">
                  <c:v>39629</c:v>
                </c:pt>
                <c:pt idx="64">
                  <c:v>39538</c:v>
                </c:pt>
                <c:pt idx="65">
                  <c:v>39447</c:v>
                </c:pt>
                <c:pt idx="66">
                  <c:v>39355</c:v>
                </c:pt>
                <c:pt idx="67">
                  <c:v>39263</c:v>
                </c:pt>
                <c:pt idx="68">
                  <c:v>39172</c:v>
                </c:pt>
              </c:numCache>
            </c:numRef>
          </c:cat>
          <c:val>
            <c:numRef>
              <c:f>指数历史估值比较!$H$34:$H$102</c:f>
              <c:numCache>
                <c:formatCode>0.00_);[Red]\(0.00\)</c:formatCode>
                <c:ptCount val="69"/>
                <c:pt idx="0">
                  <c:v>16.697200775146484</c:v>
                </c:pt>
                <c:pt idx="1">
                  <c:v>16.667499542236328</c:v>
                </c:pt>
                <c:pt idx="2">
                  <c:v>17.332099914550781</c:v>
                </c:pt>
                <c:pt idx="3">
                  <c:v>17.613300323486328</c:v>
                </c:pt>
                <c:pt idx="4">
                  <c:v>17.920999526977539</c:v>
                </c:pt>
                <c:pt idx="5">
                  <c:v>16.71769905090332</c:v>
                </c:pt>
                <c:pt idx="6">
                  <c:v>16.21820068359375</c:v>
                </c:pt>
                <c:pt idx="7">
                  <c:v>18.258199691772461</c:v>
                </c:pt>
                <c:pt idx="8">
                  <c:v>17.552200317382813</c:v>
                </c:pt>
                <c:pt idx="9">
                  <c:v>20.109199523925781</c:v>
                </c:pt>
                <c:pt idx="10">
                  <c:v>19.114700317382813</c:v>
                </c:pt>
                <c:pt idx="11">
                  <c:v>20.88599967956543</c:v>
                </c:pt>
                <c:pt idx="12">
                  <c:v>21.487699508666992</c:v>
                </c:pt>
                <c:pt idx="13">
                  <c:v>23.357700347900391</c:v>
                </c:pt>
                <c:pt idx="14">
                  <c:v>22.449600219726563</c:v>
                </c:pt>
                <c:pt idx="15">
                  <c:v>19.623100280761719</c:v>
                </c:pt>
                <c:pt idx="16">
                  <c:v>15.893500328063965</c:v>
                </c:pt>
                <c:pt idx="17">
                  <c:v>17.497699737548828</c:v>
                </c:pt>
                <c:pt idx="18">
                  <c:v>16.859600067138672</c:v>
                </c:pt>
                <c:pt idx="19">
                  <c:v>17.122100830078125</c:v>
                </c:pt>
                <c:pt idx="20">
                  <c:v>17.536300659179688</c:v>
                </c:pt>
                <c:pt idx="21">
                  <c:v>13.146100044250488</c:v>
                </c:pt>
                <c:pt idx="22">
                  <c:v>14.962699890136719</c:v>
                </c:pt>
                <c:pt idx="23">
                  <c:v>15.991900444030762</c:v>
                </c:pt>
                <c:pt idx="24">
                  <c:v>18.451799392700195</c:v>
                </c:pt>
                <c:pt idx="25">
                  <c:v>19.531200408935547</c:v>
                </c:pt>
                <c:pt idx="26">
                  <c:v>20.650800704956055</c:v>
                </c:pt>
                <c:pt idx="27">
                  <c:v>20.182399749755859</c:v>
                </c:pt>
                <c:pt idx="28">
                  <c:v>21.717800140380859</c:v>
                </c:pt>
                <c:pt idx="29">
                  <c:v>21.395599365234375</c:v>
                </c:pt>
                <c:pt idx="30">
                  <c:v>21.648899078369141</c:v>
                </c:pt>
                <c:pt idx="31">
                  <c:v>20.452600479125977</c:v>
                </c:pt>
                <c:pt idx="32">
                  <c:v>19.714700698852539</c:v>
                </c:pt>
                <c:pt idx="33">
                  <c:v>23.154800415039063</c:v>
                </c:pt>
                <c:pt idx="34">
                  <c:v>18.037300109863281</c:v>
                </c:pt>
                <c:pt idx="35">
                  <c:v>26.229000091552734</c:v>
                </c:pt>
                <c:pt idx="36">
                  <c:v>21.798700332641602</c:v>
                </c:pt>
                <c:pt idx="37">
                  <c:v>17.426200866699219</c:v>
                </c:pt>
                <c:pt idx="38">
                  <c:v>13.692299842834473</c:v>
                </c:pt>
                <c:pt idx="39">
                  <c:v>11.942500114440918</c:v>
                </c:pt>
                <c:pt idx="40">
                  <c:v>11.83430004119873</c:v>
                </c:pt>
                <c:pt idx="41">
                  <c:v>12.412899971008301</c:v>
                </c:pt>
                <c:pt idx="42">
                  <c:v>13.167099952697754</c:v>
                </c:pt>
                <c:pt idx="43">
                  <c:v>12.123000144958496</c:v>
                </c:pt>
                <c:pt idx="44">
                  <c:v>13.761599540710449</c:v>
                </c:pt>
                <c:pt idx="45">
                  <c:v>13.884900093078613</c:v>
                </c:pt>
                <c:pt idx="46">
                  <c:v>12.708800315856934</c:v>
                </c:pt>
                <c:pt idx="47">
                  <c:v>13.441800117492676</c:v>
                </c:pt>
                <c:pt idx="48">
                  <c:v>13.497799873352051</c:v>
                </c:pt>
                <c:pt idx="49">
                  <c:v>12.88129997253418</c:v>
                </c:pt>
                <c:pt idx="50">
                  <c:v>14.235199928283691</c:v>
                </c:pt>
                <c:pt idx="51">
                  <c:v>17.222700119018555</c:v>
                </c:pt>
                <c:pt idx="52">
                  <c:v>19.33489990234375</c:v>
                </c:pt>
                <c:pt idx="53">
                  <c:v>20.078800201416016</c:v>
                </c:pt>
                <c:pt idx="54">
                  <c:v>19.477100372314453</c:v>
                </c:pt>
                <c:pt idx="55">
                  <c:v>18.745199203491211</c:v>
                </c:pt>
                <c:pt idx="56">
                  <c:v>30.253400802612305</c:v>
                </c:pt>
                <c:pt idx="57">
                  <c:v>35.122600555419922</c:v>
                </c:pt>
                <c:pt idx="58">
                  <c:v>31.432100296020508</c:v>
                </c:pt>
                <c:pt idx="59">
                  <c:v>32.432598114013672</c:v>
                </c:pt>
                <c:pt idx="60">
                  <c:v>20.519599914550781</c:v>
                </c:pt>
                <c:pt idx="61">
                  <c:v>14.424699783325195</c:v>
                </c:pt>
                <c:pt idx="62">
                  <c:v>17.472499847412109</c:v>
                </c:pt>
                <c:pt idx="63">
                  <c:v>22.087699890136719</c:v>
                </c:pt>
                <c:pt idx="64">
                  <c:v>30.87700080871582</c:v>
                </c:pt>
                <c:pt idx="65">
                  <c:v>49.252998352050781</c:v>
                </c:pt>
                <c:pt idx="66">
                  <c:v>52.882099151611328</c:v>
                </c:pt>
                <c:pt idx="67">
                  <c:v>44.592098236083984</c:v>
                </c:pt>
                <c:pt idx="68">
                  <c:v>45.782299041748047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7-4251-A28E-04E2967F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130512"/>
        <c:axId val="1007140080"/>
      </c:lineChart>
      <c:dateAx>
        <c:axId val="1007130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07140080"/>
        <c:crosses val="autoZero"/>
        <c:auto val="1"/>
        <c:lblOffset val="100"/>
        <c:baseTimeUnit val="months"/>
        <c:majorUnit val="1"/>
        <c:majorTimeUnit val="years"/>
      </c:dateAx>
      <c:valAx>
        <c:axId val="10071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07130512"/>
        <c:crosses val="autoZero"/>
        <c:crossBetween val="between"/>
      </c:valAx>
      <c:valAx>
        <c:axId val="1007136336"/>
        <c:scaling>
          <c:orientation val="minMax"/>
        </c:scaling>
        <c:delete val="0"/>
        <c:axPos val="r"/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07130096"/>
        <c:crosses val="max"/>
        <c:crossBetween val="between"/>
      </c:valAx>
      <c:dateAx>
        <c:axId val="10071300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07136336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85725</xdr:rowOff>
    </xdr:from>
    <xdr:ext cx="607152" cy="219075"/>
    <xdr:pic>
      <xdr:nvPicPr>
        <xdr:cNvPr id="5" name="图片 4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85725"/>
          <a:ext cx="607152" cy="219075"/>
        </a:xfrm>
        <a:prstGeom prst="rect">
          <a:avLst/>
        </a:prstGeom>
      </xdr:spPr>
    </xdr:pic>
    <xdr:clientData/>
  </xdr:oneCellAnchor>
  <xdr:twoCellAnchor>
    <xdr:from>
      <xdr:col>1</xdr:col>
      <xdr:colOff>33337</xdr:colOff>
      <xdr:row>8</xdr:row>
      <xdr:rowOff>85724</xdr:rowOff>
    </xdr:from>
    <xdr:to>
      <xdr:col>12</xdr:col>
      <xdr:colOff>0</xdr:colOff>
      <xdr:row>30</xdr:row>
      <xdr:rowOff>133349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R307"/>
  <sheetViews>
    <sheetView showGridLines="0" tabSelected="1" workbookViewId="0">
      <selection activeCell="A44" sqref="A44"/>
    </sheetView>
  </sheetViews>
  <sheetFormatPr defaultRowHeight="14.25" x14ac:dyDescent="0.2"/>
  <cols>
    <col min="1" max="1" width="3.625" style="6" customWidth="1"/>
    <col min="2" max="2" width="22.625" style="6" customWidth="1"/>
    <col min="3" max="3" width="1.625" style="6" customWidth="1"/>
    <col min="4" max="4" width="22.625" style="6" customWidth="1"/>
    <col min="5" max="5" width="1.625" style="6" customWidth="1"/>
    <col min="6" max="6" width="23.625" style="6" customWidth="1"/>
    <col min="7" max="7" width="1.625" style="6" customWidth="1"/>
    <col min="8" max="8" width="23.625" style="6" customWidth="1"/>
    <col min="9" max="9" width="1.625" style="6" customWidth="1"/>
    <col min="10" max="10" width="22.625" style="6" customWidth="1"/>
    <col min="11" max="11" width="1.625" style="6" customWidth="1"/>
    <col min="12" max="12" width="22.625" style="6" customWidth="1"/>
    <col min="13" max="13" width="3.625" style="6" customWidth="1"/>
    <col min="14" max="14" width="8.25" style="15" customWidth="1"/>
    <col min="15" max="16" width="9" style="11"/>
    <col min="17" max="17" width="17.375" style="11" hidden="1" customWidth="1"/>
    <col min="18" max="16384" width="9" style="6"/>
  </cols>
  <sheetData>
    <row r="1" spans="1:14" ht="28.5" customHeight="1" x14ac:dyDescent="0.2">
      <c r="A1" s="4"/>
      <c r="B1" s="4"/>
      <c r="C1" s="4"/>
      <c r="D1" s="40" t="s">
        <v>25</v>
      </c>
      <c r="E1" s="40"/>
      <c r="F1" s="40"/>
      <c r="G1" s="40"/>
      <c r="H1" s="40"/>
      <c r="I1" s="40"/>
      <c r="J1" s="40"/>
      <c r="K1" s="21"/>
      <c r="L1" s="17"/>
      <c r="M1" s="4"/>
      <c r="N1" s="5"/>
    </row>
    <row r="2" spans="1:14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5"/>
    </row>
    <row r="3" spans="1:14" ht="22.5" thickBot="1" x14ac:dyDescent="0.25">
      <c r="A3" s="7"/>
      <c r="B3" s="8" t="s">
        <v>10</v>
      </c>
      <c r="C3" s="8"/>
      <c r="D3" s="16" t="s">
        <v>24</v>
      </c>
      <c r="F3" s="8" t="s">
        <v>20</v>
      </c>
      <c r="G3" s="8"/>
      <c r="H3" s="23" t="s">
        <v>19</v>
      </c>
      <c r="J3" s="8" t="s">
        <v>22</v>
      </c>
      <c r="K3" s="8"/>
      <c r="L3" s="24" t="s">
        <v>23</v>
      </c>
      <c r="M3" s="7"/>
      <c r="N3" s="5"/>
    </row>
    <row r="4" spans="1:14" ht="23.25" thickTop="1" thickBot="1" x14ac:dyDescent="0.25">
      <c r="A4" s="7"/>
      <c r="B4" s="8" t="s">
        <v>11</v>
      </c>
      <c r="C4" s="8"/>
      <c r="D4" s="22" t="str">
        <f>[1]!s_info_name(D3)</f>
        <v>可选消费</v>
      </c>
      <c r="F4" s="8" t="s">
        <v>21</v>
      </c>
      <c r="G4" s="8"/>
      <c r="H4" s="22" t="str">
        <f>[1]!s_info_name(H3)</f>
        <v>万得全A</v>
      </c>
      <c r="J4" s="8" t="s">
        <v>14</v>
      </c>
      <c r="K4" s="8"/>
      <c r="L4" s="24" t="s">
        <v>12</v>
      </c>
      <c r="M4" s="7"/>
      <c r="N4" s="5"/>
    </row>
    <row r="5" spans="1:14" ht="8.25" customHeight="1" thickTop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5"/>
    </row>
    <row r="6" spans="1:14" ht="9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5"/>
    </row>
    <row r="7" spans="1:14" x14ac:dyDescent="0.2">
      <c r="A7" s="7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7"/>
      <c r="N7" s="5"/>
    </row>
    <row r="8" spans="1:14" ht="18" x14ac:dyDescent="0.2">
      <c r="A8" s="7"/>
      <c r="B8" s="38" t="str">
        <f>L3&amp;"历史比较"</f>
        <v>市盈率PE历史比较</v>
      </c>
      <c r="C8" s="38"/>
      <c r="D8" s="39"/>
      <c r="E8" s="39"/>
      <c r="F8" s="39"/>
      <c r="G8" s="39"/>
      <c r="H8" s="39"/>
      <c r="I8" s="39"/>
      <c r="J8" s="39"/>
      <c r="K8" s="39"/>
      <c r="L8" s="39"/>
      <c r="M8" s="7"/>
      <c r="N8" s="5"/>
    </row>
    <row r="9" spans="1:14" x14ac:dyDescent="0.2">
      <c r="A9" s="7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7"/>
      <c r="N9" s="5"/>
    </row>
    <row r="10" spans="1:14" x14ac:dyDescent="0.2">
      <c r="A10" s="7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7"/>
      <c r="N10" s="5"/>
    </row>
    <row r="11" spans="1:14" x14ac:dyDescent="0.2">
      <c r="A11" s="7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7"/>
      <c r="N11" s="5"/>
    </row>
    <row r="12" spans="1:14" x14ac:dyDescent="0.2">
      <c r="A12" s="7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7"/>
      <c r="N12" s="5"/>
    </row>
    <row r="13" spans="1:14" x14ac:dyDescent="0.2">
      <c r="A13" s="7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7"/>
      <c r="N13" s="5"/>
    </row>
    <row r="14" spans="1:14" x14ac:dyDescent="0.2">
      <c r="A14" s="7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7"/>
      <c r="N14" s="5"/>
    </row>
    <row r="15" spans="1:14" x14ac:dyDescent="0.2">
      <c r="A15" s="7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7"/>
      <c r="N15" s="5"/>
    </row>
    <row r="16" spans="1:14" x14ac:dyDescent="0.2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7"/>
      <c r="N16" s="5"/>
    </row>
    <row r="17" spans="1:17" x14ac:dyDescent="0.2">
      <c r="A17" s="7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7"/>
      <c r="N17" s="5"/>
    </row>
    <row r="18" spans="1:17" x14ac:dyDescent="0.2">
      <c r="A18" s="7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7"/>
      <c r="N18" s="5"/>
    </row>
    <row r="19" spans="1:17" x14ac:dyDescent="0.2">
      <c r="A19" s="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7"/>
      <c r="N19" s="5"/>
    </row>
    <row r="20" spans="1:17" x14ac:dyDescent="0.2">
      <c r="A20" s="7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7"/>
      <c r="N20" s="5"/>
    </row>
    <row r="21" spans="1:17" x14ac:dyDescent="0.2">
      <c r="A21" s="7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7"/>
      <c r="N21" s="5"/>
      <c r="Q21" s="11" t="s">
        <v>15</v>
      </c>
    </row>
    <row r="22" spans="1:17" x14ac:dyDescent="0.2">
      <c r="A22" s="7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7"/>
      <c r="N22" s="5"/>
      <c r="Q22" s="11" t="s">
        <v>16</v>
      </c>
    </row>
    <row r="23" spans="1:17" x14ac:dyDescent="0.2">
      <c r="A23" s="7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7"/>
      <c r="N23" s="5"/>
      <c r="Q23" s="11" t="s">
        <v>17</v>
      </c>
    </row>
    <row r="24" spans="1:17" x14ac:dyDescent="0.2">
      <c r="A24" s="7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7"/>
      <c r="N24" s="5"/>
      <c r="Q24" s="26" t="s">
        <v>18</v>
      </c>
    </row>
    <row r="25" spans="1:17" x14ac:dyDescent="0.2">
      <c r="A25" s="7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7"/>
      <c r="N25" s="5"/>
    </row>
    <row r="26" spans="1:17" x14ac:dyDescent="0.2">
      <c r="A26" s="7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7"/>
      <c r="N26" s="5"/>
      <c r="Q26" s="6"/>
    </row>
    <row r="27" spans="1:17" x14ac:dyDescent="0.2">
      <c r="A27" s="7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7"/>
      <c r="N27" s="5"/>
      <c r="Q27" s="6"/>
    </row>
    <row r="28" spans="1:17" x14ac:dyDescent="0.2">
      <c r="A28" s="7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7"/>
      <c r="N28" s="5"/>
      <c r="Q28" s="6"/>
    </row>
    <row r="29" spans="1:17" x14ac:dyDescent="0.2">
      <c r="A29" s="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7"/>
      <c r="N29" s="5"/>
      <c r="Q29" s="6"/>
    </row>
    <row r="30" spans="1:17" x14ac:dyDescent="0.2">
      <c r="A30" s="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7"/>
      <c r="N30" s="5"/>
    </row>
    <row r="31" spans="1:17" x14ac:dyDescent="0.2">
      <c r="A31" s="7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7"/>
      <c r="N31" s="5"/>
    </row>
    <row r="32" spans="1:17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5"/>
      <c r="Q32" s="11" t="s">
        <v>13</v>
      </c>
    </row>
    <row r="33" spans="1:17" ht="18" x14ac:dyDescent="0.2">
      <c r="A33" s="7"/>
      <c r="B33" s="13"/>
      <c r="C33" s="13"/>
      <c r="D33" s="13"/>
      <c r="E33" s="13"/>
      <c r="F33" s="29" t="str">
        <f>D4</f>
        <v>可选消费</v>
      </c>
      <c r="G33" s="29"/>
      <c r="H33" s="29" t="str">
        <f>H4</f>
        <v>万得全A</v>
      </c>
      <c r="I33" s="29"/>
      <c r="J33" s="30" t="str">
        <f>L4</f>
        <v>绝对差额</v>
      </c>
      <c r="K33" s="25"/>
      <c r="L33" s="25"/>
      <c r="M33" s="12"/>
      <c r="N33" s="5"/>
      <c r="Q33" s="11" t="s">
        <v>26</v>
      </c>
    </row>
    <row r="34" spans="1:17" ht="16.5" x14ac:dyDescent="0.2">
      <c r="A34" s="7"/>
      <c r="B34" s="19"/>
      <c r="C34" s="27"/>
      <c r="D34" s="31">
        <f>Data!A5</f>
        <v>45382</v>
      </c>
      <c r="E34" s="19"/>
      <c r="F34" s="33">
        <f>IF(L$3="市盈率PE",Data!B5,IF(L$3="市净率PB",Data!C5,IF(L$3="市销率PS",Data!D5,IF(L$3="股息率(近12个月)",))))</f>
        <v>27.340099334716797</v>
      </c>
      <c r="G34" s="34"/>
      <c r="H34" s="33">
        <f>IF(L$3="市盈率PE",Data!H5,IF(L$3="市净率PB",Data!I5,IF(L$3="市销率PS",Data!J5,IF(L$3="股息率(近12个月)",))))</f>
        <v>16.697200775146484</v>
      </c>
      <c r="I34" s="34"/>
      <c r="J34" s="33">
        <f t="shared" ref="J34:J69" si="0">IFERROR(IF(L$4="绝对差额",F34-H34,IF(L$4="比值",F34/H34,)),0)</f>
        <v>10.642898559570313</v>
      </c>
      <c r="K34" s="19"/>
      <c r="L34" s="19"/>
      <c r="M34" s="12"/>
      <c r="N34" s="5"/>
    </row>
    <row r="35" spans="1:17" ht="16.5" x14ac:dyDescent="0.2">
      <c r="A35" s="7"/>
      <c r="B35" s="18"/>
      <c r="C35" s="28"/>
      <c r="D35" s="32">
        <f>Data!A6</f>
        <v>45291</v>
      </c>
      <c r="E35" s="18"/>
      <c r="F35" s="35">
        <f>IF(L$3="市盈率PE",Data!B6,IF(L$3="市净率PB",Data!C6,IF(L$3="市销率PS",Data!D6,IF(L$3="股息率(近12个月)",))))</f>
        <v>29.553400039672852</v>
      </c>
      <c r="G35" s="36"/>
      <c r="H35" s="35">
        <f>IF(L$3="市盈率PE",Data!H6,IF(L$3="市净率PB",Data!I6,IF(L$3="市销率PS",Data!J6,IF(L$3="股息率(近12个月)",))))</f>
        <v>16.667499542236328</v>
      </c>
      <c r="I35" s="36"/>
      <c r="J35" s="35">
        <f t="shared" si="0"/>
        <v>12.885900497436523</v>
      </c>
      <c r="K35" s="18"/>
      <c r="L35" s="18"/>
      <c r="M35" s="12"/>
      <c r="N35" s="5"/>
    </row>
    <row r="36" spans="1:17" ht="16.5" x14ac:dyDescent="0.2">
      <c r="A36" s="7"/>
      <c r="B36" s="19"/>
      <c r="C36" s="27"/>
      <c r="D36" s="31">
        <f>Data!A7</f>
        <v>45199</v>
      </c>
      <c r="E36" s="19"/>
      <c r="F36" s="33">
        <f>IF(L$3="市盈率PE",Data!B7,IF(L$3="市净率PB",Data!C7,IF(L$3="市销率PS",Data!D7,IF(L$3="股息率(近12个月)",))))</f>
        <v>32.738700866699219</v>
      </c>
      <c r="G36" s="34"/>
      <c r="H36" s="33">
        <f>IF(L$3="市盈率PE",Data!H7,IF(L$3="市净率PB",Data!I7,IF(L$3="市销率PS",Data!J7,IF(L$3="股息率(近12个月)",))))</f>
        <v>17.332099914550781</v>
      </c>
      <c r="I36" s="34"/>
      <c r="J36" s="33">
        <f t="shared" si="0"/>
        <v>15.406600952148438</v>
      </c>
      <c r="K36" s="19"/>
      <c r="L36" s="19"/>
      <c r="M36" s="12"/>
      <c r="N36" s="5"/>
    </row>
    <row r="37" spans="1:17" ht="16.5" x14ac:dyDescent="0.2">
      <c r="A37" s="7"/>
      <c r="B37" s="18"/>
      <c r="C37" s="28"/>
      <c r="D37" s="32">
        <f>Data!A8</f>
        <v>45107</v>
      </c>
      <c r="E37" s="18"/>
      <c r="F37" s="35">
        <f>IF(L$3="市盈率PE",Data!B8,IF(L$3="市净率PB",Data!C8,IF(L$3="市销率PS",Data!D8,IF(L$3="股息率(近12个月)",))))</f>
        <v>37.569999694824219</v>
      </c>
      <c r="G37" s="36"/>
      <c r="H37" s="35">
        <f>IF(L$3="市盈率PE",Data!H8,IF(L$3="市净率PB",Data!I8,IF(L$3="市销率PS",Data!J8,IF(L$3="股息率(近12个月)",))))</f>
        <v>17.613300323486328</v>
      </c>
      <c r="I37" s="36"/>
      <c r="J37" s="35">
        <f t="shared" si="0"/>
        <v>19.956699371337891</v>
      </c>
      <c r="K37" s="18"/>
      <c r="L37" s="18"/>
      <c r="M37" s="12"/>
      <c r="N37" s="5"/>
    </row>
    <row r="38" spans="1:17" ht="16.5" x14ac:dyDescent="0.2">
      <c r="A38" s="7"/>
      <c r="B38" s="19"/>
      <c r="C38" s="27"/>
      <c r="D38" s="31">
        <f>Data!A9</f>
        <v>45016</v>
      </c>
      <c r="E38" s="19"/>
      <c r="F38" s="33">
        <f>IF(L$3="市盈率PE",Data!B9,IF(L$3="市净率PB",Data!C9,IF(L$3="市销率PS",Data!D9,IF(L$3="股息率(近12个月)",))))</f>
        <v>41.427101135253906</v>
      </c>
      <c r="G38" s="34"/>
      <c r="H38" s="33">
        <f>IF(L$3="市盈率PE",Data!H9,IF(L$3="市净率PB",Data!I9,IF(L$3="市销率PS",Data!J9,IF(L$3="股息率(近12个月)",))))</f>
        <v>17.920999526977539</v>
      </c>
      <c r="I38" s="34"/>
      <c r="J38" s="33">
        <f t="shared" si="0"/>
        <v>23.506101608276367</v>
      </c>
      <c r="K38" s="19"/>
      <c r="L38" s="19"/>
      <c r="M38" s="12"/>
      <c r="N38" s="5"/>
    </row>
    <row r="39" spans="1:17" ht="16.5" x14ac:dyDescent="0.2">
      <c r="A39" s="7"/>
      <c r="B39" s="18"/>
      <c r="C39" s="28"/>
      <c r="D39" s="32">
        <f>Data!A10</f>
        <v>44926</v>
      </c>
      <c r="E39" s="18"/>
      <c r="F39" s="35">
        <f>IF(L$3="市盈率PE",Data!B10,IF(L$3="市净率PB",Data!C10,IF(L$3="市销率PS",Data!D10,IF(L$3="股息率(近12个月)",))))</f>
        <v>41.151100158691406</v>
      </c>
      <c r="G39" s="36"/>
      <c r="H39" s="35">
        <f>IF(L$3="市盈率PE",Data!H10,IF(L$3="市净率PB",Data!I10,IF(L$3="市销率PS",Data!J10,IF(L$3="股息率(近12个月)",))))</f>
        <v>16.71769905090332</v>
      </c>
      <c r="I39" s="36"/>
      <c r="J39" s="35">
        <f t="shared" si="0"/>
        <v>24.433401107788086</v>
      </c>
      <c r="K39" s="18"/>
      <c r="L39" s="18"/>
      <c r="M39" s="12"/>
      <c r="N39" s="5"/>
    </row>
    <row r="40" spans="1:17" ht="16.5" x14ac:dyDescent="0.2">
      <c r="A40" s="7"/>
      <c r="B40" s="19"/>
      <c r="C40" s="27"/>
      <c r="D40" s="31">
        <f>Data!A11</f>
        <v>44834</v>
      </c>
      <c r="E40" s="19"/>
      <c r="F40" s="33">
        <f>IF(L$3="市盈率PE",Data!B11,IF(L$3="市净率PB",Data!C11,IF(L$3="市销率PS",Data!D11,IF(L$3="股息率(近12个月)",))))</f>
        <v>41.038600921630859</v>
      </c>
      <c r="G40" s="34"/>
      <c r="H40" s="33">
        <f>IF(L$3="市盈率PE",Data!H11,IF(L$3="市净率PB",Data!I11,IF(L$3="市销率PS",Data!J11,IF(L$3="股息率(近12个月)",))))</f>
        <v>16.21820068359375</v>
      </c>
      <c r="I40" s="34"/>
      <c r="J40" s="33">
        <f t="shared" si="0"/>
        <v>24.820400238037109</v>
      </c>
      <c r="K40" s="19"/>
      <c r="L40" s="19"/>
      <c r="M40" s="12"/>
      <c r="N40" s="5"/>
    </row>
    <row r="41" spans="1:17" ht="16.5" x14ac:dyDescent="0.2">
      <c r="A41" s="7"/>
      <c r="B41" s="18"/>
      <c r="C41" s="28"/>
      <c r="D41" s="32">
        <f>Data!A12</f>
        <v>44742</v>
      </c>
      <c r="E41" s="18"/>
      <c r="F41" s="35">
        <f>IF(L$3="市盈率PE",Data!B12,IF(L$3="市净率PB",Data!C12,IF(L$3="市销率PS",Data!D12,IF(L$3="股息率(近12个月)",))))</f>
        <v>45.249198913574219</v>
      </c>
      <c r="G41" s="36"/>
      <c r="H41" s="35">
        <f>IF(L$3="市盈率PE",Data!H12,IF(L$3="市净率PB",Data!I12,IF(L$3="市销率PS",Data!J12,IF(L$3="股息率(近12个月)",))))</f>
        <v>18.258199691772461</v>
      </c>
      <c r="I41" s="36"/>
      <c r="J41" s="35">
        <f t="shared" si="0"/>
        <v>26.990999221801758</v>
      </c>
      <c r="K41" s="18"/>
      <c r="L41" s="18"/>
      <c r="M41" s="12"/>
      <c r="N41" s="5"/>
    </row>
    <row r="42" spans="1:17" ht="16.5" x14ac:dyDescent="0.2">
      <c r="A42" s="7"/>
      <c r="B42" s="19"/>
      <c r="C42" s="27"/>
      <c r="D42" s="31">
        <f>Data!A13</f>
        <v>44651</v>
      </c>
      <c r="E42" s="19"/>
      <c r="F42" s="33">
        <f>IF(L$3="市盈率PE",Data!B13,IF(L$3="市净率PB",Data!C13,IF(L$3="市销率PS",Data!D13,IF(L$3="股息率(近12个月)",))))</f>
        <v>34.195598602294922</v>
      </c>
      <c r="G42" s="34"/>
      <c r="H42" s="33">
        <f>IF(L$3="市盈率PE",Data!H13,IF(L$3="市净率PB",Data!I13,IF(L$3="市销率PS",Data!J13,IF(L$3="股息率(近12个月)",))))</f>
        <v>17.552200317382813</v>
      </c>
      <c r="I42" s="34"/>
      <c r="J42" s="33">
        <f t="shared" si="0"/>
        <v>16.643398284912109</v>
      </c>
      <c r="K42" s="19"/>
      <c r="L42" s="19"/>
      <c r="M42" s="12"/>
      <c r="N42" s="5"/>
    </row>
    <row r="43" spans="1:17" ht="16.5" x14ac:dyDescent="0.2">
      <c r="A43" s="7"/>
      <c r="B43" s="18"/>
      <c r="C43" s="28"/>
      <c r="D43" s="32">
        <f>Data!A14</f>
        <v>44561</v>
      </c>
      <c r="E43" s="18"/>
      <c r="F43" s="35">
        <f>IF(L$3="市盈率PE",Data!B14,IF(L$3="市净率PB",Data!C14,IF(L$3="市销率PS",Data!D14,IF(L$3="股息率(近12个月)",))))</f>
        <v>40.805000305175781</v>
      </c>
      <c r="G43" s="36"/>
      <c r="H43" s="35">
        <f>IF(L$3="市盈率PE",Data!H14,IF(L$3="市净率PB",Data!I14,IF(L$3="市销率PS",Data!J14,IF(L$3="股息率(近12个月)",))))</f>
        <v>20.109199523925781</v>
      </c>
      <c r="I43" s="36"/>
      <c r="J43" s="35">
        <f t="shared" si="0"/>
        <v>20.69580078125</v>
      </c>
      <c r="K43" s="18"/>
      <c r="L43" s="18"/>
      <c r="M43" s="12"/>
      <c r="N43" s="5"/>
    </row>
    <row r="44" spans="1:17" ht="16.5" x14ac:dyDescent="0.2">
      <c r="A44" s="7"/>
      <c r="B44" s="19"/>
      <c r="C44" s="27"/>
      <c r="D44" s="31">
        <f>Data!A15</f>
        <v>44469</v>
      </c>
      <c r="E44" s="19"/>
      <c r="F44" s="33">
        <f>IF(L$3="市盈率PE",Data!B15,IF(L$3="市净率PB",Data!C15,IF(L$3="市销率PS",Data!D15,IF(L$3="股息率(近12个月)",))))</f>
        <v>33.939300537109375</v>
      </c>
      <c r="G44" s="34"/>
      <c r="H44" s="33">
        <f>IF(L$3="市盈率PE",Data!H15,IF(L$3="市净率PB",Data!I15,IF(L$3="市销率PS",Data!J15,IF(L$3="股息率(近12个月)",))))</f>
        <v>19.114700317382813</v>
      </c>
      <c r="I44" s="34"/>
      <c r="J44" s="33">
        <f t="shared" si="0"/>
        <v>14.824600219726563</v>
      </c>
      <c r="K44" s="19"/>
      <c r="L44" s="19"/>
      <c r="M44" s="12"/>
      <c r="N44" s="5"/>
    </row>
    <row r="45" spans="1:17" ht="16.5" x14ac:dyDescent="0.2">
      <c r="A45" s="7"/>
      <c r="B45" s="18"/>
      <c r="C45" s="28"/>
      <c r="D45" s="32">
        <f>Data!A16</f>
        <v>44377</v>
      </c>
      <c r="E45" s="18"/>
      <c r="F45" s="35">
        <f>IF(L$3="市盈率PE",Data!B16,IF(L$3="市净率PB",Data!C16,IF(L$3="市销率PS",Data!D16,IF(L$3="股息率(近12个月)",))))</f>
        <v>38.72869873046875</v>
      </c>
      <c r="G45" s="36"/>
      <c r="H45" s="35">
        <f>IF(L$3="市盈率PE",Data!H16,IF(L$3="市净率PB",Data!I16,IF(L$3="市销率PS",Data!J16,IF(L$3="股息率(近12个月)",))))</f>
        <v>20.88599967956543</v>
      </c>
      <c r="I45" s="36"/>
      <c r="J45" s="35">
        <f t="shared" si="0"/>
        <v>17.84269905090332</v>
      </c>
      <c r="K45" s="18"/>
      <c r="L45" s="18"/>
      <c r="M45" s="12"/>
      <c r="N45" s="5"/>
    </row>
    <row r="46" spans="1:17" ht="16.5" x14ac:dyDescent="0.2">
      <c r="A46" s="7"/>
      <c r="B46" s="19"/>
      <c r="C46" s="27"/>
      <c r="D46" s="31">
        <f>Data!A17</f>
        <v>44286</v>
      </c>
      <c r="E46" s="19"/>
      <c r="F46" s="33">
        <f>IF(L$3="市盈率PE",Data!B17,IF(L$3="市净率PB",Data!C17,IF(L$3="市销率PS",Data!D17,IF(L$3="股息率(近12个月)",))))</f>
        <v>53.500099182128906</v>
      </c>
      <c r="G46" s="34"/>
      <c r="H46" s="33">
        <f>IF(L$3="市盈率PE",Data!H17,IF(L$3="市净率PB",Data!I17,IF(L$3="市销率PS",Data!J17,IF(L$3="股息率(近12个月)",))))</f>
        <v>21.487699508666992</v>
      </c>
      <c r="I46" s="34"/>
      <c r="J46" s="33">
        <f t="shared" si="0"/>
        <v>32.012399673461914</v>
      </c>
      <c r="K46" s="19"/>
      <c r="L46" s="19"/>
      <c r="M46" s="12"/>
      <c r="N46" s="5"/>
    </row>
    <row r="47" spans="1:17" ht="16.5" x14ac:dyDescent="0.2">
      <c r="A47" s="7"/>
      <c r="B47" s="18"/>
      <c r="C47" s="28"/>
      <c r="D47" s="32">
        <f>Data!A18</f>
        <v>44196</v>
      </c>
      <c r="E47" s="18"/>
      <c r="F47" s="35">
        <f>IF(L$3="市盈率PE",Data!B18,IF(L$3="市净率PB",Data!C18,IF(L$3="市销率PS",Data!D18,IF(L$3="股息率(近12个月)",))))</f>
        <v>66.347900390625</v>
      </c>
      <c r="G47" s="36"/>
      <c r="H47" s="35">
        <f>IF(L$3="市盈率PE",Data!H18,IF(L$3="市净率PB",Data!I18,IF(L$3="市销率PS",Data!J18,IF(L$3="股息率(近12个月)",))))</f>
        <v>23.357700347900391</v>
      </c>
      <c r="I47" s="36"/>
      <c r="J47" s="35">
        <f t="shared" si="0"/>
        <v>42.990200042724609</v>
      </c>
      <c r="K47" s="18"/>
      <c r="L47" s="18"/>
      <c r="M47" s="12"/>
      <c r="N47" s="5"/>
    </row>
    <row r="48" spans="1:17" ht="16.5" x14ac:dyDescent="0.2">
      <c r="A48" s="7"/>
      <c r="B48" s="19"/>
      <c r="C48" s="27"/>
      <c r="D48" s="31">
        <f>Data!A19</f>
        <v>44104</v>
      </c>
      <c r="E48" s="19"/>
      <c r="F48" s="33">
        <f>IF(L$3="市盈率PE",Data!B19,IF(L$3="市净率PB",Data!C19,IF(L$3="市销率PS",Data!D19,IF(L$3="股息率(近12个月)",))))</f>
        <v>62.364898681640625</v>
      </c>
      <c r="G48" s="34"/>
      <c r="H48" s="33">
        <f>IF(L$3="市盈率PE",Data!H19,IF(L$3="市净率PB",Data!I19,IF(L$3="市销率PS",Data!J19,IF(L$3="股息率(近12个月)",))))</f>
        <v>22.449600219726563</v>
      </c>
      <c r="I48" s="34"/>
      <c r="J48" s="33">
        <f t="shared" si="0"/>
        <v>39.915298461914063</v>
      </c>
      <c r="K48" s="19"/>
      <c r="L48" s="19"/>
      <c r="M48" s="12"/>
      <c r="N48" s="5"/>
    </row>
    <row r="49" spans="1:14" ht="16.5" x14ac:dyDescent="0.2">
      <c r="A49" s="7"/>
      <c r="B49" s="18"/>
      <c r="C49" s="28"/>
      <c r="D49" s="32">
        <f>Data!A20</f>
        <v>44012</v>
      </c>
      <c r="E49" s="18"/>
      <c r="F49" s="35">
        <f>IF(L$3="市盈率PE",Data!B20,IF(L$3="市净率PB",Data!C20,IF(L$3="市销率PS",Data!D20,IF(L$3="股息率(近12个月)",))))</f>
        <v>51.834098815917969</v>
      </c>
      <c r="G49" s="36"/>
      <c r="H49" s="35">
        <f>IF(L$3="市盈率PE",Data!H20,IF(L$3="市净率PB",Data!I20,IF(L$3="市销率PS",Data!J20,IF(L$3="股息率(近12个月)",))))</f>
        <v>19.623100280761719</v>
      </c>
      <c r="I49" s="36"/>
      <c r="J49" s="35">
        <f t="shared" si="0"/>
        <v>32.21099853515625</v>
      </c>
      <c r="K49" s="18"/>
      <c r="L49" s="18"/>
      <c r="M49" s="12"/>
      <c r="N49" s="5"/>
    </row>
    <row r="50" spans="1:14" ht="16.5" x14ac:dyDescent="0.2">
      <c r="A50" s="7"/>
      <c r="B50" s="19"/>
      <c r="C50" s="27"/>
      <c r="D50" s="31">
        <f>Data!A21</f>
        <v>43921</v>
      </c>
      <c r="E50" s="19"/>
      <c r="F50" s="33">
        <f>IF(L$3="市盈率PE",Data!B21,IF(L$3="市净率PB",Data!C21,IF(L$3="市销率PS",Data!D21,IF(L$3="股息率(近12个月)",))))</f>
        <v>27.21980094909668</v>
      </c>
      <c r="G50" s="34"/>
      <c r="H50" s="33">
        <f>IF(L$3="市盈率PE",Data!H21,IF(L$3="市净率PB",Data!I21,IF(L$3="市销率PS",Data!J21,IF(L$3="股息率(近12个月)",))))</f>
        <v>15.893500328063965</v>
      </c>
      <c r="I50" s="34"/>
      <c r="J50" s="33">
        <f t="shared" si="0"/>
        <v>11.326300621032715</v>
      </c>
      <c r="K50" s="19"/>
      <c r="L50" s="19"/>
      <c r="M50" s="12"/>
      <c r="N50" s="5"/>
    </row>
    <row r="51" spans="1:14" ht="16.5" x14ac:dyDescent="0.2">
      <c r="A51" s="7"/>
      <c r="B51" s="18"/>
      <c r="C51" s="28"/>
      <c r="D51" s="32">
        <f>Data!A22</f>
        <v>43830</v>
      </c>
      <c r="E51" s="18"/>
      <c r="F51" s="35">
        <f>IF(L$3="市盈率PE",Data!B22,IF(L$3="市净率PB",Data!C22,IF(L$3="市销率PS",Data!D22,IF(L$3="股息率(近12个月)",))))</f>
        <v>33.094501495361328</v>
      </c>
      <c r="G51" s="36"/>
      <c r="H51" s="35">
        <f>IF(L$3="市盈率PE",Data!H22,IF(L$3="市净率PB",Data!I22,IF(L$3="市销率PS",Data!J22,IF(L$3="股息率(近12个月)",))))</f>
        <v>17.497699737548828</v>
      </c>
      <c r="I51" s="36"/>
      <c r="J51" s="35">
        <f t="shared" si="0"/>
        <v>15.5968017578125</v>
      </c>
      <c r="K51" s="18"/>
      <c r="L51" s="18"/>
      <c r="M51" s="12"/>
      <c r="N51" s="5"/>
    </row>
    <row r="52" spans="1:14" ht="16.5" x14ac:dyDescent="0.2">
      <c r="A52" s="7"/>
      <c r="B52" s="19"/>
      <c r="C52" s="27"/>
      <c r="D52" s="31">
        <f>Data!A23</f>
        <v>43738</v>
      </c>
      <c r="E52" s="19"/>
      <c r="F52" s="33">
        <f>IF(L$3="市盈率PE",Data!B23,IF(L$3="市净率PB",Data!C23,IF(L$3="市销率PS",Data!D23,IF(L$3="股息率(近12个月)",))))</f>
        <v>31.177999496459961</v>
      </c>
      <c r="G52" s="34"/>
      <c r="H52" s="33">
        <f>IF(L$3="市盈率PE",Data!H23,IF(L$3="市净率PB",Data!I23,IF(L$3="市销率PS",Data!J23,IF(L$3="股息率(近12个月)",))))</f>
        <v>16.859600067138672</v>
      </c>
      <c r="I52" s="34"/>
      <c r="J52" s="33">
        <f t="shared" si="0"/>
        <v>14.318399429321289</v>
      </c>
      <c r="K52" s="19"/>
      <c r="L52" s="19"/>
      <c r="M52" s="12"/>
      <c r="N52" s="5"/>
    </row>
    <row r="53" spans="1:14" ht="16.5" x14ac:dyDescent="0.2">
      <c r="A53" s="7"/>
      <c r="B53" s="18"/>
      <c r="C53" s="28"/>
      <c r="D53" s="32">
        <f>Data!A24</f>
        <v>43646</v>
      </c>
      <c r="E53" s="18"/>
      <c r="F53" s="35">
        <f>IF(L$3="市盈率PE",Data!B24,IF(L$3="市净率PB",Data!C24,IF(L$3="市销率PS",Data!D24,IF(L$3="股息率(近12个月)",))))</f>
        <v>29.344900131225586</v>
      </c>
      <c r="G53" s="36"/>
      <c r="H53" s="35">
        <f>IF(L$3="市盈率PE",Data!H24,IF(L$3="市净率PB",Data!I24,IF(L$3="市销率PS",Data!J24,IF(L$3="股息率(近12个月)",))))</f>
        <v>17.122100830078125</v>
      </c>
      <c r="I53" s="36"/>
      <c r="J53" s="35">
        <f t="shared" si="0"/>
        <v>12.222799301147461</v>
      </c>
      <c r="K53" s="18"/>
      <c r="L53" s="18"/>
      <c r="M53" s="12"/>
      <c r="N53" s="5"/>
    </row>
    <row r="54" spans="1:14" ht="16.5" x14ac:dyDescent="0.2">
      <c r="A54" s="7"/>
      <c r="B54" s="19"/>
      <c r="C54" s="27"/>
      <c r="D54" s="31">
        <f>Data!A25</f>
        <v>43555</v>
      </c>
      <c r="E54" s="19"/>
      <c r="F54" s="33">
        <f>IF(L$3="市盈率PE",Data!B25,IF(L$3="市净率PB",Data!C25,IF(L$3="市销率PS",Data!D25,IF(L$3="股息率(近12个月)",))))</f>
        <v>22.936300277709961</v>
      </c>
      <c r="G54" s="34"/>
      <c r="H54" s="33">
        <f>IF(L$3="市盈率PE",Data!H25,IF(L$3="市净率PB",Data!I25,IF(L$3="市销率PS",Data!J25,IF(L$3="股息率(近12个月)",))))</f>
        <v>17.536300659179688</v>
      </c>
      <c r="I54" s="34"/>
      <c r="J54" s="33">
        <f t="shared" si="0"/>
        <v>5.3999996185302734</v>
      </c>
      <c r="K54" s="19"/>
      <c r="L54" s="19"/>
      <c r="M54" s="12"/>
      <c r="N54" s="5"/>
    </row>
    <row r="55" spans="1:14" ht="16.5" x14ac:dyDescent="0.2">
      <c r="A55" s="7"/>
      <c r="B55" s="18"/>
      <c r="C55" s="28"/>
      <c r="D55" s="32">
        <f>Data!A26</f>
        <v>43465</v>
      </c>
      <c r="E55" s="18"/>
      <c r="F55" s="35">
        <f>IF(L$3="市盈率PE",Data!B26,IF(L$3="市净率PB",Data!C26,IF(L$3="市销率PS",Data!D26,IF(L$3="股息率(近12个月)",))))</f>
        <v>15.654600143432617</v>
      </c>
      <c r="G55" s="36"/>
      <c r="H55" s="35">
        <f>IF(L$3="市盈率PE",Data!H26,IF(L$3="市净率PB",Data!I26,IF(L$3="市销率PS",Data!J26,IF(L$3="股息率(近12个月)",))))</f>
        <v>13.146100044250488</v>
      </c>
      <c r="I55" s="36"/>
      <c r="J55" s="35">
        <f t="shared" si="0"/>
        <v>2.5085000991821289</v>
      </c>
      <c r="K55" s="18"/>
      <c r="L55" s="18"/>
      <c r="M55" s="12"/>
      <c r="N55" s="5"/>
    </row>
    <row r="56" spans="1:14" ht="16.5" x14ac:dyDescent="0.2">
      <c r="A56" s="7"/>
      <c r="B56" s="19"/>
      <c r="C56" s="27"/>
      <c r="D56" s="31">
        <f>Data!A27</f>
        <v>43373</v>
      </c>
      <c r="E56" s="19"/>
      <c r="F56" s="33">
        <f>IF(L$3="市盈率PE",Data!B27,IF(L$3="市净率PB",Data!C27,IF(L$3="市销率PS",Data!D27,IF(L$3="股息率(近12个月)",))))</f>
        <v>17.632600784301758</v>
      </c>
      <c r="G56" s="34"/>
      <c r="H56" s="33">
        <f>IF(L$3="市盈率PE",Data!H27,IF(L$3="市净率PB",Data!I27,IF(L$3="市销率PS",Data!J27,IF(L$3="股息率(近12个月)",))))</f>
        <v>14.962699890136719</v>
      </c>
      <c r="I56" s="34"/>
      <c r="J56" s="33">
        <f t="shared" si="0"/>
        <v>2.6699008941650391</v>
      </c>
      <c r="K56" s="19"/>
      <c r="L56" s="19"/>
      <c r="M56" s="12"/>
      <c r="N56" s="5"/>
    </row>
    <row r="57" spans="1:14" ht="16.5" x14ac:dyDescent="0.2">
      <c r="A57" s="7"/>
      <c r="B57" s="18"/>
      <c r="C57" s="28"/>
      <c r="D57" s="32">
        <f>Data!A28</f>
        <v>43281</v>
      </c>
      <c r="E57" s="18"/>
      <c r="F57" s="35">
        <f>IF(L$3="市盈率PE",Data!B28,IF(L$3="市净率PB",Data!C28,IF(L$3="市销率PS",Data!D28,IF(L$3="股息率(近12个月)",))))</f>
        <v>20.957500457763672</v>
      </c>
      <c r="G57" s="36"/>
      <c r="H57" s="35">
        <f>IF(L$3="市盈率PE",Data!H28,IF(L$3="市净率PB",Data!I28,IF(L$3="市销率PS",Data!J28,IF(L$3="股息率(近12个月)",))))</f>
        <v>15.991900444030762</v>
      </c>
      <c r="I57" s="36"/>
      <c r="J57" s="35">
        <f t="shared" si="0"/>
        <v>4.9656000137329102</v>
      </c>
      <c r="K57" s="18"/>
      <c r="L57" s="18"/>
      <c r="M57" s="12"/>
      <c r="N57" s="5"/>
    </row>
    <row r="58" spans="1:14" ht="16.5" x14ac:dyDescent="0.2">
      <c r="A58" s="7"/>
      <c r="B58" s="19"/>
      <c r="C58" s="27"/>
      <c r="D58" s="31">
        <f>Data!A29</f>
        <v>43190</v>
      </c>
      <c r="E58" s="19"/>
      <c r="F58" s="33">
        <f>IF(L$3="市盈率PE",Data!B29,IF(L$3="市净率PB",Data!C29,IF(L$3="市销率PS",Data!D29,IF(L$3="股息率(近12个月)",))))</f>
        <v>23.665599822998047</v>
      </c>
      <c r="G58" s="34"/>
      <c r="H58" s="33">
        <f>IF(L$3="市盈率PE",Data!H29,IF(L$3="市净率PB",Data!I29,IF(L$3="市销率PS",Data!J29,IF(L$3="股息率(近12个月)",))))</f>
        <v>18.451799392700195</v>
      </c>
      <c r="I58" s="34"/>
      <c r="J58" s="33">
        <f t="shared" si="0"/>
        <v>5.2138004302978516</v>
      </c>
      <c r="K58" s="19"/>
      <c r="L58" s="19"/>
      <c r="M58" s="12"/>
      <c r="N58" s="5"/>
    </row>
    <row r="59" spans="1:14" ht="16.5" x14ac:dyDescent="0.2">
      <c r="A59" s="7"/>
      <c r="B59" s="18"/>
      <c r="C59" s="28"/>
      <c r="D59" s="32">
        <f>Data!A30</f>
        <v>43100</v>
      </c>
      <c r="E59" s="18"/>
      <c r="F59" s="35">
        <f>IF(L$3="市盈率PE",Data!B30,IF(L$3="市净率PB",Data!C30,IF(L$3="市销率PS",Data!D30,IF(L$3="股息率(近12个月)",))))</f>
        <v>24.760099411010742</v>
      </c>
      <c r="G59" s="36"/>
      <c r="H59" s="35">
        <f>IF(L$3="市盈率PE",Data!H30,IF(L$3="市净率PB",Data!I30,IF(L$3="市销率PS",Data!J30,IF(L$3="股息率(近12个月)",))))</f>
        <v>19.531200408935547</v>
      </c>
      <c r="I59" s="36"/>
      <c r="J59" s="35">
        <f t="shared" si="0"/>
        <v>5.2288990020751953</v>
      </c>
      <c r="K59" s="18"/>
      <c r="L59" s="18"/>
      <c r="M59" s="12"/>
      <c r="N59" s="5"/>
    </row>
    <row r="60" spans="1:14" ht="16.5" x14ac:dyDescent="0.2">
      <c r="A60" s="7"/>
      <c r="B60" s="19"/>
      <c r="C60" s="27"/>
      <c r="D60" s="31">
        <f>Data!A31</f>
        <v>43008</v>
      </c>
      <c r="E60" s="19"/>
      <c r="F60" s="33">
        <f>IF(L$3="市盈率PE",Data!B31,IF(L$3="市净率PB",Data!C31,IF(L$3="市销率PS",Data!D31,IF(L$3="股息率(近12个月)",))))</f>
        <v>26.341299057006836</v>
      </c>
      <c r="G60" s="34"/>
      <c r="H60" s="33">
        <f>IF(L$3="市盈率PE",Data!H31,IF(L$3="市净率PB",Data!I31,IF(L$3="市销率PS",Data!J31,IF(L$3="股息率(近12个月)",))))</f>
        <v>20.650800704956055</v>
      </c>
      <c r="I60" s="34"/>
      <c r="J60" s="33">
        <f t="shared" si="0"/>
        <v>5.6904983520507813</v>
      </c>
      <c r="K60" s="19"/>
      <c r="L60" s="19"/>
      <c r="M60" s="12"/>
      <c r="N60" s="5"/>
    </row>
    <row r="61" spans="1:14" ht="16.5" x14ac:dyDescent="0.2">
      <c r="A61" s="7"/>
      <c r="B61" s="18"/>
      <c r="C61" s="28"/>
      <c r="D61" s="32">
        <f>Data!A32</f>
        <v>42916</v>
      </c>
      <c r="E61" s="18"/>
      <c r="F61" s="35">
        <f>IF(L$3="市盈率PE",Data!B32,IF(L$3="市净率PB",Data!C32,IF(L$3="市销率PS",Data!D32,IF(L$3="股息率(近12个月)",))))</f>
        <v>26.85890007019043</v>
      </c>
      <c r="G61" s="36"/>
      <c r="H61" s="35">
        <f>IF(L$3="市盈率PE",Data!H32,IF(L$3="市净率PB",Data!I32,IF(L$3="市销率PS",Data!J32,IF(L$3="股息率(近12个月)",))))</f>
        <v>20.182399749755859</v>
      </c>
      <c r="I61" s="36"/>
      <c r="J61" s="35">
        <f t="shared" si="0"/>
        <v>6.6765003204345703</v>
      </c>
      <c r="K61" s="18"/>
      <c r="L61" s="18"/>
      <c r="M61" s="12"/>
      <c r="N61" s="5"/>
    </row>
    <row r="62" spans="1:14" ht="16.5" x14ac:dyDescent="0.2">
      <c r="A62" s="7"/>
      <c r="B62" s="19"/>
      <c r="C62" s="27"/>
      <c r="D62" s="31">
        <f>Data!A33</f>
        <v>42825</v>
      </c>
      <c r="E62" s="19"/>
      <c r="F62" s="33">
        <f>IF(L$3="市盈率PE",Data!B33,IF(L$3="市净率PB",Data!C33,IF(L$3="市销率PS",Data!D33,IF(L$3="股息率(近12个月)",))))</f>
        <v>29.36829948425293</v>
      </c>
      <c r="G62" s="34"/>
      <c r="H62" s="33">
        <f>IF(L$3="市盈率PE",Data!H33,IF(L$3="市净率PB",Data!I33,IF(L$3="市销率PS",Data!J33,IF(L$3="股息率(近12个月)",))))</f>
        <v>21.717800140380859</v>
      </c>
      <c r="I62" s="34"/>
      <c r="J62" s="33">
        <f t="shared" si="0"/>
        <v>7.6504993438720703</v>
      </c>
      <c r="K62" s="19"/>
      <c r="L62" s="19"/>
      <c r="M62" s="12"/>
      <c r="N62" s="5"/>
    </row>
    <row r="63" spans="1:14" ht="16.5" x14ac:dyDescent="0.2">
      <c r="A63" s="7"/>
      <c r="B63" s="18"/>
      <c r="C63" s="28"/>
      <c r="D63" s="32">
        <f>Data!A34</f>
        <v>42735</v>
      </c>
      <c r="E63" s="18"/>
      <c r="F63" s="35">
        <f>IF(L$3="市盈率PE",Data!B34,IF(L$3="市净率PB",Data!C34,IF(L$3="市销率PS",Data!D34,IF(L$3="股息率(近12个月)",))))</f>
        <v>29.02869987487793</v>
      </c>
      <c r="G63" s="36"/>
      <c r="H63" s="35">
        <f>IF(L$3="市盈率PE",Data!H34,IF(L$3="市净率PB",Data!I34,IF(L$3="市销率PS",Data!J34,IF(L$3="股息率(近12个月)",))))</f>
        <v>21.395599365234375</v>
      </c>
      <c r="I63" s="36"/>
      <c r="J63" s="35">
        <f t="shared" si="0"/>
        <v>7.6331005096435547</v>
      </c>
      <c r="K63" s="18"/>
      <c r="L63" s="18"/>
      <c r="M63" s="12"/>
      <c r="N63" s="5"/>
    </row>
    <row r="64" spans="1:14" ht="16.5" x14ac:dyDescent="0.2">
      <c r="A64" s="7"/>
      <c r="B64" s="19"/>
      <c r="C64" s="27"/>
      <c r="D64" s="31">
        <f>Data!A35</f>
        <v>42643</v>
      </c>
      <c r="E64" s="19"/>
      <c r="F64" s="33">
        <f>IF(L$3="市盈率PE",Data!B35,IF(L$3="市净率PB",Data!C35,IF(L$3="市销率PS",Data!D35,IF(L$3="股息率(近12个月)",))))</f>
        <v>30.359600067138672</v>
      </c>
      <c r="G64" s="34"/>
      <c r="H64" s="33">
        <f>IF(L$3="市盈率PE",Data!H35,IF(L$3="市净率PB",Data!I35,IF(L$3="市销率PS",Data!J35,IF(L$3="股息率(近12个月)",))))</f>
        <v>21.648899078369141</v>
      </c>
      <c r="I64" s="34"/>
      <c r="J64" s="33">
        <f t="shared" si="0"/>
        <v>8.7107009887695313</v>
      </c>
      <c r="K64" s="19"/>
      <c r="L64" s="19"/>
      <c r="M64" s="12"/>
      <c r="N64" s="5"/>
    </row>
    <row r="65" spans="1:14" ht="16.5" x14ac:dyDescent="0.2">
      <c r="A65" s="7"/>
      <c r="B65" s="18"/>
      <c r="C65" s="28"/>
      <c r="D65" s="32">
        <f>Data!A36</f>
        <v>42551</v>
      </c>
      <c r="E65" s="18"/>
      <c r="F65" s="35">
        <f>IF(L$3="市盈率PE",Data!B36,IF(L$3="市净率PB",Data!C36,IF(L$3="市销率PS",Data!D36,IF(L$3="股息率(近12个月)",))))</f>
        <v>29.759000778198242</v>
      </c>
      <c r="G65" s="36"/>
      <c r="H65" s="35">
        <f>IF(L$3="市盈率PE",Data!H36,IF(L$3="市净率PB",Data!I36,IF(L$3="市销率PS",Data!J36,IF(L$3="股息率(近12个月)",))))</f>
        <v>20.452600479125977</v>
      </c>
      <c r="I65" s="36"/>
      <c r="J65" s="35">
        <f t="shared" si="0"/>
        <v>9.3064002990722656</v>
      </c>
      <c r="K65" s="18"/>
      <c r="L65" s="18"/>
      <c r="M65" s="12"/>
      <c r="N65" s="5"/>
    </row>
    <row r="66" spans="1:14" ht="16.5" x14ac:dyDescent="0.2">
      <c r="A66" s="7"/>
      <c r="B66" s="19"/>
      <c r="C66" s="27"/>
      <c r="D66" s="31">
        <f>Data!A37</f>
        <v>42460</v>
      </c>
      <c r="E66" s="19"/>
      <c r="F66" s="33">
        <f>IF(L$3="市盈率PE",Data!B37,IF(L$3="市净率PB",Data!C37,IF(L$3="市销率PS",Data!D37,IF(L$3="股息率(近12个月)",))))</f>
        <v>30.943700790405273</v>
      </c>
      <c r="G66" s="34"/>
      <c r="H66" s="33">
        <f>IF(L$3="市盈率PE",Data!H37,IF(L$3="市净率PB",Data!I37,IF(L$3="市销率PS",Data!J37,IF(L$3="股息率(近12个月)",))))</f>
        <v>19.714700698852539</v>
      </c>
      <c r="I66" s="34"/>
      <c r="J66" s="33">
        <f t="shared" si="0"/>
        <v>11.229000091552734</v>
      </c>
      <c r="K66" s="19"/>
      <c r="L66" s="19"/>
      <c r="M66" s="12"/>
      <c r="N66" s="5"/>
    </row>
    <row r="67" spans="1:14" ht="16.5" x14ac:dyDescent="0.2">
      <c r="A67" s="7"/>
      <c r="B67" s="18"/>
      <c r="C67" s="28"/>
      <c r="D67" s="32">
        <f>Data!A38</f>
        <v>42369</v>
      </c>
      <c r="E67" s="18"/>
      <c r="F67" s="35">
        <f>IF(L$3="市盈率PE",Data!B38,IF(L$3="市净率PB",Data!C38,IF(L$3="市销率PS",Data!D38,IF(L$3="股息率(近12个月)",))))</f>
        <v>38.066898345947266</v>
      </c>
      <c r="G67" s="36"/>
      <c r="H67" s="35">
        <f>IF(L$3="市盈率PE",Data!H38,IF(L$3="市净率PB",Data!I38,IF(L$3="市销率PS",Data!J38,IF(L$3="股息率(近12个月)",))))</f>
        <v>23.154800415039063</v>
      </c>
      <c r="I67" s="36"/>
      <c r="J67" s="35">
        <f t="shared" si="0"/>
        <v>14.912097930908203</v>
      </c>
      <c r="K67" s="18"/>
      <c r="L67" s="18"/>
      <c r="M67" s="12"/>
      <c r="N67" s="5"/>
    </row>
    <row r="68" spans="1:14" ht="16.5" x14ac:dyDescent="0.2">
      <c r="A68" s="7"/>
      <c r="B68" s="19"/>
      <c r="C68" s="27"/>
      <c r="D68" s="31">
        <f>Data!A39</f>
        <v>42277</v>
      </c>
      <c r="E68" s="19"/>
      <c r="F68" s="33">
        <f>IF(L$3="市盈率PE",Data!B39,IF(L$3="市净率PB",Data!C39,IF(L$3="市销率PS",Data!D39,IF(L$3="股息率(近12个月)",))))</f>
        <v>28.577299118041992</v>
      </c>
      <c r="G68" s="34"/>
      <c r="H68" s="33">
        <f>IF(L$3="市盈率PE",Data!H39,IF(L$3="市净率PB",Data!I39,IF(L$3="市销率PS",Data!J39,IF(L$3="股息率(近12个月)",))))</f>
        <v>18.037300109863281</v>
      </c>
      <c r="I68" s="34"/>
      <c r="J68" s="33">
        <f t="shared" si="0"/>
        <v>10.539999008178711</v>
      </c>
      <c r="K68" s="19"/>
      <c r="L68" s="19"/>
      <c r="M68" s="12"/>
      <c r="N68" s="5"/>
    </row>
    <row r="69" spans="1:14" ht="16.5" x14ac:dyDescent="0.2">
      <c r="A69" s="7"/>
      <c r="B69" s="18"/>
      <c r="C69" s="28"/>
      <c r="D69" s="32">
        <f>Data!A40</f>
        <v>42185</v>
      </c>
      <c r="E69" s="18"/>
      <c r="F69" s="35">
        <f>IF(L$3="市盈率PE",Data!B40,IF(L$3="市净率PB",Data!C40,IF(L$3="市销率PS",Data!D40,IF(L$3="股息率(近12个月)",))))</f>
        <v>39.447700500488281</v>
      </c>
      <c r="G69" s="36"/>
      <c r="H69" s="35">
        <f>IF(L$3="市盈率PE",Data!H40,IF(L$3="市净率PB",Data!I40,IF(L$3="市销率PS",Data!J40,IF(L$3="股息率(近12个月)",))))</f>
        <v>26.229000091552734</v>
      </c>
      <c r="I69" s="36"/>
      <c r="J69" s="35">
        <f t="shared" si="0"/>
        <v>13.218700408935547</v>
      </c>
      <c r="K69" s="18"/>
      <c r="L69" s="18"/>
      <c r="M69" s="12"/>
      <c r="N69" s="5"/>
    </row>
    <row r="70" spans="1:14" ht="16.5" x14ac:dyDescent="0.2">
      <c r="A70" s="7"/>
      <c r="B70" s="19"/>
      <c r="C70" s="27"/>
      <c r="D70" s="31">
        <f>Data!A41</f>
        <v>42094</v>
      </c>
      <c r="E70" s="19"/>
      <c r="F70" s="33">
        <f>IF(L$3="市盈率PE",Data!B41,IF(L$3="市净率PB",Data!C41,IF(L$3="市销率PS",Data!D41,IF(L$3="股息率(近12个月)",))))</f>
        <v>31.37700080871582</v>
      </c>
      <c r="G70" s="34"/>
      <c r="H70" s="33">
        <f>IF(L$3="市盈率PE",Data!H41,IF(L$3="市净率PB",Data!I41,IF(L$3="市销率PS",Data!J41,IF(L$3="股息率(近12个月)",))))</f>
        <v>21.798700332641602</v>
      </c>
      <c r="I70" s="34"/>
      <c r="J70" s="33">
        <f t="shared" ref="J70:J77" si="1">IFERROR(IF(L$4="绝对差额",F70-H70,IF(L$4="比值",F70/H70,)),0)</f>
        <v>9.5783004760742188</v>
      </c>
      <c r="K70" s="19"/>
      <c r="L70" s="19"/>
      <c r="M70" s="12"/>
      <c r="N70" s="5"/>
    </row>
    <row r="71" spans="1:14" ht="16.5" x14ac:dyDescent="0.2">
      <c r="A71" s="7"/>
      <c r="B71" s="18"/>
      <c r="C71" s="28"/>
      <c r="D71" s="32">
        <f>Data!A42</f>
        <v>42004</v>
      </c>
      <c r="E71" s="18"/>
      <c r="F71" s="35">
        <f>IF(L$3="市盈率PE",Data!B42,IF(L$3="市净率PB",Data!C42,IF(L$3="市销率PS",Data!D42,IF(L$3="股息率(近12个月)",))))</f>
        <v>23.560699462890625</v>
      </c>
      <c r="G71" s="36"/>
      <c r="H71" s="35">
        <f>IF(L$3="市盈率PE",Data!H42,IF(L$3="市净率PB",Data!I42,IF(L$3="市销率PS",Data!J42,IF(L$3="股息率(近12个月)",))))</f>
        <v>17.426200866699219</v>
      </c>
      <c r="I71" s="36"/>
      <c r="J71" s="35">
        <f t="shared" si="1"/>
        <v>6.1344985961914063</v>
      </c>
      <c r="K71" s="18"/>
      <c r="L71" s="18"/>
      <c r="M71" s="12"/>
      <c r="N71" s="5"/>
    </row>
    <row r="72" spans="1:14" ht="16.5" x14ac:dyDescent="0.2">
      <c r="A72" s="7"/>
      <c r="B72" s="19"/>
      <c r="C72" s="27"/>
      <c r="D72" s="31">
        <f>Data!A43</f>
        <v>41912</v>
      </c>
      <c r="E72" s="19"/>
      <c r="F72" s="33">
        <f>IF(L$3="市盈率PE",Data!B43,IF(L$3="市净率PB",Data!C43,IF(L$3="市销率PS",Data!D43,IF(L$3="股息率(近12个月)",))))</f>
        <v>22.5177001953125</v>
      </c>
      <c r="G72" s="34"/>
      <c r="H72" s="33">
        <f>IF(L$3="市盈率PE",Data!H43,IF(L$3="市净率PB",Data!I43,IF(L$3="市销率PS",Data!J43,IF(L$3="股息率(近12个月)",))))</f>
        <v>13.692299842834473</v>
      </c>
      <c r="I72" s="34"/>
      <c r="J72" s="33">
        <f t="shared" si="1"/>
        <v>8.8254003524780273</v>
      </c>
      <c r="K72" s="19"/>
      <c r="L72" s="19"/>
      <c r="M72" s="12"/>
      <c r="N72" s="5"/>
    </row>
    <row r="73" spans="1:14" ht="16.5" x14ac:dyDescent="0.2">
      <c r="A73" s="7"/>
      <c r="B73" s="18"/>
      <c r="C73" s="28"/>
      <c r="D73" s="32">
        <f>Data!A44</f>
        <v>41820</v>
      </c>
      <c r="E73" s="18"/>
      <c r="F73" s="35">
        <f>IF(L$3="市盈率PE",Data!B44,IF(L$3="市净率PB",Data!C44,IF(L$3="市销率PS",Data!D44,IF(L$3="股息率(近12个月)",))))</f>
        <v>19.410499572753906</v>
      </c>
      <c r="G73" s="36"/>
      <c r="H73" s="35">
        <f>IF(L$3="市盈率PE",Data!H44,IF(L$3="市净率PB",Data!I44,IF(L$3="市销率PS",Data!J44,IF(L$3="股息率(近12个月)",))))</f>
        <v>11.942500114440918</v>
      </c>
      <c r="I73" s="36"/>
      <c r="J73" s="35">
        <f t="shared" si="1"/>
        <v>7.4679994583129883</v>
      </c>
      <c r="K73" s="18"/>
      <c r="L73" s="18"/>
      <c r="M73" s="12"/>
      <c r="N73" s="5"/>
    </row>
    <row r="74" spans="1:14" ht="16.5" x14ac:dyDescent="0.2">
      <c r="A74" s="7"/>
      <c r="B74" s="19"/>
      <c r="C74" s="27"/>
      <c r="D74" s="31">
        <f>Data!A45</f>
        <v>41729</v>
      </c>
      <c r="E74" s="19"/>
      <c r="F74" s="33">
        <f>IF(L$3="市盈率PE",Data!B45,IF(L$3="市净率PB",Data!C45,IF(L$3="市销率PS",Data!D45,IF(L$3="股息率(近12个月)",))))</f>
        <v>20.078899383544922</v>
      </c>
      <c r="G74" s="34"/>
      <c r="H74" s="33">
        <f>IF(L$3="市盈率PE",Data!H45,IF(L$3="市净率PB",Data!I45,IF(L$3="市销率PS",Data!J45,IF(L$3="股息率(近12个月)",))))</f>
        <v>11.83430004119873</v>
      </c>
      <c r="I74" s="34"/>
      <c r="J74" s="33">
        <f t="shared" si="1"/>
        <v>8.2445993423461914</v>
      </c>
      <c r="K74" s="19"/>
      <c r="L74" s="19"/>
      <c r="M74" s="12"/>
      <c r="N74" s="5"/>
    </row>
    <row r="75" spans="1:14" ht="16.5" x14ac:dyDescent="0.2">
      <c r="A75" s="7"/>
      <c r="B75" s="18"/>
      <c r="C75" s="28"/>
      <c r="D75" s="32">
        <f>Data!A46</f>
        <v>41639</v>
      </c>
      <c r="E75" s="18"/>
      <c r="F75" s="35">
        <f>IF(L$3="市盈率PE",Data!B46,IF(L$3="市净率PB",Data!C46,IF(L$3="市销率PS",Data!D46,IF(L$3="股息率(近12个月)",))))</f>
        <v>20.651199340820313</v>
      </c>
      <c r="G75" s="36"/>
      <c r="H75" s="35">
        <f>IF(L$3="市盈率PE",Data!H46,IF(L$3="市净率PB",Data!I46,IF(L$3="市销率PS",Data!J46,IF(L$3="股息率(近12个月)",))))</f>
        <v>12.412899971008301</v>
      </c>
      <c r="I75" s="36"/>
      <c r="J75" s="35">
        <f t="shared" si="1"/>
        <v>8.2382993698120117</v>
      </c>
      <c r="K75" s="18"/>
      <c r="L75" s="18"/>
      <c r="M75" s="12"/>
      <c r="N75" s="5"/>
    </row>
    <row r="76" spans="1:14" ht="16.5" x14ac:dyDescent="0.2">
      <c r="A76" s="7"/>
      <c r="B76" s="19"/>
      <c r="C76" s="27"/>
      <c r="D76" s="31">
        <f>Data!A47</f>
        <v>41547</v>
      </c>
      <c r="E76" s="19"/>
      <c r="F76" s="33">
        <f>IF(L$3="市盈率PE",Data!B47,IF(L$3="市净率PB",Data!C47,IF(L$3="市销率PS",Data!D47,IF(L$3="股息率(近12个月)",))))</f>
        <v>22.863800048828125</v>
      </c>
      <c r="G76" s="34"/>
      <c r="H76" s="33">
        <f>IF(L$3="市盈率PE",Data!H47,IF(L$3="市净率PB",Data!I47,IF(L$3="市销率PS",Data!J47,IF(L$3="股息率(近12个月)",))))</f>
        <v>13.167099952697754</v>
      </c>
      <c r="I76" s="34"/>
      <c r="J76" s="33">
        <f t="shared" si="1"/>
        <v>9.6967000961303711</v>
      </c>
      <c r="K76" s="19"/>
      <c r="L76" s="19"/>
      <c r="M76" s="12"/>
      <c r="N76" s="5"/>
    </row>
    <row r="77" spans="1:14" ht="16.5" x14ac:dyDescent="0.2">
      <c r="A77" s="7"/>
      <c r="B77" s="18"/>
      <c r="C77" s="28"/>
      <c r="D77" s="32">
        <f>Data!A48</f>
        <v>41455</v>
      </c>
      <c r="E77" s="18"/>
      <c r="F77" s="35">
        <f>IF(L$3="市盈率PE",Data!B48,IF(L$3="市净率PB",Data!C48,IF(L$3="市销率PS",Data!D48,IF(L$3="股息率(近12个月)",))))</f>
        <v>18.500600814819336</v>
      </c>
      <c r="G77" s="36"/>
      <c r="H77" s="35">
        <f>IF(L$3="市盈率PE",Data!H48,IF(L$3="市净率PB",Data!I48,IF(L$3="市销率PS",Data!J48,IF(L$3="股息率(近12个月)",))))</f>
        <v>12.123000144958496</v>
      </c>
      <c r="I77" s="36"/>
      <c r="J77" s="35">
        <f t="shared" si="1"/>
        <v>6.3776006698608398</v>
      </c>
      <c r="K77" s="18"/>
      <c r="L77" s="18"/>
      <c r="M77" s="12"/>
      <c r="N77" s="5"/>
    </row>
    <row r="78" spans="1:14" ht="16.5" x14ac:dyDescent="0.2">
      <c r="A78" s="7"/>
      <c r="B78" s="19"/>
      <c r="C78" s="27"/>
      <c r="D78" s="31">
        <f>Data!A49</f>
        <v>41364</v>
      </c>
      <c r="E78" s="19"/>
      <c r="F78" s="33">
        <f>IF(L$3="市盈率PE",Data!B49,IF(L$3="市净率PB",Data!C49,IF(L$3="市销率PS",Data!D49,IF(L$3="股息率(近12个月)",))))</f>
        <v>19.552700042724609</v>
      </c>
      <c r="G78" s="34"/>
      <c r="H78" s="33">
        <f>IF(L$3="市盈率PE",Data!H49,IF(L$3="市净率PB",Data!I49,IF(L$3="市销率PS",Data!J49,IF(L$3="股息率(近12个月)",))))</f>
        <v>13.761599540710449</v>
      </c>
      <c r="I78" s="34"/>
      <c r="J78" s="33">
        <f t="shared" ref="J78:J83" si="2">IFERROR(IF(L$4="绝对差额",F78-H78,IF(L$4="比值",F78/H78,)),0)</f>
        <v>5.7911005020141602</v>
      </c>
      <c r="K78" s="19"/>
      <c r="L78" s="19"/>
      <c r="M78" s="12"/>
      <c r="N78" s="5"/>
    </row>
    <row r="79" spans="1:14" ht="16.5" x14ac:dyDescent="0.2">
      <c r="A79" s="7"/>
      <c r="B79" s="18"/>
      <c r="C79" s="28"/>
      <c r="D79" s="32">
        <f>Data!A50</f>
        <v>41274</v>
      </c>
      <c r="E79" s="18"/>
      <c r="F79" s="35">
        <f>IF(L$3="市盈率PE",Data!B50,IF(L$3="市净率PB",Data!C50,IF(L$3="市销率PS",Data!D50,IF(L$3="股息率(近12个月)",))))</f>
        <v>18.301200866699219</v>
      </c>
      <c r="G79" s="36"/>
      <c r="H79" s="35">
        <f>IF(L$3="市盈率PE",Data!H50,IF(L$3="市净率PB",Data!I50,IF(L$3="市销率PS",Data!J50,IF(L$3="股息率(近12个月)",))))</f>
        <v>13.884900093078613</v>
      </c>
      <c r="I79" s="36"/>
      <c r="J79" s="35">
        <f t="shared" si="2"/>
        <v>4.4163007736206055</v>
      </c>
      <c r="K79" s="18"/>
      <c r="L79" s="18"/>
      <c r="M79" s="12"/>
      <c r="N79" s="5"/>
    </row>
    <row r="80" spans="1:14" ht="16.5" x14ac:dyDescent="0.2">
      <c r="A80" s="7"/>
      <c r="B80" s="19"/>
      <c r="C80" s="27"/>
      <c r="D80" s="31">
        <f>Data!A51</f>
        <v>41182</v>
      </c>
      <c r="E80" s="19"/>
      <c r="F80" s="33">
        <f>IF(L$3="市盈率PE",Data!B51,IF(L$3="市净率PB",Data!C51,IF(L$3="市销率PS",Data!D51,IF(L$3="股息率(近12个月)",))))</f>
        <v>16.596900939941406</v>
      </c>
      <c r="G80" s="34"/>
      <c r="H80" s="33">
        <f>IF(L$3="市盈率PE",Data!H51,IF(L$3="市净率PB",Data!I51,IF(L$3="市销率PS",Data!J51,IF(L$3="股息率(近12个月)",))))</f>
        <v>12.708800315856934</v>
      </c>
      <c r="I80" s="34"/>
      <c r="J80" s="33">
        <f t="shared" si="2"/>
        <v>3.8881006240844727</v>
      </c>
      <c r="K80" s="19"/>
      <c r="L80" s="19"/>
      <c r="M80" s="12"/>
      <c r="N80" s="5"/>
    </row>
    <row r="81" spans="1:14" ht="16.5" x14ac:dyDescent="0.2">
      <c r="A81" s="7"/>
      <c r="B81" s="18"/>
      <c r="C81" s="28"/>
      <c r="D81" s="32">
        <f>Data!A52</f>
        <v>41090</v>
      </c>
      <c r="E81" s="18"/>
      <c r="F81" s="35">
        <f>IF(L$3="市盈率PE",Data!B52,IF(L$3="市净率PB",Data!C52,IF(L$3="市销率PS",Data!D52,IF(L$3="股息率(近12个月)",))))</f>
        <v>17.942300796508789</v>
      </c>
      <c r="G81" s="36"/>
      <c r="H81" s="35">
        <f>IF(L$3="市盈率PE",Data!H52,IF(L$3="市净率PB",Data!I52,IF(L$3="市销率PS",Data!J52,IF(L$3="股息率(近12个月)",))))</f>
        <v>13.441800117492676</v>
      </c>
      <c r="I81" s="36"/>
      <c r="J81" s="35">
        <f t="shared" si="2"/>
        <v>4.5005006790161133</v>
      </c>
      <c r="K81" s="18"/>
      <c r="L81" s="18"/>
      <c r="M81" s="12"/>
      <c r="N81" s="5"/>
    </row>
    <row r="82" spans="1:14" ht="16.5" x14ac:dyDescent="0.2">
      <c r="A82" s="7"/>
      <c r="B82" s="19"/>
      <c r="C82" s="27"/>
      <c r="D82" s="31">
        <f>Data!A53</f>
        <v>40999</v>
      </c>
      <c r="E82" s="19"/>
      <c r="F82" s="33">
        <f>IF(L$3="市盈率PE",Data!B53,IF(L$3="市净率PB",Data!C53,IF(L$3="市销率PS",Data!D53,IF(L$3="股息率(近12个月)",))))</f>
        <v>18.122299194335938</v>
      </c>
      <c r="G82" s="34"/>
      <c r="H82" s="33">
        <f>IF(L$3="市盈率PE",Data!H53,IF(L$3="市净率PB",Data!I53,IF(L$3="市销率PS",Data!J53,IF(L$3="股息率(近12个月)",))))</f>
        <v>13.497799873352051</v>
      </c>
      <c r="I82" s="34"/>
      <c r="J82" s="33">
        <f t="shared" si="2"/>
        <v>4.6244993209838867</v>
      </c>
      <c r="K82" s="19"/>
      <c r="L82" s="19"/>
      <c r="M82" s="12"/>
      <c r="N82" s="5"/>
    </row>
    <row r="83" spans="1:14" ht="16.5" x14ac:dyDescent="0.2">
      <c r="A83" s="7"/>
      <c r="B83" s="18"/>
      <c r="C83" s="28"/>
      <c r="D83" s="32">
        <f>Data!A54</f>
        <v>40908</v>
      </c>
      <c r="E83" s="18"/>
      <c r="F83" s="35">
        <f>IF(L$3="市盈率PE",Data!B54,IF(L$3="市净率PB",Data!C54,IF(L$3="市销率PS",Data!D54,IF(L$3="股息率(近12个月)",))))</f>
        <v>17.269100189208984</v>
      </c>
      <c r="G83" s="36"/>
      <c r="H83" s="35">
        <f>IF(L$3="市盈率PE",Data!H54,IF(L$3="市净率PB",Data!I54,IF(L$3="市销率PS",Data!J54,IF(L$3="股息率(近12个月)",))))</f>
        <v>12.88129997253418</v>
      </c>
      <c r="I83" s="36"/>
      <c r="J83" s="35">
        <f t="shared" si="2"/>
        <v>4.3878002166748047</v>
      </c>
      <c r="K83" s="18"/>
      <c r="L83" s="18"/>
      <c r="M83" s="12"/>
      <c r="N83" s="5"/>
    </row>
    <row r="84" spans="1:14" ht="16.5" x14ac:dyDescent="0.2">
      <c r="A84" s="7"/>
      <c r="B84" s="19"/>
      <c r="C84" s="27"/>
      <c r="D84" s="31">
        <f>Data!A55</f>
        <v>40816</v>
      </c>
      <c r="E84" s="19"/>
      <c r="F84" s="33">
        <f>IF(L$3="市盈率PE",Data!B55,IF(L$3="市净率PB",Data!C55,IF(L$3="市销率PS",Data!D55,IF(L$3="股息率(近12个月)",))))</f>
        <v>20.445699691772461</v>
      </c>
      <c r="G84" s="34"/>
      <c r="H84" s="33">
        <f>IF(L$3="市盈率PE",Data!H55,IF(L$3="市净率PB",Data!I55,IF(L$3="市销率PS",Data!J55,IF(L$3="股息率(近12个月)",))))</f>
        <v>14.235199928283691</v>
      </c>
      <c r="I84" s="34"/>
      <c r="J84" s="33">
        <f t="shared" ref="J84:J93" si="3">IFERROR(IF(L$4="绝对差额",F84-H84,IF(L$4="比值",F84/H84,)),0)</f>
        <v>6.2104997634887695</v>
      </c>
      <c r="K84" s="19"/>
      <c r="L84" s="19"/>
      <c r="M84" s="12"/>
      <c r="N84" s="5"/>
    </row>
    <row r="85" spans="1:14" ht="16.5" x14ac:dyDescent="0.2">
      <c r="A85" s="7"/>
      <c r="B85" s="18"/>
      <c r="C85" s="28"/>
      <c r="D85" s="32">
        <f>Data!A56</f>
        <v>40724</v>
      </c>
      <c r="E85" s="18"/>
      <c r="F85" s="35">
        <f>IF(L$3="市盈率PE",Data!B56,IF(L$3="市净率PB",Data!C56,IF(L$3="市销率PS",Data!D56,IF(L$3="股息率(近12个月)",))))</f>
        <v>23.953800201416016</v>
      </c>
      <c r="G85" s="36"/>
      <c r="H85" s="35">
        <f>IF(L$3="市盈率PE",Data!H56,IF(L$3="市净率PB",Data!I56,IF(L$3="市销率PS",Data!J56,IF(L$3="股息率(近12个月)",))))</f>
        <v>17.222700119018555</v>
      </c>
      <c r="I85" s="36"/>
      <c r="J85" s="35">
        <f t="shared" si="3"/>
        <v>6.7311000823974609</v>
      </c>
      <c r="K85" s="18"/>
      <c r="L85" s="18"/>
      <c r="M85" s="12"/>
      <c r="N85" s="5"/>
    </row>
    <row r="86" spans="1:14" ht="16.5" x14ac:dyDescent="0.2">
      <c r="A86" s="7"/>
      <c r="B86" s="19"/>
      <c r="C86" s="27"/>
      <c r="D86" s="31">
        <f>Data!A57</f>
        <v>40633</v>
      </c>
      <c r="E86" s="19"/>
      <c r="F86" s="33">
        <f>IF(L$3="市盈率PE",Data!B57,IF(L$3="市净率PB",Data!C57,IF(L$3="市销率PS",Data!D57,IF(L$3="股息率(近12个月)",))))</f>
        <v>27.986600875854492</v>
      </c>
      <c r="G86" s="34"/>
      <c r="H86" s="33">
        <f>IF(L$3="市盈率PE",Data!H57,IF(L$3="市净率PB",Data!I57,IF(L$3="市销率PS",Data!J57,IF(L$3="股息率(近12个月)",))))</f>
        <v>19.33489990234375</v>
      </c>
      <c r="I86" s="34"/>
      <c r="J86" s="33">
        <f t="shared" si="3"/>
        <v>8.6517009735107422</v>
      </c>
      <c r="K86" s="19"/>
      <c r="L86" s="19"/>
      <c r="M86" s="12"/>
      <c r="N86" s="5"/>
    </row>
    <row r="87" spans="1:14" ht="16.5" x14ac:dyDescent="0.2">
      <c r="A87" s="7"/>
      <c r="B87" s="18"/>
      <c r="C87" s="28"/>
      <c r="D87" s="32">
        <f>Data!A58</f>
        <v>40543</v>
      </c>
      <c r="E87" s="18"/>
      <c r="F87" s="35">
        <f>IF(L$3="市盈率PE",Data!B58,IF(L$3="市净率PB",Data!C58,IF(L$3="市销率PS",Data!D58,IF(L$3="股息率(近12个月)",))))</f>
        <v>29.198999404907227</v>
      </c>
      <c r="G87" s="36"/>
      <c r="H87" s="35">
        <f>IF(L$3="市盈率PE",Data!H58,IF(L$3="市净率PB",Data!I58,IF(L$3="市销率PS",Data!J58,IF(L$3="股息率(近12个月)",))))</f>
        <v>20.078800201416016</v>
      </c>
      <c r="I87" s="36"/>
      <c r="J87" s="35">
        <f t="shared" si="3"/>
        <v>9.1201992034912109</v>
      </c>
      <c r="K87" s="18"/>
      <c r="L87" s="18"/>
      <c r="M87" s="12"/>
      <c r="N87" s="5"/>
    </row>
    <row r="88" spans="1:14" ht="16.5" x14ac:dyDescent="0.2">
      <c r="A88" s="7"/>
      <c r="B88" s="19"/>
      <c r="C88" s="27"/>
      <c r="D88" s="31">
        <f>Data!A59</f>
        <v>40451</v>
      </c>
      <c r="E88" s="19"/>
      <c r="F88" s="33">
        <f>IF(L$3="市盈率PE",Data!B59,IF(L$3="市净率PB",Data!C59,IF(L$3="市销率PS",Data!D59,IF(L$3="股息率(近12个月)",))))</f>
        <v>30.467399597167969</v>
      </c>
      <c r="G88" s="34"/>
      <c r="H88" s="33">
        <f>IF(L$3="市盈率PE",Data!H59,IF(L$3="市净率PB",Data!I59,IF(L$3="市销率PS",Data!J59,IF(L$3="股息率(近12个月)",))))</f>
        <v>19.477100372314453</v>
      </c>
      <c r="I88" s="34"/>
      <c r="J88" s="33">
        <f t="shared" si="3"/>
        <v>10.990299224853516</v>
      </c>
      <c r="K88" s="19"/>
      <c r="L88" s="19"/>
      <c r="M88" s="12"/>
      <c r="N88" s="5"/>
    </row>
    <row r="89" spans="1:14" ht="16.5" x14ac:dyDescent="0.2">
      <c r="A89" s="7"/>
      <c r="B89" s="18"/>
      <c r="C89" s="28"/>
      <c r="D89" s="32">
        <f>Data!A60</f>
        <v>40359</v>
      </c>
      <c r="E89" s="18"/>
      <c r="F89" s="35">
        <f>IF(L$3="市盈率PE",Data!B60,IF(L$3="市净率PB",Data!C60,IF(L$3="市销率PS",Data!D60,IF(L$3="股息率(近12个月)",))))</f>
        <v>26.169000625610352</v>
      </c>
      <c r="G89" s="36"/>
      <c r="H89" s="35">
        <f>IF(L$3="市盈率PE",Data!H60,IF(L$3="市净率PB",Data!I60,IF(L$3="市销率PS",Data!J60,IF(L$3="股息率(近12个月)",))))</f>
        <v>18.745199203491211</v>
      </c>
      <c r="I89" s="36"/>
      <c r="J89" s="35">
        <f t="shared" si="3"/>
        <v>7.4238014221191406</v>
      </c>
      <c r="K89" s="18"/>
      <c r="L89" s="18"/>
      <c r="M89" s="12"/>
      <c r="N89" s="5"/>
    </row>
    <row r="90" spans="1:14" ht="16.5" x14ac:dyDescent="0.2">
      <c r="A90" s="7"/>
      <c r="B90" s="19"/>
      <c r="C90" s="27"/>
      <c r="D90" s="31">
        <f>Data!A61</f>
        <v>40268</v>
      </c>
      <c r="E90" s="19"/>
      <c r="F90" s="33">
        <f>IF(L$3="市盈率PE",Data!B61,IF(L$3="市净率PB",Data!C61,IF(L$3="市销率PS",Data!D61,IF(L$3="股息率(近12个月)",))))</f>
        <v>45.478099822998047</v>
      </c>
      <c r="G90" s="34"/>
      <c r="H90" s="33">
        <f>IF(L$3="市盈率PE",Data!H61,IF(L$3="市净率PB",Data!I61,IF(L$3="市销率PS",Data!J61,IF(L$3="股息率(近12个月)",))))</f>
        <v>30.253400802612305</v>
      </c>
      <c r="I90" s="34"/>
      <c r="J90" s="33">
        <f t="shared" si="3"/>
        <v>15.224699020385742</v>
      </c>
      <c r="K90" s="19"/>
      <c r="L90" s="19"/>
      <c r="M90" s="12"/>
      <c r="N90" s="5"/>
    </row>
    <row r="91" spans="1:14" ht="16.5" x14ac:dyDescent="0.2">
      <c r="A91" s="7"/>
      <c r="B91" s="18"/>
      <c r="C91" s="28"/>
      <c r="D91" s="32">
        <f>Data!A62</f>
        <v>40178</v>
      </c>
      <c r="E91" s="18"/>
      <c r="F91" s="35">
        <f>IF(L$3="市盈率PE",Data!B62,IF(L$3="市净率PB",Data!C62,IF(L$3="市销率PS",Data!D62,IF(L$3="股息率(近12个月)",))))</f>
        <v>57.970600128173828</v>
      </c>
      <c r="G91" s="36"/>
      <c r="H91" s="35">
        <f>IF(L$3="市盈率PE",Data!H62,IF(L$3="市净率PB",Data!I62,IF(L$3="市销率PS",Data!J62,IF(L$3="股息率(近12个月)",))))</f>
        <v>35.122600555419922</v>
      </c>
      <c r="I91" s="36"/>
      <c r="J91" s="35">
        <f t="shared" si="3"/>
        <v>22.847999572753906</v>
      </c>
      <c r="K91" s="18"/>
      <c r="L91" s="18"/>
      <c r="M91" s="12"/>
      <c r="N91" s="5"/>
    </row>
    <row r="92" spans="1:14" ht="16.5" x14ac:dyDescent="0.2">
      <c r="A92" s="7"/>
      <c r="B92" s="19"/>
      <c r="C92" s="27"/>
      <c r="D92" s="31">
        <f>Data!A63</f>
        <v>40086</v>
      </c>
      <c r="E92" s="19"/>
      <c r="F92" s="33">
        <f>IF(L$3="市盈率PE",Data!B63,IF(L$3="市净率PB",Data!C63,IF(L$3="市销率PS",Data!D63,IF(L$3="股息率(近12个月)",))))</f>
        <v>55.122898101806641</v>
      </c>
      <c r="G92" s="34"/>
      <c r="H92" s="33">
        <f>IF(L$3="市盈率PE",Data!H63,IF(L$3="市净率PB",Data!I63,IF(L$3="市销率PS",Data!J63,IF(L$3="股息率(近12个月)",))))</f>
        <v>31.432100296020508</v>
      </c>
      <c r="I92" s="34"/>
      <c r="J92" s="33">
        <f t="shared" si="3"/>
        <v>23.690797805786133</v>
      </c>
      <c r="K92" s="19"/>
      <c r="L92" s="19"/>
      <c r="M92" s="12"/>
      <c r="N92" s="5"/>
    </row>
    <row r="93" spans="1:14" ht="16.5" x14ac:dyDescent="0.2">
      <c r="A93" s="7"/>
      <c r="B93" s="18"/>
      <c r="C93" s="28"/>
      <c r="D93" s="32">
        <f>Data!A64</f>
        <v>39994</v>
      </c>
      <c r="E93" s="18"/>
      <c r="F93" s="35">
        <f>IF(L$3="市盈率PE",Data!B64,IF(L$3="市净率PB",Data!C64,IF(L$3="市销率PS",Data!D64,IF(L$3="股息率(近12个月)",))))</f>
        <v>56.046699523925781</v>
      </c>
      <c r="G93" s="36"/>
      <c r="H93" s="35">
        <f>IF(L$3="市盈率PE",Data!H64,IF(L$3="市净率PB",Data!I64,IF(L$3="市销率PS",Data!J64,IF(L$3="股息率(近12个月)",))))</f>
        <v>32.432598114013672</v>
      </c>
      <c r="I93" s="36"/>
      <c r="J93" s="35">
        <f t="shared" si="3"/>
        <v>23.614101409912109</v>
      </c>
      <c r="K93" s="18"/>
      <c r="L93" s="18"/>
      <c r="M93" s="12"/>
      <c r="N93" s="5"/>
    </row>
    <row r="94" spans="1:14" ht="16.5" x14ac:dyDescent="0.2">
      <c r="A94" s="7"/>
      <c r="B94" s="19"/>
      <c r="C94" s="27"/>
      <c r="D94" s="31">
        <f>Data!A65</f>
        <v>39903</v>
      </c>
      <c r="E94" s="19"/>
      <c r="F94" s="33">
        <f>IF(L$3="市盈率PE",Data!B65,IF(L$3="市净率PB",Data!C65,IF(L$3="市销率PS",Data!D65,IF(L$3="股息率(近12个月)",))))</f>
        <v>34.896900177001953</v>
      </c>
      <c r="G94" s="34"/>
      <c r="H94" s="33">
        <f>IF(L$3="市盈率PE",Data!H65,IF(L$3="市净率PB",Data!I65,IF(L$3="市销率PS",Data!J65,IF(L$3="股息率(近12个月)",))))</f>
        <v>20.519599914550781</v>
      </c>
      <c r="I94" s="34"/>
      <c r="J94" s="33">
        <f t="shared" ref="J94:J102" si="4">IFERROR(IF(L$4="绝对差额",F94-H94,IF(L$4="比值",F94/H94,)),0)</f>
        <v>14.377300262451172</v>
      </c>
      <c r="K94" s="19"/>
      <c r="L94" s="19"/>
      <c r="M94" s="12"/>
      <c r="N94" s="5"/>
    </row>
    <row r="95" spans="1:14" ht="16.5" x14ac:dyDescent="0.2">
      <c r="A95" s="7"/>
      <c r="B95" s="18"/>
      <c r="C95" s="28"/>
      <c r="D95" s="32">
        <f>Data!A66</f>
        <v>39813</v>
      </c>
      <c r="E95" s="18"/>
      <c r="F95" s="35">
        <f>IF(L$3="市盈率PE",Data!B66,IF(L$3="市净率PB",Data!C66,IF(L$3="市销率PS",Data!D66,IF(L$3="股息率(近12个月)",))))</f>
        <v>20.15049934387207</v>
      </c>
      <c r="G95" s="36"/>
      <c r="H95" s="35">
        <f>IF(L$3="市盈率PE",Data!H66,IF(L$3="市净率PB",Data!I66,IF(L$3="市销率PS",Data!J66,IF(L$3="股息率(近12个月)",))))</f>
        <v>14.424699783325195</v>
      </c>
      <c r="I95" s="36"/>
      <c r="J95" s="35">
        <f t="shared" si="4"/>
        <v>5.725799560546875</v>
      </c>
      <c r="K95" s="18"/>
      <c r="L95" s="18"/>
      <c r="M95" s="12"/>
      <c r="N95" s="5"/>
    </row>
    <row r="96" spans="1:14" ht="16.5" x14ac:dyDescent="0.2">
      <c r="A96" s="7"/>
      <c r="B96" s="19"/>
      <c r="C96" s="27"/>
      <c r="D96" s="31">
        <f>Data!A67</f>
        <v>39721</v>
      </c>
      <c r="E96" s="19"/>
      <c r="F96" s="33">
        <f>IF(L$3="市盈率PE",Data!B67,IF(L$3="市净率PB",Data!C67,IF(L$3="市销率PS",Data!D67,IF(L$3="股息率(近12个月)",))))</f>
        <v>21.242099761962891</v>
      </c>
      <c r="G96" s="34"/>
      <c r="H96" s="33">
        <f>IF(L$3="市盈率PE",Data!H67,IF(L$3="市净率PB",Data!I67,IF(L$3="市销率PS",Data!J67,IF(L$3="股息率(近12个月)",))))</f>
        <v>17.472499847412109</v>
      </c>
      <c r="I96" s="34"/>
      <c r="J96" s="33">
        <f t="shared" si="4"/>
        <v>3.7695999145507813</v>
      </c>
      <c r="K96" s="19"/>
      <c r="L96" s="19"/>
      <c r="M96" s="12"/>
      <c r="N96" s="5"/>
    </row>
    <row r="97" spans="1:14" ht="16.5" x14ac:dyDescent="0.2">
      <c r="A97" s="7"/>
      <c r="B97" s="18"/>
      <c r="C97" s="28"/>
      <c r="D97" s="32">
        <f>Data!A68</f>
        <v>39629</v>
      </c>
      <c r="E97" s="18"/>
      <c r="F97" s="35">
        <f>IF(L$3="市盈率PE",Data!B68,IF(L$3="市净率PB",Data!C68,IF(L$3="市销率PS",Data!D68,IF(L$3="股息率(近12个月)",))))</f>
        <v>27.352899551391602</v>
      </c>
      <c r="G97" s="36"/>
      <c r="H97" s="35">
        <f>IF(L$3="市盈率PE",Data!H68,IF(L$3="市净率PB",Data!I68,IF(L$3="市销率PS",Data!J68,IF(L$3="股息率(近12个月)",))))</f>
        <v>22.087699890136719</v>
      </c>
      <c r="I97" s="36"/>
      <c r="J97" s="35">
        <f t="shared" si="4"/>
        <v>5.2651996612548828</v>
      </c>
      <c r="K97" s="18"/>
      <c r="L97" s="18"/>
      <c r="M97" s="12"/>
      <c r="N97" s="5"/>
    </row>
    <row r="98" spans="1:14" ht="16.5" x14ac:dyDescent="0.2">
      <c r="A98" s="7"/>
      <c r="B98" s="19"/>
      <c r="C98" s="27"/>
      <c r="D98" s="31">
        <f>Data!A69</f>
        <v>39538</v>
      </c>
      <c r="E98" s="19"/>
      <c r="F98" s="33">
        <f>IF(L$3="市盈率PE",Data!B69,IF(L$3="市净率PB",Data!C69,IF(L$3="市销率PS",Data!D69,IF(L$3="股息率(近12个月)",))))</f>
        <v>48.608100891113281</v>
      </c>
      <c r="G98" s="34"/>
      <c r="H98" s="33">
        <f>IF(L$3="市盈率PE",Data!H69,IF(L$3="市净率PB",Data!I69,IF(L$3="市销率PS",Data!J69,IF(L$3="股息率(近12个月)",))))</f>
        <v>30.87700080871582</v>
      </c>
      <c r="I98" s="34"/>
      <c r="J98" s="33">
        <f t="shared" si="4"/>
        <v>17.731100082397461</v>
      </c>
      <c r="K98" s="19"/>
      <c r="L98" s="19"/>
      <c r="M98" s="12"/>
      <c r="N98" s="5"/>
    </row>
    <row r="99" spans="1:14" ht="16.5" x14ac:dyDescent="0.2">
      <c r="A99" s="7"/>
      <c r="B99" s="18"/>
      <c r="C99" s="28"/>
      <c r="D99" s="32">
        <f>Data!A70</f>
        <v>39447</v>
      </c>
      <c r="E99" s="18"/>
      <c r="F99" s="35">
        <f>IF(L$3="市盈率PE",Data!B70,IF(L$3="市净率PB",Data!C70,IF(L$3="市销率PS",Data!D70,IF(L$3="股息率(近12个月)",))))</f>
        <v>73.033096313476563</v>
      </c>
      <c r="G99" s="36"/>
      <c r="H99" s="35">
        <f>IF(L$3="市盈率PE",Data!H70,IF(L$3="市净率PB",Data!I70,IF(L$3="市销率PS",Data!J70,IF(L$3="股息率(近12个月)",))))</f>
        <v>49.252998352050781</v>
      </c>
      <c r="I99" s="36"/>
      <c r="J99" s="35">
        <f t="shared" si="4"/>
        <v>23.780097961425781</v>
      </c>
      <c r="K99" s="18"/>
      <c r="L99" s="18"/>
      <c r="M99" s="12"/>
      <c r="N99" s="5"/>
    </row>
    <row r="100" spans="1:14" ht="16.5" x14ac:dyDescent="0.2">
      <c r="A100" s="7"/>
      <c r="B100" s="19"/>
      <c r="C100" s="27"/>
      <c r="D100" s="31">
        <f>Data!A71</f>
        <v>39355</v>
      </c>
      <c r="E100" s="19"/>
      <c r="F100" s="33">
        <f>IF(L$3="市盈率PE",Data!B71,IF(L$3="市净率PB",Data!C71,IF(L$3="市销率PS",Data!D71,IF(L$3="股息率(近12个月)",))))</f>
        <v>93.835098266601563</v>
      </c>
      <c r="G100" s="34"/>
      <c r="H100" s="33">
        <f>IF(L$3="市盈率PE",Data!H71,IF(L$3="市净率PB",Data!I71,IF(L$3="市销率PS",Data!J71,IF(L$3="股息率(近12个月)",))))</f>
        <v>52.882099151611328</v>
      </c>
      <c r="I100" s="34"/>
      <c r="J100" s="33">
        <f t="shared" si="4"/>
        <v>40.952999114990234</v>
      </c>
      <c r="K100" s="19"/>
      <c r="L100" s="19"/>
      <c r="M100" s="12"/>
      <c r="N100" s="5"/>
    </row>
    <row r="101" spans="1:14" ht="16.5" x14ac:dyDescent="0.2">
      <c r="A101" s="7"/>
      <c r="B101" s="18"/>
      <c r="C101" s="28"/>
      <c r="D101" s="32">
        <f>Data!A72</f>
        <v>39263</v>
      </c>
      <c r="E101" s="18"/>
      <c r="F101" s="35">
        <f>IF(L$3="市盈率PE",Data!B72,IF(L$3="市净率PB",Data!C72,IF(L$3="市销率PS",Data!D72,IF(L$3="股息率(近12个月)",))))</f>
        <v>88.356399536132813</v>
      </c>
      <c r="G101" s="36"/>
      <c r="H101" s="35">
        <f>IF(L$3="市盈率PE",Data!H72,IF(L$3="市净率PB",Data!I72,IF(L$3="市销率PS",Data!J72,IF(L$3="股息率(近12个月)",))))</f>
        <v>44.592098236083984</v>
      </c>
      <c r="I101" s="36"/>
      <c r="J101" s="35">
        <f t="shared" si="4"/>
        <v>43.764301300048828</v>
      </c>
      <c r="K101" s="18"/>
      <c r="L101" s="18"/>
      <c r="M101" s="12"/>
      <c r="N101" s="5"/>
    </row>
    <row r="102" spans="1:14" ht="16.5" x14ac:dyDescent="0.2">
      <c r="A102" s="7"/>
      <c r="B102" s="19"/>
      <c r="C102" s="27"/>
      <c r="D102" s="31">
        <f>Data!A73</f>
        <v>39172</v>
      </c>
      <c r="E102" s="19"/>
      <c r="F102" s="33">
        <f>IF(L$3="市盈率PE",Data!B73,IF(L$3="市净率PB",Data!C73,IF(L$3="市销率PS",Data!D73,IF(L$3="股息率(近12个月)",))))</f>
        <v>91.011802673339844</v>
      </c>
      <c r="G102" s="34"/>
      <c r="H102" s="33">
        <f>IF(L$3="市盈率PE",Data!H73,IF(L$3="市净率PB",Data!I73,IF(L$3="市销率PS",Data!J73,IF(L$3="股息率(近12个月)",))))</f>
        <v>45.782299041748047</v>
      </c>
      <c r="I102" s="34"/>
      <c r="J102" s="33">
        <f t="shared" si="4"/>
        <v>45.229503631591797</v>
      </c>
      <c r="K102" s="19"/>
      <c r="L102" s="19"/>
      <c r="M102" s="12"/>
      <c r="N102" s="5"/>
    </row>
    <row r="103" spans="1:14" x14ac:dyDescent="0.2">
      <c r="A103" s="7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5"/>
    </row>
    <row r="104" spans="1:14" x14ac:dyDescent="0.2">
      <c r="A104" s="14"/>
      <c r="E104" s="10"/>
      <c r="F104" s="10"/>
      <c r="G104" s="10"/>
      <c r="H104" s="10"/>
      <c r="I104" s="10"/>
      <c r="J104" s="10"/>
      <c r="K104" s="10"/>
      <c r="L104" s="10"/>
      <c r="M104" s="10"/>
      <c r="N104" s="5"/>
    </row>
    <row r="105" spans="1:14" x14ac:dyDescent="0.2">
      <c r="A105" s="14"/>
      <c r="E105" s="10"/>
      <c r="F105" s="10"/>
      <c r="G105" s="10"/>
      <c r="H105" s="10"/>
      <c r="I105" s="10"/>
      <c r="J105" s="10"/>
      <c r="K105" s="10"/>
      <c r="L105" s="10"/>
      <c r="M105" s="10"/>
      <c r="N105" s="5"/>
    </row>
    <row r="106" spans="1:14" x14ac:dyDescent="0.2">
      <c r="A106" s="14"/>
      <c r="E106" s="10"/>
      <c r="F106" s="10"/>
      <c r="G106" s="10"/>
      <c r="H106" s="10"/>
      <c r="I106" s="10"/>
      <c r="J106" s="10"/>
      <c r="K106" s="10"/>
      <c r="L106" s="10"/>
      <c r="M106" s="10"/>
      <c r="N106" s="5"/>
    </row>
    <row r="107" spans="1:14" x14ac:dyDescent="0.2">
      <c r="A107" s="14"/>
      <c r="E107" s="10"/>
      <c r="F107" s="10"/>
      <c r="G107" s="10"/>
      <c r="H107" s="10"/>
      <c r="I107" s="10"/>
      <c r="J107" s="10"/>
      <c r="K107" s="10"/>
      <c r="L107" s="10"/>
      <c r="M107" s="10"/>
      <c r="N107" s="5"/>
    </row>
    <row r="108" spans="1:14" x14ac:dyDescent="0.2">
      <c r="A108" s="14"/>
      <c r="E108" s="10"/>
      <c r="F108" s="10"/>
      <c r="G108" s="10"/>
      <c r="H108" s="10"/>
      <c r="I108" s="10"/>
      <c r="J108" s="10"/>
      <c r="K108" s="10"/>
      <c r="L108" s="10"/>
      <c r="M108" s="10"/>
      <c r="N108" s="5"/>
    </row>
    <row r="109" spans="1:14" x14ac:dyDescent="0.2">
      <c r="A109" s="14"/>
      <c r="E109" s="10"/>
      <c r="F109" s="10"/>
      <c r="G109" s="10"/>
      <c r="H109" s="10"/>
      <c r="I109" s="10"/>
      <c r="J109" s="10"/>
      <c r="K109" s="10"/>
      <c r="L109" s="10"/>
      <c r="M109" s="10"/>
      <c r="N109" s="5"/>
    </row>
    <row r="110" spans="1:14" x14ac:dyDescent="0.2">
      <c r="A110" s="14"/>
      <c r="E110" s="10"/>
      <c r="F110" s="10"/>
      <c r="G110" s="10"/>
      <c r="H110" s="10"/>
      <c r="I110" s="10"/>
      <c r="J110" s="10"/>
      <c r="K110" s="10"/>
      <c r="L110" s="10"/>
      <c r="M110" s="10"/>
      <c r="N110" s="5"/>
    </row>
    <row r="111" spans="1:14" x14ac:dyDescent="0.2">
      <c r="A111" s="14"/>
      <c r="E111" s="10"/>
      <c r="F111" s="10"/>
      <c r="G111" s="10"/>
      <c r="H111" s="10"/>
      <c r="I111" s="10"/>
      <c r="J111" s="10"/>
      <c r="K111" s="10"/>
      <c r="L111" s="10"/>
      <c r="M111" s="10"/>
      <c r="N111" s="5"/>
    </row>
    <row r="112" spans="1:14" x14ac:dyDescent="0.2">
      <c r="A112" s="14"/>
      <c r="E112" s="10"/>
      <c r="F112" s="10"/>
      <c r="G112" s="10"/>
      <c r="H112" s="10"/>
      <c r="I112" s="10"/>
      <c r="J112" s="10"/>
      <c r="K112" s="10"/>
      <c r="L112" s="10"/>
      <c r="M112" s="10"/>
      <c r="N112" s="5"/>
    </row>
    <row r="113" spans="1:14" x14ac:dyDescent="0.2">
      <c r="A113" s="14"/>
      <c r="E113" s="10"/>
      <c r="F113" s="10"/>
      <c r="G113" s="10"/>
      <c r="H113" s="10"/>
      <c r="I113" s="10"/>
      <c r="J113" s="10"/>
      <c r="K113" s="10"/>
      <c r="L113" s="10"/>
      <c r="M113" s="10"/>
      <c r="N113" s="5"/>
    </row>
    <row r="114" spans="1:14" x14ac:dyDescent="0.2">
      <c r="A114" s="14"/>
      <c r="E114" s="10"/>
      <c r="F114" s="10"/>
      <c r="G114" s="10"/>
      <c r="H114" s="10"/>
      <c r="I114" s="10"/>
      <c r="J114" s="10"/>
      <c r="K114" s="10"/>
      <c r="L114" s="10"/>
      <c r="M114" s="10"/>
      <c r="N114" s="5"/>
    </row>
    <row r="115" spans="1:14" x14ac:dyDescent="0.2">
      <c r="A115" s="14"/>
      <c r="E115" s="10"/>
      <c r="F115" s="10"/>
      <c r="G115" s="10"/>
      <c r="H115" s="10"/>
      <c r="I115" s="10"/>
      <c r="J115" s="10"/>
      <c r="K115" s="10"/>
      <c r="L115" s="10"/>
      <c r="M115" s="10"/>
      <c r="N115" s="5"/>
    </row>
    <row r="116" spans="1:14" x14ac:dyDescent="0.2">
      <c r="A116" s="14"/>
      <c r="E116" s="10"/>
      <c r="F116" s="10"/>
      <c r="G116" s="10"/>
      <c r="H116" s="10"/>
      <c r="I116" s="10"/>
      <c r="J116" s="10"/>
      <c r="K116" s="10"/>
      <c r="L116" s="10"/>
      <c r="M116" s="10"/>
      <c r="N116" s="5"/>
    </row>
    <row r="117" spans="1:14" x14ac:dyDescent="0.2">
      <c r="A117" s="14"/>
      <c r="E117" s="10"/>
      <c r="F117" s="10"/>
      <c r="G117" s="10"/>
      <c r="H117" s="10"/>
      <c r="I117" s="10"/>
      <c r="J117" s="10"/>
      <c r="K117" s="10"/>
      <c r="L117" s="10"/>
      <c r="M117" s="10"/>
      <c r="N117" s="5"/>
    </row>
    <row r="118" spans="1:14" x14ac:dyDescent="0.2">
      <c r="A118" s="14"/>
      <c r="E118" s="10"/>
      <c r="F118" s="10"/>
      <c r="G118" s="10"/>
      <c r="H118" s="10"/>
      <c r="I118" s="10"/>
      <c r="J118" s="10"/>
      <c r="K118" s="10"/>
      <c r="L118" s="10"/>
      <c r="M118" s="10"/>
      <c r="N118" s="5"/>
    </row>
    <row r="119" spans="1:14" x14ac:dyDescent="0.2">
      <c r="A119" s="14"/>
      <c r="E119" s="10"/>
      <c r="F119" s="10"/>
      <c r="G119" s="10"/>
      <c r="H119" s="10"/>
      <c r="I119" s="10"/>
      <c r="J119" s="10"/>
      <c r="K119" s="10"/>
      <c r="L119" s="10"/>
      <c r="M119" s="10"/>
      <c r="N119" s="5"/>
    </row>
    <row r="120" spans="1:14" x14ac:dyDescent="0.2">
      <c r="A120" s="14"/>
      <c r="E120" s="10"/>
      <c r="F120" s="10"/>
      <c r="G120" s="10"/>
      <c r="H120" s="10"/>
      <c r="I120" s="10"/>
      <c r="J120" s="10"/>
      <c r="K120" s="10"/>
      <c r="L120" s="10"/>
      <c r="M120" s="10"/>
      <c r="N120" s="5"/>
    </row>
    <row r="121" spans="1:14" x14ac:dyDescent="0.2">
      <c r="A121" s="14"/>
      <c r="E121" s="10"/>
      <c r="F121" s="10"/>
      <c r="G121" s="10"/>
      <c r="H121" s="10"/>
      <c r="I121" s="10"/>
      <c r="J121" s="10"/>
      <c r="K121" s="10"/>
      <c r="L121" s="10"/>
      <c r="M121" s="10"/>
      <c r="N121" s="5"/>
    </row>
    <row r="122" spans="1:14" x14ac:dyDescent="0.2">
      <c r="A122" s="14"/>
      <c r="E122" s="10"/>
      <c r="F122" s="10"/>
      <c r="G122" s="10"/>
      <c r="H122" s="10"/>
      <c r="I122" s="10"/>
      <c r="J122" s="10"/>
      <c r="K122" s="10"/>
      <c r="L122" s="10"/>
      <c r="M122" s="10"/>
      <c r="N122" s="5"/>
    </row>
    <row r="123" spans="1:14" x14ac:dyDescent="0.2">
      <c r="A123" s="14"/>
      <c r="E123" s="10"/>
      <c r="F123" s="10"/>
      <c r="G123" s="10"/>
      <c r="H123" s="10"/>
      <c r="I123" s="10"/>
      <c r="J123" s="10"/>
      <c r="K123" s="10"/>
      <c r="L123" s="10"/>
      <c r="M123" s="10"/>
      <c r="N123" s="5"/>
    </row>
    <row r="124" spans="1:14" x14ac:dyDescent="0.2">
      <c r="A124" s="14"/>
      <c r="E124" s="10"/>
      <c r="F124" s="10"/>
      <c r="G124" s="10"/>
      <c r="H124" s="10"/>
      <c r="I124" s="10"/>
      <c r="J124" s="10"/>
      <c r="K124" s="10"/>
      <c r="L124" s="10"/>
      <c r="M124" s="10"/>
      <c r="N124" s="5"/>
    </row>
    <row r="125" spans="1:14" x14ac:dyDescent="0.2">
      <c r="A125" s="14"/>
      <c r="E125" s="10"/>
      <c r="F125" s="10"/>
      <c r="G125" s="10"/>
      <c r="H125" s="10"/>
      <c r="I125" s="10"/>
      <c r="J125" s="10"/>
      <c r="K125" s="10"/>
      <c r="L125" s="10"/>
      <c r="M125" s="10"/>
      <c r="N125" s="5"/>
    </row>
    <row r="126" spans="1:14" x14ac:dyDescent="0.2">
      <c r="A126" s="14"/>
      <c r="E126" s="10"/>
      <c r="F126" s="10"/>
      <c r="G126" s="10"/>
      <c r="H126" s="10"/>
      <c r="I126" s="10"/>
      <c r="J126" s="10"/>
      <c r="K126" s="10"/>
      <c r="L126" s="10"/>
      <c r="M126" s="10"/>
      <c r="N126" s="5"/>
    </row>
    <row r="127" spans="1:14" x14ac:dyDescent="0.2">
      <c r="A127" s="14"/>
      <c r="E127" s="10"/>
      <c r="F127" s="10"/>
      <c r="G127" s="10"/>
      <c r="H127" s="10"/>
      <c r="I127" s="10"/>
      <c r="J127" s="10"/>
      <c r="K127" s="10"/>
      <c r="L127" s="10"/>
      <c r="M127" s="10"/>
      <c r="N127" s="5"/>
    </row>
    <row r="128" spans="1:14" x14ac:dyDescent="0.2">
      <c r="A128" s="14"/>
      <c r="E128" s="10"/>
      <c r="F128" s="10"/>
      <c r="G128" s="10"/>
      <c r="H128" s="10"/>
      <c r="I128" s="10"/>
      <c r="J128" s="10"/>
      <c r="K128" s="10"/>
      <c r="L128" s="10"/>
      <c r="M128" s="10"/>
      <c r="N128" s="5"/>
    </row>
    <row r="129" spans="1:14" x14ac:dyDescent="0.2">
      <c r="A129" s="14"/>
      <c r="E129" s="10"/>
      <c r="F129" s="10"/>
      <c r="G129" s="10"/>
      <c r="H129" s="10"/>
      <c r="I129" s="10"/>
      <c r="J129" s="10"/>
      <c r="K129" s="10"/>
      <c r="L129" s="10"/>
      <c r="M129" s="10"/>
      <c r="N129" s="5"/>
    </row>
    <row r="130" spans="1:14" x14ac:dyDescent="0.2">
      <c r="A130" s="14"/>
      <c r="E130" s="10"/>
      <c r="F130" s="10"/>
      <c r="G130" s="10"/>
      <c r="H130" s="10"/>
      <c r="I130" s="10"/>
      <c r="J130" s="10"/>
      <c r="K130" s="10"/>
      <c r="L130" s="10"/>
      <c r="M130" s="10"/>
      <c r="N130" s="5"/>
    </row>
    <row r="131" spans="1:14" x14ac:dyDescent="0.2">
      <c r="A131" s="14"/>
      <c r="E131" s="10"/>
      <c r="F131" s="10"/>
      <c r="G131" s="10"/>
      <c r="H131" s="10"/>
      <c r="I131" s="10"/>
      <c r="J131" s="10"/>
      <c r="K131" s="10"/>
      <c r="L131" s="10"/>
      <c r="M131" s="10"/>
      <c r="N131" s="5"/>
    </row>
    <row r="132" spans="1:14" x14ac:dyDescent="0.2">
      <c r="A132" s="14"/>
      <c r="E132" s="10"/>
      <c r="F132" s="10"/>
      <c r="G132" s="10"/>
      <c r="H132" s="10"/>
      <c r="I132" s="10"/>
      <c r="J132" s="10"/>
      <c r="K132" s="10"/>
      <c r="L132" s="10"/>
      <c r="M132" s="10"/>
      <c r="N132" s="5"/>
    </row>
    <row r="133" spans="1:14" x14ac:dyDescent="0.2">
      <c r="A133" s="14"/>
      <c r="E133" s="10"/>
      <c r="F133" s="10"/>
      <c r="G133" s="10"/>
      <c r="H133" s="10"/>
      <c r="I133" s="10"/>
      <c r="J133" s="10"/>
      <c r="K133" s="10"/>
      <c r="L133" s="10"/>
      <c r="M133" s="10"/>
      <c r="N133" s="5"/>
    </row>
    <row r="134" spans="1:14" x14ac:dyDescent="0.2">
      <c r="A134" s="14"/>
      <c r="E134" s="10"/>
      <c r="F134" s="10"/>
      <c r="G134" s="10"/>
      <c r="H134" s="10"/>
      <c r="I134" s="10"/>
      <c r="J134" s="10"/>
      <c r="K134" s="10"/>
      <c r="L134" s="10"/>
      <c r="M134" s="10"/>
      <c r="N134" s="5"/>
    </row>
    <row r="135" spans="1:14" x14ac:dyDescent="0.2">
      <c r="A135" s="14"/>
      <c r="E135" s="10"/>
      <c r="F135" s="10"/>
      <c r="G135" s="10"/>
      <c r="H135" s="10"/>
      <c r="I135" s="10"/>
      <c r="J135" s="10"/>
      <c r="K135" s="10"/>
      <c r="L135" s="10"/>
      <c r="M135" s="10"/>
      <c r="N135" s="5"/>
    </row>
    <row r="136" spans="1:14" x14ac:dyDescent="0.2">
      <c r="A136" s="14"/>
      <c r="E136" s="10"/>
      <c r="F136" s="10"/>
      <c r="G136" s="10"/>
      <c r="H136" s="10"/>
      <c r="I136" s="10"/>
      <c r="J136" s="10"/>
      <c r="K136" s="10"/>
      <c r="L136" s="10"/>
      <c r="M136" s="10"/>
      <c r="N136" s="5"/>
    </row>
    <row r="137" spans="1:14" x14ac:dyDescent="0.2">
      <c r="A137" s="14"/>
      <c r="E137" s="10"/>
      <c r="F137" s="10"/>
      <c r="G137" s="10"/>
      <c r="H137" s="10"/>
      <c r="I137" s="10"/>
      <c r="J137" s="10"/>
      <c r="K137" s="10"/>
      <c r="L137" s="10"/>
      <c r="M137" s="10"/>
      <c r="N137" s="5"/>
    </row>
    <row r="138" spans="1:14" x14ac:dyDescent="0.2">
      <c r="A138" s="14"/>
      <c r="E138" s="10"/>
      <c r="F138" s="10"/>
      <c r="G138" s="10"/>
      <c r="H138" s="10"/>
      <c r="I138" s="10"/>
      <c r="J138" s="10"/>
      <c r="K138" s="10"/>
      <c r="L138" s="10"/>
      <c r="M138" s="10"/>
      <c r="N138" s="5"/>
    </row>
    <row r="139" spans="1:14" x14ac:dyDescent="0.2">
      <c r="A139" s="14"/>
      <c r="E139" s="10"/>
      <c r="F139" s="10"/>
      <c r="G139" s="10"/>
      <c r="H139" s="10"/>
      <c r="I139" s="10"/>
      <c r="J139" s="10"/>
      <c r="K139" s="10"/>
      <c r="L139" s="10"/>
      <c r="M139" s="10"/>
      <c r="N139" s="5"/>
    </row>
    <row r="140" spans="1:14" x14ac:dyDescent="0.2">
      <c r="A140" s="14"/>
      <c r="E140" s="10"/>
      <c r="F140" s="10"/>
      <c r="G140" s="10"/>
      <c r="H140" s="10"/>
      <c r="I140" s="10"/>
      <c r="J140" s="10"/>
      <c r="K140" s="10"/>
      <c r="L140" s="10"/>
      <c r="M140" s="10"/>
      <c r="N140" s="5"/>
    </row>
    <row r="141" spans="1:14" x14ac:dyDescent="0.2">
      <c r="A141" s="14"/>
      <c r="E141" s="10"/>
      <c r="F141" s="10"/>
      <c r="G141" s="10"/>
      <c r="H141" s="10"/>
      <c r="I141" s="10"/>
      <c r="J141" s="10"/>
      <c r="K141" s="10"/>
      <c r="L141" s="10"/>
      <c r="M141" s="10"/>
      <c r="N141" s="5"/>
    </row>
    <row r="142" spans="1:14" x14ac:dyDescent="0.2">
      <c r="A142" s="14"/>
      <c r="E142" s="10"/>
      <c r="F142" s="10"/>
      <c r="G142" s="10"/>
      <c r="H142" s="10"/>
      <c r="I142" s="10"/>
      <c r="J142" s="10"/>
      <c r="K142" s="10"/>
      <c r="L142" s="10"/>
      <c r="M142" s="10"/>
      <c r="N142" s="5"/>
    </row>
    <row r="143" spans="1:14" x14ac:dyDescent="0.2">
      <c r="A143" s="14"/>
      <c r="E143" s="10"/>
      <c r="F143" s="10"/>
      <c r="G143" s="10"/>
      <c r="H143" s="10"/>
      <c r="I143" s="10"/>
      <c r="J143" s="10"/>
      <c r="K143" s="10"/>
      <c r="L143" s="10"/>
      <c r="M143" s="10"/>
      <c r="N143" s="5"/>
    </row>
    <row r="144" spans="1:14" x14ac:dyDescent="0.2">
      <c r="A144" s="14"/>
      <c r="E144" s="10"/>
      <c r="F144" s="10"/>
      <c r="G144" s="10"/>
      <c r="H144" s="10"/>
      <c r="I144" s="10"/>
      <c r="J144" s="10"/>
      <c r="K144" s="10"/>
      <c r="L144" s="10"/>
      <c r="M144" s="10"/>
      <c r="N144" s="5"/>
    </row>
    <row r="145" spans="1:14" x14ac:dyDescent="0.2">
      <c r="A145" s="14"/>
      <c r="E145" s="10"/>
      <c r="F145" s="10"/>
      <c r="G145" s="10"/>
      <c r="H145" s="10"/>
      <c r="I145" s="10"/>
      <c r="J145" s="10"/>
      <c r="K145" s="10"/>
      <c r="L145" s="10"/>
      <c r="M145" s="10"/>
      <c r="N145" s="5"/>
    </row>
    <row r="146" spans="1:14" x14ac:dyDescent="0.2">
      <c r="A146" s="14"/>
      <c r="E146" s="10"/>
      <c r="F146" s="10"/>
      <c r="G146" s="10"/>
      <c r="H146" s="10"/>
      <c r="I146" s="10"/>
      <c r="J146" s="10"/>
      <c r="K146" s="10"/>
      <c r="L146" s="10"/>
      <c r="M146" s="10"/>
      <c r="N146" s="5"/>
    </row>
    <row r="147" spans="1:14" x14ac:dyDescent="0.2">
      <c r="A147" s="14"/>
      <c r="E147" s="10"/>
      <c r="F147" s="10"/>
      <c r="G147" s="10"/>
      <c r="H147" s="10"/>
      <c r="I147" s="10"/>
      <c r="J147" s="10"/>
      <c r="K147" s="10"/>
      <c r="L147" s="10"/>
      <c r="M147" s="10"/>
      <c r="N147" s="5"/>
    </row>
    <row r="148" spans="1:14" x14ac:dyDescent="0.2">
      <c r="A148" s="14"/>
      <c r="E148" s="10"/>
      <c r="F148" s="10"/>
      <c r="G148" s="10"/>
      <c r="H148" s="10"/>
      <c r="I148" s="10"/>
      <c r="J148" s="10"/>
      <c r="K148" s="10"/>
      <c r="L148" s="10"/>
      <c r="M148" s="10"/>
      <c r="N148" s="5"/>
    </row>
    <row r="149" spans="1:14" x14ac:dyDescent="0.2">
      <c r="A149" s="14"/>
      <c r="E149" s="10"/>
      <c r="F149" s="10"/>
      <c r="G149" s="10"/>
      <c r="H149" s="10"/>
      <c r="I149" s="10"/>
      <c r="J149" s="10"/>
      <c r="K149" s="10"/>
      <c r="L149" s="10"/>
      <c r="M149" s="10"/>
      <c r="N149" s="5"/>
    </row>
    <row r="150" spans="1:14" x14ac:dyDescent="0.2">
      <c r="A150" s="14"/>
      <c r="E150" s="10"/>
      <c r="F150" s="10"/>
      <c r="G150" s="10"/>
      <c r="H150" s="10"/>
      <c r="I150" s="10"/>
      <c r="J150" s="10"/>
      <c r="K150" s="10"/>
      <c r="L150" s="10"/>
      <c r="M150" s="10"/>
      <c r="N150" s="5"/>
    </row>
    <row r="151" spans="1:14" x14ac:dyDescent="0.2">
      <c r="A151" s="14"/>
      <c r="E151" s="10"/>
      <c r="F151" s="10"/>
      <c r="G151" s="10"/>
      <c r="H151" s="10"/>
      <c r="I151" s="10"/>
      <c r="J151" s="10"/>
      <c r="K151" s="10"/>
      <c r="L151" s="10"/>
      <c r="M151" s="10"/>
      <c r="N151" s="5"/>
    </row>
    <row r="152" spans="1:14" x14ac:dyDescent="0.2">
      <c r="A152" s="14"/>
      <c r="E152" s="10"/>
      <c r="F152" s="10"/>
      <c r="G152" s="10"/>
      <c r="H152" s="10"/>
      <c r="I152" s="10"/>
      <c r="J152" s="10"/>
      <c r="K152" s="10"/>
      <c r="L152" s="10"/>
      <c r="M152" s="10"/>
      <c r="N152" s="5"/>
    </row>
    <row r="153" spans="1:14" x14ac:dyDescent="0.2">
      <c r="A153" s="14"/>
      <c r="E153" s="10"/>
      <c r="F153" s="10"/>
      <c r="G153" s="10"/>
      <c r="H153" s="10"/>
      <c r="I153" s="10"/>
      <c r="J153" s="10"/>
      <c r="K153" s="10"/>
      <c r="L153" s="10"/>
      <c r="M153" s="10"/>
      <c r="N153" s="5"/>
    </row>
    <row r="154" spans="1:14" x14ac:dyDescent="0.2">
      <c r="A154" s="14"/>
      <c r="E154" s="10"/>
      <c r="F154" s="10"/>
      <c r="G154" s="10"/>
      <c r="H154" s="10"/>
      <c r="I154" s="10"/>
      <c r="J154" s="10"/>
      <c r="K154" s="10"/>
      <c r="L154" s="10"/>
      <c r="M154" s="10"/>
      <c r="N154" s="5"/>
    </row>
    <row r="155" spans="1:14" x14ac:dyDescent="0.2">
      <c r="A155" s="14"/>
      <c r="E155" s="10"/>
      <c r="F155" s="10"/>
      <c r="G155" s="10"/>
      <c r="H155" s="10"/>
      <c r="I155" s="10"/>
      <c r="J155" s="10"/>
      <c r="K155" s="10"/>
      <c r="L155" s="10"/>
      <c r="M155" s="10"/>
      <c r="N155" s="5"/>
    </row>
    <row r="156" spans="1:14" x14ac:dyDescent="0.2">
      <c r="A156" s="14"/>
      <c r="E156" s="10"/>
      <c r="F156" s="10"/>
      <c r="G156" s="10"/>
      <c r="H156" s="10"/>
      <c r="I156" s="10"/>
      <c r="J156" s="10"/>
      <c r="K156" s="10"/>
      <c r="L156" s="10"/>
      <c r="M156" s="10"/>
      <c r="N156" s="5"/>
    </row>
    <row r="157" spans="1:14" x14ac:dyDescent="0.2">
      <c r="A157" s="14"/>
      <c r="E157" s="10"/>
      <c r="F157" s="10"/>
      <c r="G157" s="10"/>
      <c r="H157" s="10"/>
      <c r="I157" s="10"/>
      <c r="J157" s="10"/>
      <c r="K157" s="10"/>
      <c r="L157" s="10"/>
      <c r="M157" s="10"/>
      <c r="N157" s="5"/>
    </row>
    <row r="158" spans="1:14" x14ac:dyDescent="0.2">
      <c r="A158" s="14"/>
      <c r="E158" s="10"/>
      <c r="F158" s="10"/>
      <c r="G158" s="10"/>
      <c r="H158" s="10"/>
      <c r="I158" s="10"/>
      <c r="J158" s="10"/>
      <c r="K158" s="10"/>
      <c r="L158" s="10"/>
      <c r="M158" s="10"/>
      <c r="N158" s="5"/>
    </row>
    <row r="159" spans="1:14" x14ac:dyDescent="0.2">
      <c r="A159" s="14"/>
      <c r="E159" s="10"/>
      <c r="F159" s="10"/>
      <c r="G159" s="10"/>
      <c r="H159" s="10"/>
      <c r="I159" s="10"/>
      <c r="J159" s="10"/>
      <c r="K159" s="10"/>
      <c r="L159" s="10"/>
      <c r="M159" s="10"/>
      <c r="N159" s="5"/>
    </row>
    <row r="160" spans="1:14" x14ac:dyDescent="0.2">
      <c r="A160" s="14"/>
      <c r="E160" s="10"/>
      <c r="F160" s="10"/>
      <c r="G160" s="10"/>
      <c r="H160" s="10"/>
      <c r="I160" s="10"/>
      <c r="J160" s="10"/>
      <c r="K160" s="10"/>
      <c r="L160" s="10"/>
      <c r="M160" s="10"/>
      <c r="N160" s="5"/>
    </row>
    <row r="161" spans="1:14" x14ac:dyDescent="0.2">
      <c r="A161" s="14"/>
      <c r="E161" s="10"/>
      <c r="F161" s="10"/>
      <c r="G161" s="10"/>
      <c r="H161" s="10"/>
      <c r="I161" s="10"/>
      <c r="J161" s="10"/>
      <c r="K161" s="10"/>
      <c r="L161" s="10"/>
      <c r="M161" s="10"/>
      <c r="N161" s="5"/>
    </row>
    <row r="162" spans="1:14" x14ac:dyDescent="0.2">
      <c r="A162" s="14"/>
      <c r="E162" s="10"/>
      <c r="F162" s="10"/>
      <c r="G162" s="10"/>
      <c r="H162" s="10"/>
      <c r="I162" s="10"/>
      <c r="J162" s="10"/>
      <c r="K162" s="10"/>
      <c r="L162" s="10"/>
      <c r="M162" s="10"/>
      <c r="N162" s="5"/>
    </row>
    <row r="163" spans="1:14" x14ac:dyDescent="0.2">
      <c r="A163" s="14"/>
      <c r="E163" s="10"/>
      <c r="F163" s="10"/>
      <c r="G163" s="10"/>
      <c r="H163" s="10"/>
      <c r="I163" s="10"/>
      <c r="J163" s="10"/>
      <c r="K163" s="10"/>
      <c r="L163" s="10"/>
      <c r="M163" s="10"/>
      <c r="N163" s="5"/>
    </row>
    <row r="164" spans="1:14" x14ac:dyDescent="0.2">
      <c r="A164" s="14"/>
      <c r="E164" s="10"/>
      <c r="F164" s="10"/>
      <c r="G164" s="10"/>
      <c r="H164" s="10"/>
      <c r="I164" s="10"/>
      <c r="J164" s="10"/>
      <c r="K164" s="10"/>
      <c r="L164" s="10"/>
      <c r="M164" s="10"/>
      <c r="N164" s="5"/>
    </row>
    <row r="165" spans="1:14" x14ac:dyDescent="0.2">
      <c r="A165" s="14"/>
      <c r="E165" s="10"/>
      <c r="F165" s="10"/>
      <c r="G165" s="10"/>
      <c r="H165" s="10"/>
      <c r="I165" s="10"/>
      <c r="J165" s="10"/>
      <c r="K165" s="10"/>
      <c r="L165" s="10"/>
      <c r="M165" s="10"/>
      <c r="N165" s="5"/>
    </row>
    <row r="166" spans="1:14" x14ac:dyDescent="0.2">
      <c r="A166" s="14"/>
      <c r="E166" s="10"/>
      <c r="F166" s="10"/>
      <c r="G166" s="10"/>
      <c r="H166" s="10"/>
      <c r="I166" s="10"/>
      <c r="J166" s="10"/>
      <c r="K166" s="10"/>
      <c r="L166" s="10"/>
      <c r="M166" s="10"/>
      <c r="N166" s="5"/>
    </row>
    <row r="167" spans="1:14" x14ac:dyDescent="0.2">
      <c r="A167" s="14"/>
      <c r="E167" s="10"/>
      <c r="F167" s="10"/>
      <c r="G167" s="10"/>
      <c r="H167" s="10"/>
      <c r="I167" s="10"/>
      <c r="J167" s="10"/>
      <c r="K167" s="10"/>
      <c r="L167" s="10"/>
      <c r="M167" s="10"/>
      <c r="N167" s="5"/>
    </row>
    <row r="168" spans="1:14" x14ac:dyDescent="0.2">
      <c r="A168" s="14"/>
      <c r="E168" s="10"/>
      <c r="F168" s="10"/>
      <c r="G168" s="10"/>
      <c r="H168" s="10"/>
      <c r="I168" s="10"/>
      <c r="J168" s="10"/>
      <c r="K168" s="10"/>
      <c r="L168" s="10"/>
      <c r="M168" s="10"/>
      <c r="N168" s="5"/>
    </row>
    <row r="169" spans="1:14" x14ac:dyDescent="0.2">
      <c r="A169" s="14"/>
      <c r="E169" s="10"/>
      <c r="F169" s="10"/>
      <c r="G169" s="10"/>
      <c r="H169" s="10"/>
      <c r="I169" s="10"/>
      <c r="J169" s="10"/>
      <c r="K169" s="10"/>
      <c r="L169" s="10"/>
      <c r="M169" s="10"/>
      <c r="N169" s="5"/>
    </row>
    <row r="170" spans="1:14" x14ac:dyDescent="0.2">
      <c r="A170" s="14"/>
      <c r="E170" s="10"/>
      <c r="F170" s="10"/>
      <c r="G170" s="10"/>
      <c r="H170" s="10"/>
      <c r="I170" s="10"/>
      <c r="J170" s="10"/>
      <c r="K170" s="10"/>
      <c r="L170" s="10"/>
      <c r="M170" s="10"/>
      <c r="N170" s="5"/>
    </row>
    <row r="171" spans="1:14" x14ac:dyDescent="0.2">
      <c r="A171" s="14"/>
      <c r="E171" s="10"/>
      <c r="F171" s="10"/>
      <c r="G171" s="10"/>
      <c r="H171" s="10"/>
      <c r="I171" s="10"/>
      <c r="J171" s="10"/>
      <c r="K171" s="10"/>
      <c r="L171" s="10"/>
      <c r="M171" s="10"/>
      <c r="N171" s="5"/>
    </row>
    <row r="172" spans="1:14" x14ac:dyDescent="0.2">
      <c r="A172" s="14"/>
      <c r="E172" s="10"/>
      <c r="F172" s="10"/>
      <c r="G172" s="10"/>
      <c r="H172" s="10"/>
      <c r="I172" s="10"/>
      <c r="J172" s="10"/>
      <c r="K172" s="10"/>
      <c r="L172" s="10"/>
      <c r="M172" s="10"/>
      <c r="N172" s="5"/>
    </row>
    <row r="173" spans="1:14" x14ac:dyDescent="0.2">
      <c r="A173" s="14"/>
      <c r="E173" s="10"/>
      <c r="F173" s="10"/>
      <c r="G173" s="10"/>
      <c r="H173" s="10"/>
      <c r="I173" s="10"/>
      <c r="J173" s="10"/>
      <c r="K173" s="10"/>
      <c r="L173" s="10"/>
      <c r="M173" s="10"/>
      <c r="N173" s="5"/>
    </row>
    <row r="174" spans="1:14" x14ac:dyDescent="0.2">
      <c r="A174" s="14"/>
      <c r="E174" s="10"/>
      <c r="F174" s="10"/>
      <c r="G174" s="10"/>
      <c r="H174" s="10"/>
      <c r="I174" s="10"/>
      <c r="J174" s="10"/>
      <c r="K174" s="10"/>
      <c r="L174" s="10"/>
      <c r="M174" s="10"/>
      <c r="N174" s="5"/>
    </row>
    <row r="175" spans="1:14" x14ac:dyDescent="0.2">
      <c r="A175" s="14"/>
      <c r="E175" s="10"/>
      <c r="F175" s="10"/>
      <c r="G175" s="10"/>
      <c r="H175" s="10"/>
      <c r="I175" s="10"/>
      <c r="J175" s="10"/>
      <c r="K175" s="10"/>
      <c r="L175" s="10"/>
      <c r="M175" s="10"/>
      <c r="N175" s="5"/>
    </row>
    <row r="176" spans="1:14" x14ac:dyDescent="0.2">
      <c r="A176" s="14"/>
      <c r="E176" s="10"/>
      <c r="F176" s="10"/>
      <c r="G176" s="10"/>
      <c r="H176" s="10"/>
      <c r="I176" s="10"/>
      <c r="J176" s="10"/>
      <c r="K176" s="10"/>
      <c r="L176" s="10"/>
      <c r="M176" s="10"/>
      <c r="N176" s="5"/>
    </row>
    <row r="177" spans="1:14" x14ac:dyDescent="0.2">
      <c r="A177" s="14"/>
      <c r="E177" s="10"/>
      <c r="F177" s="10"/>
      <c r="G177" s="10"/>
      <c r="H177" s="10"/>
      <c r="I177" s="10"/>
      <c r="J177" s="10"/>
      <c r="K177" s="10"/>
      <c r="L177" s="10"/>
      <c r="M177" s="10"/>
      <c r="N177" s="5"/>
    </row>
    <row r="178" spans="1:14" x14ac:dyDescent="0.2">
      <c r="A178" s="14"/>
      <c r="E178" s="10"/>
      <c r="F178" s="10"/>
      <c r="G178" s="10"/>
      <c r="H178" s="10"/>
      <c r="I178" s="10"/>
      <c r="J178" s="10"/>
      <c r="K178" s="10"/>
      <c r="L178" s="10"/>
      <c r="M178" s="10"/>
      <c r="N178" s="5"/>
    </row>
    <row r="179" spans="1:14" x14ac:dyDescent="0.2">
      <c r="A179" s="14"/>
      <c r="E179" s="10"/>
      <c r="F179" s="10"/>
      <c r="G179" s="10"/>
      <c r="H179" s="10"/>
      <c r="I179" s="10"/>
      <c r="J179" s="10"/>
      <c r="K179" s="10"/>
      <c r="L179" s="10"/>
      <c r="M179" s="10"/>
      <c r="N179" s="5"/>
    </row>
    <row r="180" spans="1:14" x14ac:dyDescent="0.2">
      <c r="A180" s="14"/>
      <c r="E180" s="10"/>
      <c r="F180" s="10"/>
      <c r="G180" s="10"/>
      <c r="H180" s="10"/>
      <c r="I180" s="10"/>
      <c r="J180" s="10"/>
      <c r="K180" s="10"/>
      <c r="L180" s="10"/>
      <c r="M180" s="10"/>
      <c r="N180" s="5"/>
    </row>
    <row r="181" spans="1:14" x14ac:dyDescent="0.2">
      <c r="A181" s="14"/>
      <c r="E181" s="10"/>
      <c r="F181" s="10"/>
      <c r="G181" s="10"/>
      <c r="H181" s="10"/>
      <c r="I181" s="10"/>
      <c r="J181" s="10"/>
      <c r="K181" s="10"/>
      <c r="L181" s="10"/>
      <c r="M181" s="10"/>
      <c r="N181" s="5"/>
    </row>
    <row r="182" spans="1:14" x14ac:dyDescent="0.2">
      <c r="A182" s="14"/>
      <c r="E182" s="10"/>
      <c r="F182" s="10"/>
      <c r="G182" s="10"/>
      <c r="H182" s="10"/>
      <c r="I182" s="10"/>
      <c r="J182" s="10"/>
      <c r="K182" s="10"/>
      <c r="L182" s="10"/>
      <c r="M182" s="10"/>
      <c r="N182" s="5"/>
    </row>
    <row r="183" spans="1:14" x14ac:dyDescent="0.2">
      <c r="A183" s="14"/>
      <c r="E183" s="10"/>
      <c r="F183" s="10"/>
      <c r="G183" s="10"/>
      <c r="H183" s="10"/>
      <c r="I183" s="10"/>
      <c r="J183" s="10"/>
      <c r="K183" s="10"/>
      <c r="L183" s="10"/>
      <c r="M183" s="10"/>
      <c r="N183" s="5"/>
    </row>
    <row r="184" spans="1:14" x14ac:dyDescent="0.2">
      <c r="A184" s="14"/>
      <c r="E184" s="10"/>
      <c r="F184" s="10"/>
      <c r="G184" s="10"/>
      <c r="H184" s="10"/>
      <c r="I184" s="10"/>
      <c r="J184" s="10"/>
      <c r="K184" s="10"/>
      <c r="L184" s="10"/>
      <c r="M184" s="10"/>
      <c r="N184" s="5"/>
    </row>
    <row r="185" spans="1:14" x14ac:dyDescent="0.2">
      <c r="A185" s="14"/>
      <c r="E185" s="10"/>
      <c r="F185" s="10"/>
      <c r="G185" s="10"/>
      <c r="H185" s="10"/>
      <c r="I185" s="10"/>
      <c r="J185" s="10"/>
      <c r="K185" s="10"/>
      <c r="L185" s="10"/>
      <c r="M185" s="10"/>
      <c r="N185" s="5"/>
    </row>
    <row r="186" spans="1:14" x14ac:dyDescent="0.2">
      <c r="A186" s="14"/>
      <c r="E186" s="10"/>
      <c r="F186" s="10"/>
      <c r="G186" s="10"/>
      <c r="H186" s="10"/>
      <c r="I186" s="10"/>
      <c r="J186" s="10"/>
      <c r="K186" s="10"/>
      <c r="L186" s="10"/>
      <c r="M186" s="10"/>
      <c r="N186" s="5"/>
    </row>
    <row r="187" spans="1:14" x14ac:dyDescent="0.2">
      <c r="A187" s="14"/>
      <c r="E187" s="10"/>
      <c r="F187" s="10"/>
      <c r="G187" s="10"/>
      <c r="H187" s="10"/>
      <c r="I187" s="10"/>
      <c r="J187" s="10"/>
      <c r="K187" s="10"/>
      <c r="L187" s="10"/>
      <c r="M187" s="10"/>
      <c r="N187" s="5"/>
    </row>
    <row r="188" spans="1:14" x14ac:dyDescent="0.2">
      <c r="A188" s="14"/>
      <c r="E188" s="10"/>
      <c r="F188" s="10"/>
      <c r="G188" s="10"/>
      <c r="H188" s="10"/>
      <c r="I188" s="10"/>
      <c r="J188" s="10"/>
      <c r="K188" s="10"/>
      <c r="L188" s="10"/>
      <c r="M188" s="10"/>
      <c r="N188" s="5"/>
    </row>
    <row r="189" spans="1:14" x14ac:dyDescent="0.2">
      <c r="A189" s="14"/>
      <c r="E189" s="10"/>
      <c r="F189" s="10"/>
      <c r="G189" s="10"/>
      <c r="H189" s="10"/>
      <c r="I189" s="10"/>
      <c r="J189" s="10"/>
      <c r="K189" s="10"/>
      <c r="L189" s="10"/>
      <c r="M189" s="10"/>
      <c r="N189" s="5"/>
    </row>
    <row r="190" spans="1:14" x14ac:dyDescent="0.2">
      <c r="A190" s="14"/>
      <c r="E190" s="10"/>
      <c r="F190" s="10"/>
      <c r="G190" s="10"/>
      <c r="H190" s="10"/>
      <c r="I190" s="10"/>
      <c r="J190" s="10"/>
      <c r="K190" s="10"/>
      <c r="L190" s="10"/>
      <c r="M190" s="10"/>
      <c r="N190" s="5"/>
    </row>
    <row r="191" spans="1:14" x14ac:dyDescent="0.2">
      <c r="A191" s="14"/>
      <c r="E191" s="10"/>
      <c r="F191" s="10"/>
      <c r="G191" s="10"/>
      <c r="H191" s="10"/>
      <c r="I191" s="10"/>
      <c r="J191" s="10"/>
      <c r="K191" s="10"/>
      <c r="L191" s="10"/>
      <c r="M191" s="10"/>
      <c r="N191" s="5"/>
    </row>
    <row r="192" spans="1:14" x14ac:dyDescent="0.2">
      <c r="A192" s="14"/>
      <c r="E192" s="10"/>
      <c r="F192" s="10"/>
      <c r="G192" s="10"/>
      <c r="H192" s="10"/>
      <c r="I192" s="10"/>
      <c r="J192" s="10"/>
      <c r="K192" s="10"/>
      <c r="L192" s="10"/>
      <c r="M192" s="10"/>
      <c r="N192" s="5"/>
    </row>
    <row r="193" spans="1:14" x14ac:dyDescent="0.2">
      <c r="A193" s="14"/>
      <c r="E193" s="10"/>
      <c r="F193" s="10"/>
      <c r="G193" s="10"/>
      <c r="H193" s="10"/>
      <c r="I193" s="10"/>
      <c r="J193" s="10"/>
      <c r="K193" s="10"/>
      <c r="L193" s="10"/>
      <c r="M193" s="10"/>
      <c r="N193" s="5"/>
    </row>
    <row r="194" spans="1:14" x14ac:dyDescent="0.2">
      <c r="A194" s="14"/>
      <c r="E194" s="10"/>
      <c r="F194" s="10"/>
      <c r="G194" s="10"/>
      <c r="H194" s="10"/>
      <c r="I194" s="10"/>
      <c r="J194" s="10"/>
      <c r="K194" s="10"/>
      <c r="L194" s="10"/>
      <c r="M194" s="10"/>
      <c r="N194" s="5"/>
    </row>
    <row r="195" spans="1:14" x14ac:dyDescent="0.2">
      <c r="A195" s="14"/>
      <c r="E195" s="10"/>
      <c r="F195" s="10"/>
      <c r="G195" s="10"/>
      <c r="H195" s="10"/>
      <c r="I195" s="10"/>
      <c r="J195" s="10"/>
      <c r="K195" s="10"/>
      <c r="L195" s="10"/>
      <c r="M195" s="10"/>
      <c r="N195" s="5"/>
    </row>
    <row r="196" spans="1:14" x14ac:dyDescent="0.2">
      <c r="A196" s="14"/>
      <c r="E196" s="10"/>
      <c r="F196" s="10"/>
      <c r="G196" s="10"/>
      <c r="H196" s="10"/>
      <c r="I196" s="10"/>
      <c r="J196" s="10"/>
      <c r="K196" s="10"/>
      <c r="L196" s="10"/>
      <c r="M196" s="10"/>
      <c r="N196" s="5"/>
    </row>
    <row r="197" spans="1:14" x14ac:dyDescent="0.2">
      <c r="A197" s="14"/>
      <c r="E197" s="10"/>
      <c r="F197" s="10"/>
      <c r="G197" s="10"/>
      <c r="H197" s="10"/>
      <c r="I197" s="10"/>
      <c r="J197" s="10"/>
      <c r="K197" s="10"/>
      <c r="L197" s="10"/>
      <c r="M197" s="10"/>
      <c r="N197" s="5"/>
    </row>
    <row r="198" spans="1:14" x14ac:dyDescent="0.2">
      <c r="A198" s="14"/>
      <c r="E198" s="10"/>
      <c r="F198" s="10"/>
      <c r="G198" s="10"/>
      <c r="H198" s="10"/>
      <c r="I198" s="10"/>
      <c r="J198" s="10"/>
      <c r="K198" s="10"/>
      <c r="L198" s="10"/>
      <c r="M198" s="10"/>
      <c r="N198" s="5"/>
    </row>
    <row r="199" spans="1:14" x14ac:dyDescent="0.2">
      <c r="A199" s="14"/>
      <c r="E199" s="10"/>
      <c r="F199" s="10"/>
      <c r="G199" s="10"/>
      <c r="H199" s="10"/>
      <c r="I199" s="10"/>
      <c r="J199" s="10"/>
      <c r="K199" s="10"/>
      <c r="L199" s="10"/>
      <c r="M199" s="10"/>
      <c r="N199" s="5"/>
    </row>
    <row r="200" spans="1:14" x14ac:dyDescent="0.2">
      <c r="A200" s="14"/>
      <c r="E200" s="10"/>
      <c r="F200" s="10"/>
      <c r="G200" s="10"/>
      <c r="H200" s="10"/>
      <c r="I200" s="10"/>
      <c r="J200" s="10"/>
      <c r="K200" s="10"/>
      <c r="L200" s="10"/>
      <c r="M200" s="10"/>
      <c r="N200" s="5"/>
    </row>
    <row r="201" spans="1:14" x14ac:dyDescent="0.2">
      <c r="A201" s="14"/>
      <c r="E201" s="10"/>
      <c r="F201" s="10"/>
      <c r="G201" s="10"/>
      <c r="H201" s="10"/>
      <c r="I201" s="10"/>
      <c r="J201" s="10"/>
      <c r="K201" s="10"/>
      <c r="L201" s="10"/>
      <c r="M201" s="10"/>
      <c r="N201" s="5"/>
    </row>
    <row r="202" spans="1:14" x14ac:dyDescent="0.2">
      <c r="A202" s="14"/>
      <c r="E202" s="10"/>
      <c r="F202" s="10"/>
      <c r="G202" s="10"/>
      <c r="H202" s="10"/>
      <c r="I202" s="10"/>
      <c r="J202" s="10"/>
      <c r="K202" s="10"/>
      <c r="L202" s="10"/>
      <c r="M202" s="10"/>
      <c r="N202" s="5"/>
    </row>
    <row r="203" spans="1:14" x14ac:dyDescent="0.2">
      <c r="A203" s="14"/>
      <c r="E203" s="10"/>
      <c r="F203" s="10"/>
      <c r="G203" s="10"/>
      <c r="H203" s="10"/>
      <c r="I203" s="10"/>
      <c r="J203" s="10"/>
      <c r="K203" s="10"/>
      <c r="L203" s="10"/>
      <c r="M203" s="10"/>
      <c r="N203" s="5"/>
    </row>
    <row r="204" spans="1:14" x14ac:dyDescent="0.2">
      <c r="A204" s="14"/>
      <c r="E204" s="10"/>
      <c r="F204" s="10"/>
      <c r="G204" s="10"/>
      <c r="H204" s="10"/>
      <c r="I204" s="10"/>
      <c r="J204" s="10"/>
      <c r="K204" s="10"/>
      <c r="L204" s="10"/>
      <c r="M204" s="10"/>
      <c r="N204" s="5"/>
    </row>
    <row r="205" spans="1:14" x14ac:dyDescent="0.2">
      <c r="A205" s="14"/>
      <c r="E205" s="10"/>
      <c r="F205" s="10"/>
      <c r="G205" s="10"/>
      <c r="H205" s="10"/>
      <c r="I205" s="10"/>
      <c r="J205" s="10"/>
      <c r="K205" s="10"/>
      <c r="L205" s="10"/>
      <c r="M205" s="10"/>
      <c r="N205" s="5"/>
    </row>
    <row r="206" spans="1:14" x14ac:dyDescent="0.2">
      <c r="A206" s="14"/>
      <c r="E206" s="10"/>
      <c r="F206" s="10"/>
      <c r="G206" s="10"/>
      <c r="H206" s="10"/>
      <c r="I206" s="10"/>
      <c r="J206" s="10"/>
      <c r="K206" s="10"/>
      <c r="L206" s="10"/>
      <c r="M206" s="10"/>
      <c r="N206" s="5"/>
    </row>
    <row r="207" spans="1:14" x14ac:dyDescent="0.2">
      <c r="A207" s="14"/>
      <c r="E207" s="10"/>
      <c r="F207" s="10"/>
      <c r="G207" s="10"/>
      <c r="H207" s="10"/>
      <c r="I207" s="10"/>
      <c r="J207" s="10"/>
      <c r="K207" s="10"/>
      <c r="L207" s="10"/>
      <c r="M207" s="10"/>
      <c r="N207" s="5"/>
    </row>
    <row r="208" spans="1:14" x14ac:dyDescent="0.2">
      <c r="A208" s="14"/>
      <c r="E208" s="10"/>
      <c r="F208" s="10"/>
      <c r="G208" s="10"/>
      <c r="H208" s="10"/>
      <c r="I208" s="10"/>
      <c r="J208" s="10"/>
      <c r="K208" s="10"/>
      <c r="L208" s="10"/>
      <c r="M208" s="10"/>
      <c r="N208" s="5"/>
    </row>
    <row r="209" spans="1:14" x14ac:dyDescent="0.2">
      <c r="A209" s="14"/>
      <c r="E209" s="10"/>
      <c r="F209" s="10"/>
      <c r="G209" s="10"/>
      <c r="H209" s="10"/>
      <c r="I209" s="10"/>
      <c r="J209" s="10"/>
      <c r="K209" s="10"/>
      <c r="L209" s="10"/>
      <c r="M209" s="10"/>
      <c r="N209" s="5"/>
    </row>
    <row r="210" spans="1:14" x14ac:dyDescent="0.2">
      <c r="A210" s="14"/>
      <c r="E210" s="10"/>
      <c r="F210" s="10"/>
      <c r="G210" s="10"/>
      <c r="H210" s="10"/>
      <c r="I210" s="10"/>
      <c r="J210" s="10"/>
      <c r="K210" s="10"/>
      <c r="L210" s="10"/>
      <c r="M210" s="10"/>
      <c r="N210" s="5"/>
    </row>
    <row r="211" spans="1:14" x14ac:dyDescent="0.2">
      <c r="A211" s="14"/>
      <c r="E211" s="10"/>
      <c r="F211" s="10"/>
      <c r="G211" s="10"/>
      <c r="H211" s="10"/>
      <c r="I211" s="10"/>
      <c r="J211" s="10"/>
      <c r="K211" s="10"/>
      <c r="L211" s="10"/>
      <c r="M211" s="10"/>
      <c r="N211" s="5"/>
    </row>
    <row r="212" spans="1:14" x14ac:dyDescent="0.2">
      <c r="A212" s="14"/>
      <c r="E212" s="10"/>
      <c r="F212" s="10"/>
      <c r="G212" s="10"/>
      <c r="H212" s="10"/>
      <c r="I212" s="10"/>
      <c r="J212" s="10"/>
      <c r="K212" s="10"/>
      <c r="L212" s="10"/>
      <c r="M212" s="10"/>
      <c r="N212" s="5"/>
    </row>
    <row r="213" spans="1:14" x14ac:dyDescent="0.2">
      <c r="A213" s="14"/>
      <c r="E213" s="10"/>
      <c r="F213" s="10"/>
      <c r="G213" s="10"/>
      <c r="H213" s="10"/>
      <c r="I213" s="10"/>
      <c r="J213" s="10"/>
      <c r="K213" s="10"/>
      <c r="L213" s="10"/>
      <c r="M213" s="10"/>
      <c r="N213" s="5"/>
    </row>
    <row r="214" spans="1:14" x14ac:dyDescent="0.2">
      <c r="A214" s="14"/>
      <c r="E214" s="10"/>
      <c r="F214" s="10"/>
      <c r="G214" s="10"/>
      <c r="H214" s="10"/>
      <c r="I214" s="10"/>
      <c r="J214" s="10"/>
      <c r="K214" s="10"/>
      <c r="L214" s="10"/>
      <c r="M214" s="10"/>
      <c r="N214" s="5"/>
    </row>
    <row r="215" spans="1:14" x14ac:dyDescent="0.2">
      <c r="A215" s="14"/>
      <c r="E215" s="10"/>
      <c r="F215" s="10"/>
      <c r="G215" s="10"/>
      <c r="H215" s="10"/>
      <c r="I215" s="10"/>
      <c r="J215" s="10"/>
      <c r="K215" s="10"/>
      <c r="L215" s="10"/>
      <c r="M215" s="10"/>
      <c r="N215" s="5"/>
    </row>
    <row r="216" spans="1:14" x14ac:dyDescent="0.2">
      <c r="A216" s="14"/>
      <c r="E216" s="10"/>
      <c r="F216" s="10"/>
      <c r="G216" s="10"/>
      <c r="H216" s="10"/>
      <c r="I216" s="10"/>
      <c r="J216" s="10"/>
      <c r="K216" s="10"/>
      <c r="L216" s="10"/>
      <c r="M216" s="10"/>
      <c r="N216" s="5"/>
    </row>
    <row r="217" spans="1:14" x14ac:dyDescent="0.2">
      <c r="A217" s="14"/>
      <c r="E217" s="10"/>
      <c r="F217" s="10"/>
      <c r="G217" s="10"/>
      <c r="H217" s="10"/>
      <c r="I217" s="10"/>
      <c r="J217" s="10"/>
      <c r="K217" s="10"/>
      <c r="L217" s="10"/>
      <c r="M217" s="10"/>
      <c r="N217" s="5"/>
    </row>
    <row r="218" spans="1:14" x14ac:dyDescent="0.2">
      <c r="A218" s="14"/>
      <c r="E218" s="10"/>
      <c r="F218" s="10"/>
      <c r="G218" s="10"/>
      <c r="H218" s="10"/>
      <c r="I218" s="10"/>
      <c r="J218" s="10"/>
      <c r="K218" s="10"/>
      <c r="L218" s="10"/>
      <c r="M218" s="10"/>
      <c r="N218" s="5"/>
    </row>
    <row r="219" spans="1:14" x14ac:dyDescent="0.2">
      <c r="A219" s="14"/>
      <c r="E219" s="10"/>
      <c r="F219" s="10"/>
      <c r="G219" s="10"/>
      <c r="H219" s="10"/>
      <c r="I219" s="10"/>
      <c r="J219" s="10"/>
      <c r="K219" s="10"/>
      <c r="L219" s="10"/>
      <c r="M219" s="10"/>
      <c r="N219" s="5"/>
    </row>
    <row r="220" spans="1:14" x14ac:dyDescent="0.2">
      <c r="A220" s="14"/>
      <c r="E220" s="10"/>
      <c r="F220" s="10"/>
      <c r="G220" s="10"/>
      <c r="H220" s="10"/>
      <c r="I220" s="10"/>
      <c r="J220" s="10"/>
      <c r="K220" s="10"/>
      <c r="L220" s="10"/>
      <c r="M220" s="10"/>
      <c r="N220" s="5"/>
    </row>
    <row r="221" spans="1:14" x14ac:dyDescent="0.2">
      <c r="A221" s="14"/>
      <c r="E221" s="10"/>
      <c r="F221" s="10"/>
      <c r="G221" s="10"/>
      <c r="H221" s="10"/>
      <c r="I221" s="10"/>
      <c r="J221" s="10"/>
      <c r="K221" s="10"/>
      <c r="L221" s="10"/>
      <c r="M221" s="10"/>
      <c r="N221" s="5"/>
    </row>
    <row r="222" spans="1:14" x14ac:dyDescent="0.2">
      <c r="A222" s="14"/>
      <c r="E222" s="10"/>
      <c r="F222" s="10"/>
      <c r="G222" s="10"/>
      <c r="H222" s="10"/>
      <c r="I222" s="10"/>
      <c r="J222" s="10"/>
      <c r="K222" s="10"/>
      <c r="L222" s="10"/>
      <c r="M222" s="10"/>
      <c r="N222" s="5"/>
    </row>
    <row r="223" spans="1:14" x14ac:dyDescent="0.2">
      <c r="A223" s="14"/>
      <c r="E223" s="10"/>
      <c r="F223" s="10"/>
      <c r="G223" s="10"/>
      <c r="H223" s="10"/>
      <c r="I223" s="10"/>
      <c r="J223" s="10"/>
      <c r="K223" s="10"/>
      <c r="L223" s="10"/>
      <c r="M223" s="10"/>
      <c r="N223" s="5"/>
    </row>
    <row r="224" spans="1:14" x14ac:dyDescent="0.2">
      <c r="A224" s="14"/>
      <c r="E224" s="10"/>
      <c r="F224" s="10"/>
      <c r="G224" s="10"/>
      <c r="H224" s="10"/>
      <c r="I224" s="10"/>
      <c r="J224" s="10"/>
      <c r="K224" s="10"/>
      <c r="L224" s="10"/>
      <c r="M224" s="10"/>
      <c r="N224" s="5"/>
    </row>
    <row r="225" spans="1:14" x14ac:dyDescent="0.2">
      <c r="A225" s="14"/>
      <c r="E225" s="10"/>
      <c r="F225" s="10"/>
      <c r="G225" s="10"/>
      <c r="H225" s="10"/>
      <c r="I225" s="10"/>
      <c r="J225" s="10"/>
      <c r="K225" s="10"/>
      <c r="L225" s="10"/>
      <c r="M225" s="10"/>
      <c r="N225" s="5"/>
    </row>
    <row r="226" spans="1:14" x14ac:dyDescent="0.2">
      <c r="A226" s="14"/>
      <c r="E226" s="10"/>
      <c r="F226" s="10"/>
      <c r="G226" s="10"/>
      <c r="H226" s="10"/>
      <c r="I226" s="10"/>
      <c r="J226" s="10"/>
      <c r="K226" s="10"/>
      <c r="L226" s="10"/>
      <c r="M226" s="10"/>
      <c r="N226" s="5"/>
    </row>
    <row r="227" spans="1:14" x14ac:dyDescent="0.2">
      <c r="A227" s="14"/>
      <c r="E227" s="10"/>
      <c r="F227" s="10"/>
      <c r="G227" s="10"/>
      <c r="H227" s="10"/>
      <c r="I227" s="10"/>
      <c r="J227" s="10"/>
      <c r="K227" s="10"/>
      <c r="L227" s="10"/>
      <c r="M227" s="10"/>
      <c r="N227" s="5"/>
    </row>
    <row r="228" spans="1:14" x14ac:dyDescent="0.2">
      <c r="A228" s="14"/>
      <c r="E228" s="10"/>
      <c r="F228" s="10"/>
      <c r="G228" s="10"/>
      <c r="H228" s="10"/>
      <c r="I228" s="10"/>
      <c r="J228" s="10"/>
      <c r="K228" s="10"/>
      <c r="L228" s="10"/>
      <c r="M228" s="10"/>
      <c r="N228" s="5"/>
    </row>
    <row r="229" spans="1:14" x14ac:dyDescent="0.2">
      <c r="A229" s="14"/>
      <c r="E229" s="10"/>
      <c r="F229" s="10"/>
      <c r="G229" s="10"/>
      <c r="H229" s="10"/>
      <c r="I229" s="10"/>
      <c r="J229" s="10"/>
      <c r="K229" s="10"/>
      <c r="L229" s="10"/>
      <c r="M229" s="10"/>
      <c r="N229" s="5"/>
    </row>
    <row r="230" spans="1:14" x14ac:dyDescent="0.2">
      <c r="A230" s="14"/>
      <c r="E230" s="10"/>
      <c r="F230" s="10"/>
      <c r="G230" s="10"/>
      <c r="H230" s="10"/>
      <c r="I230" s="10"/>
      <c r="J230" s="10"/>
      <c r="K230" s="10"/>
      <c r="L230" s="10"/>
      <c r="M230" s="10"/>
      <c r="N230" s="5"/>
    </row>
    <row r="231" spans="1:14" x14ac:dyDescent="0.2">
      <c r="A231" s="14"/>
      <c r="E231" s="10"/>
      <c r="F231" s="10"/>
      <c r="G231" s="10"/>
      <c r="H231" s="10"/>
      <c r="I231" s="10"/>
      <c r="J231" s="10"/>
      <c r="K231" s="10"/>
      <c r="L231" s="10"/>
      <c r="M231" s="10"/>
      <c r="N231" s="5"/>
    </row>
    <row r="232" spans="1:14" x14ac:dyDescent="0.2">
      <c r="A232" s="14"/>
      <c r="E232" s="10"/>
      <c r="F232" s="10"/>
      <c r="G232" s="10"/>
      <c r="H232" s="10"/>
      <c r="I232" s="10"/>
      <c r="J232" s="10"/>
      <c r="K232" s="10"/>
      <c r="L232" s="10"/>
      <c r="M232" s="10"/>
      <c r="N232" s="5"/>
    </row>
    <row r="233" spans="1:14" x14ac:dyDescent="0.2">
      <c r="A233" s="14"/>
      <c r="E233" s="10"/>
      <c r="F233" s="10"/>
      <c r="G233" s="10"/>
      <c r="H233" s="10"/>
      <c r="I233" s="10"/>
      <c r="J233" s="10"/>
      <c r="K233" s="10"/>
      <c r="L233" s="10"/>
      <c r="M233" s="10"/>
      <c r="N233" s="5"/>
    </row>
    <row r="234" spans="1:14" x14ac:dyDescent="0.2">
      <c r="A234" s="14"/>
      <c r="E234" s="10"/>
      <c r="F234" s="10"/>
      <c r="G234" s="10"/>
      <c r="H234" s="10"/>
      <c r="I234" s="10"/>
      <c r="J234" s="10"/>
      <c r="K234" s="10"/>
      <c r="L234" s="10"/>
      <c r="M234" s="10"/>
      <c r="N234" s="5"/>
    </row>
    <row r="235" spans="1:14" x14ac:dyDescent="0.2">
      <c r="A235" s="14"/>
      <c r="E235" s="10"/>
      <c r="F235" s="10"/>
      <c r="G235" s="10"/>
      <c r="H235" s="10"/>
      <c r="I235" s="10"/>
      <c r="J235" s="10"/>
      <c r="K235" s="10"/>
      <c r="L235" s="10"/>
      <c r="M235" s="10"/>
      <c r="N235" s="5"/>
    </row>
    <row r="236" spans="1:14" x14ac:dyDescent="0.2">
      <c r="A236" s="14"/>
      <c r="E236" s="10"/>
      <c r="F236" s="10"/>
      <c r="G236" s="10"/>
      <c r="H236" s="10"/>
      <c r="I236" s="10"/>
      <c r="J236" s="10"/>
      <c r="K236" s="10"/>
      <c r="L236" s="10"/>
      <c r="M236" s="10"/>
      <c r="N236" s="5"/>
    </row>
    <row r="237" spans="1:14" x14ac:dyDescent="0.2">
      <c r="A237" s="14"/>
      <c r="E237" s="10"/>
      <c r="F237" s="10"/>
      <c r="G237" s="10"/>
      <c r="H237" s="10"/>
      <c r="I237" s="10"/>
      <c r="J237" s="10"/>
      <c r="K237" s="10"/>
      <c r="L237" s="10"/>
      <c r="M237" s="10"/>
      <c r="N237" s="5"/>
    </row>
    <row r="238" spans="1:14" x14ac:dyDescent="0.2">
      <c r="A238" s="14"/>
      <c r="E238" s="10"/>
      <c r="F238" s="10"/>
      <c r="G238" s="10"/>
      <c r="H238" s="10"/>
      <c r="I238" s="10"/>
      <c r="J238" s="10"/>
      <c r="K238" s="10"/>
      <c r="L238" s="10"/>
      <c r="M238" s="10"/>
      <c r="N238" s="5"/>
    </row>
    <row r="239" spans="1:14" x14ac:dyDescent="0.2">
      <c r="A239" s="14"/>
      <c r="E239" s="10"/>
      <c r="F239" s="10"/>
      <c r="G239" s="10"/>
      <c r="H239" s="10"/>
      <c r="I239" s="10"/>
      <c r="J239" s="10"/>
      <c r="K239" s="10"/>
      <c r="L239" s="10"/>
      <c r="M239" s="10"/>
      <c r="N239" s="5"/>
    </row>
    <row r="240" spans="1:14" x14ac:dyDescent="0.2">
      <c r="A240" s="14"/>
      <c r="E240" s="10"/>
      <c r="F240" s="10"/>
      <c r="G240" s="10"/>
      <c r="H240" s="10"/>
      <c r="I240" s="10"/>
      <c r="J240" s="10"/>
      <c r="K240" s="10"/>
      <c r="L240" s="10"/>
      <c r="M240" s="10"/>
      <c r="N240" s="5"/>
    </row>
    <row r="241" spans="1:14" x14ac:dyDescent="0.2">
      <c r="A241" s="14"/>
      <c r="E241" s="10"/>
      <c r="F241" s="10"/>
      <c r="G241" s="10"/>
      <c r="H241" s="10"/>
      <c r="I241" s="10"/>
      <c r="J241" s="10"/>
      <c r="K241" s="10"/>
      <c r="L241" s="10"/>
      <c r="M241" s="10"/>
      <c r="N241" s="5"/>
    </row>
    <row r="242" spans="1:14" x14ac:dyDescent="0.2">
      <c r="A242" s="14"/>
      <c r="E242" s="10"/>
      <c r="F242" s="10"/>
      <c r="G242" s="10"/>
      <c r="H242" s="10"/>
      <c r="I242" s="10"/>
      <c r="J242" s="10"/>
      <c r="K242" s="10"/>
      <c r="L242" s="10"/>
      <c r="M242" s="10"/>
      <c r="N242" s="5"/>
    </row>
    <row r="243" spans="1:14" x14ac:dyDescent="0.2">
      <c r="A243" s="14"/>
      <c r="E243" s="10"/>
      <c r="F243" s="10"/>
      <c r="G243" s="10"/>
      <c r="H243" s="10"/>
      <c r="I243" s="10"/>
      <c r="J243" s="10"/>
      <c r="K243" s="10"/>
      <c r="L243" s="10"/>
      <c r="M243" s="10"/>
      <c r="N243" s="5"/>
    </row>
    <row r="244" spans="1:14" x14ac:dyDescent="0.2">
      <c r="A244" s="14"/>
      <c r="E244" s="10"/>
      <c r="F244" s="10"/>
      <c r="G244" s="10"/>
      <c r="H244" s="10"/>
      <c r="I244" s="10"/>
      <c r="J244" s="10"/>
      <c r="K244" s="10"/>
      <c r="L244" s="10"/>
      <c r="M244" s="10"/>
      <c r="N244" s="5"/>
    </row>
    <row r="245" spans="1:14" x14ac:dyDescent="0.2">
      <c r="A245" s="14"/>
      <c r="E245" s="10"/>
      <c r="F245" s="10"/>
      <c r="G245" s="10"/>
      <c r="H245" s="10"/>
      <c r="I245" s="10"/>
      <c r="J245" s="10"/>
      <c r="K245" s="10"/>
      <c r="L245" s="10"/>
      <c r="M245" s="10"/>
      <c r="N245" s="5"/>
    </row>
    <row r="246" spans="1:14" x14ac:dyDescent="0.2">
      <c r="A246" s="14"/>
      <c r="E246" s="10"/>
      <c r="F246" s="10"/>
      <c r="G246" s="10"/>
      <c r="H246" s="10"/>
      <c r="I246" s="10"/>
      <c r="J246" s="10"/>
      <c r="K246" s="10"/>
      <c r="L246" s="10"/>
      <c r="M246" s="10"/>
      <c r="N246" s="5"/>
    </row>
    <row r="247" spans="1:14" x14ac:dyDescent="0.2">
      <c r="A247" s="14"/>
      <c r="E247" s="10"/>
      <c r="F247" s="10"/>
      <c r="G247" s="10"/>
      <c r="H247" s="10"/>
      <c r="I247" s="10"/>
      <c r="J247" s="10"/>
      <c r="K247" s="10"/>
      <c r="L247" s="10"/>
      <c r="M247" s="10"/>
      <c r="N247" s="5"/>
    </row>
    <row r="248" spans="1:14" x14ac:dyDescent="0.2">
      <c r="A248" s="14"/>
      <c r="E248" s="10"/>
      <c r="F248" s="10"/>
      <c r="G248" s="10"/>
      <c r="H248" s="10"/>
      <c r="I248" s="10"/>
      <c r="J248" s="10"/>
      <c r="K248" s="10"/>
      <c r="L248" s="10"/>
      <c r="M248" s="10"/>
      <c r="N248" s="5"/>
    </row>
    <row r="249" spans="1:14" x14ac:dyDescent="0.2">
      <c r="A249" s="14"/>
      <c r="E249" s="10"/>
      <c r="F249" s="10"/>
      <c r="G249" s="10"/>
      <c r="H249" s="10"/>
      <c r="I249" s="10"/>
      <c r="J249" s="10"/>
      <c r="K249" s="10"/>
      <c r="L249" s="10"/>
      <c r="M249" s="10"/>
      <c r="N249" s="5"/>
    </row>
    <row r="250" spans="1:14" x14ac:dyDescent="0.2">
      <c r="A250" s="14"/>
      <c r="E250" s="10"/>
      <c r="F250" s="10"/>
      <c r="G250" s="10"/>
      <c r="H250" s="10"/>
      <c r="I250" s="10"/>
      <c r="J250" s="10"/>
      <c r="K250" s="10"/>
      <c r="L250" s="10"/>
      <c r="M250" s="10"/>
      <c r="N250" s="5"/>
    </row>
    <row r="251" spans="1:14" x14ac:dyDescent="0.2">
      <c r="A251" s="14"/>
      <c r="E251" s="10"/>
      <c r="F251" s="10"/>
      <c r="G251" s="10"/>
      <c r="H251" s="10"/>
      <c r="I251" s="10"/>
      <c r="J251" s="10"/>
      <c r="K251" s="10"/>
      <c r="L251" s="10"/>
      <c r="M251" s="10"/>
      <c r="N251" s="5"/>
    </row>
    <row r="252" spans="1:14" x14ac:dyDescent="0.2">
      <c r="A252" s="14"/>
      <c r="E252" s="10"/>
      <c r="F252" s="10"/>
      <c r="G252" s="10"/>
      <c r="H252" s="10"/>
      <c r="I252" s="10"/>
      <c r="J252" s="10"/>
      <c r="K252" s="10"/>
      <c r="L252" s="10"/>
      <c r="M252" s="10"/>
      <c r="N252" s="5"/>
    </row>
    <row r="253" spans="1:14" x14ac:dyDescent="0.2">
      <c r="A253" s="14"/>
      <c r="E253" s="10"/>
      <c r="F253" s="10"/>
      <c r="G253" s="10"/>
      <c r="H253" s="10"/>
      <c r="I253" s="10"/>
      <c r="J253" s="10"/>
      <c r="K253" s="10"/>
      <c r="L253" s="10"/>
      <c r="M253" s="10"/>
      <c r="N253" s="5"/>
    </row>
    <row r="254" spans="1:14" x14ac:dyDescent="0.2">
      <c r="A254" s="14"/>
      <c r="E254" s="10"/>
      <c r="F254" s="10"/>
      <c r="G254" s="10"/>
      <c r="H254" s="10"/>
      <c r="I254" s="10"/>
      <c r="J254" s="10"/>
      <c r="K254" s="10"/>
      <c r="L254" s="10"/>
      <c r="M254" s="10"/>
      <c r="N254" s="5"/>
    </row>
    <row r="255" spans="1:14" x14ac:dyDescent="0.2">
      <c r="A255" s="14"/>
      <c r="E255" s="10"/>
      <c r="F255" s="10"/>
      <c r="G255" s="10"/>
      <c r="H255" s="10"/>
      <c r="I255" s="10"/>
      <c r="J255" s="10"/>
      <c r="K255" s="10"/>
      <c r="L255" s="10"/>
      <c r="M255" s="10"/>
      <c r="N255" s="5"/>
    </row>
    <row r="256" spans="1:14" x14ac:dyDescent="0.2">
      <c r="A256" s="14"/>
      <c r="E256" s="10"/>
      <c r="F256" s="10"/>
      <c r="G256" s="10"/>
      <c r="H256" s="10"/>
      <c r="I256" s="10"/>
      <c r="J256" s="10"/>
      <c r="K256" s="10"/>
      <c r="L256" s="10"/>
      <c r="M256" s="10"/>
      <c r="N256" s="5"/>
    </row>
    <row r="257" spans="1:14" x14ac:dyDescent="0.2">
      <c r="A257" s="14"/>
      <c r="E257" s="10"/>
      <c r="F257" s="10"/>
      <c r="G257" s="10"/>
      <c r="H257" s="10"/>
      <c r="I257" s="10"/>
      <c r="J257" s="10"/>
      <c r="K257" s="10"/>
      <c r="L257" s="10"/>
      <c r="M257" s="10"/>
      <c r="N257" s="5"/>
    </row>
    <row r="258" spans="1:14" x14ac:dyDescent="0.2">
      <c r="A258" s="14"/>
      <c r="E258" s="10"/>
      <c r="F258" s="10"/>
      <c r="G258" s="10"/>
      <c r="H258" s="10"/>
      <c r="I258" s="10"/>
      <c r="J258" s="10"/>
      <c r="K258" s="10"/>
      <c r="L258" s="10"/>
      <c r="M258" s="10"/>
      <c r="N258" s="5"/>
    </row>
    <row r="259" spans="1:14" x14ac:dyDescent="0.2">
      <c r="A259" s="14"/>
      <c r="E259" s="10"/>
      <c r="F259" s="10"/>
      <c r="G259" s="10"/>
      <c r="H259" s="10"/>
      <c r="I259" s="10"/>
      <c r="J259" s="10"/>
      <c r="K259" s="10"/>
      <c r="L259" s="10"/>
      <c r="M259" s="10"/>
      <c r="N259" s="5"/>
    </row>
    <row r="260" spans="1:14" x14ac:dyDescent="0.2">
      <c r="A260" s="14"/>
      <c r="E260" s="10"/>
      <c r="F260" s="10"/>
      <c r="G260" s="10"/>
      <c r="H260" s="10"/>
      <c r="I260" s="10"/>
      <c r="J260" s="10"/>
      <c r="K260" s="10"/>
      <c r="L260" s="10"/>
      <c r="M260" s="10"/>
      <c r="N260" s="5"/>
    </row>
    <row r="261" spans="1:14" x14ac:dyDescent="0.2">
      <c r="A261" s="14"/>
      <c r="E261" s="10"/>
      <c r="F261" s="10"/>
      <c r="G261" s="10"/>
      <c r="H261" s="10"/>
      <c r="I261" s="10"/>
      <c r="J261" s="10"/>
      <c r="K261" s="10"/>
      <c r="L261" s="10"/>
      <c r="M261" s="10"/>
      <c r="N261" s="5"/>
    </row>
    <row r="262" spans="1:14" x14ac:dyDescent="0.2">
      <c r="A262" s="14"/>
      <c r="E262" s="10"/>
      <c r="F262" s="10"/>
      <c r="G262" s="10"/>
      <c r="H262" s="10"/>
      <c r="I262" s="10"/>
      <c r="J262" s="10"/>
      <c r="K262" s="10"/>
      <c r="L262" s="10"/>
      <c r="M262" s="10"/>
      <c r="N262" s="5"/>
    </row>
    <row r="263" spans="1:14" x14ac:dyDescent="0.2">
      <c r="A263" s="14"/>
      <c r="E263" s="10"/>
      <c r="F263" s="10"/>
      <c r="G263" s="10"/>
      <c r="H263" s="10"/>
      <c r="I263" s="10"/>
      <c r="J263" s="10"/>
      <c r="K263" s="10"/>
      <c r="L263" s="10"/>
      <c r="M263" s="10"/>
      <c r="N263" s="5"/>
    </row>
    <row r="264" spans="1:14" x14ac:dyDescent="0.2">
      <c r="A264" s="14"/>
      <c r="E264" s="10"/>
      <c r="F264" s="10"/>
      <c r="G264" s="10"/>
      <c r="H264" s="10"/>
      <c r="I264" s="10"/>
      <c r="J264" s="10"/>
      <c r="K264" s="10"/>
      <c r="L264" s="10"/>
      <c r="M264" s="10"/>
      <c r="N264" s="5"/>
    </row>
    <row r="265" spans="1:14" x14ac:dyDescent="0.2">
      <c r="A265" s="14"/>
      <c r="E265" s="10"/>
      <c r="F265" s="10"/>
      <c r="G265" s="10"/>
      <c r="H265" s="10"/>
      <c r="I265" s="10"/>
      <c r="J265" s="10"/>
      <c r="K265" s="10"/>
      <c r="L265" s="10"/>
      <c r="M265" s="10"/>
      <c r="N265" s="5"/>
    </row>
    <row r="266" spans="1:14" x14ac:dyDescent="0.2">
      <c r="A266" s="14"/>
      <c r="E266" s="10"/>
      <c r="F266" s="10"/>
      <c r="G266" s="10"/>
      <c r="H266" s="10"/>
      <c r="I266" s="10"/>
      <c r="J266" s="10"/>
      <c r="K266" s="10"/>
      <c r="L266" s="10"/>
      <c r="M266" s="10"/>
      <c r="N266" s="5"/>
    </row>
    <row r="267" spans="1:14" x14ac:dyDescent="0.2">
      <c r="A267" s="14"/>
      <c r="E267" s="10"/>
      <c r="F267" s="10"/>
      <c r="G267" s="10"/>
      <c r="H267" s="10"/>
      <c r="I267" s="10"/>
      <c r="J267" s="10"/>
      <c r="K267" s="10"/>
      <c r="L267" s="10"/>
      <c r="M267" s="10"/>
      <c r="N267" s="5"/>
    </row>
    <row r="268" spans="1:14" x14ac:dyDescent="0.2">
      <c r="A268" s="14"/>
      <c r="E268" s="10"/>
      <c r="F268" s="10"/>
      <c r="G268" s="10"/>
      <c r="H268" s="10"/>
      <c r="I268" s="10"/>
      <c r="J268" s="10"/>
      <c r="K268" s="10"/>
      <c r="L268" s="10"/>
      <c r="M268" s="10"/>
      <c r="N268" s="5"/>
    </row>
    <row r="269" spans="1:14" x14ac:dyDescent="0.2">
      <c r="A269" s="14"/>
      <c r="E269" s="10"/>
      <c r="F269" s="10"/>
      <c r="G269" s="10"/>
      <c r="H269" s="10"/>
      <c r="I269" s="10"/>
      <c r="J269" s="10"/>
      <c r="K269" s="10"/>
      <c r="L269" s="10"/>
      <c r="M269" s="10"/>
      <c r="N269" s="5"/>
    </row>
    <row r="270" spans="1:14" x14ac:dyDescent="0.2">
      <c r="A270" s="14"/>
      <c r="E270" s="10"/>
      <c r="F270" s="10"/>
      <c r="G270" s="10"/>
      <c r="H270" s="10"/>
      <c r="I270" s="10"/>
      <c r="J270" s="10"/>
      <c r="K270" s="10"/>
      <c r="L270" s="10"/>
      <c r="M270" s="10"/>
      <c r="N270" s="5"/>
    </row>
    <row r="271" spans="1:14" x14ac:dyDescent="0.2">
      <c r="A271" s="14"/>
      <c r="E271" s="10"/>
      <c r="F271" s="10"/>
      <c r="G271" s="10"/>
      <c r="H271" s="10"/>
      <c r="I271" s="10"/>
      <c r="J271" s="10"/>
      <c r="K271" s="10"/>
      <c r="L271" s="10"/>
      <c r="M271" s="10"/>
      <c r="N271" s="5"/>
    </row>
    <row r="272" spans="1:14" x14ac:dyDescent="0.2">
      <c r="A272" s="14"/>
      <c r="E272" s="10"/>
      <c r="F272" s="10"/>
      <c r="G272" s="10"/>
      <c r="H272" s="10"/>
      <c r="I272" s="10"/>
      <c r="J272" s="10"/>
      <c r="K272" s="10"/>
      <c r="L272" s="10"/>
      <c r="M272" s="10"/>
      <c r="N272" s="5"/>
    </row>
    <row r="273" spans="1:14" x14ac:dyDescent="0.2">
      <c r="A273" s="14"/>
      <c r="E273" s="10"/>
      <c r="F273" s="10"/>
      <c r="G273" s="10"/>
      <c r="H273" s="10"/>
      <c r="I273" s="10"/>
      <c r="J273" s="10"/>
      <c r="K273" s="10"/>
      <c r="L273" s="10"/>
      <c r="M273" s="10"/>
      <c r="N273" s="5"/>
    </row>
    <row r="274" spans="1:14" x14ac:dyDescent="0.2">
      <c r="A274" s="14"/>
      <c r="E274" s="10"/>
      <c r="F274" s="10"/>
      <c r="G274" s="10"/>
      <c r="H274" s="10"/>
      <c r="I274" s="10"/>
      <c r="J274" s="10"/>
      <c r="K274" s="10"/>
      <c r="L274" s="10"/>
      <c r="M274" s="10"/>
      <c r="N274" s="5"/>
    </row>
    <row r="275" spans="1:14" x14ac:dyDescent="0.2">
      <c r="A275" s="14"/>
      <c r="E275" s="10"/>
      <c r="F275" s="10"/>
      <c r="G275" s="10"/>
      <c r="H275" s="10"/>
      <c r="I275" s="10"/>
      <c r="J275" s="10"/>
      <c r="K275" s="10"/>
      <c r="L275" s="10"/>
      <c r="M275" s="10"/>
      <c r="N275" s="5"/>
    </row>
    <row r="276" spans="1:14" x14ac:dyDescent="0.2">
      <c r="A276" s="14"/>
      <c r="E276" s="10"/>
      <c r="F276" s="10"/>
      <c r="G276" s="10"/>
      <c r="H276" s="10"/>
      <c r="I276" s="10"/>
      <c r="J276" s="10"/>
      <c r="K276" s="10"/>
      <c r="L276" s="10"/>
      <c r="M276" s="10"/>
      <c r="N276" s="5"/>
    </row>
    <row r="277" spans="1:14" x14ac:dyDescent="0.2">
      <c r="A277" s="14"/>
      <c r="E277" s="10"/>
      <c r="F277" s="10"/>
      <c r="G277" s="10"/>
      <c r="H277" s="10"/>
      <c r="I277" s="10"/>
      <c r="J277" s="10"/>
      <c r="K277" s="10"/>
      <c r="L277" s="10"/>
      <c r="M277" s="10"/>
      <c r="N277" s="5"/>
    </row>
    <row r="278" spans="1:14" x14ac:dyDescent="0.2">
      <c r="A278" s="14"/>
      <c r="E278" s="10"/>
      <c r="F278" s="10"/>
      <c r="G278" s="10"/>
      <c r="H278" s="10"/>
      <c r="I278" s="10"/>
      <c r="J278" s="10"/>
      <c r="K278" s="10"/>
      <c r="L278" s="10"/>
      <c r="M278" s="10"/>
      <c r="N278" s="5"/>
    </row>
    <row r="279" spans="1:14" x14ac:dyDescent="0.2">
      <c r="A279" s="14"/>
      <c r="E279" s="10"/>
      <c r="F279" s="10"/>
      <c r="G279" s="10"/>
      <c r="H279" s="10"/>
      <c r="I279" s="10"/>
      <c r="J279" s="10"/>
      <c r="K279" s="10"/>
      <c r="L279" s="10"/>
      <c r="M279" s="10"/>
      <c r="N279" s="5"/>
    </row>
    <row r="280" spans="1:14" x14ac:dyDescent="0.2">
      <c r="A280" s="14"/>
      <c r="E280" s="10"/>
      <c r="F280" s="10"/>
      <c r="G280" s="10"/>
      <c r="H280" s="10"/>
      <c r="I280" s="10"/>
      <c r="J280" s="10"/>
      <c r="K280" s="10"/>
      <c r="L280" s="10"/>
      <c r="M280" s="10"/>
      <c r="N280" s="5"/>
    </row>
    <row r="281" spans="1:14" x14ac:dyDescent="0.2">
      <c r="A281" s="14"/>
      <c r="E281" s="10"/>
      <c r="F281" s="10"/>
      <c r="G281" s="10"/>
      <c r="H281" s="10"/>
      <c r="I281" s="10"/>
      <c r="J281" s="10"/>
      <c r="K281" s="10"/>
      <c r="L281" s="10"/>
      <c r="M281" s="10"/>
      <c r="N281" s="5"/>
    </row>
    <row r="282" spans="1:14" x14ac:dyDescent="0.2">
      <c r="A282" s="14"/>
      <c r="E282" s="10"/>
      <c r="F282" s="10"/>
      <c r="G282" s="10"/>
      <c r="H282" s="10"/>
      <c r="I282" s="10"/>
      <c r="J282" s="10"/>
      <c r="K282" s="10"/>
      <c r="L282" s="10"/>
      <c r="M282" s="10"/>
      <c r="N282" s="5"/>
    </row>
    <row r="283" spans="1:14" x14ac:dyDescent="0.2">
      <c r="A283" s="14"/>
      <c r="E283" s="10"/>
      <c r="F283" s="10"/>
      <c r="G283" s="10"/>
      <c r="H283" s="10"/>
      <c r="I283" s="10"/>
      <c r="J283" s="10"/>
      <c r="K283" s="10"/>
      <c r="L283" s="10"/>
      <c r="M283" s="10"/>
      <c r="N283" s="5"/>
    </row>
    <row r="284" spans="1:14" x14ac:dyDescent="0.2">
      <c r="A284" s="14"/>
      <c r="E284" s="10"/>
      <c r="F284" s="10"/>
      <c r="G284" s="10"/>
      <c r="H284" s="10"/>
      <c r="I284" s="10"/>
      <c r="J284" s="10"/>
      <c r="K284" s="10"/>
      <c r="L284" s="10"/>
      <c r="M284" s="10"/>
      <c r="N284" s="5"/>
    </row>
    <row r="285" spans="1:14" x14ac:dyDescent="0.2">
      <c r="A285" s="14"/>
      <c r="E285" s="10"/>
      <c r="F285" s="10"/>
      <c r="G285" s="10"/>
      <c r="H285" s="10"/>
      <c r="I285" s="10"/>
      <c r="J285" s="10"/>
      <c r="K285" s="10"/>
      <c r="L285" s="10"/>
      <c r="M285" s="10"/>
      <c r="N285" s="5"/>
    </row>
    <row r="286" spans="1:14" x14ac:dyDescent="0.2">
      <c r="A286" s="14"/>
      <c r="E286" s="10"/>
      <c r="F286" s="10"/>
      <c r="G286" s="10"/>
      <c r="H286" s="10"/>
      <c r="I286" s="10"/>
      <c r="J286" s="10"/>
      <c r="K286" s="10"/>
      <c r="L286" s="10"/>
      <c r="M286" s="10"/>
      <c r="N286" s="5"/>
    </row>
    <row r="287" spans="1:14" x14ac:dyDescent="0.2">
      <c r="A287" s="14"/>
      <c r="E287" s="10"/>
      <c r="F287" s="10"/>
      <c r="G287" s="10"/>
      <c r="H287" s="10"/>
      <c r="I287" s="10"/>
      <c r="J287" s="10"/>
      <c r="K287" s="10"/>
      <c r="L287" s="10"/>
      <c r="M287" s="10"/>
      <c r="N287" s="5"/>
    </row>
    <row r="288" spans="1:14" x14ac:dyDescent="0.2">
      <c r="A288" s="14"/>
      <c r="E288" s="10"/>
      <c r="F288" s="10"/>
      <c r="G288" s="10"/>
      <c r="H288" s="10"/>
      <c r="I288" s="10"/>
      <c r="J288" s="10"/>
      <c r="K288" s="10"/>
      <c r="L288" s="10"/>
      <c r="M288" s="10"/>
      <c r="N288" s="5"/>
    </row>
    <row r="289" spans="1:14" x14ac:dyDescent="0.2">
      <c r="A289" s="14"/>
      <c r="E289" s="10"/>
      <c r="F289" s="10"/>
      <c r="G289" s="10"/>
      <c r="H289" s="10"/>
      <c r="I289" s="10"/>
      <c r="J289" s="10"/>
      <c r="K289" s="10"/>
      <c r="L289" s="10"/>
      <c r="M289" s="10"/>
      <c r="N289" s="5"/>
    </row>
    <row r="290" spans="1:14" x14ac:dyDescent="0.2">
      <c r="A290" s="14"/>
      <c r="E290" s="10"/>
      <c r="F290" s="10"/>
      <c r="G290" s="10"/>
      <c r="H290" s="10"/>
      <c r="I290" s="10"/>
      <c r="J290" s="10"/>
      <c r="K290" s="10"/>
      <c r="L290" s="10"/>
      <c r="M290" s="10"/>
      <c r="N290" s="5"/>
    </row>
    <row r="291" spans="1:14" x14ac:dyDescent="0.2">
      <c r="A291" s="14"/>
      <c r="E291" s="10"/>
      <c r="F291" s="10"/>
      <c r="G291" s="10"/>
      <c r="H291" s="10"/>
      <c r="I291" s="10"/>
      <c r="J291" s="10"/>
      <c r="K291" s="10"/>
      <c r="L291" s="10"/>
      <c r="M291" s="10"/>
      <c r="N291" s="5"/>
    </row>
    <row r="292" spans="1:14" x14ac:dyDescent="0.2">
      <c r="A292" s="14"/>
      <c r="E292" s="10"/>
      <c r="F292" s="10"/>
      <c r="G292" s="10"/>
      <c r="H292" s="10"/>
      <c r="I292" s="10"/>
      <c r="J292" s="10"/>
      <c r="K292" s="10"/>
      <c r="L292" s="10"/>
      <c r="M292" s="10"/>
      <c r="N292" s="5"/>
    </row>
    <row r="293" spans="1:14" x14ac:dyDescent="0.2">
      <c r="A293" s="14"/>
      <c r="E293" s="10"/>
      <c r="F293" s="10"/>
      <c r="G293" s="10"/>
      <c r="H293" s="10"/>
      <c r="I293" s="10"/>
      <c r="J293" s="10"/>
      <c r="K293" s="10"/>
      <c r="L293" s="10"/>
      <c r="M293" s="10"/>
      <c r="N293" s="5"/>
    </row>
    <row r="294" spans="1:14" x14ac:dyDescent="0.2">
      <c r="A294" s="14"/>
      <c r="E294" s="10"/>
      <c r="F294" s="10"/>
      <c r="G294" s="10"/>
      <c r="H294" s="10"/>
      <c r="I294" s="10"/>
      <c r="J294" s="10"/>
      <c r="K294" s="10"/>
      <c r="L294" s="10"/>
      <c r="M294" s="10"/>
      <c r="N294" s="5"/>
    </row>
    <row r="295" spans="1:14" x14ac:dyDescent="0.2">
      <c r="A295" s="14"/>
      <c r="E295" s="10"/>
      <c r="F295" s="10"/>
      <c r="G295" s="10"/>
      <c r="H295" s="10"/>
      <c r="I295" s="10"/>
      <c r="J295" s="10"/>
      <c r="K295" s="10"/>
      <c r="L295" s="10"/>
      <c r="M295" s="10"/>
      <c r="N295" s="5"/>
    </row>
    <row r="296" spans="1:14" x14ac:dyDescent="0.2">
      <c r="A296" s="14"/>
      <c r="E296" s="10"/>
      <c r="F296" s="10"/>
      <c r="G296" s="10"/>
      <c r="H296" s="10"/>
      <c r="I296" s="10"/>
      <c r="J296" s="10"/>
      <c r="K296" s="10"/>
      <c r="L296" s="10"/>
      <c r="M296" s="10"/>
      <c r="N296" s="5"/>
    </row>
    <row r="297" spans="1:14" x14ac:dyDescent="0.2">
      <c r="A297" s="14"/>
      <c r="E297" s="10"/>
      <c r="F297" s="10"/>
      <c r="G297" s="10"/>
      <c r="H297" s="10"/>
      <c r="I297" s="10"/>
      <c r="J297" s="10"/>
      <c r="K297" s="10"/>
      <c r="L297" s="10"/>
      <c r="M297" s="10"/>
      <c r="N297" s="5"/>
    </row>
    <row r="298" spans="1:14" x14ac:dyDescent="0.2">
      <c r="A298" s="14"/>
      <c r="E298" s="10"/>
      <c r="F298" s="10"/>
      <c r="G298" s="10"/>
      <c r="H298" s="10"/>
      <c r="I298" s="10"/>
      <c r="J298" s="10"/>
      <c r="K298" s="10"/>
      <c r="L298" s="10"/>
      <c r="M298" s="10"/>
      <c r="N298" s="5"/>
    </row>
    <row r="299" spans="1:14" x14ac:dyDescent="0.2">
      <c r="A299" s="14"/>
      <c r="E299" s="10"/>
      <c r="F299" s="10"/>
      <c r="G299" s="10"/>
      <c r="H299" s="10"/>
      <c r="I299" s="10"/>
      <c r="J299" s="10"/>
      <c r="K299" s="10"/>
      <c r="L299" s="10"/>
      <c r="M299" s="10"/>
      <c r="N299" s="5"/>
    </row>
    <row r="300" spans="1:14" x14ac:dyDescent="0.2">
      <c r="A300" s="14"/>
      <c r="E300" s="10"/>
      <c r="F300" s="10"/>
      <c r="G300" s="10"/>
      <c r="H300" s="10"/>
      <c r="I300" s="10"/>
      <c r="J300" s="10"/>
      <c r="K300" s="10"/>
      <c r="L300" s="10"/>
      <c r="M300" s="10"/>
      <c r="N300" s="5"/>
    </row>
    <row r="301" spans="1:14" x14ac:dyDescent="0.2">
      <c r="A301" s="14"/>
      <c r="E301" s="10"/>
      <c r="F301" s="10"/>
      <c r="G301" s="10"/>
      <c r="H301" s="10"/>
      <c r="I301" s="10"/>
      <c r="J301" s="10"/>
      <c r="K301" s="10"/>
      <c r="L301" s="10"/>
      <c r="M301" s="10"/>
      <c r="N301" s="5"/>
    </row>
    <row r="302" spans="1:14" x14ac:dyDescent="0.2">
      <c r="A302" s="14"/>
      <c r="E302" s="10"/>
      <c r="F302" s="10"/>
      <c r="G302" s="10"/>
      <c r="H302" s="10"/>
      <c r="I302" s="10"/>
      <c r="J302" s="10"/>
      <c r="K302" s="10"/>
      <c r="L302" s="10"/>
      <c r="M302" s="10"/>
      <c r="N302" s="5"/>
    </row>
    <row r="303" spans="1:14" x14ac:dyDescent="0.2">
      <c r="A303" s="14"/>
      <c r="E303" s="10"/>
      <c r="F303" s="10"/>
      <c r="G303" s="10"/>
      <c r="H303" s="10"/>
      <c r="I303" s="10"/>
      <c r="J303" s="10"/>
      <c r="K303" s="10"/>
      <c r="L303" s="10"/>
      <c r="M303" s="10"/>
      <c r="N303" s="5"/>
    </row>
    <row r="304" spans="1:14" x14ac:dyDescent="0.2">
      <c r="A304" s="14"/>
      <c r="E304" s="10"/>
      <c r="F304" s="10"/>
      <c r="G304" s="10"/>
      <c r="H304" s="10"/>
      <c r="I304" s="10"/>
      <c r="J304" s="10"/>
      <c r="K304" s="10"/>
      <c r="L304" s="10"/>
      <c r="M304" s="10"/>
      <c r="N304" s="5"/>
    </row>
    <row r="305" spans="1:14" x14ac:dyDescent="0.2">
      <c r="A305" s="14"/>
      <c r="E305" s="10"/>
      <c r="F305" s="10"/>
      <c r="G305" s="10"/>
      <c r="H305" s="10"/>
      <c r="I305" s="10"/>
      <c r="J305" s="10"/>
      <c r="K305" s="10"/>
      <c r="L305" s="10"/>
      <c r="M305" s="10"/>
      <c r="N305" s="5"/>
    </row>
    <row r="306" spans="1:14" x14ac:dyDescent="0.2">
      <c r="A306" s="14"/>
      <c r="E306" s="10"/>
      <c r="F306" s="10"/>
      <c r="G306" s="10"/>
      <c r="H306" s="10"/>
      <c r="I306" s="10"/>
      <c r="J306" s="10"/>
      <c r="K306" s="10"/>
      <c r="L306" s="10"/>
      <c r="M306" s="10"/>
      <c r="N306" s="5"/>
    </row>
    <row r="307" spans="1:14" x14ac:dyDescent="0.2">
      <c r="A307" s="14"/>
      <c r="E307" s="10"/>
      <c r="F307" s="10"/>
      <c r="G307" s="10"/>
      <c r="H307" s="10"/>
      <c r="I307" s="10"/>
      <c r="J307" s="10"/>
      <c r="K307" s="10"/>
      <c r="L307" s="10"/>
      <c r="M307" s="10"/>
      <c r="N307" s="5"/>
    </row>
  </sheetData>
  <mergeCells count="2">
    <mergeCell ref="B8:L8"/>
    <mergeCell ref="D1:J1"/>
  </mergeCells>
  <phoneticPr fontId="2" type="noConversion"/>
  <dataValidations count="2">
    <dataValidation type="list" allowBlank="1" showInputMessage="1" showErrorMessage="1" sqref="L3">
      <formula1>$Q$21:$Q$24</formula1>
    </dataValidation>
    <dataValidation type="list" allowBlank="1" showInputMessage="1" showErrorMessage="1" sqref="L4">
      <formula1>$Q$32:$Q$33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ht="17.25" x14ac:dyDescent="0.2">
      <c r="A1" s="37" t="s">
        <v>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3636D"/>
  </sheetPr>
  <dimension ref="A1:V84"/>
  <sheetViews>
    <sheetView topLeftCell="A52" zoomScaleNormal="100" workbookViewId="0">
      <selection activeCell="H6" sqref="H6"/>
    </sheetView>
  </sheetViews>
  <sheetFormatPr defaultColWidth="14.25" defaultRowHeight="14.25" x14ac:dyDescent="0.2"/>
  <cols>
    <col min="1" max="1" width="11.625" bestFit="1" customWidth="1"/>
    <col min="2" max="2" width="14.125" bestFit="1" customWidth="1"/>
    <col min="3" max="3" width="16.625" bestFit="1" customWidth="1"/>
    <col min="4" max="4" width="14.125" bestFit="1" customWidth="1"/>
    <col min="5" max="5" width="16.375" bestFit="1" customWidth="1"/>
    <col min="6" max="6" width="23.625" bestFit="1" customWidth="1"/>
    <col min="7" max="7" width="11.625" bestFit="1" customWidth="1"/>
    <col min="8" max="8" width="14.125" bestFit="1" customWidth="1"/>
    <col min="9" max="9" width="16.625" bestFit="1" customWidth="1"/>
    <col min="10" max="10" width="14.125" bestFit="1" customWidth="1"/>
    <col min="11" max="11" width="16.375" bestFit="1" customWidth="1"/>
    <col min="17" max="17" width="23.625" bestFit="1" customWidth="1"/>
    <col min="18" max="18" width="23.875" bestFit="1" customWidth="1"/>
    <col min="19" max="19" width="18.5" bestFit="1" customWidth="1"/>
    <col min="20" max="20" width="26" bestFit="1" customWidth="1"/>
    <col min="21" max="21" width="40.5" bestFit="1" customWidth="1"/>
  </cols>
  <sheetData>
    <row r="1" spans="1:21" x14ac:dyDescent="0.2">
      <c r="A1" s="1"/>
      <c r="B1" s="1" t="str">
        <f>[1]!s_info_name(B2)</f>
        <v>可选消费</v>
      </c>
      <c r="G1" s="1"/>
      <c r="H1" s="1" t="str">
        <f>[1]!s_info_name(H2)</f>
        <v>万得全A</v>
      </c>
    </row>
    <row r="2" spans="1:21" x14ac:dyDescent="0.2">
      <c r="A2" s="1"/>
      <c r="B2" s="20" t="str">
        <f>指数历史估值比较!D3</f>
        <v>882004.WI</v>
      </c>
      <c r="G2" s="1"/>
      <c r="H2" s="20" t="str">
        <f>指数历史估值比较!H3</f>
        <v>881001.WI</v>
      </c>
    </row>
    <row r="3" spans="1:21" x14ac:dyDescent="0.2">
      <c r="A3" s="1" t="s">
        <v>0</v>
      </c>
      <c r="B3" s="1" t="s">
        <v>2</v>
      </c>
      <c r="C3" s="1" t="s">
        <v>8</v>
      </c>
      <c r="D3" s="1" t="s">
        <v>3</v>
      </c>
      <c r="E3" s="1" t="s">
        <v>4</v>
      </c>
      <c r="F3" s="1"/>
      <c r="G3" s="1" t="s">
        <v>0</v>
      </c>
      <c r="H3" s="1" t="s">
        <v>2</v>
      </c>
      <c r="I3" s="1" t="s">
        <v>8</v>
      </c>
      <c r="J3" s="1" t="s">
        <v>3</v>
      </c>
      <c r="K3" s="1" t="s">
        <v>4</v>
      </c>
      <c r="Q3" s="1"/>
      <c r="R3" s="1"/>
      <c r="S3" s="1"/>
      <c r="T3" s="1"/>
      <c r="U3" s="1"/>
    </row>
    <row r="4" spans="1:21" x14ac:dyDescent="0.2">
      <c r="A4" s="1" t="s">
        <v>1</v>
      </c>
      <c r="B4" s="1" t="s">
        <v>5</v>
      </c>
      <c r="C4" s="1" t="s">
        <v>9</v>
      </c>
      <c r="D4" s="1" t="s">
        <v>6</v>
      </c>
      <c r="E4" s="1" t="s">
        <v>7</v>
      </c>
      <c r="F4" s="1"/>
      <c r="G4" s="1" t="s">
        <v>1</v>
      </c>
      <c r="H4" s="1" t="s">
        <v>5</v>
      </c>
      <c r="I4" s="1" t="s">
        <v>9</v>
      </c>
      <c r="J4" s="1" t="s">
        <v>6</v>
      </c>
      <c r="K4" s="1" t="s">
        <v>7</v>
      </c>
      <c r="Q4" s="1"/>
      <c r="R4" s="1"/>
      <c r="S4" s="1"/>
      <c r="T4" s="1"/>
      <c r="U4" s="1"/>
    </row>
    <row r="5" spans="1:21" x14ac:dyDescent="0.2">
      <c r="A5" s="2">
        <v>45382</v>
      </c>
      <c r="B5" s="3">
        <f>[1]!WSD(B2,B4:E4,"-69Q","","Per=FQ","Days=Alldays","TradingCalendar=SSE","Sort=D","rptType=1","cols=4;rows=69")</f>
        <v>27.340099334716797</v>
      </c>
      <c r="C5" s="3">
        <v>2.0834999084472656</v>
      </c>
      <c r="D5" s="3">
        <v>1.2058</v>
      </c>
      <c r="E5" s="3">
        <v>1.6685000000000001</v>
      </c>
      <c r="F5" s="3"/>
      <c r="G5" s="2">
        <v>45382</v>
      </c>
      <c r="H5" s="3">
        <f>[1]!WSD(H2,H4:K4,"-69Q","","Per=FQ","Days=Alldays","TradingCalendar=SSE","Sort=D","rptType=1","cols=4;rows=69")</f>
        <v>16.697200775146484</v>
      </c>
      <c r="I5" s="3">
        <v>1.4553999900817871</v>
      </c>
      <c r="J5" s="3">
        <v>1.2103999999999999</v>
      </c>
      <c r="K5" s="3">
        <v>2.2012</v>
      </c>
      <c r="Q5" s="3"/>
      <c r="R5" s="3"/>
      <c r="S5" s="3"/>
      <c r="T5" s="3"/>
      <c r="U5" s="3"/>
    </row>
    <row r="6" spans="1:21" x14ac:dyDescent="0.2">
      <c r="A6" s="2">
        <v>45291</v>
      </c>
      <c r="B6" s="3">
        <v>29.553400039672852</v>
      </c>
      <c r="C6" s="3">
        <v>2.0903999805450439</v>
      </c>
      <c r="D6" s="3">
        <v>1.2149000000000001</v>
      </c>
      <c r="E6" s="3">
        <v>1.7746999999999999</v>
      </c>
      <c r="F6" s="3"/>
      <c r="G6" s="2">
        <v>45291</v>
      </c>
      <c r="H6" s="3">
        <v>16.667499542236328</v>
      </c>
      <c r="I6" s="3">
        <v>1.4730000495910645</v>
      </c>
      <c r="J6" s="3">
        <v>1.2051000000000001</v>
      </c>
      <c r="K6" s="3">
        <v>2.1945000000000001</v>
      </c>
      <c r="Q6" s="3"/>
      <c r="R6" s="3"/>
      <c r="S6" s="3"/>
      <c r="T6" s="3"/>
      <c r="U6" s="3"/>
    </row>
    <row r="7" spans="1:21" x14ac:dyDescent="0.2">
      <c r="A7" s="2">
        <v>45199</v>
      </c>
      <c r="B7" s="3">
        <v>32.738700866699219</v>
      </c>
      <c r="C7" s="3">
        <v>2.2044000625610352</v>
      </c>
      <c r="D7" s="3">
        <v>1.2751999999999999</v>
      </c>
      <c r="E7" s="3">
        <v>1.7282999999999999</v>
      </c>
      <c r="F7" s="3"/>
      <c r="G7" s="2">
        <v>45199</v>
      </c>
      <c r="H7" s="3">
        <v>17.332099914550781</v>
      </c>
      <c r="I7" s="3">
        <v>1.5568000078201294</v>
      </c>
      <c r="J7" s="3">
        <v>1.2504</v>
      </c>
      <c r="K7" s="3">
        <v>2.1324000000000001</v>
      </c>
      <c r="Q7" s="3"/>
      <c r="R7" s="3"/>
      <c r="S7" s="3"/>
      <c r="T7" s="3"/>
      <c r="U7" s="3"/>
    </row>
    <row r="8" spans="1:21" x14ac:dyDescent="0.2">
      <c r="A8" s="2">
        <v>45107</v>
      </c>
      <c r="B8" s="3">
        <v>37.569999694824219</v>
      </c>
      <c r="C8" s="3">
        <v>2.3087000846862793</v>
      </c>
      <c r="D8" s="3">
        <v>1.3668</v>
      </c>
      <c r="E8" s="3">
        <v>1.7472000000000001</v>
      </c>
      <c r="F8" s="3"/>
      <c r="G8" s="2">
        <v>45107</v>
      </c>
      <c r="H8" s="3">
        <v>17.613300323486328</v>
      </c>
      <c r="I8" s="3">
        <v>1.6267000436782837</v>
      </c>
      <c r="J8" s="3">
        <v>1.2947</v>
      </c>
      <c r="K8" s="3">
        <v>2.1183999999999998</v>
      </c>
      <c r="Q8" s="3"/>
      <c r="R8" s="3"/>
      <c r="S8" s="3"/>
      <c r="T8" s="3"/>
      <c r="U8" s="3"/>
    </row>
    <row r="9" spans="1:21" x14ac:dyDescent="0.2">
      <c r="A9" s="2">
        <v>45016</v>
      </c>
      <c r="B9" s="3">
        <v>41.427101135253906</v>
      </c>
      <c r="C9" s="3">
        <v>2.3317000865936279</v>
      </c>
      <c r="D9" s="3">
        <v>1.3779999999999999</v>
      </c>
      <c r="E9" s="3">
        <v>1.7341</v>
      </c>
      <c r="F9" s="3"/>
      <c r="G9" s="2">
        <v>45016</v>
      </c>
      <c r="H9" s="3">
        <v>17.920999526977539</v>
      </c>
      <c r="I9" s="3">
        <v>1.6777000427246094</v>
      </c>
      <c r="J9" s="3">
        <v>1.3271999999999999</v>
      </c>
      <c r="K9" s="3">
        <v>1.917</v>
      </c>
      <c r="Q9" s="3"/>
      <c r="R9" s="3"/>
      <c r="S9" s="3"/>
      <c r="T9" s="3"/>
      <c r="U9" s="3"/>
    </row>
    <row r="10" spans="1:21" x14ac:dyDescent="0.2">
      <c r="A10" s="2">
        <v>44926</v>
      </c>
      <c r="B10" s="3">
        <v>41.151100158691406</v>
      </c>
      <c r="C10" s="3">
        <v>2.2167000770568848</v>
      </c>
      <c r="D10" s="3">
        <v>1.3237000000000001</v>
      </c>
      <c r="E10" s="3">
        <v>1.7233000000000001</v>
      </c>
      <c r="F10" s="3"/>
      <c r="G10" s="2">
        <v>44926</v>
      </c>
      <c r="H10" s="3">
        <v>16.71769905090332</v>
      </c>
      <c r="I10" s="3">
        <v>1.5877000093460083</v>
      </c>
      <c r="J10" s="3">
        <v>1.2399</v>
      </c>
      <c r="K10" s="3">
        <v>2.0571999999999999</v>
      </c>
      <c r="Q10" s="3"/>
      <c r="R10" s="3"/>
      <c r="S10" s="3"/>
      <c r="T10" s="3"/>
      <c r="U10" s="3"/>
    </row>
    <row r="11" spans="1:21" x14ac:dyDescent="0.2">
      <c r="A11" s="2">
        <v>44834</v>
      </c>
      <c r="B11" s="3">
        <v>41.038600921630859</v>
      </c>
      <c r="C11" s="3">
        <v>2.1781001091003418</v>
      </c>
      <c r="D11" s="3">
        <v>1.2995000000000001</v>
      </c>
      <c r="E11" s="3">
        <v>1.9263999999999999</v>
      </c>
      <c r="F11" s="3"/>
      <c r="G11" s="2">
        <v>44834</v>
      </c>
      <c r="H11" s="3">
        <v>16.21820068359375</v>
      </c>
      <c r="I11" s="3">
        <v>1.5778000354766846</v>
      </c>
      <c r="J11" s="3">
        <v>1.2198</v>
      </c>
      <c r="K11" s="3">
        <v>2.0865999999999998</v>
      </c>
      <c r="Q11" s="3"/>
      <c r="R11" s="3"/>
      <c r="S11" s="3"/>
      <c r="T11" s="3"/>
      <c r="U11" s="3"/>
    </row>
    <row r="12" spans="1:21" x14ac:dyDescent="0.2">
      <c r="A12" s="2">
        <v>44742</v>
      </c>
      <c r="B12" s="3">
        <v>45.249198913574219</v>
      </c>
      <c r="C12" s="3">
        <v>2.5929999351501465</v>
      </c>
      <c r="D12" s="3">
        <v>1.4915</v>
      </c>
      <c r="E12" s="3">
        <v>1.7261</v>
      </c>
      <c r="F12" s="3"/>
      <c r="G12" s="2">
        <v>44742</v>
      </c>
      <c r="H12" s="3">
        <v>18.258199691772461</v>
      </c>
      <c r="I12" s="3">
        <v>1.7939000129699707</v>
      </c>
      <c r="J12" s="3">
        <v>1.3828</v>
      </c>
      <c r="K12" s="3">
        <v>1.6921999999999999</v>
      </c>
      <c r="Q12" s="3"/>
      <c r="R12" s="3"/>
      <c r="S12" s="3"/>
      <c r="T12" s="3"/>
      <c r="U12" s="3"/>
    </row>
    <row r="13" spans="1:21" x14ac:dyDescent="0.2">
      <c r="A13" s="2">
        <v>44651</v>
      </c>
      <c r="B13" s="3">
        <v>34.195598602294922</v>
      </c>
      <c r="C13" s="3">
        <v>2.2307999134063721</v>
      </c>
      <c r="D13" s="3">
        <v>1.2714000000000001</v>
      </c>
      <c r="E13" s="3">
        <v>1.7423</v>
      </c>
      <c r="F13" s="3"/>
      <c r="G13" s="2">
        <v>44651</v>
      </c>
      <c r="H13" s="3">
        <v>17.552200317382813</v>
      </c>
      <c r="I13" s="3">
        <v>1.7417999505996704</v>
      </c>
      <c r="J13" s="3">
        <v>1.3560000000000001</v>
      </c>
      <c r="K13" s="3">
        <v>1.6335999999999999</v>
      </c>
      <c r="Q13" s="3"/>
      <c r="R13" s="3"/>
      <c r="S13" s="3"/>
      <c r="T13" s="3"/>
      <c r="U13" s="3"/>
    </row>
    <row r="14" spans="1:21" x14ac:dyDescent="0.2">
      <c r="A14" s="2">
        <v>44561</v>
      </c>
      <c r="B14" s="3">
        <v>40.805000305175781</v>
      </c>
      <c r="C14" s="3">
        <v>2.7915999889373779</v>
      </c>
      <c r="D14" s="3">
        <v>1.5688</v>
      </c>
      <c r="E14" s="3">
        <v>1.4416</v>
      </c>
      <c r="F14" s="3"/>
      <c r="G14" s="2">
        <v>44561</v>
      </c>
      <c r="H14" s="3">
        <v>20.109199523925781</v>
      </c>
      <c r="I14" s="3">
        <v>2.0295000076293945</v>
      </c>
      <c r="J14" s="3">
        <v>1.5638000000000001</v>
      </c>
      <c r="K14" s="3">
        <v>1.4398</v>
      </c>
      <c r="Q14" s="3"/>
      <c r="R14" s="3"/>
      <c r="S14" s="3"/>
      <c r="T14" s="3"/>
      <c r="U14" s="3"/>
    </row>
    <row r="15" spans="1:21" x14ac:dyDescent="0.2">
      <c r="A15" s="2">
        <v>44469</v>
      </c>
      <c r="B15" s="3">
        <v>33.939300537109375</v>
      </c>
      <c r="C15" s="3">
        <v>2.598099946975708</v>
      </c>
      <c r="D15" s="3">
        <v>1.4253</v>
      </c>
      <c r="E15" s="3">
        <v>1.5547</v>
      </c>
      <c r="F15" s="3"/>
      <c r="G15" s="2">
        <v>44469</v>
      </c>
      <c r="H15" s="3">
        <v>19.114700317382813</v>
      </c>
      <c r="I15" s="3">
        <v>2.0074000358581543</v>
      </c>
      <c r="J15" s="3">
        <v>1.5515000000000001</v>
      </c>
      <c r="K15" s="3">
        <v>1.5034000000000001</v>
      </c>
      <c r="Q15" s="3"/>
      <c r="R15" s="3"/>
      <c r="S15" s="3"/>
      <c r="T15" s="3"/>
      <c r="U15" s="3"/>
    </row>
    <row r="16" spans="1:21" x14ac:dyDescent="0.2">
      <c r="A16" s="2">
        <v>44377</v>
      </c>
      <c r="B16" s="3">
        <v>38.72869873046875</v>
      </c>
      <c r="C16" s="3">
        <v>2.8575000762939453</v>
      </c>
      <c r="D16" s="3">
        <v>1.6002000000000001</v>
      </c>
      <c r="E16" s="3">
        <v>1.2537</v>
      </c>
      <c r="F16" s="3"/>
      <c r="G16" s="2">
        <v>44377</v>
      </c>
      <c r="H16" s="3">
        <v>20.88599967956543</v>
      </c>
      <c r="I16" s="3">
        <v>2.0666000843048096</v>
      </c>
      <c r="J16" s="3">
        <v>1.6473</v>
      </c>
      <c r="K16" s="3">
        <v>1.5251999999999999</v>
      </c>
      <c r="Q16" s="3"/>
      <c r="R16" s="3"/>
      <c r="S16" s="3"/>
      <c r="T16" s="3"/>
      <c r="U16" s="3"/>
    </row>
    <row r="17" spans="1:21" x14ac:dyDescent="0.2">
      <c r="A17" s="2">
        <v>44286</v>
      </c>
      <c r="B17" s="3">
        <v>53.500099182128906</v>
      </c>
      <c r="C17" s="3">
        <v>2.6459999084472656</v>
      </c>
      <c r="D17" s="3">
        <v>1.6129</v>
      </c>
      <c r="E17" s="3">
        <v>1.3312999999999999</v>
      </c>
      <c r="F17" s="3"/>
      <c r="G17" s="2">
        <v>44286</v>
      </c>
      <c r="H17" s="3">
        <v>21.487699508666992</v>
      </c>
      <c r="I17" s="3">
        <v>1.9390000104904175</v>
      </c>
      <c r="J17" s="3">
        <v>1.6347</v>
      </c>
      <c r="K17" s="3">
        <v>1.4699</v>
      </c>
      <c r="Q17" s="3"/>
      <c r="R17" s="3"/>
      <c r="S17" s="3"/>
      <c r="T17" s="3"/>
      <c r="U17" s="3"/>
    </row>
    <row r="18" spans="1:21" x14ac:dyDescent="0.2">
      <c r="A18" s="2">
        <v>44196</v>
      </c>
      <c r="B18" s="3">
        <v>66.347900390625</v>
      </c>
      <c r="C18" s="3">
        <v>2.7844998836517334</v>
      </c>
      <c r="D18" s="3">
        <v>1.6874</v>
      </c>
      <c r="E18" s="3">
        <v>1.2732000000000001</v>
      </c>
      <c r="F18" s="3"/>
      <c r="G18" s="2">
        <v>44196</v>
      </c>
      <c r="H18" s="3">
        <v>23.357700347900391</v>
      </c>
      <c r="I18" s="3">
        <v>2.026900053024292</v>
      </c>
      <c r="J18" s="3">
        <v>1.6802999999999999</v>
      </c>
      <c r="K18" s="3">
        <v>1.4414</v>
      </c>
      <c r="Q18" s="3"/>
      <c r="R18" s="3"/>
      <c r="S18" s="3"/>
      <c r="T18" s="3"/>
      <c r="U18" s="3"/>
    </row>
    <row r="19" spans="1:21" x14ac:dyDescent="0.2">
      <c r="A19" s="2">
        <v>44104</v>
      </c>
      <c r="B19" s="3">
        <v>62.364898681640625</v>
      </c>
      <c r="C19" s="3">
        <v>2.4660000801086426</v>
      </c>
      <c r="D19" s="3">
        <v>1.4597</v>
      </c>
      <c r="E19" s="3">
        <v>1.403</v>
      </c>
      <c r="F19" s="3"/>
      <c r="G19" s="2">
        <v>44104</v>
      </c>
      <c r="H19" s="3">
        <v>22.449600219726563</v>
      </c>
      <c r="I19" s="3">
        <v>1.9129999876022339</v>
      </c>
      <c r="J19" s="3">
        <v>1.5580000000000001</v>
      </c>
      <c r="K19" s="3">
        <v>1.5712999999999999</v>
      </c>
      <c r="Q19" s="3"/>
      <c r="R19" s="3"/>
      <c r="S19" s="3"/>
      <c r="T19" s="3"/>
      <c r="U19" s="3"/>
    </row>
    <row r="20" spans="1:21" x14ac:dyDescent="0.2">
      <c r="A20" s="2">
        <v>44012</v>
      </c>
      <c r="B20" s="3">
        <v>51.834098815917969</v>
      </c>
      <c r="C20" s="3">
        <v>2.1686999797821045</v>
      </c>
      <c r="D20" s="3">
        <v>1.2574000000000001</v>
      </c>
      <c r="E20" s="3">
        <v>1.8715999999999999</v>
      </c>
      <c r="F20" s="3"/>
      <c r="G20" s="2">
        <v>44012</v>
      </c>
      <c r="H20" s="3">
        <v>19.623100280761719</v>
      </c>
      <c r="I20" s="3">
        <v>1.7461999654769897</v>
      </c>
      <c r="J20" s="3">
        <v>1.42</v>
      </c>
      <c r="K20" s="3">
        <v>1.6054999999999999</v>
      </c>
      <c r="Q20" s="3"/>
      <c r="R20" s="3"/>
      <c r="S20" s="3"/>
      <c r="T20" s="3"/>
      <c r="U20" s="3"/>
    </row>
    <row r="21" spans="1:21" x14ac:dyDescent="0.2">
      <c r="A21" s="2">
        <v>43921</v>
      </c>
      <c r="B21" s="3">
        <v>27.21980094909668</v>
      </c>
      <c r="C21" s="3">
        <v>1.8389999866485596</v>
      </c>
      <c r="D21" s="3">
        <v>1.0122</v>
      </c>
      <c r="E21" s="3">
        <v>1.9303999999999999</v>
      </c>
      <c r="F21" s="3"/>
      <c r="G21" s="2">
        <v>43921</v>
      </c>
      <c r="H21" s="3">
        <v>15.893500328063965</v>
      </c>
      <c r="I21" s="3">
        <v>1.559999942779541</v>
      </c>
      <c r="J21" s="3">
        <v>1.2398</v>
      </c>
      <c r="K21" s="3">
        <v>1.7988999999999999</v>
      </c>
      <c r="Q21" s="3"/>
      <c r="R21" s="3"/>
      <c r="S21" s="3"/>
      <c r="T21" s="3"/>
      <c r="U21" s="3"/>
    </row>
    <row r="22" spans="1:21" x14ac:dyDescent="0.2">
      <c r="A22" s="2">
        <v>43830</v>
      </c>
      <c r="B22" s="3">
        <v>33.094501495361328</v>
      </c>
      <c r="C22" s="3">
        <v>2.0169999599456787</v>
      </c>
      <c r="D22" s="3">
        <v>1.1312</v>
      </c>
      <c r="E22" s="3">
        <v>1.8446</v>
      </c>
      <c r="F22" s="3"/>
      <c r="G22" s="2">
        <v>43830</v>
      </c>
      <c r="H22" s="3">
        <v>17.497699737548828</v>
      </c>
      <c r="I22" s="3">
        <v>1.7007999420166016</v>
      </c>
      <c r="J22" s="3">
        <v>1.3411</v>
      </c>
      <c r="K22" s="3">
        <v>1.7159</v>
      </c>
      <c r="Q22" s="3"/>
      <c r="R22" s="3"/>
      <c r="S22" s="3"/>
      <c r="T22" s="3"/>
      <c r="U22" s="3"/>
    </row>
    <row r="23" spans="1:21" x14ac:dyDescent="0.2">
      <c r="A23" s="2">
        <v>43738</v>
      </c>
      <c r="B23" s="3">
        <v>31.177999496459961</v>
      </c>
      <c r="C23" s="3">
        <v>1.9301999807357788</v>
      </c>
      <c r="D23" s="3">
        <v>1.0298</v>
      </c>
      <c r="E23" s="3">
        <v>2.0670000000000002</v>
      </c>
      <c r="F23" s="3"/>
      <c r="G23" s="2">
        <v>43738</v>
      </c>
      <c r="H23" s="3">
        <v>16.859600067138672</v>
      </c>
      <c r="I23" s="3">
        <v>1.6613999605178833</v>
      </c>
      <c r="J23" s="3">
        <v>1.2690999999999999</v>
      </c>
      <c r="K23" s="3">
        <v>1.8740000000000001</v>
      </c>
      <c r="Q23" s="3"/>
      <c r="R23" s="3"/>
      <c r="S23" s="3"/>
      <c r="T23" s="3"/>
      <c r="U23" s="3"/>
    </row>
    <row r="24" spans="1:21" x14ac:dyDescent="0.2">
      <c r="A24" s="2">
        <v>43646</v>
      </c>
      <c r="B24" s="3">
        <v>29.344900131225586</v>
      </c>
      <c r="C24" s="3">
        <v>1.9574999809265137</v>
      </c>
      <c r="D24" s="3">
        <v>1.0415000000000001</v>
      </c>
      <c r="E24" s="3">
        <v>2.1406000000000001</v>
      </c>
      <c r="F24" s="3"/>
      <c r="G24" s="2">
        <v>43646</v>
      </c>
      <c r="H24" s="3">
        <v>17.122100830078125</v>
      </c>
      <c r="I24" s="3">
        <v>1.6696000099182129</v>
      </c>
      <c r="J24" s="3">
        <v>1.2884</v>
      </c>
      <c r="K24" s="3">
        <v>1.9097999999999999</v>
      </c>
      <c r="Q24" s="3"/>
      <c r="R24" s="3"/>
      <c r="S24" s="3"/>
      <c r="T24" s="3"/>
      <c r="U24" s="3"/>
    </row>
    <row r="25" spans="1:21" x14ac:dyDescent="0.2">
      <c r="A25" s="2">
        <v>43555</v>
      </c>
      <c r="B25" s="3">
        <v>22.936300277709961</v>
      </c>
      <c r="C25" s="3">
        <v>2.1264998912811279</v>
      </c>
      <c r="D25" s="3">
        <v>1.1064000000000001</v>
      </c>
      <c r="E25" s="3">
        <v>1.9185000000000001</v>
      </c>
      <c r="F25" s="3"/>
      <c r="G25" s="2">
        <v>43555</v>
      </c>
      <c r="H25" s="3">
        <v>17.536300659179688</v>
      </c>
      <c r="I25" s="3">
        <v>1.7734999656677246</v>
      </c>
      <c r="J25" s="3">
        <v>1.3868</v>
      </c>
      <c r="K25" s="3">
        <v>1.6931</v>
      </c>
      <c r="Q25" s="3"/>
      <c r="R25" s="3"/>
      <c r="S25" s="3"/>
      <c r="T25" s="3"/>
      <c r="U25" s="3"/>
    </row>
    <row r="26" spans="1:21" x14ac:dyDescent="0.2">
      <c r="A26" s="2">
        <v>43465</v>
      </c>
      <c r="B26" s="3">
        <v>15.654600143432617</v>
      </c>
      <c r="C26" s="3">
        <v>1.6995999813079834</v>
      </c>
      <c r="D26" s="3">
        <v>0.89139999999999997</v>
      </c>
      <c r="E26" s="3">
        <v>2.3298000000000001</v>
      </c>
      <c r="F26" s="3"/>
      <c r="G26" s="2">
        <v>43465</v>
      </c>
      <c r="H26" s="3">
        <v>13.146100044250488</v>
      </c>
      <c r="I26" s="3">
        <v>1.4153000116348267</v>
      </c>
      <c r="J26" s="3">
        <v>1.1101000000000001</v>
      </c>
      <c r="K26" s="3">
        <v>2.1899000000000002</v>
      </c>
      <c r="Q26" s="3"/>
      <c r="R26" s="3"/>
      <c r="S26" s="3"/>
      <c r="T26" s="3"/>
      <c r="U26" s="3"/>
    </row>
    <row r="27" spans="1:21" x14ac:dyDescent="0.2">
      <c r="A27" s="2">
        <v>43373</v>
      </c>
      <c r="B27" s="3">
        <v>17.632600784301758</v>
      </c>
      <c r="C27" s="3">
        <v>1.9622000455856323</v>
      </c>
      <c r="D27" s="3">
        <v>1.0241</v>
      </c>
      <c r="E27" s="3">
        <v>2.0118</v>
      </c>
      <c r="F27" s="3"/>
      <c r="G27" s="2">
        <v>43373</v>
      </c>
      <c r="H27" s="3">
        <v>14.962699890136719</v>
      </c>
      <c r="I27" s="3">
        <v>1.6366000175476074</v>
      </c>
      <c r="J27" s="3">
        <v>1.2974000000000001</v>
      </c>
      <c r="K27" s="3">
        <v>1.9307000000000001</v>
      </c>
      <c r="Q27" s="3"/>
      <c r="R27" s="3"/>
      <c r="S27" s="3"/>
      <c r="T27" s="3"/>
      <c r="U27" s="3"/>
    </row>
    <row r="28" spans="1:21" x14ac:dyDescent="0.2">
      <c r="A28" s="2">
        <v>43281</v>
      </c>
      <c r="B28" s="3">
        <v>20.957500457763672</v>
      </c>
      <c r="C28" s="3">
        <v>2.3138999938964844</v>
      </c>
      <c r="D28" s="3">
        <v>1.2050000000000001</v>
      </c>
      <c r="E28" s="3">
        <v>1.4558</v>
      </c>
      <c r="F28" s="3"/>
      <c r="G28" s="2">
        <v>43281</v>
      </c>
      <c r="H28" s="3">
        <v>15.991900444030762</v>
      </c>
      <c r="I28" s="3">
        <v>1.7130999565124512</v>
      </c>
      <c r="J28" s="3">
        <v>1.3783000000000001</v>
      </c>
      <c r="K28" s="3">
        <v>1.9298999999999999</v>
      </c>
      <c r="Q28" s="3"/>
      <c r="R28" s="3"/>
      <c r="S28" s="3"/>
      <c r="T28" s="3"/>
      <c r="U28" s="3"/>
    </row>
    <row r="29" spans="1:21" x14ac:dyDescent="0.2">
      <c r="A29" s="2">
        <v>43190</v>
      </c>
      <c r="B29" s="3">
        <v>23.665599822998047</v>
      </c>
      <c r="C29" s="3">
        <v>2.5947000980377197</v>
      </c>
      <c r="D29" s="3">
        <v>1.3712</v>
      </c>
      <c r="E29" s="3">
        <v>1.4886999999999999</v>
      </c>
      <c r="F29" s="3"/>
      <c r="G29" s="2">
        <v>43190</v>
      </c>
      <c r="H29" s="3">
        <v>18.451799392700195</v>
      </c>
      <c r="I29" s="3">
        <v>1.9366999864578247</v>
      </c>
      <c r="J29" s="3">
        <v>1.5993999999999999</v>
      </c>
      <c r="K29" s="3">
        <v>1.4356</v>
      </c>
      <c r="Q29" s="3"/>
      <c r="R29" s="3"/>
      <c r="S29" s="3"/>
      <c r="T29" s="3"/>
      <c r="U29" s="3"/>
    </row>
    <row r="30" spans="1:21" x14ac:dyDescent="0.2">
      <c r="A30" s="2">
        <v>43100</v>
      </c>
      <c r="B30" s="3">
        <v>24.760099411010742</v>
      </c>
      <c r="C30" s="3">
        <v>2.7539000511169434</v>
      </c>
      <c r="D30" s="3">
        <v>1.4430000000000001</v>
      </c>
      <c r="E30" s="3">
        <v>1.4460999999999999</v>
      </c>
      <c r="F30" s="3"/>
      <c r="G30" s="2">
        <v>43100</v>
      </c>
      <c r="H30" s="3">
        <v>19.531200408935547</v>
      </c>
      <c r="I30" s="3">
        <v>2.0257999897003174</v>
      </c>
      <c r="J30" s="3">
        <v>1.6727000000000001</v>
      </c>
      <c r="K30" s="3">
        <v>1.4117</v>
      </c>
      <c r="Q30" s="3"/>
      <c r="R30" s="3"/>
      <c r="S30" s="3"/>
      <c r="T30" s="3"/>
      <c r="U30" s="3"/>
    </row>
    <row r="31" spans="1:21" x14ac:dyDescent="0.2">
      <c r="A31" s="2">
        <v>43008</v>
      </c>
      <c r="B31" s="3">
        <v>26.341299057006836</v>
      </c>
      <c r="C31" s="3">
        <v>2.9765000343322754</v>
      </c>
      <c r="D31" s="3">
        <v>1.5411999999999999</v>
      </c>
      <c r="E31" s="3">
        <v>1.4329000000000001</v>
      </c>
      <c r="F31" s="3"/>
      <c r="G31" s="2">
        <v>43008</v>
      </c>
      <c r="H31" s="3">
        <v>20.650800704956055</v>
      </c>
      <c r="I31" s="3">
        <v>2.1252000331878662</v>
      </c>
      <c r="J31" s="3">
        <v>1.7493000000000001</v>
      </c>
      <c r="K31" s="3">
        <v>1.4146000000000001</v>
      </c>
      <c r="Q31" s="3"/>
      <c r="R31" s="3"/>
      <c r="S31" s="3"/>
      <c r="T31" s="3"/>
      <c r="U31" s="3"/>
    </row>
    <row r="32" spans="1:21" x14ac:dyDescent="0.2">
      <c r="A32" s="2">
        <v>42916</v>
      </c>
      <c r="B32" s="3">
        <v>26.85890007019043</v>
      </c>
      <c r="C32" s="3">
        <v>3.0146000385284424</v>
      </c>
      <c r="D32" s="3">
        <v>1.5833999999999999</v>
      </c>
      <c r="E32" s="3">
        <v>1.5236000000000001</v>
      </c>
      <c r="F32" s="3"/>
      <c r="G32" s="2">
        <v>42916</v>
      </c>
      <c r="H32" s="3">
        <v>20.182399749755859</v>
      </c>
      <c r="I32" s="3">
        <v>2.0334000587463379</v>
      </c>
      <c r="J32" s="3">
        <v>1.7269000000000001</v>
      </c>
      <c r="K32" s="3">
        <v>1.2904</v>
      </c>
      <c r="Q32" s="3"/>
      <c r="R32" s="3"/>
      <c r="S32" s="3"/>
      <c r="T32" s="3"/>
      <c r="U32" s="3"/>
    </row>
    <row r="33" spans="1:22" x14ac:dyDescent="0.2">
      <c r="A33" s="2">
        <v>42825</v>
      </c>
      <c r="B33" s="3">
        <v>29.36829948425293</v>
      </c>
      <c r="C33" s="3">
        <v>3.1398000717163086</v>
      </c>
      <c r="D33" s="3">
        <v>1.6995</v>
      </c>
      <c r="E33" s="3">
        <v>1.1064000000000001</v>
      </c>
      <c r="F33" s="3"/>
      <c r="G33" s="2">
        <v>42825</v>
      </c>
      <c r="H33" s="3">
        <v>21.717800140380859</v>
      </c>
      <c r="I33" s="3">
        <v>2.1020998954772949</v>
      </c>
      <c r="J33" s="3">
        <v>1.8560000000000001</v>
      </c>
      <c r="K33" s="3">
        <v>1.2398</v>
      </c>
      <c r="Q33" s="3"/>
      <c r="R33" s="3"/>
      <c r="S33" s="3"/>
      <c r="T33" s="3"/>
      <c r="U33" s="3"/>
    </row>
    <row r="34" spans="1:22" x14ac:dyDescent="0.2">
      <c r="A34" s="2">
        <v>42735</v>
      </c>
      <c r="B34" s="3">
        <v>29.02869987487793</v>
      </c>
      <c r="C34" s="3">
        <v>3.140700101852417</v>
      </c>
      <c r="D34" s="3">
        <v>1.6511</v>
      </c>
      <c r="E34" s="3">
        <v>1.1772</v>
      </c>
      <c r="F34" s="3"/>
      <c r="G34" s="2">
        <v>42735</v>
      </c>
      <c r="H34" s="3">
        <v>21.395599365234375</v>
      </c>
      <c r="I34" s="3">
        <v>2.0460999011993408</v>
      </c>
      <c r="J34" s="3">
        <v>1.8079000000000001</v>
      </c>
      <c r="K34" s="3">
        <v>1.3157000000000001</v>
      </c>
      <c r="Q34" s="3"/>
      <c r="R34" s="3"/>
      <c r="S34" s="3"/>
      <c r="T34" s="3"/>
      <c r="U34" s="3"/>
    </row>
    <row r="35" spans="1:22" x14ac:dyDescent="0.2">
      <c r="A35" s="2">
        <v>42643</v>
      </c>
      <c r="B35" s="3">
        <v>30.359600067138672</v>
      </c>
      <c r="C35" s="3">
        <v>3.2757000923156738</v>
      </c>
      <c r="D35" s="3">
        <v>1.6953</v>
      </c>
      <c r="E35" s="3">
        <v>1.2016</v>
      </c>
      <c r="F35" s="3"/>
      <c r="G35" s="2">
        <v>42643</v>
      </c>
      <c r="H35" s="3">
        <v>21.648899078369141</v>
      </c>
      <c r="I35" s="3">
        <v>2.0722999572753906</v>
      </c>
      <c r="J35" s="3">
        <v>1.7682</v>
      </c>
      <c r="K35" s="3">
        <v>1.3887</v>
      </c>
      <c r="Q35" s="3"/>
      <c r="R35" s="3"/>
      <c r="S35" s="3"/>
      <c r="T35" s="3"/>
      <c r="U35" s="3"/>
    </row>
    <row r="36" spans="1:22" x14ac:dyDescent="0.2">
      <c r="A36" s="2">
        <v>42551</v>
      </c>
      <c r="B36" s="3">
        <v>29.759000778198242</v>
      </c>
      <c r="C36" s="3">
        <v>3.2881999015808105</v>
      </c>
      <c r="D36" s="3">
        <v>1.6316999999999999</v>
      </c>
      <c r="E36" s="3">
        <v>1.2926</v>
      </c>
      <c r="F36" s="3"/>
      <c r="G36" s="2">
        <v>42551</v>
      </c>
      <c r="H36" s="3">
        <v>20.452600479125977</v>
      </c>
      <c r="I36" s="3">
        <v>2.0267000198364258</v>
      </c>
      <c r="J36" s="3">
        <v>1.7010000000000001</v>
      </c>
      <c r="K36" s="3">
        <v>1.4322999999999999</v>
      </c>
      <c r="Q36" s="3"/>
      <c r="R36" s="3"/>
      <c r="S36" s="3"/>
      <c r="T36" s="3"/>
      <c r="U36" s="3"/>
    </row>
    <row r="37" spans="1:22" x14ac:dyDescent="0.2">
      <c r="A37" s="2">
        <v>42460</v>
      </c>
      <c r="B37" s="3">
        <v>30.943700790405273</v>
      </c>
      <c r="C37" s="3">
        <v>3.3966999053955078</v>
      </c>
      <c r="D37" s="3">
        <v>1.7135</v>
      </c>
      <c r="E37" s="3">
        <v>1.1301000000000001</v>
      </c>
      <c r="F37" s="3"/>
      <c r="G37" s="2">
        <v>42460</v>
      </c>
      <c r="H37" s="3">
        <v>19.714700698852539</v>
      </c>
      <c r="I37" s="3">
        <v>2.0562999248504639</v>
      </c>
      <c r="J37" s="3">
        <v>1.7081</v>
      </c>
      <c r="K37" s="3">
        <v>1.3774</v>
      </c>
      <c r="Q37" s="3"/>
      <c r="R37" s="3"/>
      <c r="S37" s="3"/>
      <c r="T37" s="3"/>
      <c r="U37" s="3"/>
    </row>
    <row r="38" spans="1:22" x14ac:dyDescent="0.2">
      <c r="A38" s="2">
        <v>42369</v>
      </c>
      <c r="B38" s="3">
        <v>38.066898345947266</v>
      </c>
      <c r="C38" s="3">
        <v>4.1733999252319336</v>
      </c>
      <c r="D38" s="3">
        <v>2.08</v>
      </c>
      <c r="E38" s="3">
        <v>0.94579999999999997</v>
      </c>
      <c r="F38" s="3"/>
      <c r="G38" s="2">
        <v>42369</v>
      </c>
      <c r="H38" s="3">
        <v>23.154800415039063</v>
      </c>
      <c r="I38" s="3">
        <v>2.4956998825073242</v>
      </c>
      <c r="J38" s="3">
        <v>2.0036999999999998</v>
      </c>
      <c r="K38" s="3">
        <v>1.1747000000000001</v>
      </c>
      <c r="Q38" s="3"/>
      <c r="R38" s="3"/>
      <c r="S38" s="3"/>
      <c r="T38" s="3"/>
      <c r="U38" s="3"/>
    </row>
    <row r="39" spans="1:22" x14ac:dyDescent="0.2">
      <c r="A39" s="2">
        <v>42277</v>
      </c>
      <c r="B39" s="3">
        <v>28.577299118041992</v>
      </c>
      <c r="C39" s="3">
        <v>3.2888998985290527</v>
      </c>
      <c r="D39" s="3">
        <v>1.5703</v>
      </c>
      <c r="E39" s="3">
        <v>1.2724</v>
      </c>
      <c r="F39" s="3"/>
      <c r="G39" s="2">
        <v>42277</v>
      </c>
      <c r="H39" s="3">
        <v>18.037300109863281</v>
      </c>
      <c r="I39" s="3">
        <v>2.0764999389648438</v>
      </c>
      <c r="J39" s="3">
        <v>1.6009</v>
      </c>
      <c r="K39" s="3">
        <v>1.4642999999999999</v>
      </c>
      <c r="Q39" s="3"/>
      <c r="R39" s="3"/>
      <c r="S39" s="3"/>
      <c r="T39" s="3"/>
      <c r="U39" s="3"/>
    </row>
    <row r="40" spans="1:22" x14ac:dyDescent="0.2">
      <c r="A40" s="2">
        <v>42185</v>
      </c>
      <c r="B40" s="3">
        <v>39.447700500488281</v>
      </c>
      <c r="C40" s="3">
        <v>4.5050997734069824</v>
      </c>
      <c r="D40" s="3">
        <v>2.1379999999999999</v>
      </c>
      <c r="E40" s="3">
        <v>0.77700000000000002</v>
      </c>
      <c r="F40" s="3"/>
      <c r="G40" s="2">
        <v>42185</v>
      </c>
      <c r="H40" s="3">
        <v>26.229000091552734</v>
      </c>
      <c r="I40" s="3">
        <v>2.9679000377655029</v>
      </c>
      <c r="J40" s="3">
        <v>2.2395999999999998</v>
      </c>
      <c r="K40" s="3">
        <v>0.90069999999999995</v>
      </c>
      <c r="Q40" s="3"/>
      <c r="R40" s="3"/>
      <c r="S40" s="3"/>
      <c r="T40" s="3"/>
      <c r="U40" s="3"/>
    </row>
    <row r="41" spans="1:22" x14ac:dyDescent="0.2">
      <c r="A41" s="2">
        <v>42094</v>
      </c>
      <c r="B41" s="3">
        <v>31.37700080871582</v>
      </c>
      <c r="C41" s="3">
        <v>3.7939999103546143</v>
      </c>
      <c r="D41" s="3">
        <v>1.6649</v>
      </c>
      <c r="E41" s="3">
        <v>0.99639999999999995</v>
      </c>
      <c r="F41" s="3"/>
      <c r="G41" s="2">
        <v>42094</v>
      </c>
      <c r="H41" s="3">
        <v>21.798700332641602</v>
      </c>
      <c r="I41" s="3">
        <v>2.5901999473571777</v>
      </c>
      <c r="J41" s="3">
        <v>1.8492</v>
      </c>
      <c r="K41" s="3">
        <v>1.2391000000000001</v>
      </c>
      <c r="Q41" s="3"/>
      <c r="R41" s="3"/>
      <c r="S41" s="3"/>
      <c r="T41" s="3"/>
      <c r="U41" s="3"/>
    </row>
    <row r="42" spans="1:22" x14ac:dyDescent="0.2">
      <c r="A42" s="2">
        <v>42004</v>
      </c>
      <c r="B42" s="3">
        <v>23.560699462890625</v>
      </c>
      <c r="C42" s="3">
        <v>2.8199000358581543</v>
      </c>
      <c r="D42" s="3">
        <v>1.2035</v>
      </c>
      <c r="E42" s="3">
        <v>1.4325000000000001</v>
      </c>
      <c r="F42" s="3"/>
      <c r="G42" s="2">
        <v>42004</v>
      </c>
      <c r="H42" s="3">
        <v>17.426200866699219</v>
      </c>
      <c r="I42" s="3">
        <v>2.1789000034332275</v>
      </c>
      <c r="J42" s="3">
        <v>1.5009999999999999</v>
      </c>
      <c r="K42" s="3">
        <v>1.5839000000000001</v>
      </c>
      <c r="Q42" s="3"/>
      <c r="R42" s="3"/>
      <c r="S42" s="3"/>
      <c r="T42" s="3"/>
      <c r="U42" s="3"/>
    </row>
    <row r="43" spans="1:22" x14ac:dyDescent="0.2">
      <c r="A43" s="2">
        <v>41912</v>
      </c>
      <c r="B43" s="3">
        <v>22.5177001953125</v>
      </c>
      <c r="C43" s="3">
        <v>2.8002998828887939</v>
      </c>
      <c r="D43" s="3">
        <v>1.1452</v>
      </c>
      <c r="E43" s="3">
        <v>1.5293000000000001</v>
      </c>
      <c r="F43" s="3"/>
      <c r="G43" s="2">
        <v>41912</v>
      </c>
      <c r="H43" s="3">
        <v>13.692299842834473</v>
      </c>
      <c r="I43" s="3">
        <v>1.7647000551223755</v>
      </c>
      <c r="J43" s="3">
        <v>1.1733</v>
      </c>
      <c r="K43" s="3">
        <v>2.0110999999999999</v>
      </c>
      <c r="Q43" s="3"/>
      <c r="R43" s="3"/>
      <c r="S43" s="3"/>
      <c r="T43" s="3"/>
      <c r="U43" s="3"/>
    </row>
    <row r="44" spans="1:22" x14ac:dyDescent="0.2">
      <c r="A44" s="2">
        <v>41820</v>
      </c>
      <c r="B44" s="3">
        <v>19.410499572753906</v>
      </c>
      <c r="C44" s="3">
        <v>2.4021999835968018</v>
      </c>
      <c r="D44" s="3">
        <v>0.96360000000000001</v>
      </c>
      <c r="E44" s="3">
        <v>1.6660999999999999</v>
      </c>
      <c r="F44" s="3"/>
      <c r="G44" s="2">
        <v>41820</v>
      </c>
      <c r="H44" s="3">
        <v>11.942500114440918</v>
      </c>
      <c r="I44" s="3">
        <v>1.5413999557495117</v>
      </c>
      <c r="J44" s="3">
        <v>1.0065</v>
      </c>
      <c r="K44" s="3">
        <v>2.0697999999999999</v>
      </c>
      <c r="Q44" s="3"/>
      <c r="R44" s="3"/>
      <c r="S44" s="3"/>
      <c r="T44" s="3"/>
      <c r="U44" s="3"/>
    </row>
    <row r="45" spans="1:22" x14ac:dyDescent="0.2">
      <c r="A45" s="2">
        <v>41729</v>
      </c>
      <c r="B45" s="3">
        <v>20.078899383544922</v>
      </c>
      <c r="C45" s="3">
        <v>2.3380999565124512</v>
      </c>
      <c r="D45" s="3">
        <v>0.95950000000000002</v>
      </c>
      <c r="E45" s="3">
        <v>1.3589</v>
      </c>
      <c r="G45" s="2">
        <v>41729</v>
      </c>
      <c r="H45" s="3">
        <v>11.83430004119873</v>
      </c>
      <c r="I45" s="3">
        <v>1.5240999460220337</v>
      </c>
      <c r="J45" s="3">
        <v>0.99250000000000005</v>
      </c>
      <c r="K45" s="3">
        <v>2.2342</v>
      </c>
    </row>
    <row r="46" spans="1:22" x14ac:dyDescent="0.2">
      <c r="A46" s="2">
        <v>41639</v>
      </c>
      <c r="B46" s="3">
        <v>20.651199340820313</v>
      </c>
      <c r="C46" s="3">
        <v>2.4116001129150391</v>
      </c>
      <c r="D46" s="3">
        <v>0.97060000000000002</v>
      </c>
      <c r="E46" s="3">
        <v>1.3594999999999999</v>
      </c>
      <c r="G46" s="2">
        <v>41639</v>
      </c>
      <c r="H46" s="3">
        <v>12.412899971008301</v>
      </c>
      <c r="I46" s="3">
        <v>1.5966000556945801</v>
      </c>
      <c r="J46" s="3">
        <v>1.0302</v>
      </c>
      <c r="K46" s="3">
        <v>2.2161</v>
      </c>
    </row>
    <row r="47" spans="1:22" x14ac:dyDescent="0.2">
      <c r="A47" s="2">
        <v>41547</v>
      </c>
      <c r="B47" s="3">
        <v>22.863800048828125</v>
      </c>
      <c r="C47" s="3">
        <v>2.5892999172210693</v>
      </c>
      <c r="D47" s="3">
        <v>1.0404</v>
      </c>
      <c r="E47" s="3">
        <v>1.3669</v>
      </c>
      <c r="F47" s="3"/>
      <c r="G47" s="2">
        <v>41547</v>
      </c>
      <c r="H47" s="3">
        <v>13.167099952697754</v>
      </c>
      <c r="I47" s="3">
        <v>1.6814999580383301</v>
      </c>
      <c r="J47" s="3">
        <v>1.0694999999999999</v>
      </c>
      <c r="K47" s="3">
        <v>2.2057000000000002</v>
      </c>
      <c r="Q47" s="3"/>
      <c r="R47" s="3"/>
      <c r="S47" s="3"/>
      <c r="T47" s="3"/>
      <c r="U47" s="3"/>
      <c r="V47" s="3"/>
    </row>
    <row r="48" spans="1:22" x14ac:dyDescent="0.2">
      <c r="A48" s="2">
        <v>41455</v>
      </c>
      <c r="B48" s="3">
        <v>18.500600814819336</v>
      </c>
      <c r="C48" s="3">
        <v>2.0515999794006348</v>
      </c>
      <c r="D48" s="3">
        <v>0.83020000000000005</v>
      </c>
      <c r="E48" s="3">
        <v>1.5802</v>
      </c>
      <c r="F48" s="3"/>
      <c r="G48" s="2">
        <v>41455</v>
      </c>
      <c r="H48" s="3">
        <v>12.123000144958496</v>
      </c>
      <c r="I48" s="3">
        <v>1.5349999666213989</v>
      </c>
      <c r="J48" s="3">
        <v>0.9778</v>
      </c>
      <c r="K48" s="3">
        <v>2.2829000000000002</v>
      </c>
      <c r="Q48" s="3"/>
      <c r="R48" s="3"/>
      <c r="S48" s="3"/>
      <c r="T48" s="3"/>
      <c r="U48" s="3"/>
      <c r="V48" s="3"/>
    </row>
    <row r="49" spans="1:11" x14ac:dyDescent="0.2">
      <c r="A49" s="2">
        <v>41364</v>
      </c>
      <c r="B49" s="3">
        <v>19.552700042724609</v>
      </c>
      <c r="C49" s="3">
        <v>2.1161000728607178</v>
      </c>
      <c r="D49" s="3">
        <v>0.87990000000000002</v>
      </c>
      <c r="E49" s="3">
        <v>1.3526</v>
      </c>
      <c r="G49" s="2">
        <v>41364</v>
      </c>
      <c r="H49" s="3">
        <v>13.761599540710449</v>
      </c>
      <c r="I49" s="3">
        <v>1.7166999578475952</v>
      </c>
      <c r="J49" s="3">
        <v>1.1001000000000001</v>
      </c>
      <c r="K49" s="3">
        <v>2.0394000000000001</v>
      </c>
    </row>
    <row r="50" spans="1:11" x14ac:dyDescent="0.2">
      <c r="A50" s="2">
        <v>41274</v>
      </c>
      <c r="B50" s="3">
        <v>18.301200866699219</v>
      </c>
      <c r="C50" s="3">
        <v>2.1131999492645264</v>
      </c>
      <c r="D50" s="3">
        <v>0.85570000000000002</v>
      </c>
      <c r="E50" s="3">
        <v>1.4231</v>
      </c>
      <c r="G50" s="2">
        <v>41274</v>
      </c>
      <c r="H50" s="3">
        <v>13.884900093078613</v>
      </c>
      <c r="I50" s="3">
        <v>1.7603000402450562</v>
      </c>
      <c r="J50" s="3">
        <v>1.1226</v>
      </c>
      <c r="K50" s="3">
        <v>2.0661999999999998</v>
      </c>
    </row>
    <row r="51" spans="1:11" x14ac:dyDescent="0.2">
      <c r="A51" s="2">
        <v>41182</v>
      </c>
      <c r="B51" s="3">
        <v>16.596900939941406</v>
      </c>
      <c r="C51" s="3">
        <v>2.0192999839782715</v>
      </c>
      <c r="D51" s="3">
        <v>0.79390000000000005</v>
      </c>
      <c r="E51" s="3">
        <v>1.5145999999999999</v>
      </c>
      <c r="G51" s="2">
        <v>41182</v>
      </c>
      <c r="H51" s="3">
        <v>12.708800315856934</v>
      </c>
      <c r="I51" s="3">
        <v>1.6827000379562378</v>
      </c>
      <c r="J51" s="3">
        <v>1.0486</v>
      </c>
      <c r="K51" s="3">
        <v>2.2296</v>
      </c>
    </row>
    <row r="52" spans="1:11" x14ac:dyDescent="0.2">
      <c r="A52" s="2">
        <v>41090</v>
      </c>
      <c r="B52" s="3">
        <v>17.942300796508789</v>
      </c>
      <c r="C52" s="3">
        <v>2.275399923324585</v>
      </c>
      <c r="D52" s="3">
        <v>0.86580000000000001</v>
      </c>
      <c r="E52" s="3">
        <v>1.2431000000000001</v>
      </c>
      <c r="G52" s="2">
        <v>41090</v>
      </c>
      <c r="H52" s="3">
        <v>13.441800117492676</v>
      </c>
      <c r="I52" s="3">
        <v>1.8578000068664551</v>
      </c>
      <c r="J52" s="3">
        <v>1.1317999999999999</v>
      </c>
      <c r="K52" s="3">
        <v>1.8876999999999999</v>
      </c>
    </row>
    <row r="53" spans="1:11" x14ac:dyDescent="0.2">
      <c r="A53" s="2">
        <v>40999</v>
      </c>
      <c r="B53" s="3">
        <v>18.122299194335938</v>
      </c>
      <c r="C53" s="3">
        <v>2.4072999954223633</v>
      </c>
      <c r="D53" s="3">
        <v>0.87580000000000002</v>
      </c>
      <c r="E53" s="3">
        <v>1.0142</v>
      </c>
      <c r="G53" s="2">
        <v>40999</v>
      </c>
      <c r="H53" s="3">
        <v>13.497799873352051</v>
      </c>
      <c r="I53" s="3">
        <v>1.8910000324249268</v>
      </c>
      <c r="J53" s="3">
        <v>1.1704000000000001</v>
      </c>
      <c r="K53" s="3">
        <v>1.7285999999999999</v>
      </c>
    </row>
    <row r="54" spans="1:11" x14ac:dyDescent="0.2">
      <c r="A54" s="2">
        <v>40908</v>
      </c>
      <c r="B54" s="3">
        <v>17.269100189208984</v>
      </c>
      <c r="C54" s="3">
        <v>2.3278999328613281</v>
      </c>
      <c r="D54" s="3">
        <v>0.85040000000000004</v>
      </c>
      <c r="E54" s="3">
        <v>1.0708</v>
      </c>
      <c r="G54" s="2">
        <v>40908</v>
      </c>
      <c r="H54" s="3">
        <v>12.88129997253418</v>
      </c>
      <c r="I54" s="3">
        <v>1.8966000080108643</v>
      </c>
      <c r="J54" s="3">
        <v>1.1702999999999999</v>
      </c>
      <c r="K54" s="3">
        <v>1.8046</v>
      </c>
    </row>
    <row r="55" spans="1:11" x14ac:dyDescent="0.2">
      <c r="A55" s="2">
        <v>40816</v>
      </c>
      <c r="B55" s="3">
        <v>20.445699691772461</v>
      </c>
      <c r="C55" s="3">
        <v>2.8148999214172363</v>
      </c>
      <c r="D55" s="3">
        <v>0.996</v>
      </c>
      <c r="E55" s="3">
        <v>0.97529999999999994</v>
      </c>
      <c r="G55" s="2">
        <v>40816</v>
      </c>
      <c r="H55" s="3">
        <v>14.235199928283691</v>
      </c>
      <c r="I55" s="3">
        <v>2.1203000545501709</v>
      </c>
      <c r="J55" s="3">
        <v>1.3358000000000001</v>
      </c>
      <c r="K55" s="3">
        <v>1.6595</v>
      </c>
    </row>
    <row r="56" spans="1:11" x14ac:dyDescent="0.2">
      <c r="A56" s="2">
        <v>40724</v>
      </c>
      <c r="B56" s="3">
        <v>23.953800201416016</v>
      </c>
      <c r="C56" s="3">
        <v>3.3148000240325928</v>
      </c>
      <c r="D56" s="3">
        <v>1.175</v>
      </c>
      <c r="E56" s="3">
        <v>0.78820000000000001</v>
      </c>
      <c r="G56" s="2">
        <v>40724</v>
      </c>
      <c r="H56" s="3">
        <v>17.222700119018555</v>
      </c>
      <c r="I56" s="3">
        <v>2.543100118637085</v>
      </c>
      <c r="J56" s="3">
        <v>1.6237999999999999</v>
      </c>
      <c r="K56" s="3">
        <v>1.5198</v>
      </c>
    </row>
    <row r="57" spans="1:11" x14ac:dyDescent="0.2">
      <c r="A57" s="2">
        <v>40633</v>
      </c>
      <c r="B57" s="3">
        <v>27.986600875854492</v>
      </c>
      <c r="C57" s="3">
        <v>3.6675999164581299</v>
      </c>
      <c r="D57" s="3">
        <v>1.3803000000000001</v>
      </c>
      <c r="E57" s="3">
        <v>0.59819999999999995</v>
      </c>
      <c r="G57" s="2">
        <v>40633</v>
      </c>
      <c r="H57" s="3">
        <v>19.33489990234375</v>
      </c>
      <c r="I57" s="3">
        <v>2.7421000003814697</v>
      </c>
      <c r="J57" s="3">
        <v>1.8439000000000001</v>
      </c>
      <c r="K57" s="3">
        <v>1.0904</v>
      </c>
    </row>
    <row r="58" spans="1:11" x14ac:dyDescent="0.2">
      <c r="A58" s="2">
        <v>40543</v>
      </c>
      <c r="B58" s="3">
        <v>29.198999404907227</v>
      </c>
      <c r="C58" s="3">
        <v>3.7521998882293701</v>
      </c>
      <c r="D58" s="3">
        <v>1.4086000000000001</v>
      </c>
      <c r="E58" s="3">
        <v>0.58260000000000001</v>
      </c>
      <c r="G58" s="2">
        <v>40543</v>
      </c>
      <c r="H58" s="3">
        <v>20.078800201416016</v>
      </c>
      <c r="I58" s="3">
        <v>2.7509000301361084</v>
      </c>
      <c r="J58" s="3">
        <v>1.8786</v>
      </c>
      <c r="K58" s="3">
        <v>1.1409</v>
      </c>
    </row>
    <row r="59" spans="1:11" x14ac:dyDescent="0.2">
      <c r="A59" s="2">
        <v>40451</v>
      </c>
      <c r="B59" s="3">
        <v>30.467399597167969</v>
      </c>
      <c r="C59" s="3">
        <v>4.0763998031616211</v>
      </c>
      <c r="D59" s="3">
        <v>1.4572000000000001</v>
      </c>
      <c r="E59" s="3">
        <v>0.61639999999999995</v>
      </c>
      <c r="G59" s="2">
        <v>40451</v>
      </c>
      <c r="H59" s="3">
        <v>19.477100372314453</v>
      </c>
      <c r="I59" s="3">
        <v>2.7411000728607178</v>
      </c>
      <c r="J59" s="3">
        <v>1.8199000000000001</v>
      </c>
      <c r="K59" s="3">
        <v>1.2727999999999999</v>
      </c>
    </row>
    <row r="60" spans="1:11" x14ac:dyDescent="0.2">
      <c r="A60" s="2">
        <v>40359</v>
      </c>
      <c r="B60" s="3">
        <v>26.169000625610352</v>
      </c>
      <c r="C60" s="3">
        <v>3.3217000961303711</v>
      </c>
      <c r="D60" s="3">
        <v>1.252</v>
      </c>
      <c r="E60" s="3">
        <v>0.69420000000000004</v>
      </c>
      <c r="G60" s="2">
        <v>40359</v>
      </c>
      <c r="H60" s="3">
        <v>18.745199203491211</v>
      </c>
      <c r="I60" s="3">
        <v>2.5308001041412354</v>
      </c>
      <c r="J60" s="3">
        <v>1.6958</v>
      </c>
      <c r="K60" s="3">
        <v>1.3912</v>
      </c>
    </row>
    <row r="61" spans="1:11" x14ac:dyDescent="0.2">
      <c r="A61" s="2">
        <v>40268</v>
      </c>
      <c r="B61" s="3">
        <v>45.478099822998047</v>
      </c>
      <c r="C61" s="3">
        <v>4.3857002258300781</v>
      </c>
      <c r="D61" s="3">
        <v>1.8109</v>
      </c>
      <c r="E61" s="3">
        <v>0.42259999999999998</v>
      </c>
      <c r="G61" s="2">
        <v>40268</v>
      </c>
      <c r="H61" s="3">
        <v>30.253400802612305</v>
      </c>
      <c r="I61" s="3">
        <v>3.3382999897003174</v>
      </c>
      <c r="J61" s="3">
        <v>2.4108000000000001</v>
      </c>
      <c r="K61" s="3">
        <v>1.0392999999999999</v>
      </c>
    </row>
    <row r="62" spans="1:11" x14ac:dyDescent="0.2">
      <c r="A62" s="2">
        <v>40178</v>
      </c>
      <c r="B62" s="3">
        <v>57.970600128173828</v>
      </c>
      <c r="C62" s="3">
        <v>4.5118999481201172</v>
      </c>
      <c r="D62" s="3">
        <v>1.8683000000000001</v>
      </c>
      <c r="E62" s="3">
        <v>0.43709999999999999</v>
      </c>
      <c r="G62" s="2">
        <v>40178</v>
      </c>
      <c r="H62" s="3">
        <v>35.122600555419922</v>
      </c>
      <c r="I62" s="3">
        <v>3.5555999279022217</v>
      </c>
      <c r="J62" s="3">
        <v>2.5802</v>
      </c>
      <c r="K62" s="3">
        <v>1.0349999999999999</v>
      </c>
    </row>
    <row r="63" spans="1:11" x14ac:dyDescent="0.2">
      <c r="A63" s="2">
        <v>40086</v>
      </c>
      <c r="B63" s="3">
        <v>55.122898101806641</v>
      </c>
      <c r="C63" s="3">
        <v>3.6157999038696289</v>
      </c>
      <c r="D63" s="3">
        <v>1.448</v>
      </c>
      <c r="E63" s="3">
        <v>0.60629999999999995</v>
      </c>
      <c r="G63" s="2">
        <v>40086</v>
      </c>
      <c r="H63" s="3">
        <v>31.432100296020508</v>
      </c>
      <c r="I63" s="3">
        <v>3.1236000061035156</v>
      </c>
      <c r="J63" s="3">
        <v>2.1377999999999999</v>
      </c>
      <c r="K63" s="3">
        <v>1.2866</v>
      </c>
    </row>
    <row r="64" spans="1:11" x14ac:dyDescent="0.2">
      <c r="A64" s="2">
        <v>39994</v>
      </c>
      <c r="B64" s="3">
        <v>56.046699523925781</v>
      </c>
      <c r="C64" s="3">
        <v>3.7056000232696533</v>
      </c>
      <c r="D64" s="3">
        <v>1.3675999999999999</v>
      </c>
      <c r="E64" s="3">
        <v>0.63170000000000004</v>
      </c>
      <c r="G64" s="2">
        <v>39994</v>
      </c>
      <c r="H64" s="3">
        <v>32.432598114013672</v>
      </c>
      <c r="I64" s="3">
        <v>3.3933000564575195</v>
      </c>
      <c r="J64" s="3">
        <v>2.2252999999999998</v>
      </c>
      <c r="K64" s="3">
        <v>1.2283999999999999</v>
      </c>
    </row>
    <row r="65" spans="1:11" x14ac:dyDescent="0.2">
      <c r="A65" s="2">
        <v>39903</v>
      </c>
      <c r="B65" s="3">
        <v>34.896900177001953</v>
      </c>
      <c r="C65" s="3">
        <v>3.0590000152587891</v>
      </c>
      <c r="D65" s="3">
        <v>1.0598000000000001</v>
      </c>
      <c r="E65" s="3">
        <v>0.92190000000000005</v>
      </c>
      <c r="G65" s="2">
        <v>39903</v>
      </c>
      <c r="H65" s="3">
        <v>20.519599914550781</v>
      </c>
      <c r="I65" s="3">
        <v>2.692500114440918</v>
      </c>
      <c r="J65" s="3">
        <v>1.7249000000000001</v>
      </c>
      <c r="K65" s="3">
        <v>1.546</v>
      </c>
    </row>
    <row r="66" spans="1:11" x14ac:dyDescent="0.2">
      <c r="A66" s="2">
        <v>39813</v>
      </c>
      <c r="B66" s="3">
        <v>20.15049934387207</v>
      </c>
      <c r="C66" s="3">
        <v>2.0713999271392822</v>
      </c>
      <c r="D66" s="3">
        <v>0.71289999999999998</v>
      </c>
      <c r="E66" s="3">
        <v>1.3947000000000001</v>
      </c>
      <c r="G66" s="2">
        <v>39813</v>
      </c>
      <c r="H66" s="3">
        <v>14.424699783325195</v>
      </c>
      <c r="I66" s="3">
        <v>2.1082999706268311</v>
      </c>
      <c r="J66" s="3">
        <v>1.3063</v>
      </c>
      <c r="K66" s="3">
        <v>2.0672999999999999</v>
      </c>
    </row>
    <row r="67" spans="1:11" x14ac:dyDescent="0.2">
      <c r="A67" s="2">
        <v>39721</v>
      </c>
      <c r="B67" s="3">
        <v>21.242099761962891</v>
      </c>
      <c r="C67" s="3">
        <v>2.3736999034881592</v>
      </c>
      <c r="D67" s="3">
        <v>0.82210000000000005</v>
      </c>
      <c r="E67" s="3">
        <v>1.2108000000000001</v>
      </c>
      <c r="G67" s="2">
        <v>39721</v>
      </c>
      <c r="H67" s="3">
        <v>17.472499847412109</v>
      </c>
      <c r="I67" s="3">
        <v>2.7018001079559326</v>
      </c>
      <c r="J67" s="3">
        <v>1.6859</v>
      </c>
      <c r="K67" s="3">
        <v>1.6749000000000001</v>
      </c>
    </row>
    <row r="68" spans="1:11" x14ac:dyDescent="0.2">
      <c r="A68" s="2">
        <v>39629</v>
      </c>
      <c r="B68" s="3">
        <v>27.352899551391602</v>
      </c>
      <c r="C68" s="3">
        <v>2.9834001064300537</v>
      </c>
      <c r="D68" s="3">
        <v>1.0387999999999999</v>
      </c>
      <c r="E68" s="3">
        <v>1.1394</v>
      </c>
      <c r="G68" s="2">
        <v>39629</v>
      </c>
      <c r="H68" s="3">
        <v>22.087699890136719</v>
      </c>
      <c r="I68" s="3">
        <v>3.3373000621795654</v>
      </c>
      <c r="J68" s="3">
        <v>2.1829999999999998</v>
      </c>
      <c r="K68" s="3">
        <v>1.2753000000000001</v>
      </c>
    </row>
    <row r="69" spans="1:11" x14ac:dyDescent="0.2">
      <c r="A69" s="2">
        <v>39538</v>
      </c>
      <c r="B69" s="3">
        <v>48.608100891113281</v>
      </c>
      <c r="C69" s="3">
        <v>4.4503998756408691</v>
      </c>
      <c r="D69" s="3">
        <v>1.6465000000000001</v>
      </c>
      <c r="E69" s="3">
        <v>0.52629999999999999</v>
      </c>
      <c r="G69" s="2">
        <v>39538</v>
      </c>
      <c r="H69" s="3">
        <v>30.87700080871582</v>
      </c>
      <c r="I69" s="3">
        <v>4.2659997940063477</v>
      </c>
      <c r="J69" s="3">
        <v>3.0451000000000001</v>
      </c>
      <c r="K69" s="3">
        <v>0.51119999999999999</v>
      </c>
    </row>
    <row r="70" spans="1:11" x14ac:dyDescent="0.2">
      <c r="A70" s="2">
        <v>39447</v>
      </c>
      <c r="B70" s="3">
        <v>73.033096313476563</v>
      </c>
      <c r="C70" s="3">
        <v>6.0798001289367676</v>
      </c>
      <c r="D70" s="3">
        <v>2.2210999999999999</v>
      </c>
      <c r="E70" s="3">
        <v>0.3876</v>
      </c>
      <c r="G70" s="2">
        <v>39447</v>
      </c>
      <c r="H70" s="3">
        <v>49.252998352050781</v>
      </c>
      <c r="I70" s="3">
        <v>6.546299934387207</v>
      </c>
      <c r="J70" s="3">
        <v>4.7413999999999996</v>
      </c>
      <c r="K70" s="3">
        <v>0.35210000000000002</v>
      </c>
    </row>
    <row r="71" spans="1:11" x14ac:dyDescent="0.2">
      <c r="A71" s="2">
        <v>39355</v>
      </c>
      <c r="B71" s="3">
        <v>93.835098266601563</v>
      </c>
      <c r="C71" s="3">
        <v>6.9078998565673828</v>
      </c>
      <c r="D71" s="3">
        <v>2.4897999999999998</v>
      </c>
      <c r="E71" s="3">
        <v>0.37919999999999998</v>
      </c>
      <c r="G71" s="2">
        <v>39355</v>
      </c>
      <c r="H71" s="3">
        <v>52.882099151611328</v>
      </c>
      <c r="I71" s="3">
        <v>6.6662998199462891</v>
      </c>
      <c r="J71" s="3">
        <v>4.5148000000000001</v>
      </c>
      <c r="K71" s="3">
        <v>0.45400000000000001</v>
      </c>
    </row>
    <row r="72" spans="1:11" x14ac:dyDescent="0.2">
      <c r="A72" s="2">
        <v>39263</v>
      </c>
      <c r="B72" s="3">
        <v>88.356399536132813</v>
      </c>
      <c r="C72" s="3">
        <v>5.2427000999450684</v>
      </c>
      <c r="D72" s="3">
        <v>1.9823</v>
      </c>
      <c r="E72" s="3">
        <v>0.41389999999999999</v>
      </c>
      <c r="G72" s="2">
        <v>39263</v>
      </c>
      <c r="H72" s="3">
        <v>44.592098236083984</v>
      </c>
      <c r="I72" s="3">
        <v>4.8010997772216797</v>
      </c>
      <c r="J72" s="3">
        <v>3.0419</v>
      </c>
      <c r="K72" s="3">
        <v>0.57869999999999999</v>
      </c>
    </row>
    <row r="73" spans="1:11" x14ac:dyDescent="0.2">
      <c r="A73" s="2">
        <v>39172</v>
      </c>
      <c r="B73" s="3">
        <v>91.011802673339844</v>
      </c>
      <c r="C73" s="3">
        <v>3.9662001132965088</v>
      </c>
      <c r="D73" s="3">
        <v>1.5662</v>
      </c>
      <c r="E73" s="3">
        <v>0.57520000000000004</v>
      </c>
      <c r="G73" s="2">
        <v>39172</v>
      </c>
      <c r="H73" s="3">
        <v>45.782299041748047</v>
      </c>
      <c r="I73" s="3">
        <v>4.0313000679016113</v>
      </c>
      <c r="J73" s="3">
        <v>2.5718999999999999</v>
      </c>
      <c r="K73" s="3">
        <v>0.58879999999999999</v>
      </c>
    </row>
    <row r="74" spans="1:11" x14ac:dyDescent="0.2">
      <c r="B74" s="3"/>
      <c r="C74" s="3"/>
      <c r="D74" s="3"/>
      <c r="E74" s="3"/>
    </row>
    <row r="75" spans="1:11" x14ac:dyDescent="0.2">
      <c r="B75" s="3"/>
      <c r="C75" s="3"/>
      <c r="D75" s="3"/>
      <c r="E75" s="3"/>
    </row>
    <row r="76" spans="1:11" x14ac:dyDescent="0.2">
      <c r="B76" s="3"/>
      <c r="C76" s="3"/>
      <c r="D76" s="3"/>
      <c r="E76" s="3"/>
    </row>
    <row r="77" spans="1:11" x14ac:dyDescent="0.2">
      <c r="B77" s="3"/>
      <c r="C77" s="3"/>
      <c r="D77" s="3"/>
      <c r="E77" s="3"/>
    </row>
    <row r="78" spans="1:11" x14ac:dyDescent="0.2">
      <c r="B78" s="3"/>
      <c r="C78" s="3"/>
      <c r="D78" s="3"/>
      <c r="E78" s="3"/>
    </row>
    <row r="79" spans="1:11" x14ac:dyDescent="0.2">
      <c r="B79" s="3"/>
      <c r="C79" s="3"/>
      <c r="D79" s="3"/>
      <c r="E79" s="3"/>
    </row>
    <row r="80" spans="1:11" x14ac:dyDescent="0.2">
      <c r="B80" s="3"/>
      <c r="C80" s="3"/>
      <c r="D80" s="3"/>
      <c r="E80" s="3"/>
    </row>
    <row r="81" spans="2:5" x14ac:dyDescent="0.2">
      <c r="B81" s="3"/>
      <c r="C81" s="3"/>
      <c r="D81" s="3"/>
      <c r="E81" s="3"/>
    </row>
    <row r="82" spans="2:5" x14ac:dyDescent="0.2">
      <c r="B82" s="3"/>
      <c r="C82" s="3"/>
      <c r="D82" s="3"/>
      <c r="E82" s="3"/>
    </row>
    <row r="83" spans="2:5" x14ac:dyDescent="0.2">
      <c r="B83" s="3"/>
      <c r="C83" s="3"/>
      <c r="D83" s="3"/>
      <c r="E83" s="3"/>
    </row>
    <row r="84" spans="2:5" x14ac:dyDescent="0.2">
      <c r="B84" s="3"/>
      <c r="C84" s="3"/>
      <c r="D84" s="3"/>
      <c r="E84" s="3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指数历史估值比较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2024-04-17T08:30:05Z</dcterms:modified>
</cp:coreProperties>
</file>